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830" codeName="{861861EC-F77C-3E69-5087-FD670AB338C4}"/>
  <workbookPr codeName="aThisWorkbook" defaultThemeVersion="124226"/>
  <mc:AlternateContent xmlns:mc="http://schemas.openxmlformats.org/markup-compatibility/2006">
    <mc:Choice Requires="x15">
      <x15ac:absPath xmlns:x15ac="http://schemas.microsoft.com/office/spreadsheetml/2010/11/ac" url="G:\UK\CZ\Birmingham SDC\MISC\AXC Voyager Planning\Weekly Allocation Sheets\2017\07 JULY\"/>
    </mc:Choice>
  </mc:AlternateContent>
  <bookViews>
    <workbookView xWindow="0" yWindow="0" windowWidth="20490" windowHeight="7530" tabRatio="714" firstSheet="2" activeTab="2"/>
  </bookViews>
  <sheets>
    <sheet name="Planning Slots and Rules" sheetId="26" r:id="rId1"/>
    <sheet name="Mileages EOD" sheetId="30" r:id="rId2"/>
    <sheet name="WC Planning Sheet" sheetId="40" r:id="rId3"/>
    <sheet name="Planning Sheet" sheetId="10" r:id="rId4"/>
    <sheet name="Plan" sheetId="31" r:id="rId5"/>
    <sheet name="220" sheetId="5" r:id="rId6"/>
    <sheet name="Pad Planner - DO NOT AMEND" sheetId="32" r:id="rId7"/>
    <sheet name="Pad Positions - DO NOT AMEND" sheetId="34" r:id="rId8"/>
    <sheet name="Brake Pad Workorders" sheetId="35" r:id="rId9"/>
    <sheet name="Exam Workorders" sheetId="37" r:id="rId10"/>
    <sheet name="QlikExtract" sheetId="38" r:id="rId11"/>
  </sheets>
  <externalReferences>
    <externalReference r:id="rId12"/>
    <externalReference r:id="rId13"/>
    <externalReference r:id="rId14"/>
  </externalReferences>
  <definedNames>
    <definedName name="_xlnm._FilterDatabase" localSheetId="5" hidden="1">'220'!#REF!</definedName>
    <definedName name="_xlnm._FilterDatabase" localSheetId="8" hidden="1">'Brake Pad Workorders'!$A$1:$Z$124</definedName>
    <definedName name="_xlnm._FilterDatabase" localSheetId="9" hidden="1">'Exam Workorders'!$A$1:$Q$409</definedName>
    <definedName name="_xlnm._FilterDatabase" localSheetId="1" hidden="1">'Mileages EOD'!$A$1:$C$80</definedName>
    <definedName name="_xlnm._FilterDatabase" localSheetId="6" hidden="1">'Pad Planner - DO NOT AMEND'!$A$1:$K$79</definedName>
    <definedName name="_xlnm._FilterDatabase" localSheetId="4" hidden="1">Plan!$A$2:$AS$74</definedName>
    <definedName name="_xlnm._FilterDatabase" localSheetId="10" hidden="1">QlikExtract!$A$1:$J$169</definedName>
    <definedName name="All" localSheetId="4">Plan!$A$1:$AA$51</definedName>
    <definedName name="All" localSheetId="2">#REF!</definedName>
    <definedName name="All">#REF!</definedName>
    <definedName name="Class221_Vehicle_Lookup">'[1]Vehicle Lookup'!$A$2:$D$244</definedName>
    <definedName name="DATE" localSheetId="1">'Mileages EOD'!$A$1</definedName>
    <definedName name="DATE" localSheetId="2">#REF!</definedName>
    <definedName name="DATE">#REF!</definedName>
    <definedName name="ExternalData_1" localSheetId="5" hidden="1">'220'!#REF!</definedName>
    <definedName name="ExternalData_14" localSheetId="8">'Brake Pad Workorders'!$A$2:$Q$31</definedName>
    <definedName name="ExternalData_14" localSheetId="9">'Exam Workorders'!$A$2:$Q$310</definedName>
    <definedName name="Miles220" localSheetId="2">#REF!</definedName>
    <definedName name="Miles220">#REF!</definedName>
    <definedName name="Miles221" localSheetId="2">#REF!</definedName>
    <definedName name="Miles221">#REF!</definedName>
    <definedName name="_xlnm.Print_Area" localSheetId="5">'220'!$A$61:$N$62</definedName>
    <definedName name="_xlnm.Print_Area" localSheetId="1">'Mileages EOD'!$62:$63</definedName>
    <definedName name="_xlnm.Print_Area" localSheetId="4">Plan!$A$1:$R$56</definedName>
    <definedName name="_xlnm.Print_Area" localSheetId="3">'Planning Sheet'!$A$1:$P$75</definedName>
    <definedName name="_xlnm.Print_Area" localSheetId="0">'Planning Slots and Rules'!$A$1:$K$69</definedName>
    <definedName name="_xlnm.Print_Area" localSheetId="2">'WC Planning Sheet'!$A$1:$P$75</definedName>
    <definedName name="_xlnm.Print_Titles" localSheetId="5">'220'!$1:$1</definedName>
    <definedName name="_xlnm.Print_Titles" localSheetId="4">Plan!$A:$D</definedName>
    <definedName name="Query_from_MS_Access_Database" localSheetId="5" hidden="1">'220'!$S$1:$V$79</definedName>
    <definedName name="Query_from_MS_Access_Database_1" localSheetId="5">'220'!$H$2:$I$85</definedName>
    <definedName name="Query_from_MS_Access_Database_2" localSheetId="5">'220'!$D$2:$E$78</definedName>
    <definedName name="Query_from_MS_Access_Database_3" localSheetId="5">'220'!$P$1:$R$78</definedName>
    <definedName name="Query_from_MS_Access_Database_4" localSheetId="5" hidden="1">'220'!$X$1:$AA$79</definedName>
    <definedName name="Query_from_MS_Access_Database_5" localSheetId="5" hidden="1">'220'!$AB$1:$AD$78</definedName>
    <definedName name="Query_from_MS_Access_Database_6" localSheetId="5" hidden="1">'220'!$AG$1:$AJ$78</definedName>
    <definedName name="Query_from_MS_Access_Database_7" localSheetId="5" hidden="1">'220'!$AK$1:$AM$78</definedName>
    <definedName name="SUPER_VOYAGER">'220'!$A$36:$K$79</definedName>
    <definedName name="VOYAGER">'220'!$A$2:$K$35</definedName>
    <definedName name="Z_11CCF7A5_863A_4058_B539_9256B5BB05DF_.wvu.FilterData" localSheetId="5" hidden="1">'220'!#REF!</definedName>
    <definedName name="Z_11CCF7A5_863A_4058_B539_9256B5BB05DF_.wvu.PrintArea" localSheetId="5" hidden="1">'220'!$A$1:$K$79</definedName>
    <definedName name="Z_11CCF7A5_863A_4058_B539_9256B5BB05DF_.wvu.PrintArea" localSheetId="4" hidden="1">Plan!$A$1:$S$51</definedName>
    <definedName name="Z_11CCF7A5_863A_4058_B539_9256B5BB05DF_.wvu.PrintArea" localSheetId="3" hidden="1">'Planning Sheet'!$A$1:$P$67</definedName>
    <definedName name="Z_11CCF7A5_863A_4058_B539_9256B5BB05DF_.wvu.PrintArea" localSheetId="2" hidden="1">'WC Planning Sheet'!$A$1:$P$67</definedName>
    <definedName name="Z_11CCF7A5_863A_4058_B539_9256B5BB05DF_.wvu.Rows" localSheetId="4" hidden="1">Plan!#REF!</definedName>
    <definedName name="Z_34EE28FF_C512_4229_98A0_90BCF91787C1_.wvu.FilterData" localSheetId="5" hidden="1">'220'!#REF!</definedName>
    <definedName name="Z_34EE28FF_C512_4229_98A0_90BCF91787C1_.wvu.PrintArea" localSheetId="5" hidden="1">'220'!$A$1:$K$79</definedName>
    <definedName name="Z_34EE28FF_C512_4229_98A0_90BCF91787C1_.wvu.PrintArea" localSheetId="4" hidden="1">Plan!$A$1:$S$51</definedName>
    <definedName name="Z_34EE28FF_C512_4229_98A0_90BCF91787C1_.wvu.PrintArea" localSheetId="3" hidden="1">'Planning Sheet'!$A$1:$P$67</definedName>
    <definedName name="Z_34EE28FF_C512_4229_98A0_90BCF91787C1_.wvu.PrintArea" localSheetId="2" hidden="1">'WC Planning Sheet'!$A$1:$P$67</definedName>
    <definedName name="Z_34EE28FF_C512_4229_98A0_90BCF91787C1_.wvu.Rows" localSheetId="4" hidden="1">Plan!$5:$46</definedName>
    <definedName name="Z_C15AA83A_C5E4_4E5B_A8A6_80960211427D_.wvu.FilterData" localSheetId="5" hidden="1">'220'!#REF!</definedName>
    <definedName name="Z_C15AA83A_C5E4_4E5B_A8A6_80960211427D_.wvu.PrintArea" localSheetId="5" hidden="1">'220'!$A$1:$K$79</definedName>
    <definedName name="Z_C15AA83A_C5E4_4E5B_A8A6_80960211427D_.wvu.PrintArea" localSheetId="4" hidden="1">Plan!$A$1:$S$51</definedName>
    <definedName name="Z_C15AA83A_C5E4_4E5B_A8A6_80960211427D_.wvu.PrintArea" localSheetId="3" hidden="1">'Planning Sheet'!$A$1:$P$67</definedName>
    <definedName name="Z_C15AA83A_C5E4_4E5B_A8A6_80960211427D_.wvu.PrintArea" localSheetId="2" hidden="1">'WC Planning Sheet'!$A$1:$P$67</definedName>
  </definedNames>
  <calcPr calcId="171027"/>
  <customWorkbookViews>
    <customWorkbookView name="STANDARD" guid="{C15AA83A-C5E4-4E5B-A8A6-80960211427D}" maximized="1" windowWidth="1020" windowHeight="620" tabRatio="750" activeSheetId="6" showComments="commIndAndComment"/>
    <customWorkbookView name="MAJORS &amp; REPAIRS" guid="{11CCF7A5-863A-4058-B539-9256B5BB05DF}" maximized="1" windowWidth="1020" windowHeight="620" tabRatio="750" activeSheetId="6" showComments="commIndAndComment"/>
    <customWorkbookView name="REPAIRS" guid="{34EE28FF-C512-4229-98A0-90BCF91787C1}" maximized="1" windowWidth="1020" windowHeight="620" tabRatio="750" activeSheetId="6" showComments="commIndAndComment"/>
  </customWorkbookViews>
</workbook>
</file>

<file path=xl/calcChain.xml><?xml version="1.0" encoding="utf-8"?>
<calcChain xmlns="http://schemas.openxmlformats.org/spreadsheetml/2006/main">
  <c r="K59" i="5" l="1"/>
  <c r="I43" i="31"/>
  <c r="C146" i="38" s="1"/>
  <c r="D146" i="38" s="1"/>
  <c r="E146" i="38" s="1"/>
  <c r="F146" i="38" s="1"/>
  <c r="G146" i="38" s="1"/>
  <c r="J146" i="38" s="1"/>
  <c r="F24" i="30"/>
  <c r="B21" i="40"/>
  <c r="A72" i="40"/>
  <c r="A68" i="40"/>
  <c r="A64" i="40"/>
  <c r="A60" i="40"/>
  <c r="A56" i="40"/>
  <c r="B3" i="40"/>
  <c r="C3" i="40"/>
  <c r="E3" i="40"/>
  <c r="H3" i="40"/>
  <c r="L3" i="40"/>
  <c r="B12" i="40"/>
  <c r="C12" i="40"/>
  <c r="E12" i="40"/>
  <c r="H12" i="40"/>
  <c r="L12" i="40"/>
  <c r="C21" i="40"/>
  <c r="E21" i="40"/>
  <c r="H21" i="40"/>
  <c r="L21" i="40"/>
  <c r="B31" i="40"/>
  <c r="C31" i="40"/>
  <c r="E31" i="40"/>
  <c r="H31" i="40"/>
  <c r="L31" i="40"/>
  <c r="B41" i="40"/>
  <c r="C41" i="40"/>
  <c r="E41" i="40"/>
  <c r="H41" i="40"/>
  <c r="L41" i="40"/>
  <c r="B48" i="40"/>
  <c r="C48" i="40"/>
  <c r="E48" i="40"/>
  <c r="H48" i="40"/>
  <c r="L48" i="40"/>
  <c r="I51" i="40"/>
  <c r="J51" i="40"/>
  <c r="K51" i="40"/>
  <c r="M51" i="40"/>
  <c r="N51" i="40"/>
  <c r="O51" i="40"/>
  <c r="P51" i="40"/>
  <c r="B56" i="40"/>
  <c r="C56" i="40"/>
  <c r="E56" i="40"/>
  <c r="H56" i="40"/>
  <c r="L56" i="40"/>
  <c r="B60" i="40"/>
  <c r="C60" i="40"/>
  <c r="E60" i="40"/>
  <c r="H60" i="40"/>
  <c r="L60" i="40"/>
  <c r="B64" i="40"/>
  <c r="C64" i="40"/>
  <c r="E64" i="40"/>
  <c r="H64" i="40"/>
  <c r="L64" i="40"/>
  <c r="B68" i="40"/>
  <c r="C68" i="40"/>
  <c r="E68" i="40"/>
  <c r="H68" i="40"/>
  <c r="L68" i="40"/>
  <c r="B72" i="40"/>
  <c r="C72" i="40"/>
  <c r="E72" i="40"/>
  <c r="H72" i="40"/>
  <c r="L72" i="40"/>
  <c r="AO77" i="5"/>
  <c r="AF77" i="5"/>
  <c r="B169" i="38"/>
  <c r="K169" i="38" s="1"/>
  <c r="B168" i="38"/>
  <c r="K168" i="38" s="1"/>
  <c r="B167" i="38"/>
  <c r="K167" i="38" s="1"/>
  <c r="B166" i="38"/>
  <c r="K166" i="38" s="1"/>
  <c r="B165" i="38"/>
  <c r="K165" i="38" s="1"/>
  <c r="B164" i="38"/>
  <c r="K164" i="38" s="1"/>
  <c r="B163" i="38"/>
  <c r="K163" i="38" s="1"/>
  <c r="B162" i="38"/>
  <c r="K162" i="38" s="1"/>
  <c r="B161" i="38"/>
  <c r="K161" i="38" s="1"/>
  <c r="B160" i="38"/>
  <c r="K160" i="38" s="1"/>
  <c r="B159" i="38"/>
  <c r="K159" i="38" s="1"/>
  <c r="B158" i="38"/>
  <c r="K158" i="38" s="1"/>
  <c r="B157" i="38"/>
  <c r="K157" i="38" s="1"/>
  <c r="B156" i="38"/>
  <c r="K156" i="38" s="1"/>
  <c r="B155" i="38"/>
  <c r="K155" i="38" s="1"/>
  <c r="B154" i="38"/>
  <c r="K154" i="38" s="1"/>
  <c r="B153" i="38"/>
  <c r="K153" i="38" s="1"/>
  <c r="B152" i="38"/>
  <c r="K152" i="38" s="1"/>
  <c r="B151" i="38"/>
  <c r="K151" i="38" s="1"/>
  <c r="B150" i="38"/>
  <c r="K150" i="38" s="1"/>
  <c r="B149" i="38"/>
  <c r="K149" i="38" s="1"/>
  <c r="B148" i="38"/>
  <c r="K148" i="38" s="1"/>
  <c r="B147" i="38"/>
  <c r="K147" i="38" s="1"/>
  <c r="B146" i="38"/>
  <c r="K146" i="38" s="1"/>
  <c r="B145" i="38"/>
  <c r="K145" i="38" s="1"/>
  <c r="B144" i="38"/>
  <c r="K144" i="38" s="1"/>
  <c r="B143" i="38"/>
  <c r="K143" i="38" s="1"/>
  <c r="B142" i="38"/>
  <c r="K142" i="38" s="1"/>
  <c r="B141" i="38"/>
  <c r="K141" i="38" s="1"/>
  <c r="B140" i="38"/>
  <c r="K140" i="38" s="1"/>
  <c r="B139" i="38"/>
  <c r="K139" i="38" s="1"/>
  <c r="B138" i="38"/>
  <c r="K138" i="38" s="1"/>
  <c r="B137" i="38"/>
  <c r="K137" i="38" s="1"/>
  <c r="B136" i="38"/>
  <c r="K136" i="38" s="1"/>
  <c r="B135" i="38"/>
  <c r="K135" i="38" s="1"/>
  <c r="B134" i="38"/>
  <c r="K134" i="38" s="1"/>
  <c r="B133" i="38"/>
  <c r="K133" i="38" s="1"/>
  <c r="B132" i="38"/>
  <c r="K132" i="38" s="1"/>
  <c r="B131" i="38"/>
  <c r="K131" i="38" s="1"/>
  <c r="B130" i="38"/>
  <c r="K130" i="38" s="1"/>
  <c r="B129" i="38"/>
  <c r="K129" i="38" s="1"/>
  <c r="B128" i="38"/>
  <c r="K128" i="38" s="1"/>
  <c r="B127" i="38"/>
  <c r="K127" i="38" s="1"/>
  <c r="B126" i="38"/>
  <c r="K126" i="38" s="1"/>
  <c r="B125" i="38"/>
  <c r="K125" i="38" s="1"/>
  <c r="B124" i="38"/>
  <c r="K124" i="38" s="1"/>
  <c r="B123" i="38"/>
  <c r="K123" i="38" s="1"/>
  <c r="B122" i="38"/>
  <c r="K122" i="38" s="1"/>
  <c r="B121" i="38"/>
  <c r="K121" i="38" s="1"/>
  <c r="B120" i="38"/>
  <c r="K120" i="38" s="1"/>
  <c r="B119" i="38"/>
  <c r="K119" i="38" s="1"/>
  <c r="B118" i="38"/>
  <c r="K118" i="38" s="1"/>
  <c r="B117" i="38"/>
  <c r="K117" i="38" s="1"/>
  <c r="B116" i="38"/>
  <c r="K116" i="38" s="1"/>
  <c r="B115" i="38"/>
  <c r="K115" i="38" s="1"/>
  <c r="B114" i="38"/>
  <c r="K114" i="38" s="1"/>
  <c r="B113" i="38"/>
  <c r="K113" i="38" s="1"/>
  <c r="B112" i="38"/>
  <c r="K112" i="38" s="1"/>
  <c r="B111" i="38"/>
  <c r="K111" i="38" s="1"/>
  <c r="B110" i="38"/>
  <c r="K110" i="38" s="1"/>
  <c r="B109" i="38"/>
  <c r="K109" i="38" s="1"/>
  <c r="B108" i="38"/>
  <c r="K108" i="38" s="1"/>
  <c r="B107" i="38"/>
  <c r="K107" i="38" s="1"/>
  <c r="B106" i="38"/>
  <c r="K106" i="38" s="1"/>
  <c r="B105" i="38"/>
  <c r="K105" i="38" s="1"/>
  <c r="B104" i="38"/>
  <c r="K104" i="38" s="1"/>
  <c r="B103" i="38"/>
  <c r="K103" i="38" s="1"/>
  <c r="B102" i="38"/>
  <c r="K102" i="38" s="1"/>
  <c r="B101" i="38"/>
  <c r="K101" i="38" s="1"/>
  <c r="B100" i="38"/>
  <c r="K100" i="38" s="1"/>
  <c r="B99" i="38"/>
  <c r="K99" i="38" s="1"/>
  <c r="B98" i="38"/>
  <c r="K98" i="38" s="1"/>
  <c r="B97" i="38"/>
  <c r="K97" i="38" s="1"/>
  <c r="B96" i="38"/>
  <c r="K96" i="38" s="1"/>
  <c r="B95" i="38"/>
  <c r="K95" i="38" s="1"/>
  <c r="B94" i="38"/>
  <c r="K94" i="38" s="1"/>
  <c r="B93" i="38"/>
  <c r="K93" i="38" s="1"/>
  <c r="B92" i="38"/>
  <c r="K92" i="38" s="1"/>
  <c r="B91" i="38"/>
  <c r="K91" i="38" s="1"/>
  <c r="B90" i="38"/>
  <c r="K90" i="38" s="1"/>
  <c r="B89" i="38"/>
  <c r="K89" i="38" s="1"/>
  <c r="B88" i="38"/>
  <c r="K88" i="38" s="1"/>
  <c r="B87" i="38"/>
  <c r="K87" i="38" s="1"/>
  <c r="B86" i="38"/>
  <c r="K86" i="38" s="1"/>
  <c r="B85" i="38"/>
  <c r="K85" i="38" s="1"/>
  <c r="B84" i="38"/>
  <c r="K84" i="38" s="1"/>
  <c r="B83" i="38"/>
  <c r="K83" i="38" s="1"/>
  <c r="B82" i="38"/>
  <c r="K82" i="38" s="1"/>
  <c r="B81" i="38"/>
  <c r="K81" i="38" s="1"/>
  <c r="B80" i="38"/>
  <c r="K80" i="38" s="1"/>
  <c r="B79" i="38"/>
  <c r="K79" i="38" s="1"/>
  <c r="B78" i="38"/>
  <c r="K78" i="38" s="1"/>
  <c r="B77" i="38"/>
  <c r="K77" i="38" s="1"/>
  <c r="B76" i="38"/>
  <c r="K76" i="38" s="1"/>
  <c r="B75" i="38"/>
  <c r="K75" i="38" s="1"/>
  <c r="B74" i="38"/>
  <c r="K74" i="38" s="1"/>
  <c r="B73" i="38"/>
  <c r="K73" i="38" s="1"/>
  <c r="B72" i="38"/>
  <c r="K72" i="38" s="1"/>
  <c r="B71" i="38"/>
  <c r="K71" i="38" s="1"/>
  <c r="B70" i="38"/>
  <c r="K70" i="38" s="1"/>
  <c r="B69" i="38"/>
  <c r="K69" i="38" s="1"/>
  <c r="B68" i="38"/>
  <c r="K68" i="38" s="1"/>
  <c r="B67" i="38"/>
  <c r="K67" i="38" s="1"/>
  <c r="B66" i="38"/>
  <c r="K66" i="38" s="1"/>
  <c r="B65" i="38"/>
  <c r="K65" i="38" s="1"/>
  <c r="B64" i="38"/>
  <c r="K64" i="38" s="1"/>
  <c r="B63" i="38"/>
  <c r="K63" i="38" s="1"/>
  <c r="B62" i="38"/>
  <c r="K62" i="38" s="1"/>
  <c r="B61" i="38"/>
  <c r="K61" i="38" s="1"/>
  <c r="B60" i="38"/>
  <c r="K60" i="38" s="1"/>
  <c r="B59" i="38"/>
  <c r="K59" i="38" s="1"/>
  <c r="B58" i="38"/>
  <c r="K58" i="38" s="1"/>
  <c r="B57" i="38"/>
  <c r="K57" i="38" s="1"/>
  <c r="B56" i="38"/>
  <c r="K56" i="38" s="1"/>
  <c r="B55" i="38"/>
  <c r="K55" i="38" s="1"/>
  <c r="B54" i="38"/>
  <c r="K54" i="38" s="1"/>
  <c r="B53" i="38"/>
  <c r="K53" i="38" s="1"/>
  <c r="B52" i="38"/>
  <c r="K52" i="38" s="1"/>
  <c r="B51" i="38"/>
  <c r="K51" i="38" s="1"/>
  <c r="B50" i="38"/>
  <c r="K50" i="38" s="1"/>
  <c r="B49" i="38"/>
  <c r="K49" i="38" s="1"/>
  <c r="B48" i="38"/>
  <c r="K48" i="38" s="1"/>
  <c r="B47" i="38"/>
  <c r="K47" i="38" s="1"/>
  <c r="B46" i="38"/>
  <c r="K46" i="38" s="1"/>
  <c r="B45" i="38"/>
  <c r="K45" i="38" s="1"/>
  <c r="B44" i="38"/>
  <c r="K44" i="38" s="1"/>
  <c r="B43" i="38"/>
  <c r="K43" i="38" s="1"/>
  <c r="B42" i="38"/>
  <c r="K42" i="38" s="1"/>
  <c r="B41" i="38"/>
  <c r="K41" i="38" s="1"/>
  <c r="B40" i="38"/>
  <c r="K40" i="38" s="1"/>
  <c r="B39" i="38"/>
  <c r="K39" i="38" s="1"/>
  <c r="B38" i="38"/>
  <c r="K38" i="38" s="1"/>
  <c r="B37" i="38"/>
  <c r="K37" i="38" s="1"/>
  <c r="B36" i="38"/>
  <c r="K36" i="38" s="1"/>
  <c r="B35" i="38"/>
  <c r="K35" i="38" s="1"/>
  <c r="B34" i="38"/>
  <c r="K34" i="38" s="1"/>
  <c r="B33" i="38"/>
  <c r="K33" i="38" s="1"/>
  <c r="B32" i="38"/>
  <c r="K32" i="38" s="1"/>
  <c r="B31" i="38"/>
  <c r="K31" i="38" s="1"/>
  <c r="B30" i="38"/>
  <c r="K30" i="38" s="1"/>
  <c r="B29" i="38"/>
  <c r="K29" i="38" s="1"/>
  <c r="B28" i="38"/>
  <c r="K28" i="38" s="1"/>
  <c r="B27" i="38"/>
  <c r="K27" i="38" s="1"/>
  <c r="B26" i="38"/>
  <c r="K26" i="38" s="1"/>
  <c r="B25" i="38"/>
  <c r="K25" i="38" s="1"/>
  <c r="B24" i="38"/>
  <c r="K24" i="38" s="1"/>
  <c r="B23" i="38"/>
  <c r="K23" i="38" s="1"/>
  <c r="B22" i="38"/>
  <c r="K22" i="38" s="1"/>
  <c r="B21" i="38"/>
  <c r="K21" i="38" s="1"/>
  <c r="B20" i="38"/>
  <c r="K20" i="38" s="1"/>
  <c r="B19" i="38"/>
  <c r="K19" i="38" s="1"/>
  <c r="B18" i="38"/>
  <c r="K18" i="38" s="1"/>
  <c r="B17" i="38"/>
  <c r="K17" i="38" s="1"/>
  <c r="B16" i="38"/>
  <c r="K16" i="38" s="1"/>
  <c r="B15" i="38"/>
  <c r="K15" i="38" s="1"/>
  <c r="B14" i="38"/>
  <c r="K14" i="38" s="1"/>
  <c r="B13" i="38"/>
  <c r="K13" i="38" s="1"/>
  <c r="B12" i="38"/>
  <c r="K12" i="38" s="1"/>
  <c r="B11" i="38"/>
  <c r="K11" i="38" s="1"/>
  <c r="B10" i="38"/>
  <c r="K10" i="38" s="1"/>
  <c r="B9" i="38"/>
  <c r="K9" i="38" s="1"/>
  <c r="B8" i="38"/>
  <c r="K8" i="38" s="1"/>
  <c r="B7" i="38"/>
  <c r="K7" i="38" s="1"/>
  <c r="B6" i="38"/>
  <c r="K6" i="38" s="1"/>
  <c r="B5" i="38"/>
  <c r="K5" i="38" s="1"/>
  <c r="B4" i="38"/>
  <c r="K4" i="38" s="1"/>
  <c r="B3" i="38"/>
  <c r="K3" i="38" s="1"/>
  <c r="B2" i="38"/>
  <c r="K2" i="38" s="1"/>
  <c r="Z124" i="35"/>
  <c r="Y124" i="35"/>
  <c r="U124" i="35"/>
  <c r="W124" i="35" s="1"/>
  <c r="X124" i="35" s="1"/>
  <c r="S124" i="35"/>
  <c r="T124" i="35" s="1"/>
  <c r="Z123" i="35"/>
  <c r="Y123" i="35"/>
  <c r="U123" i="35"/>
  <c r="W123" i="35" s="1"/>
  <c r="X123" i="35" s="1"/>
  <c r="S123" i="35"/>
  <c r="T123" i="35" s="1"/>
  <c r="Z122" i="35"/>
  <c r="Y122" i="35"/>
  <c r="U122" i="35"/>
  <c r="W122" i="35" s="1"/>
  <c r="X122" i="35" s="1"/>
  <c r="S122" i="35"/>
  <c r="T122" i="35" s="1"/>
  <c r="Z121" i="35"/>
  <c r="Y121" i="35"/>
  <c r="U121" i="35"/>
  <c r="W121" i="35" s="1"/>
  <c r="X121" i="35" s="1"/>
  <c r="S121" i="35"/>
  <c r="T121" i="35" s="1"/>
  <c r="Z120" i="35"/>
  <c r="Y120" i="35"/>
  <c r="U120" i="35"/>
  <c r="W120" i="35" s="1"/>
  <c r="X120" i="35" s="1"/>
  <c r="S120" i="35"/>
  <c r="T120" i="35" s="1"/>
  <c r="Z119" i="35"/>
  <c r="Y119" i="35"/>
  <c r="U119" i="35"/>
  <c r="W119" i="35" s="1"/>
  <c r="X119" i="35" s="1"/>
  <c r="S119" i="35"/>
  <c r="T119" i="35" s="1"/>
  <c r="Z118" i="35"/>
  <c r="Y118" i="35"/>
  <c r="U118" i="35"/>
  <c r="W118" i="35" s="1"/>
  <c r="X118" i="35" s="1"/>
  <c r="S118" i="35"/>
  <c r="T118" i="35" s="1"/>
  <c r="Z117" i="35"/>
  <c r="Y117" i="35"/>
  <c r="U117" i="35"/>
  <c r="W117" i="35" s="1"/>
  <c r="X117" i="35" s="1"/>
  <c r="S117" i="35"/>
  <c r="T117" i="35" s="1"/>
  <c r="Z116" i="35"/>
  <c r="Y116" i="35"/>
  <c r="U116" i="35"/>
  <c r="W116" i="35" s="1"/>
  <c r="X116" i="35" s="1"/>
  <c r="S116" i="35"/>
  <c r="T116" i="35" s="1"/>
  <c r="Z115" i="35"/>
  <c r="Y115" i="35"/>
  <c r="U115" i="35"/>
  <c r="W115" i="35" s="1"/>
  <c r="X115" i="35" s="1"/>
  <c r="S115" i="35"/>
  <c r="T115" i="35" s="1"/>
  <c r="Z114" i="35"/>
  <c r="Y114" i="35"/>
  <c r="U114" i="35"/>
  <c r="W114" i="35" s="1"/>
  <c r="X114" i="35" s="1"/>
  <c r="S114" i="35"/>
  <c r="T114" i="35" s="1"/>
  <c r="Z113" i="35"/>
  <c r="Y113" i="35"/>
  <c r="U113" i="35"/>
  <c r="W113" i="35" s="1"/>
  <c r="X113" i="35" s="1"/>
  <c r="S113" i="35"/>
  <c r="T113" i="35" s="1"/>
  <c r="Z112" i="35"/>
  <c r="Y112" i="35"/>
  <c r="U112" i="35"/>
  <c r="W112" i="35" s="1"/>
  <c r="X112" i="35" s="1"/>
  <c r="S112" i="35"/>
  <c r="T112" i="35" s="1"/>
  <c r="Z111" i="35"/>
  <c r="Y111" i="35"/>
  <c r="U111" i="35"/>
  <c r="W111" i="35" s="1"/>
  <c r="X111" i="35" s="1"/>
  <c r="S111" i="35"/>
  <c r="T111" i="35" s="1"/>
  <c r="Z110" i="35"/>
  <c r="Y110" i="35"/>
  <c r="U110" i="35"/>
  <c r="W110" i="35" s="1"/>
  <c r="X110" i="35" s="1"/>
  <c r="S110" i="35"/>
  <c r="T110" i="35" s="1"/>
  <c r="Z109" i="35"/>
  <c r="Y109" i="35"/>
  <c r="U109" i="35"/>
  <c r="W109" i="35" s="1"/>
  <c r="X109" i="35" s="1"/>
  <c r="S109" i="35"/>
  <c r="T109" i="35" s="1"/>
  <c r="Z108" i="35"/>
  <c r="Y108" i="35"/>
  <c r="U108" i="35"/>
  <c r="W108" i="35" s="1"/>
  <c r="X108" i="35" s="1"/>
  <c r="S108" i="35"/>
  <c r="T108" i="35" s="1"/>
  <c r="Z107" i="35"/>
  <c r="Y107" i="35"/>
  <c r="U107" i="35"/>
  <c r="W107" i="35" s="1"/>
  <c r="X107" i="35" s="1"/>
  <c r="S107" i="35"/>
  <c r="T107" i="35" s="1"/>
  <c r="Z106" i="35"/>
  <c r="Y106" i="35"/>
  <c r="U106" i="35"/>
  <c r="W106" i="35" s="1"/>
  <c r="X106" i="35" s="1"/>
  <c r="S106" i="35"/>
  <c r="T106" i="35" s="1"/>
  <c r="Z105" i="35"/>
  <c r="Y105" i="35"/>
  <c r="U105" i="35"/>
  <c r="W105" i="35" s="1"/>
  <c r="X105" i="35" s="1"/>
  <c r="S105" i="35"/>
  <c r="T105" i="35" s="1"/>
  <c r="Z104" i="35"/>
  <c r="Y104" i="35"/>
  <c r="U104" i="35"/>
  <c r="W104" i="35" s="1"/>
  <c r="X104" i="35" s="1"/>
  <c r="S104" i="35"/>
  <c r="T104" i="35" s="1"/>
  <c r="Z103" i="35"/>
  <c r="Y103" i="35"/>
  <c r="U103" i="35"/>
  <c r="W103" i="35" s="1"/>
  <c r="X103" i="35" s="1"/>
  <c r="S103" i="35"/>
  <c r="T103" i="35" s="1"/>
  <c r="Z102" i="35"/>
  <c r="Y102" i="35"/>
  <c r="U102" i="35"/>
  <c r="W102" i="35" s="1"/>
  <c r="X102" i="35" s="1"/>
  <c r="S102" i="35"/>
  <c r="T102" i="35" s="1"/>
  <c r="Z101" i="35"/>
  <c r="Y101" i="35"/>
  <c r="U101" i="35"/>
  <c r="W101" i="35" s="1"/>
  <c r="X101" i="35" s="1"/>
  <c r="S101" i="35"/>
  <c r="T101" i="35" s="1"/>
  <c r="Z100" i="35"/>
  <c r="Y100" i="35"/>
  <c r="U100" i="35"/>
  <c r="W100" i="35" s="1"/>
  <c r="X100" i="35" s="1"/>
  <c r="S100" i="35"/>
  <c r="T100" i="35" s="1"/>
  <c r="Z99" i="35"/>
  <c r="Y99" i="35"/>
  <c r="U99" i="35"/>
  <c r="W99" i="35" s="1"/>
  <c r="X99" i="35" s="1"/>
  <c r="S99" i="35"/>
  <c r="T99" i="35" s="1"/>
  <c r="Z98" i="35"/>
  <c r="Y98" i="35"/>
  <c r="U98" i="35"/>
  <c r="W98" i="35" s="1"/>
  <c r="X98" i="35" s="1"/>
  <c r="S98" i="35"/>
  <c r="T98" i="35" s="1"/>
  <c r="Z97" i="35"/>
  <c r="Y97" i="35"/>
  <c r="U97" i="35"/>
  <c r="W97" i="35" s="1"/>
  <c r="X97" i="35" s="1"/>
  <c r="S97" i="35"/>
  <c r="T97" i="35" s="1"/>
  <c r="Z96" i="35"/>
  <c r="Y96" i="35"/>
  <c r="U96" i="35"/>
  <c r="W96" i="35" s="1"/>
  <c r="X96" i="35" s="1"/>
  <c r="S96" i="35"/>
  <c r="T96" i="35" s="1"/>
  <c r="Z95" i="35"/>
  <c r="Y95" i="35"/>
  <c r="U95" i="35"/>
  <c r="W95" i="35" s="1"/>
  <c r="X95" i="35" s="1"/>
  <c r="S95" i="35"/>
  <c r="T95" i="35" s="1"/>
  <c r="Z94" i="35"/>
  <c r="Y94" i="35"/>
  <c r="U94" i="35"/>
  <c r="W94" i="35" s="1"/>
  <c r="X94" i="35" s="1"/>
  <c r="S94" i="35"/>
  <c r="T94" i="35" s="1"/>
  <c r="Z93" i="35"/>
  <c r="Y93" i="35"/>
  <c r="U93" i="35"/>
  <c r="W93" i="35" s="1"/>
  <c r="X93" i="35" s="1"/>
  <c r="S93" i="35"/>
  <c r="T93" i="35" s="1"/>
  <c r="Z92" i="35"/>
  <c r="Y92" i="35"/>
  <c r="U92" i="35"/>
  <c r="W92" i="35" s="1"/>
  <c r="X92" i="35" s="1"/>
  <c r="S92" i="35"/>
  <c r="T92" i="35" s="1"/>
  <c r="Z91" i="35"/>
  <c r="Y91" i="35"/>
  <c r="U91" i="35"/>
  <c r="W91" i="35" s="1"/>
  <c r="X91" i="35" s="1"/>
  <c r="S91" i="35"/>
  <c r="T91" i="35" s="1"/>
  <c r="Z90" i="35"/>
  <c r="Y90" i="35"/>
  <c r="U90" i="35"/>
  <c r="W90" i="35" s="1"/>
  <c r="X90" i="35" s="1"/>
  <c r="S90" i="35"/>
  <c r="T90" i="35" s="1"/>
  <c r="Z89" i="35"/>
  <c r="Y89" i="35"/>
  <c r="U89" i="35"/>
  <c r="W89" i="35" s="1"/>
  <c r="X89" i="35" s="1"/>
  <c r="S89" i="35"/>
  <c r="T89" i="35" s="1"/>
  <c r="Z88" i="35"/>
  <c r="Y88" i="35"/>
  <c r="U88" i="35"/>
  <c r="W88" i="35" s="1"/>
  <c r="X88" i="35" s="1"/>
  <c r="S88" i="35"/>
  <c r="T88" i="35" s="1"/>
  <c r="Z87" i="35"/>
  <c r="Y87" i="35"/>
  <c r="U87" i="35"/>
  <c r="W87" i="35" s="1"/>
  <c r="X87" i="35" s="1"/>
  <c r="S87" i="35"/>
  <c r="T87" i="35" s="1"/>
  <c r="Z86" i="35"/>
  <c r="Y86" i="35"/>
  <c r="U86" i="35"/>
  <c r="W86" i="35" s="1"/>
  <c r="X86" i="35" s="1"/>
  <c r="S86" i="35"/>
  <c r="T86" i="35" s="1"/>
  <c r="Z85" i="35"/>
  <c r="Y85" i="35"/>
  <c r="U85" i="35"/>
  <c r="W85" i="35" s="1"/>
  <c r="X85" i="35" s="1"/>
  <c r="S85" i="35"/>
  <c r="T85" i="35" s="1"/>
  <c r="Z84" i="35"/>
  <c r="Y84" i="35"/>
  <c r="U84" i="35"/>
  <c r="W84" i="35" s="1"/>
  <c r="X84" i="35" s="1"/>
  <c r="S84" i="35"/>
  <c r="T84" i="35" s="1"/>
  <c r="Z83" i="35"/>
  <c r="Y83" i="35"/>
  <c r="U83" i="35"/>
  <c r="W83" i="35" s="1"/>
  <c r="X83" i="35" s="1"/>
  <c r="S83" i="35"/>
  <c r="T83" i="35" s="1"/>
  <c r="Z82" i="35"/>
  <c r="Y82" i="35"/>
  <c r="U82" i="35"/>
  <c r="W82" i="35" s="1"/>
  <c r="X82" i="35" s="1"/>
  <c r="S82" i="35"/>
  <c r="T82" i="35" s="1"/>
  <c r="Z81" i="35"/>
  <c r="Y81" i="35"/>
  <c r="U81" i="35"/>
  <c r="W81" i="35" s="1"/>
  <c r="X81" i="35" s="1"/>
  <c r="S81" i="35"/>
  <c r="T81" i="35" s="1"/>
  <c r="Z80" i="35"/>
  <c r="Y80" i="35"/>
  <c r="U80" i="35"/>
  <c r="W80" i="35" s="1"/>
  <c r="X80" i="35" s="1"/>
  <c r="S80" i="35"/>
  <c r="T80" i="35" s="1"/>
  <c r="Z79" i="35"/>
  <c r="Y79" i="35"/>
  <c r="U79" i="35"/>
  <c r="W79" i="35" s="1"/>
  <c r="X79" i="35" s="1"/>
  <c r="S79" i="35"/>
  <c r="T79" i="35" s="1"/>
  <c r="Z78" i="35"/>
  <c r="Y78" i="35"/>
  <c r="U78" i="35"/>
  <c r="W78" i="35" s="1"/>
  <c r="X78" i="35" s="1"/>
  <c r="S78" i="35"/>
  <c r="T78" i="35" s="1"/>
  <c r="Z77" i="35"/>
  <c r="Y77" i="35"/>
  <c r="U77" i="35"/>
  <c r="W77" i="35" s="1"/>
  <c r="X77" i="35" s="1"/>
  <c r="S77" i="35"/>
  <c r="T77" i="35" s="1"/>
  <c r="Z76" i="35"/>
  <c r="Y76" i="35"/>
  <c r="U76" i="35"/>
  <c r="W76" i="35" s="1"/>
  <c r="X76" i="35" s="1"/>
  <c r="S76" i="35"/>
  <c r="T76" i="35" s="1"/>
  <c r="Z75" i="35"/>
  <c r="Y75" i="35"/>
  <c r="U75" i="35"/>
  <c r="W75" i="35" s="1"/>
  <c r="X75" i="35" s="1"/>
  <c r="S75" i="35"/>
  <c r="T75" i="35" s="1"/>
  <c r="Z74" i="35"/>
  <c r="Y74" i="35"/>
  <c r="U74" i="35"/>
  <c r="W74" i="35" s="1"/>
  <c r="X74" i="35" s="1"/>
  <c r="S74" i="35"/>
  <c r="T74" i="35" s="1"/>
  <c r="Z73" i="35"/>
  <c r="Y73" i="35"/>
  <c r="U73" i="35"/>
  <c r="W73" i="35" s="1"/>
  <c r="X73" i="35" s="1"/>
  <c r="S73" i="35"/>
  <c r="T73" i="35" s="1"/>
  <c r="Z72" i="35"/>
  <c r="Y72" i="35"/>
  <c r="U72" i="35"/>
  <c r="W72" i="35" s="1"/>
  <c r="X72" i="35" s="1"/>
  <c r="S72" i="35"/>
  <c r="T72" i="35" s="1"/>
  <c r="Z71" i="35"/>
  <c r="Y71" i="35"/>
  <c r="U71" i="35"/>
  <c r="W71" i="35" s="1"/>
  <c r="X71" i="35" s="1"/>
  <c r="S71" i="35"/>
  <c r="T71" i="35" s="1"/>
  <c r="Z70" i="35"/>
  <c r="Y70" i="35"/>
  <c r="U70" i="35"/>
  <c r="W70" i="35" s="1"/>
  <c r="X70" i="35" s="1"/>
  <c r="S70" i="35"/>
  <c r="T70" i="35" s="1"/>
  <c r="Z69" i="35"/>
  <c r="Y69" i="35"/>
  <c r="U69" i="35"/>
  <c r="W69" i="35" s="1"/>
  <c r="X69" i="35" s="1"/>
  <c r="S69" i="35"/>
  <c r="T69" i="35" s="1"/>
  <c r="Z68" i="35"/>
  <c r="Y68" i="35"/>
  <c r="U68" i="35"/>
  <c r="W68" i="35" s="1"/>
  <c r="X68" i="35" s="1"/>
  <c r="S68" i="35"/>
  <c r="T68" i="35" s="1"/>
  <c r="Z67" i="35"/>
  <c r="Y67" i="35"/>
  <c r="U67" i="35"/>
  <c r="W67" i="35" s="1"/>
  <c r="X67" i="35" s="1"/>
  <c r="S67" i="35"/>
  <c r="T67" i="35" s="1"/>
  <c r="Z66" i="35"/>
  <c r="Y66" i="35"/>
  <c r="U66" i="35"/>
  <c r="W66" i="35" s="1"/>
  <c r="X66" i="35" s="1"/>
  <c r="S66" i="35"/>
  <c r="T66" i="35" s="1"/>
  <c r="Z65" i="35"/>
  <c r="Y65" i="35"/>
  <c r="U65" i="35"/>
  <c r="W65" i="35" s="1"/>
  <c r="X65" i="35" s="1"/>
  <c r="S65" i="35"/>
  <c r="T65" i="35" s="1"/>
  <c r="Z64" i="35"/>
  <c r="Y64" i="35"/>
  <c r="U64" i="35"/>
  <c r="W64" i="35" s="1"/>
  <c r="X64" i="35" s="1"/>
  <c r="S64" i="35"/>
  <c r="T64" i="35" s="1"/>
  <c r="Z63" i="35"/>
  <c r="Y63" i="35"/>
  <c r="U63" i="35"/>
  <c r="W63" i="35" s="1"/>
  <c r="X63" i="35" s="1"/>
  <c r="S63" i="35"/>
  <c r="T63" i="35" s="1"/>
  <c r="Z62" i="35"/>
  <c r="Y62" i="35"/>
  <c r="U62" i="35"/>
  <c r="W62" i="35" s="1"/>
  <c r="X62" i="35" s="1"/>
  <c r="S62" i="35"/>
  <c r="T62" i="35" s="1"/>
  <c r="Z61" i="35"/>
  <c r="Y61" i="35"/>
  <c r="U61" i="35"/>
  <c r="W61" i="35" s="1"/>
  <c r="X61" i="35" s="1"/>
  <c r="S61" i="35"/>
  <c r="T61" i="35" s="1"/>
  <c r="Z60" i="35"/>
  <c r="Y60" i="35"/>
  <c r="U60" i="35"/>
  <c r="W60" i="35" s="1"/>
  <c r="X60" i="35" s="1"/>
  <c r="S60" i="35"/>
  <c r="T60" i="35" s="1"/>
  <c r="Z59" i="35"/>
  <c r="Y59" i="35"/>
  <c r="U59" i="35"/>
  <c r="W59" i="35" s="1"/>
  <c r="X59" i="35" s="1"/>
  <c r="S59" i="35"/>
  <c r="T59" i="35" s="1"/>
  <c r="Z58" i="35"/>
  <c r="Y58" i="35"/>
  <c r="U58" i="35"/>
  <c r="W58" i="35" s="1"/>
  <c r="X58" i="35" s="1"/>
  <c r="S58" i="35"/>
  <c r="T58" i="35" s="1"/>
  <c r="Z57" i="35"/>
  <c r="Y57" i="35"/>
  <c r="U57" i="35"/>
  <c r="W57" i="35" s="1"/>
  <c r="X57" i="35" s="1"/>
  <c r="S57" i="35"/>
  <c r="T57" i="35" s="1"/>
  <c r="Z56" i="35"/>
  <c r="Y56" i="35"/>
  <c r="U56" i="35"/>
  <c r="W56" i="35" s="1"/>
  <c r="X56" i="35" s="1"/>
  <c r="S56" i="35"/>
  <c r="T56" i="35" s="1"/>
  <c r="Z55" i="35"/>
  <c r="Y55" i="35"/>
  <c r="U55" i="35"/>
  <c r="W55" i="35" s="1"/>
  <c r="X55" i="35" s="1"/>
  <c r="S55" i="35"/>
  <c r="T55" i="35" s="1"/>
  <c r="Z54" i="35"/>
  <c r="Y54" i="35"/>
  <c r="U54" i="35"/>
  <c r="W54" i="35" s="1"/>
  <c r="X54" i="35" s="1"/>
  <c r="S54" i="35"/>
  <c r="T54" i="35" s="1"/>
  <c r="Z53" i="35"/>
  <c r="Y53" i="35"/>
  <c r="U53" i="35"/>
  <c r="W53" i="35" s="1"/>
  <c r="X53" i="35" s="1"/>
  <c r="S53" i="35"/>
  <c r="T53" i="35" s="1"/>
  <c r="Z52" i="35"/>
  <c r="Y52" i="35"/>
  <c r="U52" i="35"/>
  <c r="W52" i="35" s="1"/>
  <c r="X52" i="35" s="1"/>
  <c r="S52" i="35"/>
  <c r="T52" i="35" s="1"/>
  <c r="Z51" i="35"/>
  <c r="Y51" i="35"/>
  <c r="U51" i="35"/>
  <c r="W51" i="35" s="1"/>
  <c r="X51" i="35" s="1"/>
  <c r="S51" i="35"/>
  <c r="T51" i="35" s="1"/>
  <c r="Z50" i="35"/>
  <c r="Y50" i="35"/>
  <c r="U50" i="35"/>
  <c r="W50" i="35" s="1"/>
  <c r="X50" i="35" s="1"/>
  <c r="S50" i="35"/>
  <c r="T50" i="35" s="1"/>
  <c r="Z49" i="35"/>
  <c r="Y49" i="35"/>
  <c r="U49" i="35"/>
  <c r="W49" i="35" s="1"/>
  <c r="X49" i="35" s="1"/>
  <c r="S49" i="35"/>
  <c r="T49" i="35" s="1"/>
  <c r="Z48" i="35"/>
  <c r="Y48" i="35"/>
  <c r="U48" i="35"/>
  <c r="W48" i="35" s="1"/>
  <c r="X48" i="35" s="1"/>
  <c r="S48" i="35"/>
  <c r="T48" i="35" s="1"/>
  <c r="Z47" i="35"/>
  <c r="Y47" i="35"/>
  <c r="U47" i="35"/>
  <c r="W47" i="35" s="1"/>
  <c r="X47" i="35" s="1"/>
  <c r="S47" i="35"/>
  <c r="T47" i="35" s="1"/>
  <c r="Z46" i="35"/>
  <c r="Y46" i="35"/>
  <c r="U46" i="35"/>
  <c r="W46" i="35" s="1"/>
  <c r="X46" i="35" s="1"/>
  <c r="S46" i="35"/>
  <c r="T46" i="35" s="1"/>
  <c r="Z45" i="35"/>
  <c r="Y45" i="35"/>
  <c r="U45" i="35"/>
  <c r="W45" i="35" s="1"/>
  <c r="X45" i="35" s="1"/>
  <c r="S45" i="35"/>
  <c r="T45" i="35" s="1"/>
  <c r="Z44" i="35"/>
  <c r="Y44" i="35"/>
  <c r="U44" i="35"/>
  <c r="W44" i="35" s="1"/>
  <c r="X44" i="35" s="1"/>
  <c r="S44" i="35"/>
  <c r="T44" i="35" s="1"/>
  <c r="Z43" i="35"/>
  <c r="Y43" i="35"/>
  <c r="U43" i="35"/>
  <c r="W43" i="35" s="1"/>
  <c r="X43" i="35" s="1"/>
  <c r="S43" i="35"/>
  <c r="T43" i="35" s="1"/>
  <c r="Z42" i="35"/>
  <c r="Y42" i="35"/>
  <c r="U42" i="35"/>
  <c r="W42" i="35" s="1"/>
  <c r="X42" i="35" s="1"/>
  <c r="T42" i="35"/>
  <c r="R42" i="35"/>
  <c r="S42" i="35" s="1"/>
  <c r="Z41" i="35"/>
  <c r="Y41" i="35"/>
  <c r="U41" i="35"/>
  <c r="W41" i="35" s="1"/>
  <c r="X41" i="35" s="1"/>
  <c r="T41" i="35"/>
  <c r="R41" i="35"/>
  <c r="S41" i="35" s="1"/>
  <c r="Z40" i="35"/>
  <c r="Y40" i="35"/>
  <c r="U40" i="35"/>
  <c r="W40" i="35" s="1"/>
  <c r="X40" i="35" s="1"/>
  <c r="T40" i="35"/>
  <c r="R40" i="35"/>
  <c r="S40" i="35" s="1"/>
  <c r="Z39" i="35"/>
  <c r="Y39" i="35"/>
  <c r="U39" i="35"/>
  <c r="W39" i="35" s="1"/>
  <c r="X39" i="35" s="1"/>
  <c r="T39" i="35"/>
  <c r="R39" i="35"/>
  <c r="S39" i="35" s="1"/>
  <c r="Z38" i="35"/>
  <c r="Y38" i="35"/>
  <c r="U38" i="35"/>
  <c r="W38" i="35" s="1"/>
  <c r="X38" i="35" s="1"/>
  <c r="T38" i="35"/>
  <c r="R38" i="35"/>
  <c r="S38" i="35" s="1"/>
  <c r="Z37" i="35"/>
  <c r="Y37" i="35"/>
  <c r="U37" i="35"/>
  <c r="W37" i="35" s="1"/>
  <c r="X37" i="35" s="1"/>
  <c r="T37" i="35"/>
  <c r="R37" i="35"/>
  <c r="S37" i="35" s="1"/>
  <c r="Z36" i="35"/>
  <c r="Y36" i="35"/>
  <c r="U36" i="35"/>
  <c r="W36" i="35" s="1"/>
  <c r="X36" i="35" s="1"/>
  <c r="T36" i="35"/>
  <c r="R36" i="35"/>
  <c r="S36" i="35" s="1"/>
  <c r="Z35" i="35"/>
  <c r="Y35" i="35"/>
  <c r="U35" i="35"/>
  <c r="W35" i="35" s="1"/>
  <c r="X35" i="35" s="1"/>
  <c r="T35" i="35"/>
  <c r="R35" i="35"/>
  <c r="S35" i="35" s="1"/>
  <c r="Z34" i="35"/>
  <c r="Y34" i="35"/>
  <c r="U34" i="35"/>
  <c r="W34" i="35" s="1"/>
  <c r="X34" i="35" s="1"/>
  <c r="T34" i="35"/>
  <c r="R34" i="35"/>
  <c r="S34" i="35" s="1"/>
  <c r="Z28" i="35"/>
  <c r="Y28" i="35"/>
  <c r="U28" i="35"/>
  <c r="W28" i="35" s="1"/>
  <c r="X28" i="35" s="1"/>
  <c r="T28" i="35"/>
  <c r="R28" i="35"/>
  <c r="S28" i="35" s="1"/>
  <c r="Z26" i="35"/>
  <c r="Y26" i="35"/>
  <c r="U26" i="35"/>
  <c r="W26" i="35" s="1"/>
  <c r="X26" i="35" s="1"/>
  <c r="T26" i="35"/>
  <c r="R26" i="35"/>
  <c r="S26" i="35" s="1"/>
  <c r="Y27" i="35"/>
  <c r="U27" i="35"/>
  <c r="W27" i="35" s="1"/>
  <c r="X27" i="35" s="1"/>
  <c r="T27" i="35"/>
  <c r="R27" i="35"/>
  <c r="S27" i="35" s="1"/>
  <c r="Z30" i="35"/>
  <c r="Y30" i="35"/>
  <c r="U30" i="35"/>
  <c r="W30" i="35" s="1"/>
  <c r="X30" i="35" s="1"/>
  <c r="T30" i="35"/>
  <c r="R30" i="35"/>
  <c r="S30" i="35" s="1"/>
  <c r="Z25" i="35"/>
  <c r="Y25" i="35"/>
  <c r="U25" i="35"/>
  <c r="W25" i="35" s="1"/>
  <c r="X25" i="35" s="1"/>
  <c r="T25" i="35"/>
  <c r="R25" i="35"/>
  <c r="S25" i="35" s="1"/>
  <c r="Z29" i="35"/>
  <c r="Y29" i="35"/>
  <c r="U29" i="35"/>
  <c r="W29" i="35" s="1"/>
  <c r="X29" i="35" s="1"/>
  <c r="T29" i="35"/>
  <c r="R29" i="35"/>
  <c r="S29" i="35" s="1"/>
  <c r="Z24" i="35"/>
  <c r="Y24" i="35"/>
  <c r="U24" i="35"/>
  <c r="W24" i="35" s="1"/>
  <c r="X24" i="35" s="1"/>
  <c r="T24" i="35"/>
  <c r="R24" i="35"/>
  <c r="S24" i="35" s="1"/>
  <c r="Z12" i="35"/>
  <c r="Y12" i="35"/>
  <c r="U12" i="35"/>
  <c r="W12" i="35" s="1"/>
  <c r="X12" i="35" s="1"/>
  <c r="T12" i="35"/>
  <c r="R12" i="35"/>
  <c r="S12" i="35" s="1"/>
  <c r="Z9" i="35"/>
  <c r="Y9" i="35"/>
  <c r="U9" i="35"/>
  <c r="W9" i="35" s="1"/>
  <c r="X9" i="35" s="1"/>
  <c r="T9" i="35"/>
  <c r="R9" i="35"/>
  <c r="S9" i="35" s="1"/>
  <c r="Z8" i="35"/>
  <c r="Y8" i="35"/>
  <c r="U8" i="35"/>
  <c r="W8" i="35" s="1"/>
  <c r="X8" i="35" s="1"/>
  <c r="T8" i="35"/>
  <c r="R8" i="35"/>
  <c r="S8" i="35" s="1"/>
  <c r="Z2" i="35"/>
  <c r="Y2" i="35"/>
  <c r="U2" i="35"/>
  <c r="W2" i="35" s="1"/>
  <c r="X2" i="35" s="1"/>
  <c r="T2" i="35"/>
  <c r="R2" i="35"/>
  <c r="S2" i="35" s="1"/>
  <c r="Z11" i="35"/>
  <c r="Y11" i="35"/>
  <c r="U11" i="35"/>
  <c r="W11" i="35" s="1"/>
  <c r="X11" i="35" s="1"/>
  <c r="T11" i="35"/>
  <c r="R11" i="35"/>
  <c r="S11" i="35" s="1"/>
  <c r="Z4" i="35"/>
  <c r="Y4" i="35"/>
  <c r="U4" i="35"/>
  <c r="W4" i="35" s="1"/>
  <c r="X4" i="35" s="1"/>
  <c r="T4" i="35"/>
  <c r="R4" i="35"/>
  <c r="S4" i="35" s="1"/>
  <c r="Z14" i="35"/>
  <c r="Y14" i="35"/>
  <c r="U14" i="35"/>
  <c r="W14" i="35" s="1"/>
  <c r="X14" i="35" s="1"/>
  <c r="T14" i="35"/>
  <c r="R14" i="35"/>
  <c r="S14" i="35" s="1"/>
  <c r="Z15" i="35"/>
  <c r="Y15" i="35"/>
  <c r="U15" i="35"/>
  <c r="W15" i="35" s="1"/>
  <c r="X15" i="35" s="1"/>
  <c r="T15" i="35"/>
  <c r="R15" i="35"/>
  <c r="S15" i="35" s="1"/>
  <c r="Z13" i="35"/>
  <c r="Y13" i="35"/>
  <c r="U13" i="35"/>
  <c r="W13" i="35" s="1"/>
  <c r="X13" i="35" s="1"/>
  <c r="T13" i="35"/>
  <c r="R13" i="35"/>
  <c r="S13" i="35" s="1"/>
  <c r="Z5" i="35"/>
  <c r="Y5" i="35"/>
  <c r="U5" i="35"/>
  <c r="W5" i="35" s="1"/>
  <c r="X5" i="35" s="1"/>
  <c r="T5" i="35"/>
  <c r="R5" i="35"/>
  <c r="S5" i="35" s="1"/>
  <c r="Z7" i="35"/>
  <c r="Y7" i="35"/>
  <c r="U7" i="35"/>
  <c r="W7" i="35" s="1"/>
  <c r="X7" i="35" s="1"/>
  <c r="T7" i="35"/>
  <c r="R7" i="35"/>
  <c r="S7" i="35" s="1"/>
  <c r="Z10" i="35"/>
  <c r="Y10" i="35"/>
  <c r="U10" i="35"/>
  <c r="W10" i="35" s="1"/>
  <c r="X10" i="35" s="1"/>
  <c r="T10" i="35"/>
  <c r="R10" i="35"/>
  <c r="S10" i="35" s="1"/>
  <c r="Z3" i="35"/>
  <c r="Y3" i="35"/>
  <c r="U3" i="35"/>
  <c r="W3" i="35" s="1"/>
  <c r="X3" i="35" s="1"/>
  <c r="T3" i="35"/>
  <c r="R3" i="35"/>
  <c r="S3" i="35" s="1"/>
  <c r="Z6" i="35"/>
  <c r="Y6" i="35"/>
  <c r="U6" i="35"/>
  <c r="W6" i="35" s="1"/>
  <c r="X6" i="35" s="1"/>
  <c r="T6" i="35"/>
  <c r="R6" i="35"/>
  <c r="S6" i="35" s="1"/>
  <c r="Z19" i="35"/>
  <c r="Y19" i="35"/>
  <c r="U19" i="35"/>
  <c r="W19" i="35" s="1"/>
  <c r="X19" i="35" s="1"/>
  <c r="T19" i="35"/>
  <c r="R19" i="35"/>
  <c r="S19" i="35" s="1"/>
  <c r="Z18" i="35"/>
  <c r="Y18" i="35"/>
  <c r="U18" i="35"/>
  <c r="W18" i="35" s="1"/>
  <c r="X18" i="35" s="1"/>
  <c r="T18" i="35"/>
  <c r="R18" i="35"/>
  <c r="S18" i="35" s="1"/>
  <c r="Z17" i="35"/>
  <c r="Y17" i="35"/>
  <c r="U17" i="35"/>
  <c r="W17" i="35" s="1"/>
  <c r="X17" i="35" s="1"/>
  <c r="T17" i="35"/>
  <c r="R17" i="35"/>
  <c r="S17" i="35" s="1"/>
  <c r="Z20" i="35"/>
  <c r="Y20" i="35"/>
  <c r="U20" i="35"/>
  <c r="W20" i="35" s="1"/>
  <c r="X20" i="35" s="1"/>
  <c r="T20" i="35"/>
  <c r="R20" i="35"/>
  <c r="S20" i="35" s="1"/>
  <c r="Z23" i="35"/>
  <c r="Y23" i="35"/>
  <c r="U23" i="35"/>
  <c r="W23" i="35" s="1"/>
  <c r="X23" i="35" s="1"/>
  <c r="T23" i="35"/>
  <c r="R23" i="35"/>
  <c r="S23" i="35" s="1"/>
  <c r="Z21" i="35"/>
  <c r="Y21" i="35"/>
  <c r="U21" i="35"/>
  <c r="W21" i="35" s="1"/>
  <c r="X21" i="35" s="1"/>
  <c r="T21" i="35"/>
  <c r="R21" i="35"/>
  <c r="S21" i="35" s="1"/>
  <c r="Z33" i="35"/>
  <c r="Y33" i="35"/>
  <c r="U33" i="35"/>
  <c r="W33" i="35" s="1"/>
  <c r="X33" i="35" s="1"/>
  <c r="T33" i="35"/>
  <c r="R33" i="35"/>
  <c r="S33" i="35" s="1"/>
  <c r="Z16" i="35"/>
  <c r="Y16" i="35"/>
  <c r="U16" i="35"/>
  <c r="W16" i="35" s="1"/>
  <c r="X16" i="35" s="1"/>
  <c r="T16" i="35"/>
  <c r="R16" i="35"/>
  <c r="S16" i="35" s="1"/>
  <c r="Z32" i="35"/>
  <c r="Y32" i="35"/>
  <c r="U32" i="35"/>
  <c r="W32" i="35" s="1"/>
  <c r="X32" i="35" s="1"/>
  <c r="T32" i="35"/>
  <c r="R32" i="35"/>
  <c r="S32" i="35" s="1"/>
  <c r="Z31" i="35"/>
  <c r="Y31" i="35"/>
  <c r="U31" i="35"/>
  <c r="W31" i="35" s="1"/>
  <c r="X31" i="35" s="1"/>
  <c r="T31" i="35"/>
  <c r="R31" i="35"/>
  <c r="S31" i="35" s="1"/>
  <c r="Z22" i="35"/>
  <c r="Y22" i="35"/>
  <c r="U22" i="35"/>
  <c r="W22" i="35" s="1"/>
  <c r="X22" i="35" s="1"/>
  <c r="T22" i="35"/>
  <c r="R22" i="35"/>
  <c r="S22" i="35" s="1"/>
  <c r="L1409" i="34"/>
  <c r="G1409" i="34"/>
  <c r="D1409" i="34"/>
  <c r="L1408" i="34"/>
  <c r="G1408" i="34"/>
  <c r="D1408" i="34"/>
  <c r="L1407" i="34"/>
  <c r="G1407" i="34"/>
  <c r="D1407" i="34"/>
  <c r="L1406" i="34"/>
  <c r="G1406" i="34"/>
  <c r="D1406" i="34"/>
  <c r="L1405" i="34"/>
  <c r="G1405" i="34"/>
  <c r="D1405" i="34"/>
  <c r="L1404" i="34"/>
  <c r="G1404" i="34"/>
  <c r="D1404" i="34"/>
  <c r="L1403" i="34"/>
  <c r="G1403" i="34"/>
  <c r="D1403" i="34"/>
  <c r="L1402" i="34"/>
  <c r="G1402" i="34"/>
  <c r="D1402" i="34"/>
  <c r="L1401" i="34"/>
  <c r="G1401" i="34"/>
  <c r="D1401" i="34"/>
  <c r="L1400" i="34"/>
  <c r="G1400" i="34"/>
  <c r="D1400" i="34"/>
  <c r="L1399" i="34"/>
  <c r="G1399" i="34"/>
  <c r="D1399" i="34"/>
  <c r="L1398" i="34"/>
  <c r="G1398" i="34"/>
  <c r="D1398" i="34"/>
  <c r="L1397" i="34"/>
  <c r="G1397" i="34"/>
  <c r="D1397" i="34"/>
  <c r="L1396" i="34"/>
  <c r="G1396" i="34"/>
  <c r="D1396" i="34"/>
  <c r="L1395" i="34"/>
  <c r="G1395" i="34"/>
  <c r="D1395" i="34"/>
  <c r="L1394" i="34"/>
  <c r="G1394" i="34"/>
  <c r="D1394" i="34"/>
  <c r="L1393" i="34"/>
  <c r="G1393" i="34"/>
  <c r="D1393" i="34"/>
  <c r="L1392" i="34"/>
  <c r="G1392" i="34"/>
  <c r="D1392" i="34"/>
  <c r="L1391" i="34"/>
  <c r="G1391" i="34"/>
  <c r="D1391" i="34"/>
  <c r="L1390" i="34"/>
  <c r="G1390" i="34"/>
  <c r="D1390" i="34"/>
  <c r="L1389" i="34"/>
  <c r="G1389" i="34"/>
  <c r="D1389" i="34"/>
  <c r="L1388" i="34"/>
  <c r="G1388" i="34"/>
  <c r="D1388" i="34"/>
  <c r="L1387" i="34"/>
  <c r="G1387" i="34"/>
  <c r="D1387" i="34"/>
  <c r="L1386" i="34"/>
  <c r="G1386" i="34"/>
  <c r="D1386" i="34"/>
  <c r="L1385" i="34"/>
  <c r="G1385" i="34"/>
  <c r="D1385" i="34"/>
  <c r="L1384" i="34"/>
  <c r="G1384" i="34"/>
  <c r="D1384" i="34"/>
  <c r="L1383" i="34"/>
  <c r="G1383" i="34"/>
  <c r="D1383" i="34"/>
  <c r="L1382" i="34"/>
  <c r="G1382" i="34"/>
  <c r="D1382" i="34"/>
  <c r="L1381" i="34"/>
  <c r="G1381" i="34"/>
  <c r="D1381" i="34"/>
  <c r="L1380" i="34"/>
  <c r="G1380" i="34"/>
  <c r="D1380" i="34"/>
  <c r="L1379" i="34"/>
  <c r="G1379" i="34"/>
  <c r="D1379" i="34"/>
  <c r="L1378" i="34"/>
  <c r="G1378" i="34"/>
  <c r="D1378" i="34"/>
  <c r="L1377" i="34"/>
  <c r="G1377" i="34"/>
  <c r="D1377" i="34"/>
  <c r="L1376" i="34"/>
  <c r="G1376" i="34"/>
  <c r="D1376" i="34"/>
  <c r="L1375" i="34"/>
  <c r="G1375" i="34"/>
  <c r="D1375" i="34"/>
  <c r="L1374" i="34"/>
  <c r="G1374" i="34"/>
  <c r="D1374" i="34"/>
  <c r="L1373" i="34"/>
  <c r="G1373" i="34"/>
  <c r="D1373" i="34"/>
  <c r="L1372" i="34"/>
  <c r="G1372" i="34"/>
  <c r="D1372" i="34"/>
  <c r="L1371" i="34"/>
  <c r="G1371" i="34"/>
  <c r="D1371" i="34"/>
  <c r="L1370" i="34"/>
  <c r="G1370" i="34"/>
  <c r="D1370" i="34"/>
  <c r="L1369" i="34"/>
  <c r="G1369" i="34"/>
  <c r="D1369" i="34"/>
  <c r="L1368" i="34"/>
  <c r="G1368" i="34"/>
  <c r="D1368" i="34"/>
  <c r="L1367" i="34"/>
  <c r="G1367" i="34"/>
  <c r="D1367" i="34"/>
  <c r="L1366" i="34"/>
  <c r="G1366" i="34"/>
  <c r="D1366" i="34"/>
  <c r="L1365" i="34"/>
  <c r="G1365" i="34"/>
  <c r="D1365" i="34"/>
  <c r="L1364" i="34"/>
  <c r="G1364" i="34"/>
  <c r="D1364" i="34"/>
  <c r="L1363" i="34"/>
  <c r="G1363" i="34"/>
  <c r="D1363" i="34"/>
  <c r="L1362" i="34"/>
  <c r="G1362" i="34"/>
  <c r="D1362" i="34"/>
  <c r="L1361" i="34"/>
  <c r="G1361" i="34"/>
  <c r="D1361" i="34"/>
  <c r="L1360" i="34"/>
  <c r="G1360" i="34"/>
  <c r="D1360" i="34"/>
  <c r="L1359" i="34"/>
  <c r="G1359" i="34"/>
  <c r="D1359" i="34"/>
  <c r="L1358" i="34"/>
  <c r="G1358" i="34"/>
  <c r="D1358" i="34"/>
  <c r="L1357" i="34"/>
  <c r="G1357" i="34"/>
  <c r="D1357" i="34"/>
  <c r="L1356" i="34"/>
  <c r="G1356" i="34"/>
  <c r="D1356" i="34"/>
  <c r="L1355" i="34"/>
  <c r="G1355" i="34"/>
  <c r="D1355" i="34"/>
  <c r="L1354" i="34"/>
  <c r="G1354" i="34"/>
  <c r="D1354" i="34"/>
  <c r="L1353" i="34"/>
  <c r="G1353" i="34"/>
  <c r="D1353" i="34"/>
  <c r="L1352" i="34"/>
  <c r="G1352" i="34"/>
  <c r="D1352" i="34"/>
  <c r="L1351" i="34"/>
  <c r="G1351" i="34"/>
  <c r="D1351" i="34"/>
  <c r="L1350" i="34"/>
  <c r="G1350" i="34"/>
  <c r="D1350" i="34"/>
  <c r="L1349" i="34"/>
  <c r="G1349" i="34"/>
  <c r="D1349" i="34"/>
  <c r="L1348" i="34"/>
  <c r="G1348" i="34"/>
  <c r="D1348" i="34"/>
  <c r="L1347" i="34"/>
  <c r="G1347" i="34"/>
  <c r="D1347" i="34"/>
  <c r="L1346" i="34"/>
  <c r="G1346" i="34"/>
  <c r="D1346" i="34"/>
  <c r="L1345" i="34"/>
  <c r="G1345" i="34"/>
  <c r="D1345" i="34"/>
  <c r="L1344" i="34"/>
  <c r="G1344" i="34"/>
  <c r="D1344" i="34"/>
  <c r="L1343" i="34"/>
  <c r="G1343" i="34"/>
  <c r="D1343" i="34"/>
  <c r="L1342" i="34"/>
  <c r="G1342" i="34"/>
  <c r="D1342" i="34"/>
  <c r="L1341" i="34"/>
  <c r="G1341" i="34"/>
  <c r="D1341" i="34"/>
  <c r="L1340" i="34"/>
  <c r="G1340" i="34"/>
  <c r="D1340" i="34"/>
  <c r="L1339" i="34"/>
  <c r="G1339" i="34"/>
  <c r="D1339" i="34"/>
  <c r="L1338" i="34"/>
  <c r="G1338" i="34"/>
  <c r="D1338" i="34"/>
  <c r="L1337" i="34"/>
  <c r="G1337" i="34"/>
  <c r="D1337" i="34"/>
  <c r="L1336" i="34"/>
  <c r="G1336" i="34"/>
  <c r="D1336" i="34"/>
  <c r="L1335" i="34"/>
  <c r="G1335" i="34"/>
  <c r="D1335" i="34"/>
  <c r="L1334" i="34"/>
  <c r="G1334" i="34"/>
  <c r="D1334" i="34"/>
  <c r="L1333" i="34"/>
  <c r="G1333" i="34"/>
  <c r="D1333" i="34"/>
  <c r="L1332" i="34"/>
  <c r="G1332" i="34"/>
  <c r="D1332" i="34"/>
  <c r="L1331" i="34"/>
  <c r="G1331" i="34"/>
  <c r="D1331" i="34"/>
  <c r="L1330" i="34"/>
  <c r="G1330" i="34"/>
  <c r="D1330" i="34"/>
  <c r="L1329" i="34"/>
  <c r="G1329" i="34"/>
  <c r="D1329" i="34"/>
  <c r="L1328" i="34"/>
  <c r="G1328" i="34"/>
  <c r="D1328" i="34"/>
  <c r="L1327" i="34"/>
  <c r="G1327" i="34"/>
  <c r="D1327" i="34"/>
  <c r="L1326" i="34"/>
  <c r="G1326" i="34"/>
  <c r="D1326" i="34"/>
  <c r="L1325" i="34"/>
  <c r="G1325" i="34"/>
  <c r="D1325" i="34"/>
  <c r="L1324" i="34"/>
  <c r="G1324" i="34"/>
  <c r="D1324" i="34"/>
  <c r="L1323" i="34"/>
  <c r="G1323" i="34"/>
  <c r="D1323" i="34"/>
  <c r="L1322" i="34"/>
  <c r="G1322" i="34"/>
  <c r="D1322" i="34"/>
  <c r="L1321" i="34"/>
  <c r="G1321" i="34"/>
  <c r="D1321" i="34"/>
  <c r="L1320" i="34"/>
  <c r="G1320" i="34"/>
  <c r="D1320" i="34"/>
  <c r="L1319" i="34"/>
  <c r="G1319" i="34"/>
  <c r="D1319" i="34"/>
  <c r="L1318" i="34"/>
  <c r="G1318" i="34"/>
  <c r="D1318" i="34"/>
  <c r="L1317" i="34"/>
  <c r="G1317" i="34"/>
  <c r="D1317" i="34"/>
  <c r="L1316" i="34"/>
  <c r="G1316" i="34"/>
  <c r="D1316" i="34"/>
  <c r="L1315" i="34"/>
  <c r="G1315" i="34"/>
  <c r="D1315" i="34"/>
  <c r="L1314" i="34"/>
  <c r="G1314" i="34"/>
  <c r="D1314" i="34"/>
  <c r="L1313" i="34"/>
  <c r="G1313" i="34"/>
  <c r="D1313" i="34"/>
  <c r="L1312" i="34"/>
  <c r="G1312" i="34"/>
  <c r="D1312" i="34"/>
  <c r="L1311" i="34"/>
  <c r="G1311" i="34"/>
  <c r="D1311" i="34"/>
  <c r="L1310" i="34"/>
  <c r="G1310" i="34"/>
  <c r="D1310" i="34"/>
  <c r="L1309" i="34"/>
  <c r="G1309" i="34"/>
  <c r="D1309" i="34"/>
  <c r="L1308" i="34"/>
  <c r="G1308" i="34"/>
  <c r="D1308" i="34"/>
  <c r="L1307" i="34"/>
  <c r="G1307" i="34"/>
  <c r="D1307" i="34"/>
  <c r="L1306" i="34"/>
  <c r="G1306" i="34"/>
  <c r="D1306" i="34"/>
  <c r="L1305" i="34"/>
  <c r="G1305" i="34"/>
  <c r="D1305" i="34"/>
  <c r="L1304" i="34"/>
  <c r="G1304" i="34"/>
  <c r="D1304" i="34"/>
  <c r="L1303" i="34"/>
  <c r="G1303" i="34"/>
  <c r="D1303" i="34"/>
  <c r="L1302" i="34"/>
  <c r="G1302" i="34"/>
  <c r="D1302" i="34"/>
  <c r="L1301" i="34"/>
  <c r="G1301" i="34"/>
  <c r="D1301" i="34"/>
  <c r="L1300" i="34"/>
  <c r="G1300" i="34"/>
  <c r="D1300" i="34"/>
  <c r="L1299" i="34"/>
  <c r="G1299" i="34"/>
  <c r="D1299" i="34"/>
  <c r="L1298" i="34"/>
  <c r="G1298" i="34"/>
  <c r="D1298" i="34"/>
  <c r="L1297" i="34"/>
  <c r="G1297" i="34"/>
  <c r="D1297" i="34"/>
  <c r="L1296" i="34"/>
  <c r="G1296" i="34"/>
  <c r="D1296" i="34"/>
  <c r="L1295" i="34"/>
  <c r="G1295" i="34"/>
  <c r="D1295" i="34"/>
  <c r="L1294" i="34"/>
  <c r="G1294" i="34"/>
  <c r="D1294" i="34"/>
  <c r="L1293" i="34"/>
  <c r="G1293" i="34"/>
  <c r="D1293" i="34"/>
  <c r="L1292" i="34"/>
  <c r="G1292" i="34"/>
  <c r="D1292" i="34"/>
  <c r="L1291" i="34"/>
  <c r="G1291" i="34"/>
  <c r="D1291" i="34"/>
  <c r="L1290" i="34"/>
  <c r="G1290" i="34"/>
  <c r="D1290" i="34"/>
  <c r="L1289" i="34"/>
  <c r="G1289" i="34"/>
  <c r="D1289" i="34"/>
  <c r="L1288" i="34"/>
  <c r="G1288" i="34"/>
  <c r="D1288" i="34"/>
  <c r="L1287" i="34"/>
  <c r="G1287" i="34"/>
  <c r="D1287" i="34"/>
  <c r="L1286" i="34"/>
  <c r="G1286" i="34"/>
  <c r="D1286" i="34"/>
  <c r="L1285" i="34"/>
  <c r="G1285" i="34"/>
  <c r="D1285" i="34"/>
  <c r="L1284" i="34"/>
  <c r="G1284" i="34"/>
  <c r="D1284" i="34"/>
  <c r="L1283" i="34"/>
  <c r="G1283" i="34"/>
  <c r="D1283" i="34"/>
  <c r="L1282" i="34"/>
  <c r="G1282" i="34"/>
  <c r="D1282" i="34"/>
  <c r="L1281" i="34"/>
  <c r="G1281" i="34"/>
  <c r="D1281" i="34"/>
  <c r="L1280" i="34"/>
  <c r="G1280" i="34"/>
  <c r="D1280" i="34"/>
  <c r="L1279" i="34"/>
  <c r="G1279" i="34"/>
  <c r="D1279" i="34"/>
  <c r="L1278" i="34"/>
  <c r="G1278" i="34"/>
  <c r="D1278" i="34"/>
  <c r="L1277" i="34"/>
  <c r="G1277" i="34"/>
  <c r="D1277" i="34"/>
  <c r="L1276" i="34"/>
  <c r="G1276" i="34"/>
  <c r="D1276" i="34"/>
  <c r="L1275" i="34"/>
  <c r="G1275" i="34"/>
  <c r="D1275" i="34"/>
  <c r="L1274" i="34"/>
  <c r="G1274" i="34"/>
  <c r="D1274" i="34"/>
  <c r="L1273" i="34"/>
  <c r="G1273" i="34"/>
  <c r="D1273" i="34"/>
  <c r="L1272" i="34"/>
  <c r="G1272" i="34"/>
  <c r="D1272" i="34"/>
  <c r="L1271" i="34"/>
  <c r="G1271" i="34"/>
  <c r="D1271" i="34"/>
  <c r="L1270" i="34"/>
  <c r="G1270" i="34"/>
  <c r="D1270" i="34"/>
  <c r="L1269" i="34"/>
  <c r="G1269" i="34"/>
  <c r="D1269" i="34"/>
  <c r="L1268" i="34"/>
  <c r="G1268" i="34"/>
  <c r="D1268" i="34"/>
  <c r="L1267" i="34"/>
  <c r="G1267" i="34"/>
  <c r="D1267" i="34"/>
  <c r="L1266" i="34"/>
  <c r="G1266" i="34"/>
  <c r="D1266" i="34"/>
  <c r="L1265" i="34"/>
  <c r="G1265" i="34"/>
  <c r="D1265" i="34"/>
  <c r="L1264" i="34"/>
  <c r="G1264" i="34"/>
  <c r="D1264" i="34"/>
  <c r="L1263" i="34"/>
  <c r="G1263" i="34"/>
  <c r="D1263" i="34"/>
  <c r="L1262" i="34"/>
  <c r="G1262" i="34"/>
  <c r="D1262" i="34"/>
  <c r="L1261" i="34"/>
  <c r="G1261" i="34"/>
  <c r="D1261" i="34"/>
  <c r="L1260" i="34"/>
  <c r="G1260" i="34"/>
  <c r="D1260" i="34"/>
  <c r="L1259" i="34"/>
  <c r="G1259" i="34"/>
  <c r="D1259" i="34"/>
  <c r="L1258" i="34"/>
  <c r="G1258" i="34"/>
  <c r="D1258" i="34"/>
  <c r="L1257" i="34"/>
  <c r="G1257" i="34"/>
  <c r="D1257" i="34"/>
  <c r="L1256" i="34"/>
  <c r="G1256" i="34"/>
  <c r="D1256" i="34"/>
  <c r="L1255" i="34"/>
  <c r="G1255" i="34"/>
  <c r="D1255" i="34"/>
  <c r="L1254" i="34"/>
  <c r="G1254" i="34"/>
  <c r="D1254" i="34"/>
  <c r="L1253" i="34"/>
  <c r="G1253" i="34"/>
  <c r="D1253" i="34"/>
  <c r="L1252" i="34"/>
  <c r="G1252" i="34"/>
  <c r="D1252" i="34"/>
  <c r="L1251" i="34"/>
  <c r="G1251" i="34"/>
  <c r="D1251" i="34"/>
  <c r="L1250" i="34"/>
  <c r="G1250" i="34"/>
  <c r="D1250" i="34"/>
  <c r="L1249" i="34"/>
  <c r="G1249" i="34"/>
  <c r="D1249" i="34"/>
  <c r="L1248" i="34"/>
  <c r="G1248" i="34"/>
  <c r="D1248" i="34"/>
  <c r="L1247" i="34"/>
  <c r="G1247" i="34"/>
  <c r="D1247" i="34"/>
  <c r="L1246" i="34"/>
  <c r="G1246" i="34"/>
  <c r="D1246" i="34"/>
  <c r="L1245" i="34"/>
  <c r="G1245" i="34"/>
  <c r="D1245" i="34"/>
  <c r="L1244" i="34"/>
  <c r="G1244" i="34"/>
  <c r="D1244" i="34"/>
  <c r="L1243" i="34"/>
  <c r="G1243" i="34"/>
  <c r="D1243" i="34"/>
  <c r="L1242" i="34"/>
  <c r="G1242" i="34"/>
  <c r="D1242" i="34"/>
  <c r="L1241" i="34"/>
  <c r="G1241" i="34"/>
  <c r="D1241" i="34"/>
  <c r="L1240" i="34"/>
  <c r="G1240" i="34"/>
  <c r="D1240" i="34"/>
  <c r="L1239" i="34"/>
  <c r="G1239" i="34"/>
  <c r="D1239" i="34"/>
  <c r="L1238" i="34"/>
  <c r="G1238" i="34"/>
  <c r="D1238" i="34"/>
  <c r="L1237" i="34"/>
  <c r="G1237" i="34"/>
  <c r="D1237" i="34"/>
  <c r="L1236" i="34"/>
  <c r="G1236" i="34"/>
  <c r="D1236" i="34"/>
  <c r="L1235" i="34"/>
  <c r="G1235" i="34"/>
  <c r="D1235" i="34"/>
  <c r="L1234" i="34"/>
  <c r="G1234" i="34"/>
  <c r="D1234" i="34"/>
  <c r="L1233" i="34"/>
  <c r="G1233" i="34"/>
  <c r="D1233" i="34"/>
  <c r="L1232" i="34"/>
  <c r="G1232" i="34"/>
  <c r="D1232" i="34"/>
  <c r="L1231" i="34"/>
  <c r="G1231" i="34"/>
  <c r="D1231" i="34"/>
  <c r="L1230" i="34"/>
  <c r="G1230" i="34"/>
  <c r="D1230" i="34"/>
  <c r="L1229" i="34"/>
  <c r="G1229" i="34"/>
  <c r="D1229" i="34"/>
  <c r="L1228" i="34"/>
  <c r="G1228" i="34"/>
  <c r="D1228" i="34"/>
  <c r="L1227" i="34"/>
  <c r="G1227" i="34"/>
  <c r="D1227" i="34"/>
  <c r="L1226" i="34"/>
  <c r="G1226" i="34"/>
  <c r="D1226" i="34"/>
  <c r="L1225" i="34"/>
  <c r="G1225" i="34"/>
  <c r="D1225" i="34"/>
  <c r="L1224" i="34"/>
  <c r="G1224" i="34"/>
  <c r="D1224" i="34"/>
  <c r="L1223" i="34"/>
  <c r="G1223" i="34"/>
  <c r="D1223" i="34"/>
  <c r="L1222" i="34"/>
  <c r="G1222" i="34"/>
  <c r="D1222" i="34"/>
  <c r="L1221" i="34"/>
  <c r="G1221" i="34"/>
  <c r="D1221" i="34"/>
  <c r="L1220" i="34"/>
  <c r="G1220" i="34"/>
  <c r="D1220" i="34"/>
  <c r="L1219" i="34"/>
  <c r="G1219" i="34"/>
  <c r="D1219" i="34"/>
  <c r="L1218" i="34"/>
  <c r="G1218" i="34"/>
  <c r="D1218" i="34"/>
  <c r="L1217" i="34"/>
  <c r="G1217" i="34"/>
  <c r="D1217" i="34"/>
  <c r="L1216" i="34"/>
  <c r="G1216" i="34"/>
  <c r="D1216" i="34"/>
  <c r="L1215" i="34"/>
  <c r="G1215" i="34"/>
  <c r="D1215" i="34"/>
  <c r="L1214" i="34"/>
  <c r="G1214" i="34"/>
  <c r="D1214" i="34"/>
  <c r="L1213" i="34"/>
  <c r="G1213" i="34"/>
  <c r="D1213" i="34"/>
  <c r="L1212" i="34"/>
  <c r="G1212" i="34"/>
  <c r="D1212" i="34"/>
  <c r="L1211" i="34"/>
  <c r="G1211" i="34"/>
  <c r="D1211" i="34"/>
  <c r="L1210" i="34"/>
  <c r="G1210" i="34"/>
  <c r="D1210" i="34"/>
  <c r="L1209" i="34"/>
  <c r="G1209" i="34"/>
  <c r="D1209" i="34"/>
  <c r="L1208" i="34"/>
  <c r="G1208" i="34"/>
  <c r="D1208" i="34"/>
  <c r="L1207" i="34"/>
  <c r="G1207" i="34"/>
  <c r="D1207" i="34"/>
  <c r="L1206" i="34"/>
  <c r="G1206" i="34"/>
  <c r="D1206" i="34"/>
  <c r="L1205" i="34"/>
  <c r="G1205" i="34"/>
  <c r="D1205" i="34"/>
  <c r="L1204" i="34"/>
  <c r="G1204" i="34"/>
  <c r="D1204" i="34"/>
  <c r="L1203" i="34"/>
  <c r="G1203" i="34"/>
  <c r="D1203" i="34"/>
  <c r="L1202" i="34"/>
  <c r="G1202" i="34"/>
  <c r="D1202" i="34"/>
  <c r="L1201" i="34"/>
  <c r="G1201" i="34"/>
  <c r="D1201" i="34"/>
  <c r="L1200" i="34"/>
  <c r="G1200" i="34"/>
  <c r="D1200" i="34"/>
  <c r="L1199" i="34"/>
  <c r="G1199" i="34"/>
  <c r="D1199" i="34"/>
  <c r="L1198" i="34"/>
  <c r="G1198" i="34"/>
  <c r="D1198" i="34"/>
  <c r="L1197" i="34"/>
  <c r="G1197" i="34"/>
  <c r="D1197" i="34"/>
  <c r="L1196" i="34"/>
  <c r="G1196" i="34"/>
  <c r="D1196" i="34"/>
  <c r="L1195" i="34"/>
  <c r="G1195" i="34"/>
  <c r="D1195" i="34"/>
  <c r="L1194" i="34"/>
  <c r="G1194" i="34"/>
  <c r="D1194" i="34"/>
  <c r="L1193" i="34"/>
  <c r="G1193" i="34"/>
  <c r="D1193" i="34"/>
  <c r="L1192" i="34"/>
  <c r="G1192" i="34"/>
  <c r="D1192" i="34"/>
  <c r="L1191" i="34"/>
  <c r="G1191" i="34"/>
  <c r="D1191" i="34"/>
  <c r="L1190" i="34"/>
  <c r="G1190" i="34"/>
  <c r="D1190" i="34"/>
  <c r="L1189" i="34"/>
  <c r="G1189" i="34"/>
  <c r="D1189" i="34"/>
  <c r="L1188" i="34"/>
  <c r="G1188" i="34"/>
  <c r="D1188" i="34"/>
  <c r="L1187" i="34"/>
  <c r="G1187" i="34"/>
  <c r="D1187" i="34"/>
  <c r="L1186" i="34"/>
  <c r="G1186" i="34"/>
  <c r="D1186" i="34"/>
  <c r="L1185" i="34"/>
  <c r="G1185" i="34"/>
  <c r="D1185" i="34"/>
  <c r="L1184" i="34"/>
  <c r="G1184" i="34"/>
  <c r="D1184" i="34"/>
  <c r="L1183" i="34"/>
  <c r="G1183" i="34"/>
  <c r="D1183" i="34"/>
  <c r="L1182" i="34"/>
  <c r="G1182" i="34"/>
  <c r="D1182" i="34"/>
  <c r="L1181" i="34"/>
  <c r="G1181" i="34"/>
  <c r="D1181" i="34"/>
  <c r="L1180" i="34"/>
  <c r="G1180" i="34"/>
  <c r="D1180" i="34"/>
  <c r="L1179" i="34"/>
  <c r="G1179" i="34"/>
  <c r="D1179" i="34"/>
  <c r="L1178" i="34"/>
  <c r="G1178" i="34"/>
  <c r="D1178" i="34"/>
  <c r="L1177" i="34"/>
  <c r="G1177" i="34"/>
  <c r="D1177" i="34"/>
  <c r="L1176" i="34"/>
  <c r="G1176" i="34"/>
  <c r="D1176" i="34"/>
  <c r="L1175" i="34"/>
  <c r="G1175" i="34"/>
  <c r="D1175" i="34"/>
  <c r="L1174" i="34"/>
  <c r="G1174" i="34"/>
  <c r="D1174" i="34"/>
  <c r="L1173" i="34"/>
  <c r="G1173" i="34"/>
  <c r="D1173" i="34"/>
  <c r="L1172" i="34"/>
  <c r="G1172" i="34"/>
  <c r="D1172" i="34"/>
  <c r="L1171" i="34"/>
  <c r="G1171" i="34"/>
  <c r="D1171" i="34"/>
  <c r="L1170" i="34"/>
  <c r="G1170" i="34"/>
  <c r="D1170" i="34"/>
  <c r="L1169" i="34"/>
  <c r="G1169" i="34"/>
  <c r="D1169" i="34"/>
  <c r="L1168" i="34"/>
  <c r="G1168" i="34"/>
  <c r="D1168" i="34"/>
  <c r="L1167" i="34"/>
  <c r="G1167" i="34"/>
  <c r="D1167" i="34"/>
  <c r="L1166" i="34"/>
  <c r="G1166" i="34"/>
  <c r="D1166" i="34"/>
  <c r="L1165" i="34"/>
  <c r="G1165" i="34"/>
  <c r="D1165" i="34"/>
  <c r="L1164" i="34"/>
  <c r="G1164" i="34"/>
  <c r="D1164" i="34"/>
  <c r="L1163" i="34"/>
  <c r="G1163" i="34"/>
  <c r="D1163" i="34"/>
  <c r="L1162" i="34"/>
  <c r="G1162" i="34"/>
  <c r="D1162" i="34"/>
  <c r="L1161" i="34"/>
  <c r="G1161" i="34"/>
  <c r="D1161" i="34"/>
  <c r="L1160" i="34"/>
  <c r="G1160" i="34"/>
  <c r="D1160" i="34"/>
  <c r="L1159" i="34"/>
  <c r="G1159" i="34"/>
  <c r="D1159" i="34"/>
  <c r="L1158" i="34"/>
  <c r="G1158" i="34"/>
  <c r="D1158" i="34"/>
  <c r="L1157" i="34"/>
  <c r="G1157" i="34"/>
  <c r="D1157" i="34"/>
  <c r="L1156" i="34"/>
  <c r="G1156" i="34"/>
  <c r="D1156" i="34"/>
  <c r="L1155" i="34"/>
  <c r="G1155" i="34"/>
  <c r="D1155" i="34"/>
  <c r="L1154" i="34"/>
  <c r="G1154" i="34"/>
  <c r="D1154" i="34"/>
  <c r="L1153" i="34"/>
  <c r="G1153" i="34"/>
  <c r="D1153" i="34"/>
  <c r="L1152" i="34"/>
  <c r="G1152" i="34"/>
  <c r="D1152" i="34"/>
  <c r="L1151" i="34"/>
  <c r="G1151" i="34"/>
  <c r="D1151" i="34"/>
  <c r="L1150" i="34"/>
  <c r="G1150" i="34"/>
  <c r="D1150" i="34"/>
  <c r="L1149" i="34"/>
  <c r="G1149" i="34"/>
  <c r="D1149" i="34"/>
  <c r="L1148" i="34"/>
  <c r="G1148" i="34"/>
  <c r="D1148" i="34"/>
  <c r="L1147" i="34"/>
  <c r="G1147" i="34"/>
  <c r="D1147" i="34"/>
  <c r="L1146" i="34"/>
  <c r="G1146" i="34"/>
  <c r="D1146" i="34"/>
  <c r="L1145" i="34"/>
  <c r="G1145" i="34"/>
  <c r="D1145" i="34"/>
  <c r="L1144" i="34"/>
  <c r="G1144" i="34"/>
  <c r="D1144" i="34"/>
  <c r="L1143" i="34"/>
  <c r="G1143" i="34"/>
  <c r="D1143" i="34"/>
  <c r="L1142" i="34"/>
  <c r="G1142" i="34"/>
  <c r="D1142" i="34"/>
  <c r="L1141" i="34"/>
  <c r="G1141" i="34"/>
  <c r="D1141" i="34"/>
  <c r="L1140" i="34"/>
  <c r="G1140" i="34"/>
  <c r="D1140" i="34"/>
  <c r="L1139" i="34"/>
  <c r="G1139" i="34"/>
  <c r="D1139" i="34"/>
  <c r="L1138" i="34"/>
  <c r="G1138" i="34"/>
  <c r="D1138" i="34"/>
  <c r="L1137" i="34"/>
  <c r="G1137" i="34"/>
  <c r="D1137" i="34"/>
  <c r="L1136" i="34"/>
  <c r="G1136" i="34"/>
  <c r="D1136" i="34"/>
  <c r="L1135" i="34"/>
  <c r="G1135" i="34"/>
  <c r="D1135" i="34"/>
  <c r="L1134" i="34"/>
  <c r="G1134" i="34"/>
  <c r="D1134" i="34"/>
  <c r="L1133" i="34"/>
  <c r="G1133" i="34"/>
  <c r="D1133" i="34"/>
  <c r="L1132" i="34"/>
  <c r="G1132" i="34"/>
  <c r="D1132" i="34"/>
  <c r="L1131" i="34"/>
  <c r="G1131" i="34"/>
  <c r="D1131" i="34"/>
  <c r="L1130" i="34"/>
  <c r="G1130" i="34"/>
  <c r="D1130" i="34"/>
  <c r="L1129" i="34"/>
  <c r="G1129" i="34"/>
  <c r="D1129" i="34"/>
  <c r="L1128" i="34"/>
  <c r="G1128" i="34"/>
  <c r="D1128" i="34"/>
  <c r="L1127" i="34"/>
  <c r="G1127" i="34"/>
  <c r="D1127" i="34"/>
  <c r="L1126" i="34"/>
  <c r="G1126" i="34"/>
  <c r="D1126" i="34"/>
  <c r="L1125" i="34"/>
  <c r="G1125" i="34"/>
  <c r="D1125" i="34"/>
  <c r="L1124" i="34"/>
  <c r="G1124" i="34"/>
  <c r="D1124" i="34"/>
  <c r="L1123" i="34"/>
  <c r="G1123" i="34"/>
  <c r="D1123" i="34"/>
  <c r="L1122" i="34"/>
  <c r="G1122" i="34"/>
  <c r="D1122" i="34"/>
  <c r="L1121" i="34"/>
  <c r="G1121" i="34"/>
  <c r="D1121" i="34"/>
  <c r="L1120" i="34"/>
  <c r="G1120" i="34"/>
  <c r="D1120" i="34"/>
  <c r="L1119" i="34"/>
  <c r="G1119" i="34"/>
  <c r="D1119" i="34"/>
  <c r="L1118" i="34"/>
  <c r="G1118" i="34"/>
  <c r="D1118" i="34"/>
  <c r="L1117" i="34"/>
  <c r="G1117" i="34"/>
  <c r="D1117" i="34"/>
  <c r="L1116" i="34"/>
  <c r="G1116" i="34"/>
  <c r="D1116" i="34"/>
  <c r="L1115" i="34"/>
  <c r="G1115" i="34"/>
  <c r="D1115" i="34"/>
  <c r="L1114" i="34"/>
  <c r="G1114" i="34"/>
  <c r="D1114" i="34"/>
  <c r="L1113" i="34"/>
  <c r="G1113" i="34"/>
  <c r="D1113" i="34"/>
  <c r="L1112" i="34"/>
  <c r="G1112" i="34"/>
  <c r="D1112" i="34"/>
  <c r="L1111" i="34"/>
  <c r="G1111" i="34"/>
  <c r="D1111" i="34"/>
  <c r="L1110" i="34"/>
  <c r="G1110" i="34"/>
  <c r="D1110" i="34"/>
  <c r="L1109" i="34"/>
  <c r="G1109" i="34"/>
  <c r="D1109" i="34"/>
  <c r="L1108" i="34"/>
  <c r="G1108" i="34"/>
  <c r="D1108" i="34"/>
  <c r="L1107" i="34"/>
  <c r="G1107" i="34"/>
  <c r="D1107" i="34"/>
  <c r="L1106" i="34"/>
  <c r="G1106" i="34"/>
  <c r="D1106" i="34"/>
  <c r="L1105" i="34"/>
  <c r="G1105" i="34"/>
  <c r="D1105" i="34"/>
  <c r="L1104" i="34"/>
  <c r="G1104" i="34"/>
  <c r="D1104" i="34"/>
  <c r="L1103" i="34"/>
  <c r="G1103" i="34"/>
  <c r="D1103" i="34"/>
  <c r="L1102" i="34"/>
  <c r="G1102" i="34"/>
  <c r="D1102" i="34"/>
  <c r="L1101" i="34"/>
  <c r="G1101" i="34"/>
  <c r="D1101" i="34"/>
  <c r="L1100" i="34"/>
  <c r="G1100" i="34"/>
  <c r="D1100" i="34"/>
  <c r="L1099" i="34"/>
  <c r="G1099" i="34"/>
  <c r="D1099" i="34"/>
  <c r="L1098" i="34"/>
  <c r="G1098" i="34"/>
  <c r="D1098" i="34"/>
  <c r="L1097" i="34"/>
  <c r="G1097" i="34"/>
  <c r="D1097" i="34"/>
  <c r="L1096" i="34"/>
  <c r="G1096" i="34"/>
  <c r="D1096" i="34"/>
  <c r="L1095" i="34"/>
  <c r="G1095" i="34"/>
  <c r="D1095" i="34"/>
  <c r="L1094" i="34"/>
  <c r="G1094" i="34"/>
  <c r="D1094" i="34"/>
  <c r="L1093" i="34"/>
  <c r="G1093" i="34"/>
  <c r="D1093" i="34"/>
  <c r="L1092" i="34"/>
  <c r="G1092" i="34"/>
  <c r="D1092" i="34"/>
  <c r="L1091" i="34"/>
  <c r="G1091" i="34"/>
  <c r="D1091" i="34"/>
  <c r="L1090" i="34"/>
  <c r="G1090" i="34"/>
  <c r="D1090" i="34"/>
  <c r="L1089" i="34"/>
  <c r="G1089" i="34"/>
  <c r="D1089" i="34"/>
  <c r="L1088" i="34"/>
  <c r="G1088" i="34"/>
  <c r="D1088" i="34"/>
  <c r="L1087" i="34"/>
  <c r="G1087" i="34"/>
  <c r="D1087" i="34"/>
  <c r="L1086" i="34"/>
  <c r="G1086" i="34"/>
  <c r="D1086" i="34"/>
  <c r="L1085" i="34"/>
  <c r="G1085" i="34"/>
  <c r="D1085" i="34"/>
  <c r="L1084" i="34"/>
  <c r="G1084" i="34"/>
  <c r="D1084" i="34"/>
  <c r="L1083" i="34"/>
  <c r="G1083" i="34"/>
  <c r="D1083" i="34"/>
  <c r="L1082" i="34"/>
  <c r="G1082" i="34"/>
  <c r="D1082" i="34"/>
  <c r="L1081" i="34"/>
  <c r="G1081" i="34"/>
  <c r="D1081" i="34"/>
  <c r="L1080" i="34"/>
  <c r="G1080" i="34"/>
  <c r="D1080" i="34"/>
  <c r="L1079" i="34"/>
  <c r="G1079" i="34"/>
  <c r="D1079" i="34"/>
  <c r="L1078" i="34"/>
  <c r="G1078" i="34"/>
  <c r="D1078" i="34"/>
  <c r="L1077" i="34"/>
  <c r="G1077" i="34"/>
  <c r="D1077" i="34"/>
  <c r="L1076" i="34"/>
  <c r="G1076" i="34"/>
  <c r="D1076" i="34"/>
  <c r="L1075" i="34"/>
  <c r="G1075" i="34"/>
  <c r="D1075" i="34"/>
  <c r="L1074" i="34"/>
  <c r="G1074" i="34"/>
  <c r="D1074" i="34"/>
  <c r="L1073" i="34"/>
  <c r="G1073" i="34"/>
  <c r="D1073" i="34"/>
  <c r="L1072" i="34"/>
  <c r="G1072" i="34"/>
  <c r="D1072" i="34"/>
  <c r="L1071" i="34"/>
  <c r="G1071" i="34"/>
  <c r="D1071" i="34"/>
  <c r="L1070" i="34"/>
  <c r="G1070" i="34"/>
  <c r="D1070" i="34"/>
  <c r="L1069" i="34"/>
  <c r="G1069" i="34"/>
  <c r="D1069" i="34"/>
  <c r="L1068" i="34"/>
  <c r="G1068" i="34"/>
  <c r="D1068" i="34"/>
  <c r="L1067" i="34"/>
  <c r="G1067" i="34"/>
  <c r="D1067" i="34"/>
  <c r="L1066" i="34"/>
  <c r="G1066" i="34"/>
  <c r="D1066" i="34"/>
  <c r="L1065" i="34"/>
  <c r="G1065" i="34"/>
  <c r="D1065" i="34"/>
  <c r="L1064" i="34"/>
  <c r="G1064" i="34"/>
  <c r="D1064" i="34"/>
  <c r="L1063" i="34"/>
  <c r="G1063" i="34"/>
  <c r="D1063" i="34"/>
  <c r="L1062" i="34"/>
  <c r="G1062" i="34"/>
  <c r="D1062" i="34"/>
  <c r="L1061" i="34"/>
  <c r="G1061" i="34"/>
  <c r="D1061" i="34"/>
  <c r="L1060" i="34"/>
  <c r="G1060" i="34"/>
  <c r="D1060" i="34"/>
  <c r="L1059" i="34"/>
  <c r="G1059" i="34"/>
  <c r="D1059" i="34"/>
  <c r="L1058" i="34"/>
  <c r="G1058" i="34"/>
  <c r="D1058" i="34"/>
  <c r="L1057" i="34"/>
  <c r="G1057" i="34"/>
  <c r="D1057" i="34"/>
  <c r="L1056" i="34"/>
  <c r="G1056" i="34"/>
  <c r="D1056" i="34"/>
  <c r="L1055" i="34"/>
  <c r="G1055" i="34"/>
  <c r="D1055" i="34"/>
  <c r="L1054" i="34"/>
  <c r="G1054" i="34"/>
  <c r="D1054" i="34"/>
  <c r="L1053" i="34"/>
  <c r="G1053" i="34"/>
  <c r="D1053" i="34"/>
  <c r="L1052" i="34"/>
  <c r="G1052" i="34"/>
  <c r="D1052" i="34"/>
  <c r="L1051" i="34"/>
  <c r="G1051" i="34"/>
  <c r="D1051" i="34"/>
  <c r="L1050" i="34"/>
  <c r="G1050" i="34"/>
  <c r="D1050" i="34"/>
  <c r="L1049" i="34"/>
  <c r="G1049" i="34"/>
  <c r="D1049" i="34"/>
  <c r="L1048" i="34"/>
  <c r="G1048" i="34"/>
  <c r="D1048" i="34"/>
  <c r="L1047" i="34"/>
  <c r="G1047" i="34"/>
  <c r="D1047" i="34"/>
  <c r="L1046" i="34"/>
  <c r="G1046" i="34"/>
  <c r="D1046" i="34"/>
  <c r="L1045" i="34"/>
  <c r="G1045" i="34"/>
  <c r="D1045" i="34"/>
  <c r="L1044" i="34"/>
  <c r="G1044" i="34"/>
  <c r="D1044" i="34"/>
  <c r="L1043" i="34"/>
  <c r="G1043" i="34"/>
  <c r="D1043" i="34"/>
  <c r="L1042" i="34"/>
  <c r="G1042" i="34"/>
  <c r="D1042" i="34"/>
  <c r="L1041" i="34"/>
  <c r="G1041" i="34"/>
  <c r="D1041" i="34"/>
  <c r="L1040" i="34"/>
  <c r="G1040" i="34"/>
  <c r="D1040" i="34"/>
  <c r="L1039" i="34"/>
  <c r="G1039" i="34"/>
  <c r="D1039" i="34"/>
  <c r="L1038" i="34"/>
  <c r="G1038" i="34"/>
  <c r="D1038" i="34"/>
  <c r="L1037" i="34"/>
  <c r="G1037" i="34"/>
  <c r="D1037" i="34"/>
  <c r="L1036" i="34"/>
  <c r="G1036" i="34"/>
  <c r="D1036" i="34"/>
  <c r="L1035" i="34"/>
  <c r="G1035" i="34"/>
  <c r="D1035" i="34"/>
  <c r="L1034" i="34"/>
  <c r="G1034" i="34"/>
  <c r="D1034" i="34"/>
  <c r="L1033" i="34"/>
  <c r="G1033" i="34"/>
  <c r="D1033" i="34"/>
  <c r="L1032" i="34"/>
  <c r="G1032" i="34"/>
  <c r="D1032" i="34"/>
  <c r="L1031" i="34"/>
  <c r="G1031" i="34"/>
  <c r="D1031" i="34"/>
  <c r="L1030" i="34"/>
  <c r="G1030" i="34"/>
  <c r="D1030" i="34"/>
  <c r="L1029" i="34"/>
  <c r="G1029" i="34"/>
  <c r="D1029" i="34"/>
  <c r="L1028" i="34"/>
  <c r="G1028" i="34"/>
  <c r="D1028" i="34"/>
  <c r="L1027" i="34"/>
  <c r="G1027" i="34"/>
  <c r="D1027" i="34"/>
  <c r="L1026" i="34"/>
  <c r="G1026" i="34"/>
  <c r="D1026" i="34"/>
  <c r="L1025" i="34"/>
  <c r="G1025" i="34"/>
  <c r="D1025" i="34"/>
  <c r="L1024" i="34"/>
  <c r="G1024" i="34"/>
  <c r="D1024" i="34"/>
  <c r="L1023" i="34"/>
  <c r="G1023" i="34"/>
  <c r="D1023" i="34"/>
  <c r="L1022" i="34"/>
  <c r="G1022" i="34"/>
  <c r="D1022" i="34"/>
  <c r="L1021" i="34"/>
  <c r="G1021" i="34"/>
  <c r="D1021" i="34"/>
  <c r="L1020" i="34"/>
  <c r="G1020" i="34"/>
  <c r="D1020" i="34"/>
  <c r="L1019" i="34"/>
  <c r="G1019" i="34"/>
  <c r="D1019" i="34"/>
  <c r="L1018" i="34"/>
  <c r="G1018" i="34"/>
  <c r="D1018" i="34"/>
  <c r="L1017" i="34"/>
  <c r="G1017" i="34"/>
  <c r="D1017" i="34"/>
  <c r="L1016" i="34"/>
  <c r="G1016" i="34"/>
  <c r="D1016" i="34"/>
  <c r="L1015" i="34"/>
  <c r="G1015" i="34"/>
  <c r="D1015" i="34"/>
  <c r="L1014" i="34"/>
  <c r="G1014" i="34"/>
  <c r="D1014" i="34"/>
  <c r="L1013" i="34"/>
  <c r="G1013" i="34"/>
  <c r="D1013" i="34"/>
  <c r="L1012" i="34"/>
  <c r="G1012" i="34"/>
  <c r="D1012" i="34"/>
  <c r="L1011" i="34"/>
  <c r="G1011" i="34"/>
  <c r="D1011" i="34"/>
  <c r="L1010" i="34"/>
  <c r="G1010" i="34"/>
  <c r="D1010" i="34"/>
  <c r="L1009" i="34"/>
  <c r="G1009" i="34"/>
  <c r="D1009" i="34"/>
  <c r="L1008" i="34"/>
  <c r="G1008" i="34"/>
  <c r="D1008" i="34"/>
  <c r="L1007" i="34"/>
  <c r="G1007" i="34"/>
  <c r="D1007" i="34"/>
  <c r="L1006" i="34"/>
  <c r="G1006" i="34"/>
  <c r="D1006" i="34"/>
  <c r="L1005" i="34"/>
  <c r="G1005" i="34"/>
  <c r="D1005" i="34"/>
  <c r="L1004" i="34"/>
  <c r="G1004" i="34"/>
  <c r="D1004" i="34"/>
  <c r="L1003" i="34"/>
  <c r="G1003" i="34"/>
  <c r="D1003" i="34"/>
  <c r="L1002" i="34"/>
  <c r="G1002" i="34"/>
  <c r="D1002" i="34"/>
  <c r="L1001" i="34"/>
  <c r="G1001" i="34"/>
  <c r="D1001" i="34"/>
  <c r="L1000" i="34"/>
  <c r="G1000" i="34"/>
  <c r="D1000" i="34"/>
  <c r="L999" i="34"/>
  <c r="G999" i="34"/>
  <c r="D999" i="34"/>
  <c r="L998" i="34"/>
  <c r="G998" i="34"/>
  <c r="D998" i="34"/>
  <c r="L997" i="34"/>
  <c r="G997" i="34"/>
  <c r="D997" i="34"/>
  <c r="L996" i="34"/>
  <c r="G996" i="34"/>
  <c r="D996" i="34"/>
  <c r="L995" i="34"/>
  <c r="G995" i="34"/>
  <c r="D995" i="34"/>
  <c r="L994" i="34"/>
  <c r="G994" i="34"/>
  <c r="D994" i="34"/>
  <c r="L993" i="34"/>
  <c r="G993" i="34"/>
  <c r="D993" i="34"/>
  <c r="L992" i="34"/>
  <c r="G992" i="34"/>
  <c r="D992" i="34"/>
  <c r="L991" i="34"/>
  <c r="G991" i="34"/>
  <c r="D991" i="34"/>
  <c r="L990" i="34"/>
  <c r="G990" i="34"/>
  <c r="D990" i="34"/>
  <c r="L989" i="34"/>
  <c r="G989" i="34"/>
  <c r="D989" i="34"/>
  <c r="L988" i="34"/>
  <c r="G988" i="34"/>
  <c r="D988" i="34"/>
  <c r="L987" i="34"/>
  <c r="G987" i="34"/>
  <c r="D987" i="34"/>
  <c r="L986" i="34"/>
  <c r="G986" i="34"/>
  <c r="D986" i="34"/>
  <c r="L985" i="34"/>
  <c r="G985" i="34"/>
  <c r="D985" i="34"/>
  <c r="L984" i="34"/>
  <c r="G984" i="34"/>
  <c r="D984" i="34"/>
  <c r="L983" i="34"/>
  <c r="G983" i="34"/>
  <c r="D983" i="34"/>
  <c r="L982" i="34"/>
  <c r="G982" i="34"/>
  <c r="D982" i="34"/>
  <c r="L981" i="34"/>
  <c r="G981" i="34"/>
  <c r="D981" i="34"/>
  <c r="L980" i="34"/>
  <c r="G980" i="34"/>
  <c r="D980" i="34"/>
  <c r="L979" i="34"/>
  <c r="G979" i="34"/>
  <c r="D979" i="34"/>
  <c r="L978" i="34"/>
  <c r="G978" i="34"/>
  <c r="D978" i="34"/>
  <c r="L977" i="34"/>
  <c r="G977" i="34"/>
  <c r="D977" i="34"/>
  <c r="L976" i="34"/>
  <c r="G976" i="34"/>
  <c r="D976" i="34"/>
  <c r="L975" i="34"/>
  <c r="G975" i="34"/>
  <c r="D975" i="34"/>
  <c r="L974" i="34"/>
  <c r="G974" i="34"/>
  <c r="D974" i="34"/>
  <c r="L973" i="34"/>
  <c r="G973" i="34"/>
  <c r="D973" i="34"/>
  <c r="L972" i="34"/>
  <c r="G972" i="34"/>
  <c r="D972" i="34"/>
  <c r="L971" i="34"/>
  <c r="G971" i="34"/>
  <c r="D971" i="34"/>
  <c r="L970" i="34"/>
  <c r="G970" i="34"/>
  <c r="D970" i="34"/>
  <c r="L969" i="34"/>
  <c r="G969" i="34"/>
  <c r="D969" i="34"/>
  <c r="L968" i="34"/>
  <c r="G968" i="34"/>
  <c r="D968" i="34"/>
  <c r="L967" i="34"/>
  <c r="G967" i="34"/>
  <c r="D967" i="34"/>
  <c r="L966" i="34"/>
  <c r="G966" i="34"/>
  <c r="D966" i="34"/>
  <c r="L965" i="34"/>
  <c r="G965" i="34"/>
  <c r="D965" i="34"/>
  <c r="L964" i="34"/>
  <c r="G964" i="34"/>
  <c r="D964" i="34"/>
  <c r="L963" i="34"/>
  <c r="G963" i="34"/>
  <c r="D963" i="34"/>
  <c r="L962" i="34"/>
  <c r="G962" i="34"/>
  <c r="D962" i="34"/>
  <c r="L961" i="34"/>
  <c r="G961" i="34"/>
  <c r="D961" i="34"/>
  <c r="L960" i="34"/>
  <c r="G960" i="34"/>
  <c r="D960" i="34"/>
  <c r="L959" i="34"/>
  <c r="G959" i="34"/>
  <c r="D959" i="34"/>
  <c r="L958" i="34"/>
  <c r="G958" i="34"/>
  <c r="D958" i="34"/>
  <c r="L957" i="34"/>
  <c r="G957" i="34"/>
  <c r="D957" i="34"/>
  <c r="L956" i="34"/>
  <c r="G956" i="34"/>
  <c r="D956" i="34"/>
  <c r="L955" i="34"/>
  <c r="G955" i="34"/>
  <c r="D955" i="34"/>
  <c r="L954" i="34"/>
  <c r="G954" i="34"/>
  <c r="D954" i="34"/>
  <c r="L953" i="34"/>
  <c r="G953" i="34"/>
  <c r="D953" i="34"/>
  <c r="L952" i="34"/>
  <c r="G952" i="34"/>
  <c r="D952" i="34"/>
  <c r="L951" i="34"/>
  <c r="G951" i="34"/>
  <c r="D951" i="34"/>
  <c r="L950" i="34"/>
  <c r="G950" i="34"/>
  <c r="D950" i="34"/>
  <c r="L949" i="34"/>
  <c r="G949" i="34"/>
  <c r="D949" i="34"/>
  <c r="L948" i="34"/>
  <c r="G948" i="34"/>
  <c r="D948" i="34"/>
  <c r="L947" i="34"/>
  <c r="G947" i="34"/>
  <c r="D947" i="34"/>
  <c r="L946" i="34"/>
  <c r="G946" i="34"/>
  <c r="D946" i="34"/>
  <c r="L945" i="34"/>
  <c r="G945" i="34"/>
  <c r="D945" i="34"/>
  <c r="L944" i="34"/>
  <c r="G944" i="34"/>
  <c r="D944" i="34"/>
  <c r="L943" i="34"/>
  <c r="G943" i="34"/>
  <c r="D943" i="34"/>
  <c r="L942" i="34"/>
  <c r="G942" i="34"/>
  <c r="D942" i="34"/>
  <c r="L941" i="34"/>
  <c r="G941" i="34"/>
  <c r="D941" i="34"/>
  <c r="L940" i="34"/>
  <c r="G940" i="34"/>
  <c r="D940" i="34"/>
  <c r="L939" i="34"/>
  <c r="G939" i="34"/>
  <c r="D939" i="34"/>
  <c r="L938" i="34"/>
  <c r="G938" i="34"/>
  <c r="D938" i="34"/>
  <c r="L937" i="34"/>
  <c r="G937" i="34"/>
  <c r="D937" i="34"/>
  <c r="L936" i="34"/>
  <c r="G936" i="34"/>
  <c r="D936" i="34"/>
  <c r="L935" i="34"/>
  <c r="G935" i="34"/>
  <c r="D935" i="34"/>
  <c r="L934" i="34"/>
  <c r="G934" i="34"/>
  <c r="D934" i="34"/>
  <c r="L933" i="34"/>
  <c r="G933" i="34"/>
  <c r="D933" i="34"/>
  <c r="L932" i="34"/>
  <c r="G932" i="34"/>
  <c r="D932" i="34"/>
  <c r="L931" i="34"/>
  <c r="G931" i="34"/>
  <c r="D931" i="34"/>
  <c r="L930" i="34"/>
  <c r="G930" i="34"/>
  <c r="D930" i="34"/>
  <c r="L929" i="34"/>
  <c r="G929" i="34"/>
  <c r="D929" i="34"/>
  <c r="L928" i="34"/>
  <c r="G928" i="34"/>
  <c r="D928" i="34"/>
  <c r="L927" i="34"/>
  <c r="G927" i="34"/>
  <c r="D927" i="34"/>
  <c r="L926" i="34"/>
  <c r="G926" i="34"/>
  <c r="D926" i="34"/>
  <c r="L925" i="34"/>
  <c r="G925" i="34"/>
  <c r="D925" i="34"/>
  <c r="L924" i="34"/>
  <c r="G924" i="34"/>
  <c r="D924" i="34"/>
  <c r="L923" i="34"/>
  <c r="G923" i="34"/>
  <c r="D923" i="34"/>
  <c r="L922" i="34"/>
  <c r="G922" i="34"/>
  <c r="D922" i="34"/>
  <c r="L921" i="34"/>
  <c r="G921" i="34"/>
  <c r="D921" i="34"/>
  <c r="L920" i="34"/>
  <c r="G920" i="34"/>
  <c r="D920" i="34"/>
  <c r="L919" i="34"/>
  <c r="G919" i="34"/>
  <c r="D919" i="34"/>
  <c r="L918" i="34"/>
  <c r="G918" i="34"/>
  <c r="D918" i="34"/>
  <c r="L917" i="34"/>
  <c r="G917" i="34"/>
  <c r="D917" i="34"/>
  <c r="L916" i="34"/>
  <c r="G916" i="34"/>
  <c r="D916" i="34"/>
  <c r="L915" i="34"/>
  <c r="G915" i="34"/>
  <c r="D915" i="34"/>
  <c r="L914" i="34"/>
  <c r="G914" i="34"/>
  <c r="D914" i="34"/>
  <c r="L913" i="34"/>
  <c r="G913" i="34"/>
  <c r="D913" i="34"/>
  <c r="L912" i="34"/>
  <c r="G912" i="34"/>
  <c r="D912" i="34"/>
  <c r="L911" i="34"/>
  <c r="G911" i="34"/>
  <c r="D911" i="34"/>
  <c r="L910" i="34"/>
  <c r="G910" i="34"/>
  <c r="D910" i="34"/>
  <c r="L909" i="34"/>
  <c r="G909" i="34"/>
  <c r="D909" i="34"/>
  <c r="L908" i="34"/>
  <c r="G908" i="34"/>
  <c r="D908" i="34"/>
  <c r="L907" i="34"/>
  <c r="G907" i="34"/>
  <c r="D907" i="34"/>
  <c r="L906" i="34"/>
  <c r="G906" i="34"/>
  <c r="D906" i="34"/>
  <c r="L905" i="34"/>
  <c r="G905" i="34"/>
  <c r="D905" i="34"/>
  <c r="L904" i="34"/>
  <c r="G904" i="34"/>
  <c r="D904" i="34"/>
  <c r="L903" i="34"/>
  <c r="G903" i="34"/>
  <c r="D903" i="34"/>
  <c r="L902" i="34"/>
  <c r="G902" i="34"/>
  <c r="D902" i="34"/>
  <c r="L901" i="34"/>
  <c r="G901" i="34"/>
  <c r="D901" i="34"/>
  <c r="L900" i="34"/>
  <c r="G900" i="34"/>
  <c r="D900" i="34"/>
  <c r="L899" i="34"/>
  <c r="G899" i="34"/>
  <c r="D899" i="34"/>
  <c r="L898" i="34"/>
  <c r="G898" i="34"/>
  <c r="D898" i="34"/>
  <c r="L897" i="34"/>
  <c r="G897" i="34"/>
  <c r="D897" i="34"/>
  <c r="L896" i="34"/>
  <c r="G896" i="34"/>
  <c r="D896" i="34"/>
  <c r="L895" i="34"/>
  <c r="G895" i="34"/>
  <c r="D895" i="34"/>
  <c r="L894" i="34"/>
  <c r="G894" i="34"/>
  <c r="D894" i="34"/>
  <c r="L893" i="34"/>
  <c r="G893" i="34"/>
  <c r="D893" i="34"/>
  <c r="L892" i="34"/>
  <c r="G892" i="34"/>
  <c r="D892" i="34"/>
  <c r="L891" i="34"/>
  <c r="G891" i="34"/>
  <c r="D891" i="34"/>
  <c r="L890" i="34"/>
  <c r="G890" i="34"/>
  <c r="D890" i="34"/>
  <c r="L889" i="34"/>
  <c r="G889" i="34"/>
  <c r="D889" i="34"/>
  <c r="L888" i="34"/>
  <c r="G888" i="34"/>
  <c r="D888" i="34"/>
  <c r="L887" i="34"/>
  <c r="G887" i="34"/>
  <c r="D887" i="34"/>
  <c r="L886" i="34"/>
  <c r="G886" i="34"/>
  <c r="D886" i="34"/>
  <c r="L885" i="34"/>
  <c r="G885" i="34"/>
  <c r="D885" i="34"/>
  <c r="L884" i="34"/>
  <c r="G884" i="34"/>
  <c r="D884" i="34"/>
  <c r="L883" i="34"/>
  <c r="G883" i="34"/>
  <c r="D883" i="34"/>
  <c r="L882" i="34"/>
  <c r="G882" i="34"/>
  <c r="D882" i="34"/>
  <c r="L881" i="34"/>
  <c r="G881" i="34"/>
  <c r="D881" i="34"/>
  <c r="L880" i="34"/>
  <c r="G880" i="34"/>
  <c r="D880" i="34"/>
  <c r="L879" i="34"/>
  <c r="G879" i="34"/>
  <c r="D879" i="34"/>
  <c r="L878" i="34"/>
  <c r="G878" i="34"/>
  <c r="D878" i="34"/>
  <c r="L877" i="34"/>
  <c r="G877" i="34"/>
  <c r="D877" i="34"/>
  <c r="L876" i="34"/>
  <c r="G876" i="34"/>
  <c r="D876" i="34"/>
  <c r="L875" i="34"/>
  <c r="G875" i="34"/>
  <c r="D875" i="34"/>
  <c r="L874" i="34"/>
  <c r="G874" i="34"/>
  <c r="D874" i="34"/>
  <c r="L873" i="34"/>
  <c r="G873" i="34"/>
  <c r="D873" i="34"/>
  <c r="L872" i="34"/>
  <c r="G872" i="34"/>
  <c r="D872" i="34"/>
  <c r="L871" i="34"/>
  <c r="G871" i="34"/>
  <c r="D871" i="34"/>
  <c r="L870" i="34"/>
  <c r="G870" i="34"/>
  <c r="D870" i="34"/>
  <c r="L869" i="34"/>
  <c r="G869" i="34"/>
  <c r="D869" i="34"/>
  <c r="L868" i="34"/>
  <c r="G868" i="34"/>
  <c r="D868" i="34"/>
  <c r="L867" i="34"/>
  <c r="G867" i="34"/>
  <c r="D867" i="34"/>
  <c r="L866" i="34"/>
  <c r="G866" i="34"/>
  <c r="D866" i="34"/>
  <c r="L865" i="34"/>
  <c r="G865" i="34"/>
  <c r="D865" i="34"/>
  <c r="L864" i="34"/>
  <c r="G864" i="34"/>
  <c r="D864" i="34"/>
  <c r="L863" i="34"/>
  <c r="G863" i="34"/>
  <c r="D863" i="34"/>
  <c r="L862" i="34"/>
  <c r="G862" i="34"/>
  <c r="D862" i="34"/>
  <c r="L861" i="34"/>
  <c r="G861" i="34"/>
  <c r="D861" i="34"/>
  <c r="L860" i="34"/>
  <c r="G860" i="34"/>
  <c r="D860" i="34"/>
  <c r="L859" i="34"/>
  <c r="G859" i="34"/>
  <c r="D859" i="34"/>
  <c r="L858" i="34"/>
  <c r="G858" i="34"/>
  <c r="D858" i="34"/>
  <c r="L857" i="34"/>
  <c r="G857" i="34"/>
  <c r="D857" i="34"/>
  <c r="L856" i="34"/>
  <c r="G856" i="34"/>
  <c r="D856" i="34"/>
  <c r="L855" i="34"/>
  <c r="G855" i="34"/>
  <c r="D855" i="34"/>
  <c r="L854" i="34"/>
  <c r="G854" i="34"/>
  <c r="D854" i="34"/>
  <c r="L853" i="34"/>
  <c r="G853" i="34"/>
  <c r="D853" i="34"/>
  <c r="L852" i="34"/>
  <c r="G852" i="34"/>
  <c r="D852" i="34"/>
  <c r="L851" i="34"/>
  <c r="G851" i="34"/>
  <c r="D851" i="34"/>
  <c r="L850" i="34"/>
  <c r="G850" i="34"/>
  <c r="D850" i="34"/>
  <c r="L849" i="34"/>
  <c r="G849" i="34"/>
  <c r="D849" i="34"/>
  <c r="L848" i="34"/>
  <c r="G848" i="34"/>
  <c r="D848" i="34"/>
  <c r="L847" i="34"/>
  <c r="G847" i="34"/>
  <c r="D847" i="34"/>
  <c r="L846" i="34"/>
  <c r="G846" i="34"/>
  <c r="D846" i="34"/>
  <c r="L845" i="34"/>
  <c r="G845" i="34"/>
  <c r="D845" i="34"/>
  <c r="L844" i="34"/>
  <c r="G844" i="34"/>
  <c r="D844" i="34"/>
  <c r="L843" i="34"/>
  <c r="G843" i="34"/>
  <c r="D843" i="34"/>
  <c r="L842" i="34"/>
  <c r="G842" i="34"/>
  <c r="D842" i="34"/>
  <c r="L841" i="34"/>
  <c r="G841" i="34"/>
  <c r="D841" i="34"/>
  <c r="L840" i="34"/>
  <c r="G840" i="34"/>
  <c r="D840" i="34"/>
  <c r="L839" i="34"/>
  <c r="G839" i="34"/>
  <c r="D839" i="34"/>
  <c r="L838" i="34"/>
  <c r="G838" i="34"/>
  <c r="D838" i="34"/>
  <c r="L837" i="34"/>
  <c r="G837" i="34"/>
  <c r="D837" i="34"/>
  <c r="L836" i="34"/>
  <c r="G836" i="34"/>
  <c r="D836" i="34"/>
  <c r="L835" i="34"/>
  <c r="G835" i="34"/>
  <c r="D835" i="34"/>
  <c r="L834" i="34"/>
  <c r="G834" i="34"/>
  <c r="D834" i="34"/>
  <c r="L833" i="34"/>
  <c r="G833" i="34"/>
  <c r="D833" i="34"/>
  <c r="L832" i="34"/>
  <c r="G832" i="34"/>
  <c r="D832" i="34"/>
  <c r="L831" i="34"/>
  <c r="G831" i="34"/>
  <c r="D831" i="34"/>
  <c r="L830" i="34"/>
  <c r="G830" i="34"/>
  <c r="D830" i="34"/>
  <c r="L829" i="34"/>
  <c r="G829" i="34"/>
  <c r="D829" i="34"/>
  <c r="L828" i="34"/>
  <c r="G828" i="34"/>
  <c r="D828" i="34"/>
  <c r="L827" i="34"/>
  <c r="G827" i="34"/>
  <c r="D827" i="34"/>
  <c r="L826" i="34"/>
  <c r="G826" i="34"/>
  <c r="D826" i="34"/>
  <c r="L825" i="34"/>
  <c r="G825" i="34"/>
  <c r="D825" i="34"/>
  <c r="L824" i="34"/>
  <c r="G824" i="34"/>
  <c r="D824" i="34"/>
  <c r="L823" i="34"/>
  <c r="G823" i="34"/>
  <c r="D823" i="34"/>
  <c r="L822" i="34"/>
  <c r="G822" i="34"/>
  <c r="D822" i="34"/>
  <c r="L821" i="34"/>
  <c r="G821" i="34"/>
  <c r="D821" i="34"/>
  <c r="L820" i="34"/>
  <c r="G820" i="34"/>
  <c r="D820" i="34"/>
  <c r="L819" i="34"/>
  <c r="G819" i="34"/>
  <c r="D819" i="34"/>
  <c r="L818" i="34"/>
  <c r="G818" i="34"/>
  <c r="D818" i="34"/>
  <c r="L817" i="34"/>
  <c r="G817" i="34"/>
  <c r="D817" i="34"/>
  <c r="L816" i="34"/>
  <c r="G816" i="34"/>
  <c r="D816" i="34"/>
  <c r="L815" i="34"/>
  <c r="G815" i="34"/>
  <c r="D815" i="34"/>
  <c r="L814" i="34"/>
  <c r="G814" i="34"/>
  <c r="D814" i="34"/>
  <c r="L813" i="34"/>
  <c r="G813" i="34"/>
  <c r="D813" i="34"/>
  <c r="L812" i="34"/>
  <c r="G812" i="34"/>
  <c r="D812" i="34"/>
  <c r="L811" i="34"/>
  <c r="G811" i="34"/>
  <c r="D811" i="34"/>
  <c r="L810" i="34"/>
  <c r="G810" i="34"/>
  <c r="D810" i="34"/>
  <c r="L809" i="34"/>
  <c r="G809" i="34"/>
  <c r="D809" i="34"/>
  <c r="L808" i="34"/>
  <c r="G808" i="34"/>
  <c r="D808" i="34"/>
  <c r="L807" i="34"/>
  <c r="G807" i="34"/>
  <c r="D807" i="34"/>
  <c r="L806" i="34"/>
  <c r="G806" i="34"/>
  <c r="D806" i="34"/>
  <c r="L805" i="34"/>
  <c r="G805" i="34"/>
  <c r="D805" i="34"/>
  <c r="L804" i="34"/>
  <c r="G804" i="34"/>
  <c r="D804" i="34"/>
  <c r="L803" i="34"/>
  <c r="G803" i="34"/>
  <c r="D803" i="34"/>
  <c r="L802" i="34"/>
  <c r="G802" i="34"/>
  <c r="D802" i="34"/>
  <c r="L801" i="34"/>
  <c r="G801" i="34"/>
  <c r="D801" i="34"/>
  <c r="L800" i="34"/>
  <c r="G800" i="34"/>
  <c r="D800" i="34"/>
  <c r="L799" i="34"/>
  <c r="G799" i="34"/>
  <c r="D799" i="34"/>
  <c r="L798" i="34"/>
  <c r="G798" i="34"/>
  <c r="D798" i="34"/>
  <c r="L797" i="34"/>
  <c r="G797" i="34"/>
  <c r="D797" i="34"/>
  <c r="L796" i="34"/>
  <c r="G796" i="34"/>
  <c r="D796" i="34"/>
  <c r="L795" i="34"/>
  <c r="G795" i="34"/>
  <c r="D795" i="34"/>
  <c r="L794" i="34"/>
  <c r="G794" i="34"/>
  <c r="D794" i="34"/>
  <c r="L793" i="34"/>
  <c r="G793" i="34"/>
  <c r="D793" i="34"/>
  <c r="L792" i="34"/>
  <c r="G792" i="34"/>
  <c r="D792" i="34"/>
  <c r="L791" i="34"/>
  <c r="G791" i="34"/>
  <c r="D791" i="34"/>
  <c r="L790" i="34"/>
  <c r="G790" i="34"/>
  <c r="D790" i="34"/>
  <c r="L789" i="34"/>
  <c r="G789" i="34"/>
  <c r="D789" i="34"/>
  <c r="L788" i="34"/>
  <c r="G788" i="34"/>
  <c r="D788" i="34"/>
  <c r="L787" i="34"/>
  <c r="G787" i="34"/>
  <c r="D787" i="34"/>
  <c r="L786" i="34"/>
  <c r="G786" i="34"/>
  <c r="D786" i="34"/>
  <c r="L785" i="34"/>
  <c r="G785" i="34"/>
  <c r="D785" i="34"/>
  <c r="L784" i="34"/>
  <c r="G784" i="34"/>
  <c r="D784" i="34"/>
  <c r="L783" i="34"/>
  <c r="G783" i="34"/>
  <c r="D783" i="34"/>
  <c r="L782" i="34"/>
  <c r="G782" i="34"/>
  <c r="D782" i="34"/>
  <c r="L781" i="34"/>
  <c r="G781" i="34"/>
  <c r="D781" i="34"/>
  <c r="L780" i="34"/>
  <c r="G780" i="34"/>
  <c r="D780" i="34"/>
  <c r="L779" i="34"/>
  <c r="G779" i="34"/>
  <c r="D779" i="34"/>
  <c r="L778" i="34"/>
  <c r="G778" i="34"/>
  <c r="D778" i="34"/>
  <c r="L777" i="34"/>
  <c r="G777" i="34"/>
  <c r="D777" i="34"/>
  <c r="L776" i="34"/>
  <c r="G776" i="34"/>
  <c r="D776" i="34"/>
  <c r="L775" i="34"/>
  <c r="G775" i="34"/>
  <c r="D775" i="34"/>
  <c r="L774" i="34"/>
  <c r="G774" i="34"/>
  <c r="D774" i="34"/>
  <c r="L773" i="34"/>
  <c r="G773" i="34"/>
  <c r="D773" i="34"/>
  <c r="L772" i="34"/>
  <c r="G772" i="34"/>
  <c r="D772" i="34"/>
  <c r="L771" i="34"/>
  <c r="G771" i="34"/>
  <c r="D771" i="34"/>
  <c r="L770" i="34"/>
  <c r="G770" i="34"/>
  <c r="D770" i="34"/>
  <c r="L769" i="34"/>
  <c r="G769" i="34"/>
  <c r="D769" i="34"/>
  <c r="L768" i="34"/>
  <c r="G768" i="34"/>
  <c r="D768" i="34"/>
  <c r="L767" i="34"/>
  <c r="G767" i="34"/>
  <c r="D767" i="34"/>
  <c r="L766" i="34"/>
  <c r="G766" i="34"/>
  <c r="D766" i="34"/>
  <c r="L765" i="34"/>
  <c r="G765" i="34"/>
  <c r="D765" i="34"/>
  <c r="L764" i="34"/>
  <c r="G764" i="34"/>
  <c r="D764" i="34"/>
  <c r="L763" i="34"/>
  <c r="G763" i="34"/>
  <c r="D763" i="34"/>
  <c r="L762" i="34"/>
  <c r="G762" i="34"/>
  <c r="D762" i="34"/>
  <c r="L761" i="34"/>
  <c r="G761" i="34"/>
  <c r="D761" i="34"/>
  <c r="L760" i="34"/>
  <c r="G760" i="34"/>
  <c r="D760" i="34"/>
  <c r="L759" i="34"/>
  <c r="G759" i="34"/>
  <c r="D759" i="34"/>
  <c r="L758" i="34"/>
  <c r="G758" i="34"/>
  <c r="D758" i="34"/>
  <c r="L757" i="34"/>
  <c r="G757" i="34"/>
  <c r="D757" i="34"/>
  <c r="L756" i="34"/>
  <c r="G756" i="34"/>
  <c r="D756" i="34"/>
  <c r="L755" i="34"/>
  <c r="G755" i="34"/>
  <c r="D755" i="34"/>
  <c r="L754" i="34"/>
  <c r="G754" i="34"/>
  <c r="D754" i="34"/>
  <c r="L753" i="34"/>
  <c r="G753" i="34"/>
  <c r="D753" i="34"/>
  <c r="L752" i="34"/>
  <c r="G752" i="34"/>
  <c r="D752" i="34"/>
  <c r="L751" i="34"/>
  <c r="G751" i="34"/>
  <c r="D751" i="34"/>
  <c r="L750" i="34"/>
  <c r="G750" i="34"/>
  <c r="D750" i="34"/>
  <c r="L749" i="34"/>
  <c r="G749" i="34"/>
  <c r="D749" i="34"/>
  <c r="L748" i="34"/>
  <c r="G748" i="34"/>
  <c r="D748" i="34"/>
  <c r="L747" i="34"/>
  <c r="G747" i="34"/>
  <c r="D747" i="34"/>
  <c r="L746" i="34"/>
  <c r="G746" i="34"/>
  <c r="D746" i="34"/>
  <c r="L745" i="34"/>
  <c r="G745" i="34"/>
  <c r="D745" i="34"/>
  <c r="L744" i="34"/>
  <c r="G744" i="34"/>
  <c r="D744" i="34"/>
  <c r="L743" i="34"/>
  <c r="G743" i="34"/>
  <c r="D743" i="34"/>
  <c r="L742" i="34"/>
  <c r="G742" i="34"/>
  <c r="D742" i="34"/>
  <c r="L741" i="34"/>
  <c r="G741" i="34"/>
  <c r="D741" i="34"/>
  <c r="L740" i="34"/>
  <c r="G740" i="34"/>
  <c r="D740" i="34"/>
  <c r="L739" i="34"/>
  <c r="G739" i="34"/>
  <c r="D739" i="34"/>
  <c r="L738" i="34"/>
  <c r="G738" i="34"/>
  <c r="D738" i="34"/>
  <c r="L737" i="34"/>
  <c r="G737" i="34"/>
  <c r="D737" i="34"/>
  <c r="L736" i="34"/>
  <c r="G736" i="34"/>
  <c r="D736" i="34"/>
  <c r="L735" i="34"/>
  <c r="G735" i="34"/>
  <c r="D735" i="34"/>
  <c r="L734" i="34"/>
  <c r="G734" i="34"/>
  <c r="D734" i="34"/>
  <c r="L733" i="34"/>
  <c r="G733" i="34"/>
  <c r="D733" i="34"/>
  <c r="L732" i="34"/>
  <c r="G732" i="34"/>
  <c r="D732" i="34"/>
  <c r="L731" i="34"/>
  <c r="G731" i="34"/>
  <c r="D731" i="34"/>
  <c r="L730" i="34"/>
  <c r="G730" i="34"/>
  <c r="D730" i="34"/>
  <c r="L729" i="34"/>
  <c r="G729" i="34"/>
  <c r="D729" i="34"/>
  <c r="L728" i="34"/>
  <c r="G728" i="34"/>
  <c r="D728" i="34"/>
  <c r="L727" i="34"/>
  <c r="G727" i="34"/>
  <c r="D727" i="34"/>
  <c r="L726" i="34"/>
  <c r="G726" i="34"/>
  <c r="D726" i="34"/>
  <c r="L725" i="34"/>
  <c r="G725" i="34"/>
  <c r="D725" i="34"/>
  <c r="L724" i="34"/>
  <c r="G724" i="34"/>
  <c r="D724" i="34"/>
  <c r="L723" i="34"/>
  <c r="G723" i="34"/>
  <c r="D723" i="34"/>
  <c r="L722" i="34"/>
  <c r="G722" i="34"/>
  <c r="D722" i="34"/>
  <c r="L721" i="34"/>
  <c r="G721" i="34"/>
  <c r="D721" i="34"/>
  <c r="L720" i="34"/>
  <c r="G720" i="34"/>
  <c r="D720" i="34"/>
  <c r="L719" i="34"/>
  <c r="G719" i="34"/>
  <c r="D719" i="34"/>
  <c r="L718" i="34"/>
  <c r="G718" i="34"/>
  <c r="D718" i="34"/>
  <c r="L717" i="34"/>
  <c r="G717" i="34"/>
  <c r="D717" i="34"/>
  <c r="L716" i="34"/>
  <c r="G716" i="34"/>
  <c r="D716" i="34"/>
  <c r="L715" i="34"/>
  <c r="G715" i="34"/>
  <c r="D715" i="34"/>
  <c r="L714" i="34"/>
  <c r="G714" i="34"/>
  <c r="D714" i="34"/>
  <c r="L713" i="34"/>
  <c r="G713" i="34"/>
  <c r="D713" i="34"/>
  <c r="L712" i="34"/>
  <c r="G712" i="34"/>
  <c r="D712" i="34"/>
  <c r="L711" i="34"/>
  <c r="G711" i="34"/>
  <c r="D711" i="34"/>
  <c r="L710" i="34"/>
  <c r="G710" i="34"/>
  <c r="D710" i="34"/>
  <c r="L709" i="34"/>
  <c r="G709" i="34"/>
  <c r="D709" i="34"/>
  <c r="L708" i="34"/>
  <c r="G708" i="34"/>
  <c r="D708" i="34"/>
  <c r="L707" i="34"/>
  <c r="G707" i="34"/>
  <c r="D707" i="34"/>
  <c r="L706" i="34"/>
  <c r="G706" i="34"/>
  <c r="D706" i="34"/>
  <c r="L705" i="34"/>
  <c r="G705" i="34"/>
  <c r="D705" i="34"/>
  <c r="L704" i="34"/>
  <c r="G704" i="34"/>
  <c r="D704" i="34"/>
  <c r="L703" i="34"/>
  <c r="G703" i="34"/>
  <c r="D703" i="34"/>
  <c r="L702" i="34"/>
  <c r="G702" i="34"/>
  <c r="D702" i="34"/>
  <c r="L701" i="34"/>
  <c r="G701" i="34"/>
  <c r="D701" i="34"/>
  <c r="L700" i="34"/>
  <c r="G700" i="34"/>
  <c r="D700" i="34"/>
  <c r="L699" i="34"/>
  <c r="G699" i="34"/>
  <c r="D699" i="34"/>
  <c r="L698" i="34"/>
  <c r="G698" i="34"/>
  <c r="D698" i="34"/>
  <c r="L697" i="34"/>
  <c r="G697" i="34"/>
  <c r="D697" i="34"/>
  <c r="L696" i="34"/>
  <c r="G696" i="34"/>
  <c r="D696" i="34"/>
  <c r="L695" i="34"/>
  <c r="G695" i="34"/>
  <c r="D695" i="34"/>
  <c r="L694" i="34"/>
  <c r="G694" i="34"/>
  <c r="D694" i="34"/>
  <c r="L693" i="34"/>
  <c r="G693" i="34"/>
  <c r="D693" i="34"/>
  <c r="L692" i="34"/>
  <c r="G692" i="34"/>
  <c r="D692" i="34"/>
  <c r="L691" i="34"/>
  <c r="G691" i="34"/>
  <c r="D691" i="34"/>
  <c r="L690" i="34"/>
  <c r="G690" i="34"/>
  <c r="D690" i="34"/>
  <c r="L689" i="34"/>
  <c r="G689" i="34"/>
  <c r="D689" i="34"/>
  <c r="L688" i="34"/>
  <c r="G688" i="34"/>
  <c r="D688" i="34"/>
  <c r="L687" i="34"/>
  <c r="G687" i="34"/>
  <c r="D687" i="34"/>
  <c r="L686" i="34"/>
  <c r="G686" i="34"/>
  <c r="D686" i="34"/>
  <c r="L685" i="34"/>
  <c r="G685" i="34"/>
  <c r="D685" i="34"/>
  <c r="L684" i="34"/>
  <c r="G684" i="34"/>
  <c r="D684" i="34"/>
  <c r="L683" i="34"/>
  <c r="G683" i="34"/>
  <c r="D683" i="34"/>
  <c r="L682" i="34"/>
  <c r="G682" i="34"/>
  <c r="D682" i="34"/>
  <c r="L681" i="34"/>
  <c r="G681" i="34"/>
  <c r="D681" i="34"/>
  <c r="L680" i="34"/>
  <c r="G680" i="34"/>
  <c r="D680" i="34"/>
  <c r="L679" i="34"/>
  <c r="G679" i="34"/>
  <c r="D679" i="34"/>
  <c r="L678" i="34"/>
  <c r="G678" i="34"/>
  <c r="D678" i="34"/>
  <c r="L677" i="34"/>
  <c r="G677" i="34"/>
  <c r="D677" i="34"/>
  <c r="L676" i="34"/>
  <c r="G676" i="34"/>
  <c r="D676" i="34"/>
  <c r="L675" i="34"/>
  <c r="G675" i="34"/>
  <c r="D675" i="34"/>
  <c r="L674" i="34"/>
  <c r="G674" i="34"/>
  <c r="D674" i="34"/>
  <c r="L673" i="34"/>
  <c r="G673" i="34"/>
  <c r="D673" i="34"/>
  <c r="L672" i="34"/>
  <c r="G672" i="34"/>
  <c r="D672" i="34"/>
  <c r="L671" i="34"/>
  <c r="G671" i="34"/>
  <c r="D671" i="34"/>
  <c r="L670" i="34"/>
  <c r="G670" i="34"/>
  <c r="D670" i="34"/>
  <c r="L669" i="34"/>
  <c r="G669" i="34"/>
  <c r="D669" i="34"/>
  <c r="L668" i="34"/>
  <c r="G668" i="34"/>
  <c r="D668" i="34"/>
  <c r="L667" i="34"/>
  <c r="G667" i="34"/>
  <c r="D667" i="34"/>
  <c r="L666" i="34"/>
  <c r="G666" i="34"/>
  <c r="D666" i="34"/>
  <c r="L665" i="34"/>
  <c r="G665" i="34"/>
  <c r="D665" i="34"/>
  <c r="L664" i="34"/>
  <c r="G664" i="34"/>
  <c r="D664" i="34"/>
  <c r="L663" i="34"/>
  <c r="G663" i="34"/>
  <c r="D663" i="34"/>
  <c r="L662" i="34"/>
  <c r="G662" i="34"/>
  <c r="D662" i="34"/>
  <c r="L661" i="34"/>
  <c r="G661" i="34"/>
  <c r="D661" i="34"/>
  <c r="L660" i="34"/>
  <c r="G660" i="34"/>
  <c r="D660" i="34"/>
  <c r="L659" i="34"/>
  <c r="G659" i="34"/>
  <c r="D659" i="34"/>
  <c r="L658" i="34"/>
  <c r="G658" i="34"/>
  <c r="D658" i="34"/>
  <c r="L657" i="34"/>
  <c r="G657" i="34"/>
  <c r="D657" i="34"/>
  <c r="L656" i="34"/>
  <c r="G656" i="34"/>
  <c r="D656" i="34"/>
  <c r="L655" i="34"/>
  <c r="G655" i="34"/>
  <c r="D655" i="34"/>
  <c r="L654" i="34"/>
  <c r="G654" i="34"/>
  <c r="D654" i="34"/>
  <c r="L653" i="34"/>
  <c r="G653" i="34"/>
  <c r="D653" i="34"/>
  <c r="L652" i="34"/>
  <c r="G652" i="34"/>
  <c r="D652" i="34"/>
  <c r="L651" i="34"/>
  <c r="G651" i="34"/>
  <c r="D651" i="34"/>
  <c r="L650" i="34"/>
  <c r="G650" i="34"/>
  <c r="D650" i="34"/>
  <c r="L649" i="34"/>
  <c r="G649" i="34"/>
  <c r="D649" i="34"/>
  <c r="L648" i="34"/>
  <c r="G648" i="34"/>
  <c r="D648" i="34"/>
  <c r="L647" i="34"/>
  <c r="G647" i="34"/>
  <c r="D647" i="34"/>
  <c r="L646" i="34"/>
  <c r="G646" i="34"/>
  <c r="D646" i="34"/>
  <c r="L645" i="34"/>
  <c r="G645" i="34"/>
  <c r="D645" i="34"/>
  <c r="L644" i="34"/>
  <c r="G644" i="34"/>
  <c r="D644" i="34"/>
  <c r="L643" i="34"/>
  <c r="G643" i="34"/>
  <c r="D643" i="34"/>
  <c r="L642" i="34"/>
  <c r="G642" i="34"/>
  <c r="D642" i="34"/>
  <c r="L641" i="34"/>
  <c r="G641" i="34"/>
  <c r="D641" i="34"/>
  <c r="L640" i="34"/>
  <c r="G640" i="34"/>
  <c r="D640" i="34"/>
  <c r="L639" i="34"/>
  <c r="G639" i="34"/>
  <c r="D639" i="34"/>
  <c r="L638" i="34"/>
  <c r="G638" i="34"/>
  <c r="D638" i="34"/>
  <c r="L637" i="34"/>
  <c r="G637" i="34"/>
  <c r="D637" i="34"/>
  <c r="L636" i="34"/>
  <c r="G636" i="34"/>
  <c r="D636" i="34"/>
  <c r="L635" i="34"/>
  <c r="G635" i="34"/>
  <c r="D635" i="34"/>
  <c r="L634" i="34"/>
  <c r="G634" i="34"/>
  <c r="D634" i="34"/>
  <c r="L633" i="34"/>
  <c r="G633" i="34"/>
  <c r="D633" i="34"/>
  <c r="L632" i="34"/>
  <c r="G632" i="34"/>
  <c r="D632" i="34"/>
  <c r="L631" i="34"/>
  <c r="G631" i="34"/>
  <c r="D631" i="34"/>
  <c r="L630" i="34"/>
  <c r="G630" i="34"/>
  <c r="D630" i="34"/>
  <c r="L629" i="34"/>
  <c r="G629" i="34"/>
  <c r="D629" i="34"/>
  <c r="L628" i="34"/>
  <c r="G628" i="34"/>
  <c r="D628" i="34"/>
  <c r="L627" i="34"/>
  <c r="G627" i="34"/>
  <c r="D627" i="34"/>
  <c r="L626" i="34"/>
  <c r="G626" i="34"/>
  <c r="D626" i="34"/>
  <c r="L625" i="34"/>
  <c r="G625" i="34"/>
  <c r="D625" i="34"/>
  <c r="L624" i="34"/>
  <c r="G624" i="34"/>
  <c r="D624" i="34"/>
  <c r="L623" i="34"/>
  <c r="G623" i="34"/>
  <c r="D623" i="34"/>
  <c r="L622" i="34"/>
  <c r="G622" i="34"/>
  <c r="D622" i="34"/>
  <c r="L621" i="34"/>
  <c r="G621" i="34"/>
  <c r="D621" i="34"/>
  <c r="L620" i="34"/>
  <c r="G620" i="34"/>
  <c r="D620" i="34"/>
  <c r="L619" i="34"/>
  <c r="G619" i="34"/>
  <c r="D619" i="34"/>
  <c r="L618" i="34"/>
  <c r="G618" i="34"/>
  <c r="D618" i="34"/>
  <c r="L617" i="34"/>
  <c r="G617" i="34"/>
  <c r="D617" i="34"/>
  <c r="L616" i="34"/>
  <c r="G616" i="34"/>
  <c r="D616" i="34"/>
  <c r="L615" i="34"/>
  <c r="G615" i="34"/>
  <c r="D615" i="34"/>
  <c r="L614" i="34"/>
  <c r="G614" i="34"/>
  <c r="D614" i="34"/>
  <c r="L613" i="34"/>
  <c r="G613" i="34"/>
  <c r="D613" i="34"/>
  <c r="L612" i="34"/>
  <c r="G612" i="34"/>
  <c r="D612" i="34"/>
  <c r="L611" i="34"/>
  <c r="G611" i="34"/>
  <c r="D611" i="34"/>
  <c r="L610" i="34"/>
  <c r="G610" i="34"/>
  <c r="D610" i="34"/>
  <c r="L609" i="34"/>
  <c r="G609" i="34"/>
  <c r="D609" i="34"/>
  <c r="L608" i="34"/>
  <c r="G608" i="34"/>
  <c r="D608" i="34"/>
  <c r="L607" i="34"/>
  <c r="G607" i="34"/>
  <c r="D607" i="34"/>
  <c r="L606" i="34"/>
  <c r="G606" i="34"/>
  <c r="D606" i="34"/>
  <c r="L605" i="34"/>
  <c r="G605" i="34"/>
  <c r="D605" i="34"/>
  <c r="L604" i="34"/>
  <c r="G604" i="34"/>
  <c r="D604" i="34"/>
  <c r="L603" i="34"/>
  <c r="G603" i="34"/>
  <c r="D603" i="34"/>
  <c r="L602" i="34"/>
  <c r="G602" i="34"/>
  <c r="D602" i="34"/>
  <c r="L601" i="34"/>
  <c r="G601" i="34"/>
  <c r="D601" i="34"/>
  <c r="L600" i="34"/>
  <c r="G600" i="34"/>
  <c r="D600" i="34"/>
  <c r="L599" i="34"/>
  <c r="G599" i="34"/>
  <c r="D599" i="34"/>
  <c r="L598" i="34"/>
  <c r="G598" i="34"/>
  <c r="D598" i="34"/>
  <c r="L597" i="34"/>
  <c r="G597" i="34"/>
  <c r="D597" i="34"/>
  <c r="L596" i="34"/>
  <c r="G596" i="34"/>
  <c r="D596" i="34"/>
  <c r="L595" i="34"/>
  <c r="G595" i="34"/>
  <c r="D595" i="34"/>
  <c r="L594" i="34"/>
  <c r="G594" i="34"/>
  <c r="D594" i="34"/>
  <c r="L593" i="34"/>
  <c r="G593" i="34"/>
  <c r="D593" i="34"/>
  <c r="L592" i="34"/>
  <c r="G592" i="34"/>
  <c r="D592" i="34"/>
  <c r="L591" i="34"/>
  <c r="G591" i="34"/>
  <c r="D591" i="34"/>
  <c r="L590" i="34"/>
  <c r="G590" i="34"/>
  <c r="D590" i="34"/>
  <c r="L589" i="34"/>
  <c r="G589" i="34"/>
  <c r="D589" i="34"/>
  <c r="L588" i="34"/>
  <c r="G588" i="34"/>
  <c r="D588" i="34"/>
  <c r="L587" i="34"/>
  <c r="G587" i="34"/>
  <c r="D587" i="34"/>
  <c r="L586" i="34"/>
  <c r="G586" i="34"/>
  <c r="D586" i="34"/>
  <c r="L585" i="34"/>
  <c r="G585" i="34"/>
  <c r="D585" i="34"/>
  <c r="L584" i="34"/>
  <c r="G584" i="34"/>
  <c r="D584" i="34"/>
  <c r="L583" i="34"/>
  <c r="G583" i="34"/>
  <c r="D583" i="34"/>
  <c r="L582" i="34"/>
  <c r="G582" i="34"/>
  <c r="D582" i="34"/>
  <c r="L581" i="34"/>
  <c r="G581" i="34"/>
  <c r="D581" i="34"/>
  <c r="L580" i="34"/>
  <c r="G580" i="34"/>
  <c r="D580" i="34"/>
  <c r="L579" i="34"/>
  <c r="G579" i="34"/>
  <c r="D579" i="34"/>
  <c r="L578" i="34"/>
  <c r="G578" i="34"/>
  <c r="D578" i="34"/>
  <c r="L577" i="34"/>
  <c r="G577" i="34"/>
  <c r="D577" i="34"/>
  <c r="L576" i="34"/>
  <c r="G576" i="34"/>
  <c r="D576" i="34"/>
  <c r="L575" i="34"/>
  <c r="G575" i="34"/>
  <c r="D575" i="34"/>
  <c r="L574" i="34"/>
  <c r="G574" i="34"/>
  <c r="D574" i="34"/>
  <c r="L573" i="34"/>
  <c r="G573" i="34"/>
  <c r="D573" i="34"/>
  <c r="L572" i="34"/>
  <c r="G572" i="34"/>
  <c r="D572" i="34"/>
  <c r="L571" i="34"/>
  <c r="G571" i="34"/>
  <c r="D571" i="34"/>
  <c r="L570" i="34"/>
  <c r="G570" i="34"/>
  <c r="D570" i="34"/>
  <c r="L569" i="34"/>
  <c r="G569" i="34"/>
  <c r="D569" i="34"/>
  <c r="L568" i="34"/>
  <c r="G568" i="34"/>
  <c r="D568" i="34"/>
  <c r="L567" i="34"/>
  <c r="G567" i="34"/>
  <c r="D567" i="34"/>
  <c r="L566" i="34"/>
  <c r="G566" i="34"/>
  <c r="D566" i="34"/>
  <c r="L565" i="34"/>
  <c r="G565" i="34"/>
  <c r="D565" i="34"/>
  <c r="L564" i="34"/>
  <c r="G564" i="34"/>
  <c r="D564" i="34"/>
  <c r="L563" i="34"/>
  <c r="G563" i="34"/>
  <c r="D563" i="34"/>
  <c r="L562" i="34"/>
  <c r="G562" i="34"/>
  <c r="D562" i="34"/>
  <c r="L561" i="34"/>
  <c r="G561" i="34"/>
  <c r="D561" i="34"/>
  <c r="L560" i="34"/>
  <c r="G560" i="34"/>
  <c r="D560" i="34"/>
  <c r="L559" i="34"/>
  <c r="G559" i="34"/>
  <c r="D559" i="34"/>
  <c r="L558" i="34"/>
  <c r="G558" i="34"/>
  <c r="D558" i="34"/>
  <c r="L557" i="34"/>
  <c r="G557" i="34"/>
  <c r="D557" i="34"/>
  <c r="L556" i="34"/>
  <c r="G556" i="34"/>
  <c r="D556" i="34"/>
  <c r="L555" i="34"/>
  <c r="G555" i="34"/>
  <c r="D555" i="34"/>
  <c r="L554" i="34"/>
  <c r="G554" i="34"/>
  <c r="D554" i="34"/>
  <c r="L553" i="34"/>
  <c r="G553" i="34"/>
  <c r="D553" i="34"/>
  <c r="L552" i="34"/>
  <c r="G552" i="34"/>
  <c r="D552" i="34"/>
  <c r="L551" i="34"/>
  <c r="G551" i="34"/>
  <c r="D551" i="34"/>
  <c r="L550" i="34"/>
  <c r="G550" i="34"/>
  <c r="D550" i="34"/>
  <c r="L549" i="34"/>
  <c r="G549" i="34"/>
  <c r="D549" i="34"/>
  <c r="L548" i="34"/>
  <c r="G548" i="34"/>
  <c r="D548" i="34"/>
  <c r="L547" i="34"/>
  <c r="G547" i="34"/>
  <c r="D547" i="34"/>
  <c r="L546" i="34"/>
  <c r="G546" i="34"/>
  <c r="D546" i="34"/>
  <c r="L545" i="34"/>
  <c r="G545" i="34"/>
  <c r="D545" i="34"/>
  <c r="L544" i="34"/>
  <c r="G544" i="34"/>
  <c r="D544" i="34"/>
  <c r="L543" i="34"/>
  <c r="G543" i="34"/>
  <c r="D543" i="34"/>
  <c r="L542" i="34"/>
  <c r="G542" i="34"/>
  <c r="D542" i="34"/>
  <c r="L541" i="34"/>
  <c r="G541" i="34"/>
  <c r="D541" i="34"/>
  <c r="L540" i="34"/>
  <c r="G540" i="34"/>
  <c r="D540" i="34"/>
  <c r="L539" i="34"/>
  <c r="G539" i="34"/>
  <c r="D539" i="34"/>
  <c r="L538" i="34"/>
  <c r="G538" i="34"/>
  <c r="D538" i="34"/>
  <c r="L537" i="34"/>
  <c r="G537" i="34"/>
  <c r="D537" i="34"/>
  <c r="L536" i="34"/>
  <c r="G536" i="34"/>
  <c r="D536" i="34"/>
  <c r="L535" i="34"/>
  <c r="G535" i="34"/>
  <c r="D535" i="34"/>
  <c r="L534" i="34"/>
  <c r="G534" i="34"/>
  <c r="D534" i="34"/>
  <c r="L533" i="34"/>
  <c r="G533" i="34"/>
  <c r="D533" i="34"/>
  <c r="L532" i="34"/>
  <c r="G532" i="34"/>
  <c r="D532" i="34"/>
  <c r="L531" i="34"/>
  <c r="G531" i="34"/>
  <c r="D531" i="34"/>
  <c r="L530" i="34"/>
  <c r="G530" i="34"/>
  <c r="D530" i="34"/>
  <c r="L529" i="34"/>
  <c r="G529" i="34"/>
  <c r="D529" i="34"/>
  <c r="L528" i="34"/>
  <c r="G528" i="34"/>
  <c r="D528" i="34"/>
  <c r="L527" i="34"/>
  <c r="G527" i="34"/>
  <c r="D527" i="34"/>
  <c r="L526" i="34"/>
  <c r="G526" i="34"/>
  <c r="D526" i="34"/>
  <c r="L525" i="34"/>
  <c r="G525" i="34"/>
  <c r="D525" i="34"/>
  <c r="L524" i="34"/>
  <c r="G524" i="34"/>
  <c r="D524" i="34"/>
  <c r="L523" i="34"/>
  <c r="G523" i="34"/>
  <c r="D523" i="34"/>
  <c r="L522" i="34"/>
  <c r="G522" i="34"/>
  <c r="D522" i="34"/>
  <c r="L521" i="34"/>
  <c r="G521" i="34"/>
  <c r="D521" i="34"/>
  <c r="L520" i="34"/>
  <c r="G520" i="34"/>
  <c r="D520" i="34"/>
  <c r="L519" i="34"/>
  <c r="G519" i="34"/>
  <c r="D519" i="34"/>
  <c r="L518" i="34"/>
  <c r="G518" i="34"/>
  <c r="D518" i="34"/>
  <c r="L517" i="34"/>
  <c r="G517" i="34"/>
  <c r="D517" i="34"/>
  <c r="L516" i="34"/>
  <c r="G516" i="34"/>
  <c r="D516" i="34"/>
  <c r="L515" i="34"/>
  <c r="G515" i="34"/>
  <c r="D515" i="34"/>
  <c r="L514" i="34"/>
  <c r="G514" i="34"/>
  <c r="D514" i="34"/>
  <c r="L513" i="34"/>
  <c r="G513" i="34"/>
  <c r="D513" i="34"/>
  <c r="L512" i="34"/>
  <c r="G512" i="34"/>
  <c r="D512" i="34"/>
  <c r="L511" i="34"/>
  <c r="G511" i="34"/>
  <c r="D511" i="34"/>
  <c r="L510" i="34"/>
  <c r="G510" i="34"/>
  <c r="D510" i="34"/>
  <c r="L509" i="34"/>
  <c r="G509" i="34"/>
  <c r="D509" i="34"/>
  <c r="L508" i="34"/>
  <c r="G508" i="34"/>
  <c r="D508" i="34"/>
  <c r="L507" i="34"/>
  <c r="G507" i="34"/>
  <c r="D507" i="34"/>
  <c r="L506" i="34"/>
  <c r="G506" i="34"/>
  <c r="D506" i="34"/>
  <c r="L505" i="34"/>
  <c r="G505" i="34"/>
  <c r="D505" i="34"/>
  <c r="L504" i="34"/>
  <c r="G504" i="34"/>
  <c r="D504" i="34"/>
  <c r="L503" i="34"/>
  <c r="G503" i="34"/>
  <c r="D503" i="34"/>
  <c r="L502" i="34"/>
  <c r="G502" i="34"/>
  <c r="D502" i="34"/>
  <c r="L501" i="34"/>
  <c r="G501" i="34"/>
  <c r="D501" i="34"/>
  <c r="L500" i="34"/>
  <c r="G500" i="34"/>
  <c r="D500" i="34"/>
  <c r="L499" i="34"/>
  <c r="G499" i="34"/>
  <c r="D499" i="34"/>
  <c r="L498" i="34"/>
  <c r="G498" i="34"/>
  <c r="D498" i="34"/>
  <c r="L497" i="34"/>
  <c r="G497" i="34"/>
  <c r="D497" i="34"/>
  <c r="L496" i="34"/>
  <c r="G496" i="34"/>
  <c r="D496" i="34"/>
  <c r="L495" i="34"/>
  <c r="G495" i="34"/>
  <c r="D495" i="34"/>
  <c r="L494" i="34"/>
  <c r="G494" i="34"/>
  <c r="D494" i="34"/>
  <c r="L493" i="34"/>
  <c r="G493" i="34"/>
  <c r="D493" i="34"/>
  <c r="L492" i="34"/>
  <c r="G492" i="34"/>
  <c r="D492" i="34"/>
  <c r="L491" i="34"/>
  <c r="G491" i="34"/>
  <c r="D491" i="34"/>
  <c r="L490" i="34"/>
  <c r="G490" i="34"/>
  <c r="D490" i="34"/>
  <c r="L489" i="34"/>
  <c r="G489" i="34"/>
  <c r="D489" i="34"/>
  <c r="L488" i="34"/>
  <c r="G488" i="34"/>
  <c r="D488" i="34"/>
  <c r="L487" i="34"/>
  <c r="G487" i="34"/>
  <c r="D487" i="34"/>
  <c r="L486" i="34"/>
  <c r="G486" i="34"/>
  <c r="D486" i="34"/>
  <c r="L485" i="34"/>
  <c r="G485" i="34"/>
  <c r="D485" i="34"/>
  <c r="L484" i="34"/>
  <c r="G484" i="34"/>
  <c r="D484" i="34"/>
  <c r="L483" i="34"/>
  <c r="G483" i="34"/>
  <c r="D483" i="34"/>
  <c r="L482" i="34"/>
  <c r="G482" i="34"/>
  <c r="D482" i="34"/>
  <c r="L481" i="34"/>
  <c r="G481" i="34"/>
  <c r="D481" i="34"/>
  <c r="L480" i="34"/>
  <c r="G480" i="34"/>
  <c r="D480" i="34"/>
  <c r="L479" i="34"/>
  <c r="G479" i="34"/>
  <c r="D479" i="34"/>
  <c r="L478" i="34"/>
  <c r="G478" i="34"/>
  <c r="D478" i="34"/>
  <c r="L477" i="34"/>
  <c r="G477" i="34"/>
  <c r="D477" i="34"/>
  <c r="L476" i="34"/>
  <c r="G476" i="34"/>
  <c r="D476" i="34"/>
  <c r="L475" i="34"/>
  <c r="G475" i="34"/>
  <c r="D475" i="34"/>
  <c r="L474" i="34"/>
  <c r="G474" i="34"/>
  <c r="D474" i="34"/>
  <c r="L473" i="34"/>
  <c r="G473" i="34"/>
  <c r="D473" i="34"/>
  <c r="L472" i="34"/>
  <c r="G472" i="34"/>
  <c r="D472" i="34"/>
  <c r="L471" i="34"/>
  <c r="G471" i="34"/>
  <c r="D471" i="34"/>
  <c r="L470" i="34"/>
  <c r="G470" i="34"/>
  <c r="D470" i="34"/>
  <c r="L469" i="34"/>
  <c r="G469" i="34"/>
  <c r="D469" i="34"/>
  <c r="L468" i="34"/>
  <c r="G468" i="34"/>
  <c r="D468" i="34"/>
  <c r="L467" i="34"/>
  <c r="G467" i="34"/>
  <c r="D467" i="34"/>
  <c r="L466" i="34"/>
  <c r="G466" i="34"/>
  <c r="D466" i="34"/>
  <c r="L465" i="34"/>
  <c r="G465" i="34"/>
  <c r="D465" i="34"/>
  <c r="L464" i="34"/>
  <c r="G464" i="34"/>
  <c r="D464" i="34"/>
  <c r="L463" i="34"/>
  <c r="G463" i="34"/>
  <c r="D463" i="34"/>
  <c r="L462" i="34"/>
  <c r="G462" i="34"/>
  <c r="D462" i="34"/>
  <c r="L461" i="34"/>
  <c r="G461" i="34"/>
  <c r="D461" i="34"/>
  <c r="L460" i="34"/>
  <c r="G460" i="34"/>
  <c r="D460" i="34"/>
  <c r="L459" i="34"/>
  <c r="G459" i="34"/>
  <c r="D459" i="34"/>
  <c r="L458" i="34"/>
  <c r="G458" i="34"/>
  <c r="D458" i="34"/>
  <c r="L457" i="34"/>
  <c r="G457" i="34"/>
  <c r="D457" i="34"/>
  <c r="L456" i="34"/>
  <c r="G456" i="34"/>
  <c r="D456" i="34"/>
  <c r="L455" i="34"/>
  <c r="G455" i="34"/>
  <c r="D455" i="34"/>
  <c r="L454" i="34"/>
  <c r="G454" i="34"/>
  <c r="D454" i="34"/>
  <c r="L453" i="34"/>
  <c r="G453" i="34"/>
  <c r="D453" i="34"/>
  <c r="L452" i="34"/>
  <c r="G452" i="34"/>
  <c r="D452" i="34"/>
  <c r="L451" i="34"/>
  <c r="G451" i="34"/>
  <c r="D451" i="34"/>
  <c r="L450" i="34"/>
  <c r="G450" i="34"/>
  <c r="D450" i="34"/>
  <c r="L449" i="34"/>
  <c r="G449" i="34"/>
  <c r="D449" i="34"/>
  <c r="L448" i="34"/>
  <c r="G448" i="34"/>
  <c r="D448" i="34"/>
  <c r="L447" i="34"/>
  <c r="G447" i="34"/>
  <c r="D447" i="34"/>
  <c r="L446" i="34"/>
  <c r="G446" i="34"/>
  <c r="D446" i="34"/>
  <c r="L445" i="34"/>
  <c r="G445" i="34"/>
  <c r="D445" i="34"/>
  <c r="L444" i="34"/>
  <c r="G444" i="34"/>
  <c r="D444" i="34"/>
  <c r="L443" i="34"/>
  <c r="G443" i="34"/>
  <c r="D443" i="34"/>
  <c r="L442" i="34"/>
  <c r="G442" i="34"/>
  <c r="D442" i="34"/>
  <c r="L441" i="34"/>
  <c r="G441" i="34"/>
  <c r="D441" i="34"/>
  <c r="L440" i="34"/>
  <c r="G440" i="34"/>
  <c r="D440" i="34"/>
  <c r="L439" i="34"/>
  <c r="G439" i="34"/>
  <c r="D439" i="34"/>
  <c r="L438" i="34"/>
  <c r="G438" i="34"/>
  <c r="D438" i="34"/>
  <c r="L437" i="34"/>
  <c r="G437" i="34"/>
  <c r="D437" i="34"/>
  <c r="L436" i="34"/>
  <c r="G436" i="34"/>
  <c r="D436" i="34"/>
  <c r="L435" i="34"/>
  <c r="G435" i="34"/>
  <c r="D435" i="34"/>
  <c r="L434" i="34"/>
  <c r="G434" i="34"/>
  <c r="D434" i="34"/>
  <c r="L433" i="34"/>
  <c r="G433" i="34"/>
  <c r="D433" i="34"/>
  <c r="L432" i="34"/>
  <c r="G432" i="34"/>
  <c r="D432" i="34"/>
  <c r="L431" i="34"/>
  <c r="G431" i="34"/>
  <c r="D431" i="34"/>
  <c r="L430" i="34"/>
  <c r="G430" i="34"/>
  <c r="D430" i="34"/>
  <c r="L429" i="34"/>
  <c r="G429" i="34"/>
  <c r="D429" i="34"/>
  <c r="L428" i="34"/>
  <c r="G428" i="34"/>
  <c r="D428" i="34"/>
  <c r="L427" i="34"/>
  <c r="G427" i="34"/>
  <c r="D427" i="34"/>
  <c r="L426" i="34"/>
  <c r="G426" i="34"/>
  <c r="D426" i="34"/>
  <c r="L425" i="34"/>
  <c r="G425" i="34"/>
  <c r="D425" i="34"/>
  <c r="L424" i="34"/>
  <c r="G424" i="34"/>
  <c r="D424" i="34"/>
  <c r="L423" i="34"/>
  <c r="G423" i="34"/>
  <c r="D423" i="34"/>
  <c r="L422" i="34"/>
  <c r="G422" i="34"/>
  <c r="D422" i="34"/>
  <c r="L421" i="34"/>
  <c r="G421" i="34"/>
  <c r="D421" i="34"/>
  <c r="L420" i="34"/>
  <c r="G420" i="34"/>
  <c r="D420" i="34"/>
  <c r="L419" i="34"/>
  <c r="G419" i="34"/>
  <c r="D419" i="34"/>
  <c r="L418" i="34"/>
  <c r="G418" i="34"/>
  <c r="D418" i="34"/>
  <c r="L417" i="34"/>
  <c r="G417" i="34"/>
  <c r="D417" i="34"/>
  <c r="L416" i="34"/>
  <c r="G416" i="34"/>
  <c r="D416" i="34"/>
  <c r="L415" i="34"/>
  <c r="G415" i="34"/>
  <c r="D415" i="34"/>
  <c r="L414" i="34"/>
  <c r="G414" i="34"/>
  <c r="D414" i="34"/>
  <c r="L413" i="34"/>
  <c r="G413" i="34"/>
  <c r="D413" i="34"/>
  <c r="L412" i="34"/>
  <c r="G412" i="34"/>
  <c r="D412" i="34"/>
  <c r="L411" i="34"/>
  <c r="G411" i="34"/>
  <c r="D411" i="34"/>
  <c r="L410" i="34"/>
  <c r="G410" i="34"/>
  <c r="D410" i="34"/>
  <c r="L409" i="34"/>
  <c r="G409" i="34"/>
  <c r="D409" i="34"/>
  <c r="L408" i="34"/>
  <c r="G408" i="34"/>
  <c r="D408" i="34"/>
  <c r="L407" i="34"/>
  <c r="G407" i="34"/>
  <c r="D407" i="34"/>
  <c r="L406" i="34"/>
  <c r="G406" i="34"/>
  <c r="D406" i="34"/>
  <c r="L405" i="34"/>
  <c r="G405" i="34"/>
  <c r="D405" i="34"/>
  <c r="L404" i="34"/>
  <c r="G404" i="34"/>
  <c r="D404" i="34"/>
  <c r="L403" i="34"/>
  <c r="G403" i="34"/>
  <c r="D403" i="34"/>
  <c r="L402" i="34"/>
  <c r="G402" i="34"/>
  <c r="D402" i="34"/>
  <c r="L401" i="34"/>
  <c r="G401" i="34"/>
  <c r="D401" i="34"/>
  <c r="L400" i="34"/>
  <c r="G400" i="34"/>
  <c r="D400" i="34"/>
  <c r="L399" i="34"/>
  <c r="G399" i="34"/>
  <c r="D399" i="34"/>
  <c r="L398" i="34"/>
  <c r="G398" i="34"/>
  <c r="D398" i="34"/>
  <c r="L397" i="34"/>
  <c r="G397" i="34"/>
  <c r="D397" i="34"/>
  <c r="L396" i="34"/>
  <c r="G396" i="34"/>
  <c r="D396" i="34"/>
  <c r="L395" i="34"/>
  <c r="G395" i="34"/>
  <c r="D395" i="34"/>
  <c r="L394" i="34"/>
  <c r="G394" i="34"/>
  <c r="D394" i="34"/>
  <c r="L393" i="34"/>
  <c r="G393" i="34"/>
  <c r="D393" i="34"/>
  <c r="L392" i="34"/>
  <c r="G392" i="34"/>
  <c r="D392" i="34"/>
  <c r="L391" i="34"/>
  <c r="G391" i="34"/>
  <c r="D391" i="34"/>
  <c r="L390" i="34"/>
  <c r="G390" i="34"/>
  <c r="D390" i="34"/>
  <c r="L389" i="34"/>
  <c r="G389" i="34"/>
  <c r="D389" i="34"/>
  <c r="L388" i="34"/>
  <c r="G388" i="34"/>
  <c r="D388" i="34"/>
  <c r="L387" i="34"/>
  <c r="G387" i="34"/>
  <c r="D387" i="34"/>
  <c r="L386" i="34"/>
  <c r="G386" i="34"/>
  <c r="D386" i="34"/>
  <c r="L385" i="34"/>
  <c r="G385" i="34"/>
  <c r="D385" i="34"/>
  <c r="L384" i="34"/>
  <c r="G384" i="34"/>
  <c r="D384" i="34"/>
  <c r="L383" i="34"/>
  <c r="G383" i="34"/>
  <c r="D383" i="34"/>
  <c r="L382" i="34"/>
  <c r="G382" i="34"/>
  <c r="D382" i="34"/>
  <c r="L381" i="34"/>
  <c r="G381" i="34"/>
  <c r="D381" i="34"/>
  <c r="L380" i="34"/>
  <c r="G380" i="34"/>
  <c r="D380" i="34"/>
  <c r="L379" i="34"/>
  <c r="G379" i="34"/>
  <c r="D379" i="34"/>
  <c r="L378" i="34"/>
  <c r="G378" i="34"/>
  <c r="D378" i="34"/>
  <c r="L377" i="34"/>
  <c r="G377" i="34"/>
  <c r="D377" i="34"/>
  <c r="L376" i="34"/>
  <c r="G376" i="34"/>
  <c r="D376" i="34"/>
  <c r="L375" i="34"/>
  <c r="G375" i="34"/>
  <c r="D375" i="34"/>
  <c r="L374" i="34"/>
  <c r="G374" i="34"/>
  <c r="D374" i="34"/>
  <c r="L373" i="34"/>
  <c r="G373" i="34"/>
  <c r="D373" i="34"/>
  <c r="L372" i="34"/>
  <c r="G372" i="34"/>
  <c r="D372" i="34"/>
  <c r="L371" i="34"/>
  <c r="G371" i="34"/>
  <c r="D371" i="34"/>
  <c r="L370" i="34"/>
  <c r="G370" i="34"/>
  <c r="D370" i="34"/>
  <c r="L369" i="34"/>
  <c r="G369" i="34"/>
  <c r="D369" i="34"/>
  <c r="L368" i="34"/>
  <c r="G368" i="34"/>
  <c r="D368" i="34"/>
  <c r="L367" i="34"/>
  <c r="G367" i="34"/>
  <c r="D367" i="34"/>
  <c r="L366" i="34"/>
  <c r="G366" i="34"/>
  <c r="D366" i="34"/>
  <c r="L365" i="34"/>
  <c r="G365" i="34"/>
  <c r="D365" i="34"/>
  <c r="L364" i="34"/>
  <c r="G364" i="34"/>
  <c r="D364" i="34"/>
  <c r="L363" i="34"/>
  <c r="G363" i="34"/>
  <c r="D363" i="34"/>
  <c r="L362" i="34"/>
  <c r="G362" i="34"/>
  <c r="D362" i="34"/>
  <c r="L361" i="34"/>
  <c r="G361" i="34"/>
  <c r="D361" i="34"/>
  <c r="L360" i="34"/>
  <c r="G360" i="34"/>
  <c r="D360" i="34"/>
  <c r="L359" i="34"/>
  <c r="G359" i="34"/>
  <c r="D359" i="34"/>
  <c r="L358" i="34"/>
  <c r="G358" i="34"/>
  <c r="D358" i="34"/>
  <c r="L357" i="34"/>
  <c r="G357" i="34"/>
  <c r="D357" i="34"/>
  <c r="L356" i="34"/>
  <c r="G356" i="34"/>
  <c r="D356" i="34"/>
  <c r="L355" i="34"/>
  <c r="G355" i="34"/>
  <c r="D355" i="34"/>
  <c r="L354" i="34"/>
  <c r="G354" i="34"/>
  <c r="D354" i="34"/>
  <c r="L353" i="34"/>
  <c r="G353" i="34"/>
  <c r="D353" i="34"/>
  <c r="L352" i="34"/>
  <c r="G352" i="34"/>
  <c r="D352" i="34"/>
  <c r="L351" i="34"/>
  <c r="G351" i="34"/>
  <c r="D351" i="34"/>
  <c r="L350" i="34"/>
  <c r="G350" i="34"/>
  <c r="D350" i="34"/>
  <c r="L349" i="34"/>
  <c r="G349" i="34"/>
  <c r="D349" i="34"/>
  <c r="L348" i="34"/>
  <c r="G348" i="34"/>
  <c r="D348" i="34"/>
  <c r="L347" i="34"/>
  <c r="G347" i="34"/>
  <c r="D347" i="34"/>
  <c r="L346" i="34"/>
  <c r="G346" i="34"/>
  <c r="D346" i="34"/>
  <c r="L345" i="34"/>
  <c r="G345" i="34"/>
  <c r="D345" i="34"/>
  <c r="L344" i="34"/>
  <c r="G344" i="34"/>
  <c r="D344" i="34"/>
  <c r="L343" i="34"/>
  <c r="G343" i="34"/>
  <c r="D343" i="34"/>
  <c r="L342" i="34"/>
  <c r="G342" i="34"/>
  <c r="D342" i="34"/>
  <c r="L341" i="34"/>
  <c r="G341" i="34"/>
  <c r="D341" i="34"/>
  <c r="L340" i="34"/>
  <c r="G340" i="34"/>
  <c r="D340" i="34"/>
  <c r="L339" i="34"/>
  <c r="G339" i="34"/>
  <c r="D339" i="34"/>
  <c r="L338" i="34"/>
  <c r="G338" i="34"/>
  <c r="D338" i="34"/>
  <c r="L337" i="34"/>
  <c r="G337" i="34"/>
  <c r="D337" i="34"/>
  <c r="L336" i="34"/>
  <c r="G336" i="34"/>
  <c r="D336" i="34"/>
  <c r="L335" i="34"/>
  <c r="G335" i="34"/>
  <c r="D335" i="34"/>
  <c r="L334" i="34"/>
  <c r="G334" i="34"/>
  <c r="D334" i="34"/>
  <c r="L333" i="34"/>
  <c r="G333" i="34"/>
  <c r="D333" i="34"/>
  <c r="L332" i="34"/>
  <c r="G332" i="34"/>
  <c r="D332" i="34"/>
  <c r="L331" i="34"/>
  <c r="G331" i="34"/>
  <c r="D331" i="34"/>
  <c r="L330" i="34"/>
  <c r="G330" i="34"/>
  <c r="D330" i="34"/>
  <c r="L329" i="34"/>
  <c r="G329" i="34"/>
  <c r="D329" i="34"/>
  <c r="L328" i="34"/>
  <c r="G328" i="34"/>
  <c r="D328" i="34"/>
  <c r="L327" i="34"/>
  <c r="G327" i="34"/>
  <c r="D327" i="34"/>
  <c r="L326" i="34"/>
  <c r="G326" i="34"/>
  <c r="D326" i="34"/>
  <c r="L325" i="34"/>
  <c r="G325" i="34"/>
  <c r="D325" i="34"/>
  <c r="L324" i="34"/>
  <c r="G324" i="34"/>
  <c r="D324" i="34"/>
  <c r="L323" i="34"/>
  <c r="G323" i="34"/>
  <c r="D323" i="34"/>
  <c r="L322" i="34"/>
  <c r="G322" i="34"/>
  <c r="D322" i="34"/>
  <c r="L321" i="34"/>
  <c r="G321" i="34"/>
  <c r="D321" i="34"/>
  <c r="L320" i="34"/>
  <c r="G320" i="34"/>
  <c r="D320" i="34"/>
  <c r="L319" i="34"/>
  <c r="G319" i="34"/>
  <c r="D319" i="34"/>
  <c r="L318" i="34"/>
  <c r="G318" i="34"/>
  <c r="D318" i="34"/>
  <c r="L317" i="34"/>
  <c r="G317" i="34"/>
  <c r="D317" i="34"/>
  <c r="L316" i="34"/>
  <c r="G316" i="34"/>
  <c r="D316" i="34"/>
  <c r="L315" i="34"/>
  <c r="G315" i="34"/>
  <c r="D315" i="34"/>
  <c r="L314" i="34"/>
  <c r="G314" i="34"/>
  <c r="D314" i="34"/>
  <c r="L313" i="34"/>
  <c r="G313" i="34"/>
  <c r="D313" i="34"/>
  <c r="L312" i="34"/>
  <c r="G312" i="34"/>
  <c r="D312" i="34"/>
  <c r="L311" i="34"/>
  <c r="G311" i="34"/>
  <c r="D311" i="34"/>
  <c r="L310" i="34"/>
  <c r="G310" i="34"/>
  <c r="D310" i="34"/>
  <c r="L309" i="34"/>
  <c r="G309" i="34"/>
  <c r="D309" i="34"/>
  <c r="L308" i="34"/>
  <c r="G308" i="34"/>
  <c r="D308" i="34"/>
  <c r="L307" i="34"/>
  <c r="G307" i="34"/>
  <c r="D307" i="34"/>
  <c r="L306" i="34"/>
  <c r="G306" i="34"/>
  <c r="D306" i="34"/>
  <c r="L305" i="34"/>
  <c r="G305" i="34"/>
  <c r="D305" i="34"/>
  <c r="L304" i="34"/>
  <c r="G304" i="34"/>
  <c r="D304" i="34"/>
  <c r="L303" i="34"/>
  <c r="G303" i="34"/>
  <c r="D303" i="34"/>
  <c r="L302" i="34"/>
  <c r="G302" i="34"/>
  <c r="D302" i="34"/>
  <c r="L301" i="34"/>
  <c r="G301" i="34"/>
  <c r="D301" i="34"/>
  <c r="L300" i="34"/>
  <c r="G300" i="34"/>
  <c r="D300" i="34"/>
  <c r="L299" i="34"/>
  <c r="G299" i="34"/>
  <c r="D299" i="34"/>
  <c r="L298" i="34"/>
  <c r="G298" i="34"/>
  <c r="D298" i="34"/>
  <c r="L297" i="34"/>
  <c r="G297" i="34"/>
  <c r="D297" i="34"/>
  <c r="L296" i="34"/>
  <c r="G296" i="34"/>
  <c r="D296" i="34"/>
  <c r="L295" i="34"/>
  <c r="G295" i="34"/>
  <c r="D295" i="34"/>
  <c r="L294" i="34"/>
  <c r="G294" i="34"/>
  <c r="D294" i="34"/>
  <c r="L293" i="34"/>
  <c r="G293" i="34"/>
  <c r="D293" i="34"/>
  <c r="L292" i="34"/>
  <c r="G292" i="34"/>
  <c r="D292" i="34"/>
  <c r="L291" i="34"/>
  <c r="G291" i="34"/>
  <c r="D291" i="34"/>
  <c r="L290" i="34"/>
  <c r="G290" i="34"/>
  <c r="D290" i="34"/>
  <c r="L289" i="34"/>
  <c r="G289" i="34"/>
  <c r="D289" i="34"/>
  <c r="L288" i="34"/>
  <c r="G288" i="34"/>
  <c r="D288" i="34"/>
  <c r="L287" i="34"/>
  <c r="G287" i="34"/>
  <c r="D287" i="34"/>
  <c r="L286" i="34"/>
  <c r="G286" i="34"/>
  <c r="D286" i="34"/>
  <c r="L285" i="34"/>
  <c r="G285" i="34"/>
  <c r="D285" i="34"/>
  <c r="L284" i="34"/>
  <c r="G284" i="34"/>
  <c r="D284" i="34"/>
  <c r="L283" i="34"/>
  <c r="G283" i="34"/>
  <c r="D283" i="34"/>
  <c r="L282" i="34"/>
  <c r="G282" i="34"/>
  <c r="D282" i="34"/>
  <c r="L281" i="34"/>
  <c r="G281" i="34"/>
  <c r="D281" i="34"/>
  <c r="L280" i="34"/>
  <c r="G280" i="34"/>
  <c r="D280" i="34"/>
  <c r="L279" i="34"/>
  <c r="G279" i="34"/>
  <c r="D279" i="34"/>
  <c r="L278" i="34"/>
  <c r="G278" i="34"/>
  <c r="D278" i="34"/>
  <c r="L277" i="34"/>
  <c r="G277" i="34"/>
  <c r="D277" i="34"/>
  <c r="L276" i="34"/>
  <c r="G276" i="34"/>
  <c r="D276" i="34"/>
  <c r="L275" i="34"/>
  <c r="G275" i="34"/>
  <c r="D275" i="34"/>
  <c r="L274" i="34"/>
  <c r="G274" i="34"/>
  <c r="D274" i="34"/>
  <c r="L273" i="34"/>
  <c r="G273" i="34"/>
  <c r="D273" i="34"/>
  <c r="L272" i="34"/>
  <c r="G272" i="34"/>
  <c r="D272" i="34"/>
  <c r="L271" i="34"/>
  <c r="G271" i="34"/>
  <c r="D271" i="34"/>
  <c r="L270" i="34"/>
  <c r="G270" i="34"/>
  <c r="D270" i="34"/>
  <c r="L269" i="34"/>
  <c r="G269" i="34"/>
  <c r="D269" i="34"/>
  <c r="L268" i="34"/>
  <c r="G268" i="34"/>
  <c r="D268" i="34"/>
  <c r="L267" i="34"/>
  <c r="G267" i="34"/>
  <c r="D267" i="34"/>
  <c r="L266" i="34"/>
  <c r="G266" i="34"/>
  <c r="D266" i="34"/>
  <c r="L265" i="34"/>
  <c r="G265" i="34"/>
  <c r="D265" i="34"/>
  <c r="L264" i="34"/>
  <c r="G264" i="34"/>
  <c r="D264" i="34"/>
  <c r="L263" i="34"/>
  <c r="G263" i="34"/>
  <c r="D263" i="34"/>
  <c r="L262" i="34"/>
  <c r="G262" i="34"/>
  <c r="D262" i="34"/>
  <c r="L261" i="34"/>
  <c r="G261" i="34"/>
  <c r="D261" i="34"/>
  <c r="L260" i="34"/>
  <c r="G260" i="34"/>
  <c r="D260" i="34"/>
  <c r="L259" i="34"/>
  <c r="G259" i="34"/>
  <c r="D259" i="34"/>
  <c r="L258" i="34"/>
  <c r="G258" i="34"/>
  <c r="D258" i="34"/>
  <c r="L257" i="34"/>
  <c r="G257" i="34"/>
  <c r="D257" i="34"/>
  <c r="L256" i="34"/>
  <c r="G256" i="34"/>
  <c r="D256" i="34"/>
  <c r="L255" i="34"/>
  <c r="G255" i="34"/>
  <c r="D255" i="34"/>
  <c r="L254" i="34"/>
  <c r="G254" i="34"/>
  <c r="D254" i="34"/>
  <c r="L253" i="34"/>
  <c r="G253" i="34"/>
  <c r="D253" i="34"/>
  <c r="L252" i="34"/>
  <c r="G252" i="34"/>
  <c r="D252" i="34"/>
  <c r="L251" i="34"/>
  <c r="G251" i="34"/>
  <c r="D251" i="34"/>
  <c r="L250" i="34"/>
  <c r="G250" i="34"/>
  <c r="D250" i="34"/>
  <c r="L249" i="34"/>
  <c r="G249" i="34"/>
  <c r="D249" i="34"/>
  <c r="L248" i="34"/>
  <c r="G248" i="34"/>
  <c r="D248" i="34"/>
  <c r="L247" i="34"/>
  <c r="G247" i="34"/>
  <c r="D247" i="34"/>
  <c r="L246" i="34"/>
  <c r="G246" i="34"/>
  <c r="D246" i="34"/>
  <c r="L245" i="34"/>
  <c r="G245" i="34"/>
  <c r="D245" i="34"/>
  <c r="L244" i="34"/>
  <c r="G244" i="34"/>
  <c r="D244" i="34"/>
  <c r="L243" i="34"/>
  <c r="G243" i="34"/>
  <c r="D243" i="34"/>
  <c r="L242" i="34"/>
  <c r="G242" i="34"/>
  <c r="D242" i="34"/>
  <c r="L241" i="34"/>
  <c r="G241" i="34"/>
  <c r="D241" i="34"/>
  <c r="L240" i="34"/>
  <c r="G240" i="34"/>
  <c r="D240" i="34"/>
  <c r="L239" i="34"/>
  <c r="G239" i="34"/>
  <c r="D239" i="34"/>
  <c r="L238" i="34"/>
  <c r="G238" i="34"/>
  <c r="D238" i="34"/>
  <c r="L237" i="34"/>
  <c r="G237" i="34"/>
  <c r="D237" i="34"/>
  <c r="L236" i="34"/>
  <c r="G236" i="34"/>
  <c r="D236" i="34"/>
  <c r="L235" i="34"/>
  <c r="G235" i="34"/>
  <c r="D235" i="34"/>
  <c r="L234" i="34"/>
  <c r="G234" i="34"/>
  <c r="D234" i="34"/>
  <c r="L233" i="34"/>
  <c r="G233" i="34"/>
  <c r="D233" i="34"/>
  <c r="L232" i="34"/>
  <c r="G232" i="34"/>
  <c r="D232" i="34"/>
  <c r="L231" i="34"/>
  <c r="G231" i="34"/>
  <c r="D231" i="34"/>
  <c r="L230" i="34"/>
  <c r="G230" i="34"/>
  <c r="D230" i="34"/>
  <c r="L229" i="34"/>
  <c r="G229" i="34"/>
  <c r="D229" i="34"/>
  <c r="L228" i="34"/>
  <c r="G228" i="34"/>
  <c r="D228" i="34"/>
  <c r="L227" i="34"/>
  <c r="G227" i="34"/>
  <c r="D227" i="34"/>
  <c r="L226" i="34"/>
  <c r="G226" i="34"/>
  <c r="D226" i="34"/>
  <c r="L225" i="34"/>
  <c r="G225" i="34"/>
  <c r="D225" i="34"/>
  <c r="L224" i="34"/>
  <c r="G224" i="34"/>
  <c r="D224" i="34"/>
  <c r="L223" i="34"/>
  <c r="G223" i="34"/>
  <c r="D223" i="34"/>
  <c r="L222" i="34"/>
  <c r="G222" i="34"/>
  <c r="D222" i="34"/>
  <c r="L221" i="34"/>
  <c r="G221" i="34"/>
  <c r="D221" i="34"/>
  <c r="L220" i="34"/>
  <c r="G220" i="34"/>
  <c r="D220" i="34"/>
  <c r="L219" i="34"/>
  <c r="G219" i="34"/>
  <c r="D219" i="34"/>
  <c r="L218" i="34"/>
  <c r="G218" i="34"/>
  <c r="D218" i="34"/>
  <c r="L217" i="34"/>
  <c r="G217" i="34"/>
  <c r="D217" i="34"/>
  <c r="L216" i="34"/>
  <c r="G216" i="34"/>
  <c r="D216" i="34"/>
  <c r="L215" i="34"/>
  <c r="G215" i="34"/>
  <c r="D215" i="34"/>
  <c r="L214" i="34"/>
  <c r="G214" i="34"/>
  <c r="D214" i="34"/>
  <c r="L213" i="34"/>
  <c r="G213" i="34"/>
  <c r="D213" i="34"/>
  <c r="L212" i="34"/>
  <c r="G212" i="34"/>
  <c r="D212" i="34"/>
  <c r="L211" i="34"/>
  <c r="G211" i="34"/>
  <c r="D211" i="34"/>
  <c r="L210" i="34"/>
  <c r="G210" i="34"/>
  <c r="D210" i="34"/>
  <c r="L209" i="34"/>
  <c r="G209" i="34"/>
  <c r="D209" i="34"/>
  <c r="L208" i="34"/>
  <c r="G208" i="34"/>
  <c r="D208" i="34"/>
  <c r="L207" i="34"/>
  <c r="G207" i="34"/>
  <c r="D207" i="34"/>
  <c r="L206" i="34"/>
  <c r="G206" i="34"/>
  <c r="D206" i="34"/>
  <c r="L205" i="34"/>
  <c r="G205" i="34"/>
  <c r="D205" i="34"/>
  <c r="L204" i="34"/>
  <c r="G204" i="34"/>
  <c r="D204" i="34"/>
  <c r="L203" i="34"/>
  <c r="G203" i="34"/>
  <c r="D203" i="34"/>
  <c r="L202" i="34"/>
  <c r="G202" i="34"/>
  <c r="D202" i="34"/>
  <c r="L201" i="34"/>
  <c r="G201" i="34"/>
  <c r="D201" i="34"/>
  <c r="L200" i="34"/>
  <c r="G200" i="34"/>
  <c r="D200" i="34"/>
  <c r="L199" i="34"/>
  <c r="G199" i="34"/>
  <c r="D199" i="34"/>
  <c r="L198" i="34"/>
  <c r="G198" i="34"/>
  <c r="D198" i="34"/>
  <c r="L197" i="34"/>
  <c r="G197" i="34"/>
  <c r="D197" i="34"/>
  <c r="L196" i="34"/>
  <c r="G196" i="34"/>
  <c r="D196" i="34"/>
  <c r="L195" i="34"/>
  <c r="G195" i="34"/>
  <c r="D195" i="34"/>
  <c r="L194" i="34"/>
  <c r="G194" i="34"/>
  <c r="D194" i="34"/>
  <c r="L193" i="34"/>
  <c r="G193" i="34"/>
  <c r="D193" i="34"/>
  <c r="L192" i="34"/>
  <c r="G192" i="34"/>
  <c r="D192" i="34"/>
  <c r="L191" i="34"/>
  <c r="G191" i="34"/>
  <c r="D191" i="34"/>
  <c r="L190" i="34"/>
  <c r="G190" i="34"/>
  <c r="D190" i="34"/>
  <c r="L189" i="34"/>
  <c r="G189" i="34"/>
  <c r="D189" i="34"/>
  <c r="L188" i="34"/>
  <c r="G188" i="34"/>
  <c r="D188" i="34"/>
  <c r="L187" i="34"/>
  <c r="G187" i="34"/>
  <c r="D187" i="34"/>
  <c r="L186" i="34"/>
  <c r="G186" i="34"/>
  <c r="D186" i="34"/>
  <c r="L185" i="34"/>
  <c r="G185" i="34"/>
  <c r="D185" i="34"/>
  <c r="L184" i="34"/>
  <c r="G184" i="34"/>
  <c r="D184" i="34"/>
  <c r="L183" i="34"/>
  <c r="G183" i="34"/>
  <c r="D183" i="34"/>
  <c r="L182" i="34"/>
  <c r="G182" i="34"/>
  <c r="D182" i="34"/>
  <c r="L181" i="34"/>
  <c r="G181" i="34"/>
  <c r="D181" i="34"/>
  <c r="L180" i="34"/>
  <c r="G180" i="34"/>
  <c r="D180" i="34"/>
  <c r="L179" i="34"/>
  <c r="G179" i="34"/>
  <c r="D179" i="34"/>
  <c r="L178" i="34"/>
  <c r="G178" i="34"/>
  <c r="D178" i="34"/>
  <c r="L177" i="34"/>
  <c r="G177" i="34"/>
  <c r="D177" i="34"/>
  <c r="L176" i="34"/>
  <c r="G176" i="34"/>
  <c r="D176" i="34"/>
  <c r="L175" i="34"/>
  <c r="G175" i="34"/>
  <c r="D175" i="34"/>
  <c r="L174" i="34"/>
  <c r="G174" i="34"/>
  <c r="D174" i="34"/>
  <c r="L173" i="34"/>
  <c r="G173" i="34"/>
  <c r="D173" i="34"/>
  <c r="L172" i="34"/>
  <c r="G172" i="34"/>
  <c r="D172" i="34"/>
  <c r="L171" i="34"/>
  <c r="G171" i="34"/>
  <c r="D171" i="34"/>
  <c r="L170" i="34"/>
  <c r="G170" i="34"/>
  <c r="D170" i="34"/>
  <c r="L169" i="34"/>
  <c r="G169" i="34"/>
  <c r="D169" i="34"/>
  <c r="L168" i="34"/>
  <c r="G168" i="34"/>
  <c r="D168" i="34"/>
  <c r="L167" i="34"/>
  <c r="G167" i="34"/>
  <c r="D167" i="34"/>
  <c r="L166" i="34"/>
  <c r="G166" i="34"/>
  <c r="D166" i="34"/>
  <c r="L165" i="34"/>
  <c r="G165" i="34"/>
  <c r="D165" i="34"/>
  <c r="L164" i="34"/>
  <c r="G164" i="34"/>
  <c r="D164" i="34"/>
  <c r="L163" i="34"/>
  <c r="G163" i="34"/>
  <c r="D163" i="34"/>
  <c r="L162" i="34"/>
  <c r="G162" i="34"/>
  <c r="D162" i="34"/>
  <c r="L161" i="34"/>
  <c r="G161" i="34"/>
  <c r="D161" i="34"/>
  <c r="L160" i="34"/>
  <c r="G160" i="34"/>
  <c r="D160" i="34"/>
  <c r="L159" i="34"/>
  <c r="G159" i="34"/>
  <c r="D159" i="34"/>
  <c r="L158" i="34"/>
  <c r="G158" i="34"/>
  <c r="D158" i="34"/>
  <c r="L157" i="34"/>
  <c r="G157" i="34"/>
  <c r="D157" i="34"/>
  <c r="L156" i="34"/>
  <c r="G156" i="34"/>
  <c r="D156" i="34"/>
  <c r="L155" i="34"/>
  <c r="G155" i="34"/>
  <c r="D155" i="34"/>
  <c r="L154" i="34"/>
  <c r="G154" i="34"/>
  <c r="D154" i="34"/>
  <c r="L153" i="34"/>
  <c r="G153" i="34"/>
  <c r="D153" i="34"/>
  <c r="L152" i="34"/>
  <c r="G152" i="34"/>
  <c r="D152" i="34"/>
  <c r="L151" i="34"/>
  <c r="G151" i="34"/>
  <c r="D151" i="34"/>
  <c r="L150" i="34"/>
  <c r="G150" i="34"/>
  <c r="D150" i="34"/>
  <c r="L149" i="34"/>
  <c r="G149" i="34"/>
  <c r="D149" i="34"/>
  <c r="L148" i="34"/>
  <c r="G148" i="34"/>
  <c r="D148" i="34"/>
  <c r="L147" i="34"/>
  <c r="G147" i="34"/>
  <c r="D147" i="34"/>
  <c r="L146" i="34"/>
  <c r="G146" i="34"/>
  <c r="D146" i="34"/>
  <c r="L145" i="34"/>
  <c r="G145" i="34"/>
  <c r="D145" i="34"/>
  <c r="L144" i="34"/>
  <c r="G144" i="34"/>
  <c r="D144" i="34"/>
  <c r="L143" i="34"/>
  <c r="G143" i="34"/>
  <c r="D143" i="34"/>
  <c r="L142" i="34"/>
  <c r="G142" i="34"/>
  <c r="D142" i="34"/>
  <c r="L141" i="34"/>
  <c r="G141" i="34"/>
  <c r="D141" i="34"/>
  <c r="L140" i="34"/>
  <c r="G140" i="34"/>
  <c r="D140" i="34"/>
  <c r="L139" i="34"/>
  <c r="G139" i="34"/>
  <c r="D139" i="34"/>
  <c r="L138" i="34"/>
  <c r="G138" i="34"/>
  <c r="D138" i="34"/>
  <c r="L137" i="34"/>
  <c r="G137" i="34"/>
  <c r="D137" i="34"/>
  <c r="L136" i="34"/>
  <c r="G136" i="34"/>
  <c r="D136" i="34"/>
  <c r="L135" i="34"/>
  <c r="G135" i="34"/>
  <c r="D135" i="34"/>
  <c r="L134" i="34"/>
  <c r="G134" i="34"/>
  <c r="D134" i="34"/>
  <c r="L133" i="34"/>
  <c r="G133" i="34"/>
  <c r="D133" i="34"/>
  <c r="L132" i="34"/>
  <c r="G132" i="34"/>
  <c r="D132" i="34"/>
  <c r="L131" i="34"/>
  <c r="G131" i="34"/>
  <c r="D131" i="34"/>
  <c r="L130" i="34"/>
  <c r="G130" i="34"/>
  <c r="D130" i="34"/>
  <c r="L129" i="34"/>
  <c r="G129" i="34"/>
  <c r="D129" i="34"/>
  <c r="L128" i="34"/>
  <c r="G128" i="34"/>
  <c r="D128" i="34"/>
  <c r="L127" i="34"/>
  <c r="G127" i="34"/>
  <c r="D127" i="34"/>
  <c r="L126" i="34"/>
  <c r="G126" i="34"/>
  <c r="D126" i="34"/>
  <c r="L125" i="34"/>
  <c r="G125" i="34"/>
  <c r="D125" i="34"/>
  <c r="L124" i="34"/>
  <c r="G124" i="34"/>
  <c r="D124" i="34"/>
  <c r="L123" i="34"/>
  <c r="G123" i="34"/>
  <c r="D123" i="34"/>
  <c r="L122" i="34"/>
  <c r="G122" i="34"/>
  <c r="D122" i="34"/>
  <c r="L121" i="34"/>
  <c r="G121" i="34"/>
  <c r="D121" i="34"/>
  <c r="L120" i="34"/>
  <c r="G120" i="34"/>
  <c r="D120" i="34"/>
  <c r="L119" i="34"/>
  <c r="G119" i="34"/>
  <c r="D119" i="34"/>
  <c r="L118" i="34"/>
  <c r="G118" i="34"/>
  <c r="D118" i="34"/>
  <c r="L117" i="34"/>
  <c r="G117" i="34"/>
  <c r="D117" i="34"/>
  <c r="L116" i="34"/>
  <c r="G116" i="34"/>
  <c r="D116" i="34"/>
  <c r="L115" i="34"/>
  <c r="G115" i="34"/>
  <c r="D115" i="34"/>
  <c r="L114" i="34"/>
  <c r="G114" i="34"/>
  <c r="D114" i="34"/>
  <c r="L113" i="34"/>
  <c r="G113" i="34"/>
  <c r="D113" i="34"/>
  <c r="L112" i="34"/>
  <c r="G112" i="34"/>
  <c r="D112" i="34"/>
  <c r="L111" i="34"/>
  <c r="G111" i="34"/>
  <c r="D111" i="34"/>
  <c r="L110" i="34"/>
  <c r="G110" i="34"/>
  <c r="D110" i="34"/>
  <c r="L109" i="34"/>
  <c r="G109" i="34"/>
  <c r="D109" i="34"/>
  <c r="L108" i="34"/>
  <c r="G108" i="34"/>
  <c r="D108" i="34"/>
  <c r="L107" i="34"/>
  <c r="G107" i="34"/>
  <c r="D107" i="34"/>
  <c r="L106" i="34"/>
  <c r="G106" i="34"/>
  <c r="D106" i="34"/>
  <c r="L105" i="34"/>
  <c r="G105" i="34"/>
  <c r="D105" i="34"/>
  <c r="L104" i="34"/>
  <c r="G104" i="34"/>
  <c r="D104" i="34"/>
  <c r="L103" i="34"/>
  <c r="G103" i="34"/>
  <c r="D103" i="34"/>
  <c r="L102" i="34"/>
  <c r="G102" i="34"/>
  <c r="D102" i="34"/>
  <c r="L101" i="34"/>
  <c r="G101" i="34"/>
  <c r="D101" i="34"/>
  <c r="L100" i="34"/>
  <c r="G100" i="34"/>
  <c r="D100" i="34"/>
  <c r="L99" i="34"/>
  <c r="G99" i="34"/>
  <c r="D99" i="34"/>
  <c r="L98" i="34"/>
  <c r="G98" i="34"/>
  <c r="D98" i="34"/>
  <c r="L97" i="34"/>
  <c r="G97" i="34"/>
  <c r="D97" i="34"/>
  <c r="L96" i="34"/>
  <c r="G96" i="34"/>
  <c r="D96" i="34"/>
  <c r="L95" i="34"/>
  <c r="G95" i="34"/>
  <c r="D95" i="34"/>
  <c r="L94" i="34"/>
  <c r="G94" i="34"/>
  <c r="D94" i="34"/>
  <c r="L93" i="34"/>
  <c r="G93" i="34"/>
  <c r="D93" i="34"/>
  <c r="L92" i="34"/>
  <c r="G92" i="34"/>
  <c r="D92" i="34"/>
  <c r="L91" i="34"/>
  <c r="G91" i="34"/>
  <c r="D91" i="34"/>
  <c r="L90" i="34"/>
  <c r="G90" i="34"/>
  <c r="D90" i="34"/>
  <c r="L89" i="34"/>
  <c r="G89" i="34"/>
  <c r="D89" i="34"/>
  <c r="L88" i="34"/>
  <c r="G88" i="34"/>
  <c r="D88" i="34"/>
  <c r="L87" i="34"/>
  <c r="G87" i="34"/>
  <c r="D87" i="34"/>
  <c r="L86" i="34"/>
  <c r="G86" i="34"/>
  <c r="D86" i="34"/>
  <c r="L85" i="34"/>
  <c r="G85" i="34"/>
  <c r="D85" i="34"/>
  <c r="L84" i="34"/>
  <c r="G84" i="34"/>
  <c r="D84" i="34"/>
  <c r="L83" i="34"/>
  <c r="G83" i="34"/>
  <c r="D83" i="34"/>
  <c r="L82" i="34"/>
  <c r="G82" i="34"/>
  <c r="D82" i="34"/>
  <c r="L81" i="34"/>
  <c r="G81" i="34"/>
  <c r="D81" i="34"/>
  <c r="L80" i="34"/>
  <c r="G80" i="34"/>
  <c r="D80" i="34"/>
  <c r="L79" i="34"/>
  <c r="G79" i="34"/>
  <c r="D79" i="34"/>
  <c r="L78" i="34"/>
  <c r="G78" i="34"/>
  <c r="D78" i="34"/>
  <c r="L77" i="34"/>
  <c r="G77" i="34"/>
  <c r="D77" i="34"/>
  <c r="L76" i="34"/>
  <c r="G76" i="34"/>
  <c r="D76" i="34"/>
  <c r="L75" i="34"/>
  <c r="G75" i="34"/>
  <c r="D75" i="34"/>
  <c r="L74" i="34"/>
  <c r="G74" i="34"/>
  <c r="D74" i="34"/>
  <c r="L73" i="34"/>
  <c r="G73" i="34"/>
  <c r="D73" i="34"/>
  <c r="L72" i="34"/>
  <c r="G72" i="34"/>
  <c r="D72" i="34"/>
  <c r="L71" i="34"/>
  <c r="G71" i="34"/>
  <c r="D71" i="34"/>
  <c r="L70" i="34"/>
  <c r="G70" i="34"/>
  <c r="D70" i="34"/>
  <c r="L69" i="34"/>
  <c r="G69" i="34"/>
  <c r="D69" i="34"/>
  <c r="L68" i="34"/>
  <c r="G68" i="34"/>
  <c r="D68" i="34"/>
  <c r="L67" i="34"/>
  <c r="G67" i="34"/>
  <c r="D67" i="34"/>
  <c r="L66" i="34"/>
  <c r="G66" i="34"/>
  <c r="D66" i="34"/>
  <c r="L65" i="34"/>
  <c r="G65" i="34"/>
  <c r="D65" i="34"/>
  <c r="L64" i="34"/>
  <c r="G64" i="34"/>
  <c r="D64" i="34"/>
  <c r="L63" i="34"/>
  <c r="G63" i="34"/>
  <c r="D63" i="34"/>
  <c r="L62" i="34"/>
  <c r="G62" i="34"/>
  <c r="D62" i="34"/>
  <c r="L61" i="34"/>
  <c r="G61" i="34"/>
  <c r="D61" i="34"/>
  <c r="L60" i="34"/>
  <c r="G60" i="34"/>
  <c r="D60" i="34"/>
  <c r="L59" i="34"/>
  <c r="G59" i="34"/>
  <c r="D59" i="34"/>
  <c r="L58" i="34"/>
  <c r="G58" i="34"/>
  <c r="D58" i="34"/>
  <c r="L57" i="34"/>
  <c r="G57" i="34"/>
  <c r="D57" i="34"/>
  <c r="L56" i="34"/>
  <c r="G56" i="34"/>
  <c r="D56" i="34"/>
  <c r="L55" i="34"/>
  <c r="G55" i="34"/>
  <c r="D55" i="34"/>
  <c r="L54" i="34"/>
  <c r="G54" i="34"/>
  <c r="D54" i="34"/>
  <c r="L53" i="34"/>
  <c r="G53" i="34"/>
  <c r="D53" i="34"/>
  <c r="L52" i="34"/>
  <c r="G52" i="34"/>
  <c r="D52" i="34"/>
  <c r="L51" i="34"/>
  <c r="G51" i="34"/>
  <c r="D51" i="34"/>
  <c r="L50" i="34"/>
  <c r="G50" i="34"/>
  <c r="D50" i="34"/>
  <c r="L49" i="34"/>
  <c r="G49" i="34"/>
  <c r="D49" i="34"/>
  <c r="L48" i="34"/>
  <c r="G48" i="34"/>
  <c r="D48" i="34"/>
  <c r="L47" i="34"/>
  <c r="G47" i="34"/>
  <c r="D47" i="34"/>
  <c r="L46" i="34"/>
  <c r="G46" i="34"/>
  <c r="D46" i="34"/>
  <c r="L45" i="34"/>
  <c r="G45" i="34"/>
  <c r="D45" i="34"/>
  <c r="L44" i="34"/>
  <c r="G44" i="34"/>
  <c r="D44" i="34"/>
  <c r="L43" i="34"/>
  <c r="G43" i="34"/>
  <c r="D43" i="34"/>
  <c r="L42" i="34"/>
  <c r="G42" i="34"/>
  <c r="D42" i="34"/>
  <c r="L41" i="34"/>
  <c r="G41" i="34"/>
  <c r="D41" i="34"/>
  <c r="L40" i="34"/>
  <c r="G40" i="34"/>
  <c r="D40" i="34"/>
  <c r="L39" i="34"/>
  <c r="G39" i="34"/>
  <c r="D39" i="34"/>
  <c r="L38" i="34"/>
  <c r="G38" i="34"/>
  <c r="D38" i="34"/>
  <c r="L37" i="34"/>
  <c r="G37" i="34"/>
  <c r="D37" i="34"/>
  <c r="L36" i="34"/>
  <c r="G36" i="34"/>
  <c r="D36" i="34"/>
  <c r="L35" i="34"/>
  <c r="G35" i="34"/>
  <c r="D35" i="34"/>
  <c r="L34" i="34"/>
  <c r="G34" i="34"/>
  <c r="D34" i="34"/>
  <c r="L33" i="34"/>
  <c r="G33" i="34"/>
  <c r="D33" i="34"/>
  <c r="L32" i="34"/>
  <c r="G32" i="34"/>
  <c r="D32" i="34"/>
  <c r="L31" i="34"/>
  <c r="G31" i="34"/>
  <c r="D31" i="34"/>
  <c r="L30" i="34"/>
  <c r="G30" i="34"/>
  <c r="D30" i="34"/>
  <c r="L29" i="34"/>
  <c r="G29" i="34"/>
  <c r="D29" i="34"/>
  <c r="L28" i="34"/>
  <c r="G28" i="34"/>
  <c r="D28" i="34"/>
  <c r="L27" i="34"/>
  <c r="G27" i="34"/>
  <c r="D27" i="34"/>
  <c r="L26" i="34"/>
  <c r="G26" i="34"/>
  <c r="D26" i="34"/>
  <c r="L25" i="34"/>
  <c r="G25" i="34"/>
  <c r="D25" i="34"/>
  <c r="L24" i="34"/>
  <c r="G24" i="34"/>
  <c r="D24" i="34"/>
  <c r="L23" i="34"/>
  <c r="G23" i="34"/>
  <c r="D23" i="34"/>
  <c r="L22" i="34"/>
  <c r="G22" i="34"/>
  <c r="D22" i="34"/>
  <c r="L21" i="34"/>
  <c r="G21" i="34"/>
  <c r="D21" i="34"/>
  <c r="L20" i="34"/>
  <c r="G20" i="34"/>
  <c r="D20" i="34"/>
  <c r="L19" i="34"/>
  <c r="G19" i="34"/>
  <c r="D19" i="34"/>
  <c r="L18" i="34"/>
  <c r="G18" i="34"/>
  <c r="D18" i="34"/>
  <c r="L17" i="34"/>
  <c r="G17" i="34"/>
  <c r="D17" i="34"/>
  <c r="L16" i="34"/>
  <c r="G16" i="34"/>
  <c r="D16" i="34"/>
  <c r="L15" i="34"/>
  <c r="G15" i="34"/>
  <c r="D15" i="34"/>
  <c r="L14" i="34"/>
  <c r="G14" i="34"/>
  <c r="D14" i="34"/>
  <c r="L13" i="34"/>
  <c r="G13" i="34"/>
  <c r="D13" i="34"/>
  <c r="L12" i="34"/>
  <c r="G12" i="34"/>
  <c r="D12" i="34"/>
  <c r="L11" i="34"/>
  <c r="G11" i="34"/>
  <c r="D11" i="34"/>
  <c r="L10" i="34"/>
  <c r="G10" i="34"/>
  <c r="D10" i="34"/>
  <c r="L9" i="34"/>
  <c r="G9" i="34"/>
  <c r="D9" i="34"/>
  <c r="L8" i="34"/>
  <c r="G8" i="34"/>
  <c r="D8" i="34"/>
  <c r="L7" i="34"/>
  <c r="G7" i="34"/>
  <c r="D7" i="34"/>
  <c r="L6" i="34"/>
  <c r="G6" i="34"/>
  <c r="D6" i="34"/>
  <c r="L5" i="34"/>
  <c r="G5" i="34"/>
  <c r="D5" i="34"/>
  <c r="L4" i="34"/>
  <c r="G4" i="34"/>
  <c r="D4" i="34"/>
  <c r="L3" i="34"/>
  <c r="G3" i="34"/>
  <c r="D3" i="34"/>
  <c r="L2" i="34"/>
  <c r="G2" i="34"/>
  <c r="D2" i="34"/>
  <c r="K79" i="32"/>
  <c r="G79" i="32"/>
  <c r="F79" i="32" s="1"/>
  <c r="E79" i="32"/>
  <c r="D79" i="32" s="1"/>
  <c r="C79" i="32"/>
  <c r="B79" i="32" s="1"/>
  <c r="K78" i="32"/>
  <c r="G78" i="32"/>
  <c r="F78" i="32" s="1"/>
  <c r="E78" i="32"/>
  <c r="D78" i="32" s="1"/>
  <c r="C78" i="32"/>
  <c r="B78" i="32" s="1"/>
  <c r="K77" i="32"/>
  <c r="G77" i="32"/>
  <c r="F77" i="32" s="1"/>
  <c r="E77" i="32"/>
  <c r="D77" i="32" s="1"/>
  <c r="C77" i="32"/>
  <c r="B77" i="32" s="1"/>
  <c r="K76" i="32"/>
  <c r="G76" i="32"/>
  <c r="F76" i="32" s="1"/>
  <c r="E76" i="32"/>
  <c r="D76" i="32" s="1"/>
  <c r="C76" i="32"/>
  <c r="B76" i="32" s="1"/>
  <c r="K75" i="32"/>
  <c r="G75" i="32"/>
  <c r="F75" i="32" s="1"/>
  <c r="E75" i="32"/>
  <c r="D75" i="32" s="1"/>
  <c r="C75" i="32"/>
  <c r="B75" i="32" s="1"/>
  <c r="K74" i="32"/>
  <c r="G74" i="32"/>
  <c r="F74" i="32" s="1"/>
  <c r="E74" i="32"/>
  <c r="D74" i="32" s="1"/>
  <c r="C74" i="32"/>
  <c r="B74" i="32" s="1"/>
  <c r="K73" i="32"/>
  <c r="G73" i="32"/>
  <c r="F73" i="32" s="1"/>
  <c r="E73" i="32"/>
  <c r="D73" i="32" s="1"/>
  <c r="C73" i="32"/>
  <c r="B73" i="32" s="1"/>
  <c r="K72" i="32"/>
  <c r="G72" i="32"/>
  <c r="F72" i="32" s="1"/>
  <c r="E72" i="32"/>
  <c r="D72" i="32" s="1"/>
  <c r="C72" i="32"/>
  <c r="B72" i="32" s="1"/>
  <c r="K71" i="32"/>
  <c r="G71" i="32"/>
  <c r="F71" i="32" s="1"/>
  <c r="E71" i="32"/>
  <c r="D71" i="32" s="1"/>
  <c r="C71" i="32"/>
  <c r="B71" i="32" s="1"/>
  <c r="K70" i="32"/>
  <c r="G70" i="32"/>
  <c r="F70" i="32" s="1"/>
  <c r="E70" i="32"/>
  <c r="D70" i="32" s="1"/>
  <c r="C70" i="32"/>
  <c r="B70" i="32" s="1"/>
  <c r="K69" i="32"/>
  <c r="G69" i="32"/>
  <c r="F69" i="32" s="1"/>
  <c r="E69" i="32"/>
  <c r="D69" i="32" s="1"/>
  <c r="C69" i="32"/>
  <c r="B69" i="32" s="1"/>
  <c r="K68" i="32"/>
  <c r="G68" i="32"/>
  <c r="F68" i="32" s="1"/>
  <c r="E68" i="32"/>
  <c r="D68" i="32" s="1"/>
  <c r="C68" i="32"/>
  <c r="B68" i="32" s="1"/>
  <c r="K67" i="32"/>
  <c r="G67" i="32"/>
  <c r="F67" i="32" s="1"/>
  <c r="E67" i="32"/>
  <c r="D67" i="32" s="1"/>
  <c r="C67" i="32"/>
  <c r="B67" i="32" s="1"/>
  <c r="K66" i="32"/>
  <c r="G66" i="32"/>
  <c r="F66" i="32" s="1"/>
  <c r="E66" i="32"/>
  <c r="D66" i="32" s="1"/>
  <c r="C66" i="32"/>
  <c r="B66" i="32" s="1"/>
  <c r="K65" i="32"/>
  <c r="G65" i="32"/>
  <c r="F65" i="32" s="1"/>
  <c r="E65" i="32"/>
  <c r="D65" i="32" s="1"/>
  <c r="C65" i="32"/>
  <c r="B65" i="32" s="1"/>
  <c r="K64" i="32"/>
  <c r="G64" i="32"/>
  <c r="F64" i="32" s="1"/>
  <c r="E64" i="32"/>
  <c r="D64" i="32" s="1"/>
  <c r="C64" i="32"/>
  <c r="B64" i="32" s="1"/>
  <c r="K63" i="32"/>
  <c r="G63" i="32"/>
  <c r="F63" i="32" s="1"/>
  <c r="E63" i="32"/>
  <c r="D63" i="32" s="1"/>
  <c r="C63" i="32"/>
  <c r="B63" i="32" s="1"/>
  <c r="K62" i="32"/>
  <c r="G62" i="32"/>
  <c r="F62" i="32" s="1"/>
  <c r="E62" i="32"/>
  <c r="D62" i="32" s="1"/>
  <c r="C62" i="32"/>
  <c r="B62" i="32" s="1"/>
  <c r="K61" i="32"/>
  <c r="G61" i="32"/>
  <c r="F61" i="32" s="1"/>
  <c r="E61" i="32"/>
  <c r="D61" i="32" s="1"/>
  <c r="C61" i="32"/>
  <c r="B61" i="32" s="1"/>
  <c r="K60" i="32"/>
  <c r="G60" i="32"/>
  <c r="F60" i="32" s="1"/>
  <c r="E60" i="32"/>
  <c r="D60" i="32" s="1"/>
  <c r="C60" i="32"/>
  <c r="B60" i="32" s="1"/>
  <c r="K59" i="32"/>
  <c r="G59" i="32"/>
  <c r="F59" i="32" s="1"/>
  <c r="E59" i="32"/>
  <c r="D59" i="32" s="1"/>
  <c r="C59" i="32"/>
  <c r="B59" i="32" s="1"/>
  <c r="K58" i="32"/>
  <c r="G58" i="32"/>
  <c r="F58" i="32" s="1"/>
  <c r="E58" i="32"/>
  <c r="D58" i="32" s="1"/>
  <c r="C58" i="32"/>
  <c r="B58" i="32" s="1"/>
  <c r="K57" i="32"/>
  <c r="G57" i="32"/>
  <c r="F57" i="32" s="1"/>
  <c r="E57" i="32"/>
  <c r="D57" i="32" s="1"/>
  <c r="C57" i="32"/>
  <c r="B57" i="32" s="1"/>
  <c r="K56" i="32"/>
  <c r="G56" i="32"/>
  <c r="F56" i="32" s="1"/>
  <c r="E56" i="32"/>
  <c r="D56" i="32" s="1"/>
  <c r="C56" i="32"/>
  <c r="B56" i="32" s="1"/>
  <c r="K55" i="32"/>
  <c r="G55" i="32"/>
  <c r="F55" i="32" s="1"/>
  <c r="E55" i="32"/>
  <c r="D55" i="32" s="1"/>
  <c r="C55" i="32"/>
  <c r="B55" i="32" s="1"/>
  <c r="K54" i="32"/>
  <c r="G54" i="32"/>
  <c r="F54" i="32" s="1"/>
  <c r="E54" i="32"/>
  <c r="D54" i="32" s="1"/>
  <c r="C54" i="32"/>
  <c r="B54" i="32" s="1"/>
  <c r="K53" i="32"/>
  <c r="G53" i="32"/>
  <c r="F53" i="32" s="1"/>
  <c r="E53" i="32"/>
  <c r="D53" i="32" s="1"/>
  <c r="C53" i="32"/>
  <c r="B53" i="32" s="1"/>
  <c r="K52" i="32"/>
  <c r="G52" i="32"/>
  <c r="F52" i="32" s="1"/>
  <c r="E52" i="32"/>
  <c r="D52" i="32" s="1"/>
  <c r="C52" i="32"/>
  <c r="B52" i="32" s="1"/>
  <c r="K51" i="32"/>
  <c r="G51" i="32"/>
  <c r="F51" i="32" s="1"/>
  <c r="E51" i="32"/>
  <c r="D51" i="32" s="1"/>
  <c r="C51" i="32"/>
  <c r="B51" i="32" s="1"/>
  <c r="K50" i="32"/>
  <c r="G50" i="32"/>
  <c r="F50" i="32" s="1"/>
  <c r="E50" i="32"/>
  <c r="D50" i="32" s="1"/>
  <c r="C50" i="32"/>
  <c r="B50" i="32" s="1"/>
  <c r="K49" i="32"/>
  <c r="G49" i="32"/>
  <c r="F49" i="32" s="1"/>
  <c r="E49" i="32"/>
  <c r="D49" i="32" s="1"/>
  <c r="C49" i="32"/>
  <c r="B49" i="32" s="1"/>
  <c r="K48" i="32"/>
  <c r="G48" i="32"/>
  <c r="F48" i="32" s="1"/>
  <c r="E48" i="32"/>
  <c r="D48" i="32" s="1"/>
  <c r="C48" i="32"/>
  <c r="B48" i="32" s="1"/>
  <c r="K47" i="32"/>
  <c r="G47" i="32"/>
  <c r="F47" i="32" s="1"/>
  <c r="E47" i="32"/>
  <c r="D47" i="32" s="1"/>
  <c r="C47" i="32"/>
  <c r="B47" i="32" s="1"/>
  <c r="K46" i="32"/>
  <c r="G46" i="32"/>
  <c r="F46" i="32" s="1"/>
  <c r="E46" i="32"/>
  <c r="D46" i="32" s="1"/>
  <c r="C46" i="32"/>
  <c r="B46" i="32" s="1"/>
  <c r="K45" i="32"/>
  <c r="G45" i="32"/>
  <c r="F45" i="32" s="1"/>
  <c r="E45" i="32"/>
  <c r="D45" i="32" s="1"/>
  <c r="C45" i="32"/>
  <c r="B45" i="32" s="1"/>
  <c r="K44" i="32"/>
  <c r="G44" i="32"/>
  <c r="F44" i="32" s="1"/>
  <c r="E44" i="32"/>
  <c r="D44" i="32" s="1"/>
  <c r="C44" i="32"/>
  <c r="B44" i="32" s="1"/>
  <c r="K43" i="32"/>
  <c r="G43" i="32"/>
  <c r="F43" i="32" s="1"/>
  <c r="E43" i="32"/>
  <c r="D43" i="32" s="1"/>
  <c r="C43" i="32"/>
  <c r="B43" i="32" s="1"/>
  <c r="K42" i="32"/>
  <c r="G42" i="32"/>
  <c r="F42" i="32" s="1"/>
  <c r="E42" i="32"/>
  <c r="D42" i="32" s="1"/>
  <c r="C42" i="32"/>
  <c r="B42" i="32" s="1"/>
  <c r="K41" i="32"/>
  <c r="G41" i="32"/>
  <c r="F41" i="32" s="1"/>
  <c r="E41" i="32"/>
  <c r="D41" i="32" s="1"/>
  <c r="C41" i="32"/>
  <c r="B41" i="32" s="1"/>
  <c r="K40" i="32"/>
  <c r="G40" i="32"/>
  <c r="F40" i="32" s="1"/>
  <c r="E40" i="32"/>
  <c r="D40" i="32" s="1"/>
  <c r="C40" i="32"/>
  <c r="B40" i="32" s="1"/>
  <c r="K39" i="32"/>
  <c r="G39" i="32"/>
  <c r="F39" i="32" s="1"/>
  <c r="E39" i="32"/>
  <c r="D39" i="32" s="1"/>
  <c r="C39" i="32"/>
  <c r="B39" i="32" s="1"/>
  <c r="K38" i="32"/>
  <c r="G38" i="32"/>
  <c r="F38" i="32" s="1"/>
  <c r="E38" i="32"/>
  <c r="D38" i="32" s="1"/>
  <c r="C38" i="32"/>
  <c r="B38" i="32" s="1"/>
  <c r="K37" i="32"/>
  <c r="G37" i="32"/>
  <c r="F37" i="32" s="1"/>
  <c r="E37" i="32"/>
  <c r="D37" i="32" s="1"/>
  <c r="C37" i="32"/>
  <c r="B37" i="32" s="1"/>
  <c r="K36" i="32"/>
  <c r="G36" i="32"/>
  <c r="F36" i="32" s="1"/>
  <c r="E36" i="32"/>
  <c r="D36" i="32" s="1"/>
  <c r="C36" i="32"/>
  <c r="B36" i="32" s="1"/>
  <c r="K35" i="32"/>
  <c r="G35" i="32"/>
  <c r="F35" i="32" s="1"/>
  <c r="E35" i="32"/>
  <c r="D35" i="32" s="1"/>
  <c r="C35" i="32"/>
  <c r="B35" i="32" s="1"/>
  <c r="K34" i="32"/>
  <c r="G34" i="32"/>
  <c r="F34" i="32" s="1"/>
  <c r="E34" i="32"/>
  <c r="D34" i="32" s="1"/>
  <c r="C34" i="32"/>
  <c r="B34" i="32" s="1"/>
  <c r="K33" i="32"/>
  <c r="G33" i="32"/>
  <c r="F33" i="32" s="1"/>
  <c r="E33" i="32"/>
  <c r="D33" i="32" s="1"/>
  <c r="C33" i="32"/>
  <c r="B33" i="32" s="1"/>
  <c r="K32" i="32"/>
  <c r="G32" i="32"/>
  <c r="F32" i="32" s="1"/>
  <c r="E32" i="32"/>
  <c r="D32" i="32" s="1"/>
  <c r="C32" i="32"/>
  <c r="B32" i="32" s="1"/>
  <c r="K31" i="32"/>
  <c r="G31" i="32"/>
  <c r="F31" i="32" s="1"/>
  <c r="E31" i="32"/>
  <c r="D31" i="32" s="1"/>
  <c r="C31" i="32"/>
  <c r="B31" i="32" s="1"/>
  <c r="K30" i="32"/>
  <c r="G30" i="32"/>
  <c r="F30" i="32" s="1"/>
  <c r="E30" i="32"/>
  <c r="D30" i="32" s="1"/>
  <c r="C30" i="32"/>
  <c r="B30" i="32" s="1"/>
  <c r="K29" i="32"/>
  <c r="G29" i="32"/>
  <c r="F29" i="32" s="1"/>
  <c r="E29" i="32"/>
  <c r="D29" i="32" s="1"/>
  <c r="C29" i="32"/>
  <c r="B29" i="32" s="1"/>
  <c r="K28" i="32"/>
  <c r="G28" i="32"/>
  <c r="F28" i="32" s="1"/>
  <c r="E28" i="32"/>
  <c r="D28" i="32" s="1"/>
  <c r="C28" i="32"/>
  <c r="B28" i="32" s="1"/>
  <c r="K27" i="32"/>
  <c r="G27" i="32"/>
  <c r="F27" i="32" s="1"/>
  <c r="E27" i="32"/>
  <c r="D27" i="32" s="1"/>
  <c r="C27" i="32"/>
  <c r="B27" i="32" s="1"/>
  <c r="K26" i="32"/>
  <c r="G26" i="32"/>
  <c r="F26" i="32" s="1"/>
  <c r="E26" i="32"/>
  <c r="D26" i="32" s="1"/>
  <c r="C26" i="32"/>
  <c r="B26" i="32" s="1"/>
  <c r="K25" i="32"/>
  <c r="G25" i="32"/>
  <c r="F25" i="32" s="1"/>
  <c r="E25" i="32"/>
  <c r="D25" i="32" s="1"/>
  <c r="C25" i="32"/>
  <c r="B25" i="32" s="1"/>
  <c r="K24" i="32"/>
  <c r="G24" i="32"/>
  <c r="F24" i="32" s="1"/>
  <c r="E24" i="32"/>
  <c r="D24" i="32" s="1"/>
  <c r="C24" i="32"/>
  <c r="B24" i="32" s="1"/>
  <c r="K23" i="32"/>
  <c r="G23" i="32"/>
  <c r="F23" i="32" s="1"/>
  <c r="E23" i="32"/>
  <c r="D23" i="32" s="1"/>
  <c r="C23" i="32"/>
  <c r="B23" i="32" s="1"/>
  <c r="K22" i="32"/>
  <c r="G22" i="32"/>
  <c r="F22" i="32" s="1"/>
  <c r="E22" i="32"/>
  <c r="D22" i="32" s="1"/>
  <c r="C22" i="32"/>
  <c r="B22" i="32" s="1"/>
  <c r="K21" i="32"/>
  <c r="G21" i="32"/>
  <c r="F21" i="32" s="1"/>
  <c r="E21" i="32"/>
  <c r="D21" i="32" s="1"/>
  <c r="C21" i="32"/>
  <c r="B21" i="32" s="1"/>
  <c r="K20" i="32"/>
  <c r="G20" i="32"/>
  <c r="F20" i="32" s="1"/>
  <c r="E20" i="32"/>
  <c r="D20" i="32" s="1"/>
  <c r="C20" i="32"/>
  <c r="B20" i="32" s="1"/>
  <c r="K19" i="32"/>
  <c r="G19" i="32"/>
  <c r="F19" i="32" s="1"/>
  <c r="E19" i="32"/>
  <c r="D19" i="32" s="1"/>
  <c r="C19" i="32"/>
  <c r="B19" i="32" s="1"/>
  <c r="K18" i="32"/>
  <c r="G18" i="32"/>
  <c r="F18" i="32" s="1"/>
  <c r="E18" i="32"/>
  <c r="D18" i="32" s="1"/>
  <c r="C18" i="32"/>
  <c r="B18" i="32" s="1"/>
  <c r="K17" i="32"/>
  <c r="G17" i="32"/>
  <c r="F17" i="32" s="1"/>
  <c r="E17" i="32"/>
  <c r="D17" i="32" s="1"/>
  <c r="C17" i="32"/>
  <c r="B17" i="32" s="1"/>
  <c r="K16" i="32"/>
  <c r="G16" i="32"/>
  <c r="F16" i="32" s="1"/>
  <c r="E16" i="32"/>
  <c r="D16" i="32" s="1"/>
  <c r="C16" i="32"/>
  <c r="B16" i="32" s="1"/>
  <c r="K15" i="32"/>
  <c r="G15" i="32"/>
  <c r="F15" i="32" s="1"/>
  <c r="E15" i="32"/>
  <c r="D15" i="32" s="1"/>
  <c r="C15" i="32"/>
  <c r="B15" i="32" s="1"/>
  <c r="K14" i="32"/>
  <c r="G14" i="32"/>
  <c r="F14" i="32" s="1"/>
  <c r="E14" i="32"/>
  <c r="D14" i="32" s="1"/>
  <c r="C14" i="32"/>
  <c r="B14" i="32" s="1"/>
  <c r="K13" i="32"/>
  <c r="G13" i="32"/>
  <c r="F13" i="32" s="1"/>
  <c r="E13" i="32"/>
  <c r="D13" i="32" s="1"/>
  <c r="C13" i="32"/>
  <c r="B13" i="32" s="1"/>
  <c r="K12" i="32"/>
  <c r="G12" i="32"/>
  <c r="F12" i="32" s="1"/>
  <c r="E12" i="32"/>
  <c r="D12" i="32" s="1"/>
  <c r="C12" i="32"/>
  <c r="B12" i="32" s="1"/>
  <c r="K11" i="32"/>
  <c r="G11" i="32"/>
  <c r="F11" i="32" s="1"/>
  <c r="E11" i="32"/>
  <c r="D11" i="32" s="1"/>
  <c r="C11" i="32"/>
  <c r="B11" i="32" s="1"/>
  <c r="K10" i="32"/>
  <c r="G10" i="32"/>
  <c r="F10" i="32" s="1"/>
  <c r="E10" i="32"/>
  <c r="D10" i="32" s="1"/>
  <c r="C10" i="32"/>
  <c r="B10" i="32" s="1"/>
  <c r="K9" i="32"/>
  <c r="G9" i="32"/>
  <c r="F9" i="32" s="1"/>
  <c r="E9" i="32"/>
  <c r="D9" i="32" s="1"/>
  <c r="C9" i="32"/>
  <c r="B9" i="32" s="1"/>
  <c r="K8" i="32"/>
  <c r="G8" i="32"/>
  <c r="F8" i="32" s="1"/>
  <c r="E8" i="32"/>
  <c r="D8" i="32" s="1"/>
  <c r="C8" i="32"/>
  <c r="B8" i="32" s="1"/>
  <c r="K7" i="32"/>
  <c r="G7" i="32"/>
  <c r="F7" i="32" s="1"/>
  <c r="E7" i="32"/>
  <c r="D7" i="32" s="1"/>
  <c r="C7" i="32"/>
  <c r="B7" i="32" s="1"/>
  <c r="K6" i="32"/>
  <c r="G6" i="32"/>
  <c r="F6" i="32" s="1"/>
  <c r="E6" i="32"/>
  <c r="D6" i="32" s="1"/>
  <c r="C6" i="32"/>
  <c r="B6" i="32" s="1"/>
  <c r="K5" i="32"/>
  <c r="G5" i="32"/>
  <c r="F5" i="32" s="1"/>
  <c r="E5" i="32"/>
  <c r="D5" i="32" s="1"/>
  <c r="C5" i="32"/>
  <c r="B5" i="32" s="1"/>
  <c r="K4" i="32"/>
  <c r="G4" i="32"/>
  <c r="F4" i="32" s="1"/>
  <c r="E4" i="32"/>
  <c r="D4" i="32" s="1"/>
  <c r="C4" i="32"/>
  <c r="B4" i="32" s="1"/>
  <c r="K3" i="32"/>
  <c r="G3" i="32"/>
  <c r="F3" i="32" s="1"/>
  <c r="E3" i="32"/>
  <c r="D3" i="32" s="1"/>
  <c r="C3" i="32"/>
  <c r="B3" i="32" s="1"/>
  <c r="K2" i="32"/>
  <c r="G2" i="32"/>
  <c r="F2" i="32" s="1"/>
  <c r="E2" i="32"/>
  <c r="D2" i="32" s="1"/>
  <c r="C2" i="32"/>
  <c r="B2" i="32" s="1"/>
  <c r="M81" i="5"/>
  <c r="L81" i="5"/>
  <c r="M80" i="5"/>
  <c r="L80" i="5"/>
  <c r="W79" i="5"/>
  <c r="M79" i="5"/>
  <c r="L79" i="5"/>
  <c r="K79" i="5"/>
  <c r="F79" i="5"/>
  <c r="AP78" i="5"/>
  <c r="AO78" i="5"/>
  <c r="AF78" i="5"/>
  <c r="W78" i="5"/>
  <c r="M78" i="5"/>
  <c r="L78" i="5"/>
  <c r="K78" i="5"/>
  <c r="AN78" i="5" s="1"/>
  <c r="F78" i="5"/>
  <c r="AP77" i="5"/>
  <c r="W77" i="5"/>
  <c r="M77" i="5"/>
  <c r="L77" i="5"/>
  <c r="K77" i="5"/>
  <c r="AE77" i="5" s="1"/>
  <c r="F77" i="5"/>
  <c r="AP76" i="5"/>
  <c r="AO76" i="5"/>
  <c r="AF76" i="5"/>
  <c r="W76" i="5"/>
  <c r="M76" i="5"/>
  <c r="L76" i="5"/>
  <c r="K76" i="5"/>
  <c r="AE76" i="5" s="1"/>
  <c r="AE23" i="31" s="1"/>
  <c r="AE25" i="31" s="1"/>
  <c r="F76" i="5"/>
  <c r="AP75" i="5"/>
  <c r="AO75" i="5"/>
  <c r="AF75" i="5"/>
  <c r="W75" i="5"/>
  <c r="M75" i="5"/>
  <c r="L75" i="5"/>
  <c r="K75" i="5"/>
  <c r="AN75" i="5" s="1"/>
  <c r="F75" i="5"/>
  <c r="AP74" i="5"/>
  <c r="AO74" i="5"/>
  <c r="AF74" i="5"/>
  <c r="W74" i="5"/>
  <c r="M74" i="5"/>
  <c r="L74" i="5"/>
  <c r="K74" i="5"/>
  <c r="AE74" i="5" s="1"/>
  <c r="F74" i="5"/>
  <c r="AP73" i="5"/>
  <c r="AO73" i="5"/>
  <c r="AF73" i="5"/>
  <c r="W73" i="5"/>
  <c r="M73" i="5"/>
  <c r="L73" i="5"/>
  <c r="K73" i="5"/>
  <c r="AE73" i="5" s="1"/>
  <c r="F73" i="5"/>
  <c r="AP72" i="5"/>
  <c r="AO72" i="5"/>
  <c r="AF72" i="5"/>
  <c r="W72" i="5"/>
  <c r="M72" i="5"/>
  <c r="L72" i="5"/>
  <c r="K72" i="5"/>
  <c r="AE72" i="5" s="1"/>
  <c r="F72" i="5"/>
  <c r="AP71" i="5"/>
  <c r="AO71" i="5"/>
  <c r="AF71" i="5"/>
  <c r="W71" i="5"/>
  <c r="M71" i="5"/>
  <c r="L71" i="5"/>
  <c r="K71" i="5"/>
  <c r="AE71" i="5" s="1"/>
  <c r="F71" i="5"/>
  <c r="AP70" i="5"/>
  <c r="AO70" i="5"/>
  <c r="AF70" i="5"/>
  <c r="W70" i="5"/>
  <c r="M70" i="5"/>
  <c r="L70" i="5"/>
  <c r="K70" i="5"/>
  <c r="AN70" i="5" s="1"/>
  <c r="F70" i="5"/>
  <c r="AP69" i="5"/>
  <c r="AO69" i="5"/>
  <c r="AF69" i="5"/>
  <c r="W69" i="5"/>
  <c r="M69" i="5"/>
  <c r="L69" i="5"/>
  <c r="K69" i="5"/>
  <c r="AE69" i="5" s="1"/>
  <c r="F69" i="5"/>
  <c r="AP68" i="5"/>
  <c r="AO68" i="5"/>
  <c r="AF68" i="5"/>
  <c r="W68" i="5"/>
  <c r="M68" i="5"/>
  <c r="L68" i="5"/>
  <c r="K68" i="5"/>
  <c r="AN68" i="5" s="1"/>
  <c r="F68" i="5"/>
  <c r="AP67" i="5"/>
  <c r="AO67" i="5"/>
  <c r="AF67" i="5"/>
  <c r="W67" i="5"/>
  <c r="B41" i="31"/>
  <c r="M67" i="5"/>
  <c r="L67" i="5"/>
  <c r="K67" i="5"/>
  <c r="AN67" i="5" s="1"/>
  <c r="F67" i="5"/>
  <c r="AP66" i="5"/>
  <c r="AO66" i="5"/>
  <c r="AF66" i="5"/>
  <c r="W66" i="5"/>
  <c r="M66" i="5"/>
  <c r="L66" i="5"/>
  <c r="K66" i="5"/>
  <c r="F66" i="5"/>
  <c r="AP65" i="5"/>
  <c r="AO65" i="5"/>
  <c r="AF65" i="5"/>
  <c r="W65" i="5"/>
  <c r="M65" i="5"/>
  <c r="L65" i="5"/>
  <c r="K65" i="5"/>
  <c r="F65" i="5"/>
  <c r="AP64" i="5"/>
  <c r="AO64" i="5"/>
  <c r="A27" i="31"/>
  <c r="AF64" i="5"/>
  <c r="W64" i="5"/>
  <c r="C46" i="31" s="1"/>
  <c r="M64" i="5"/>
  <c r="L64" i="5"/>
  <c r="K64" i="5"/>
  <c r="AE64" i="5" s="1"/>
  <c r="F64" i="5"/>
  <c r="AP63" i="5"/>
  <c r="AO63" i="5"/>
  <c r="AF63" i="5"/>
  <c r="W63" i="5"/>
  <c r="M63" i="5"/>
  <c r="L63" i="5"/>
  <c r="K63" i="5"/>
  <c r="AN63" i="5" s="1"/>
  <c r="F63" i="5"/>
  <c r="AP62" i="5"/>
  <c r="AO62" i="5"/>
  <c r="AF62" i="5"/>
  <c r="W62" i="5"/>
  <c r="M62" i="5"/>
  <c r="L62" i="5"/>
  <c r="K62" i="5"/>
  <c r="F62" i="5"/>
  <c r="AP61" i="5"/>
  <c r="AO61" i="5"/>
  <c r="AF61" i="5"/>
  <c r="W61" i="5"/>
  <c r="M61" i="5"/>
  <c r="L61" i="5"/>
  <c r="K61" i="5"/>
  <c r="AE61" i="5" s="1"/>
  <c r="F61" i="5"/>
  <c r="AP60" i="5"/>
  <c r="AO60" i="5"/>
  <c r="AF60" i="5"/>
  <c r="W60" i="5"/>
  <c r="M60" i="5"/>
  <c r="L60" i="5"/>
  <c r="K60" i="5"/>
  <c r="AE60" i="5" s="1"/>
  <c r="F60" i="5"/>
  <c r="AP59" i="5"/>
  <c r="AO59" i="5"/>
  <c r="AF59" i="5"/>
  <c r="W59" i="5"/>
  <c r="M59" i="5"/>
  <c r="L59" i="5"/>
  <c r="AN59" i="5"/>
  <c r="F59" i="5"/>
  <c r="G59" i="5" s="1"/>
  <c r="E60" i="30" s="1"/>
  <c r="G60" i="30" s="1"/>
  <c r="AP58" i="5"/>
  <c r="AO58" i="5"/>
  <c r="AF58" i="5"/>
  <c r="W58" i="5"/>
  <c r="M58" i="5"/>
  <c r="L58" i="5"/>
  <c r="K58" i="5"/>
  <c r="AE58" i="5" s="1"/>
  <c r="F58" i="5"/>
  <c r="AP57" i="5"/>
  <c r="AO57" i="5"/>
  <c r="AF57" i="5"/>
  <c r="W57" i="5"/>
  <c r="M57" i="5"/>
  <c r="L57" i="5"/>
  <c r="K57" i="5"/>
  <c r="AN57" i="5" s="1"/>
  <c r="F57" i="5"/>
  <c r="AP56" i="5"/>
  <c r="AO56" i="5"/>
  <c r="AF56" i="5"/>
  <c r="W56" i="5"/>
  <c r="M56" i="5"/>
  <c r="L56" i="5"/>
  <c r="K56" i="5"/>
  <c r="AE56" i="5" s="1"/>
  <c r="F56" i="5"/>
  <c r="AP55" i="5"/>
  <c r="AO55" i="5"/>
  <c r="AF55" i="5"/>
  <c r="W55" i="5"/>
  <c r="M55" i="5"/>
  <c r="L55" i="5"/>
  <c r="K55" i="5"/>
  <c r="AE55" i="5" s="1"/>
  <c r="F55" i="5"/>
  <c r="AP54" i="5"/>
  <c r="AO54" i="5"/>
  <c r="AF54" i="5"/>
  <c r="W54" i="5"/>
  <c r="M54" i="5"/>
  <c r="L54" i="5"/>
  <c r="K54" i="5"/>
  <c r="AN54" i="5" s="1"/>
  <c r="A7" i="31"/>
  <c r="A9" i="31" s="1"/>
  <c r="F54" i="5"/>
  <c r="AP53" i="5"/>
  <c r="AO53" i="5"/>
  <c r="AF53" i="5"/>
  <c r="W53" i="5"/>
  <c r="M53" i="5"/>
  <c r="L53" i="5"/>
  <c r="K53" i="5"/>
  <c r="F53" i="5"/>
  <c r="AP52" i="5"/>
  <c r="AO52" i="5"/>
  <c r="AF52" i="5"/>
  <c r="W52" i="5"/>
  <c r="M52" i="5"/>
  <c r="L52" i="5"/>
  <c r="K52" i="5"/>
  <c r="F52" i="5"/>
  <c r="AP51" i="5"/>
  <c r="AO51" i="5"/>
  <c r="AF51" i="5"/>
  <c r="W51" i="5"/>
  <c r="M51" i="5"/>
  <c r="L51" i="5"/>
  <c r="K51" i="5"/>
  <c r="AE51" i="5" s="1"/>
  <c r="F51" i="5"/>
  <c r="AP50" i="5"/>
  <c r="AO50" i="5"/>
  <c r="AF50" i="5"/>
  <c r="W50" i="5"/>
  <c r="M50" i="5"/>
  <c r="L50" i="5"/>
  <c r="K50" i="5"/>
  <c r="AE50" i="5" s="1"/>
  <c r="F50" i="5"/>
  <c r="AP49" i="5"/>
  <c r="AO49" i="5"/>
  <c r="AF49" i="5"/>
  <c r="W49" i="5"/>
  <c r="M49" i="5"/>
  <c r="L49" i="5"/>
  <c r="K49" i="5"/>
  <c r="F49" i="5"/>
  <c r="AP48" i="5"/>
  <c r="AO48" i="5"/>
  <c r="AF48" i="5"/>
  <c r="W48" i="5"/>
  <c r="M48" i="5"/>
  <c r="L48" i="5"/>
  <c r="K48" i="5"/>
  <c r="AE48" i="5" s="1"/>
  <c r="F48" i="5"/>
  <c r="AP47" i="5"/>
  <c r="AO47" i="5"/>
  <c r="AF47" i="5"/>
  <c r="W47" i="5"/>
  <c r="M47" i="5"/>
  <c r="L47" i="5"/>
  <c r="K47" i="5"/>
  <c r="AN47" i="5" s="1"/>
  <c r="F47" i="5"/>
  <c r="AP46" i="5"/>
  <c r="AO46" i="5"/>
  <c r="AF46" i="5"/>
  <c r="W46" i="5"/>
  <c r="M46" i="5"/>
  <c r="L46" i="5"/>
  <c r="K46" i="5"/>
  <c r="AE46" i="5" s="1"/>
  <c r="F46" i="5"/>
  <c r="AP45" i="5"/>
  <c r="AO45" i="5"/>
  <c r="AF45" i="5"/>
  <c r="W45" i="5"/>
  <c r="M45" i="5"/>
  <c r="L45" i="5"/>
  <c r="K45" i="5"/>
  <c r="AE45" i="5" s="1"/>
  <c r="F45" i="5"/>
  <c r="AP44" i="5"/>
  <c r="AO44" i="5"/>
  <c r="AF44" i="5"/>
  <c r="W44" i="5"/>
  <c r="M44" i="5"/>
  <c r="L44" i="5"/>
  <c r="K44" i="5"/>
  <c r="AN44" i="5" s="1"/>
  <c r="F44" i="5"/>
  <c r="AP43" i="5"/>
  <c r="AO43" i="5"/>
  <c r="AF43" i="5"/>
  <c r="W43" i="5"/>
  <c r="M43" i="5"/>
  <c r="L43" i="5"/>
  <c r="K43" i="5"/>
  <c r="AN43" i="5" s="1"/>
  <c r="F43" i="5"/>
  <c r="AP42" i="5"/>
  <c r="AO42" i="5"/>
  <c r="AF42" i="5"/>
  <c r="W42" i="5"/>
  <c r="M42" i="5"/>
  <c r="L42" i="5"/>
  <c r="K42" i="5"/>
  <c r="F42" i="5"/>
  <c r="AP41" i="5"/>
  <c r="AO41" i="5"/>
  <c r="AF41" i="5"/>
  <c r="W41" i="5"/>
  <c r="M41" i="5"/>
  <c r="L41" i="5"/>
  <c r="K41" i="5"/>
  <c r="F41" i="5"/>
  <c r="AP40" i="5"/>
  <c r="AO40" i="5"/>
  <c r="AF40" i="5"/>
  <c r="W40" i="5"/>
  <c r="M40" i="5"/>
  <c r="L40" i="5"/>
  <c r="K40" i="5"/>
  <c r="F40" i="5"/>
  <c r="AP39" i="5"/>
  <c r="AO39" i="5"/>
  <c r="AF39" i="5"/>
  <c r="W39" i="5"/>
  <c r="M39" i="5"/>
  <c r="L39" i="5"/>
  <c r="K39" i="5"/>
  <c r="F39" i="5"/>
  <c r="AP38" i="5"/>
  <c r="AO38" i="5"/>
  <c r="AF38" i="5"/>
  <c r="W38" i="5"/>
  <c r="M38" i="5"/>
  <c r="L38" i="5"/>
  <c r="K38" i="5"/>
  <c r="F38" i="5"/>
  <c r="AP37" i="5"/>
  <c r="AO37" i="5"/>
  <c r="AF37" i="5"/>
  <c r="W37" i="5"/>
  <c r="M37" i="5"/>
  <c r="L37" i="5"/>
  <c r="K37" i="5"/>
  <c r="F37" i="5"/>
  <c r="AP36" i="5"/>
  <c r="AO36" i="5"/>
  <c r="AF36" i="5"/>
  <c r="W36" i="5"/>
  <c r="M36" i="5"/>
  <c r="L36" i="5"/>
  <c r="K36" i="5"/>
  <c r="AN36" i="5" s="1"/>
  <c r="F36" i="5"/>
  <c r="AP35" i="5"/>
  <c r="AO35" i="5"/>
  <c r="AF35" i="5"/>
  <c r="W35" i="5"/>
  <c r="M35" i="5"/>
  <c r="L35" i="5"/>
  <c r="K35" i="5"/>
  <c r="F35" i="5"/>
  <c r="AP34" i="5"/>
  <c r="AO34" i="5"/>
  <c r="AF34" i="5"/>
  <c r="W34" i="5"/>
  <c r="M34" i="5"/>
  <c r="L34" i="5"/>
  <c r="K34" i="5"/>
  <c r="AN34" i="5" s="1"/>
  <c r="F34" i="5"/>
  <c r="AP33" i="5"/>
  <c r="AO33" i="5"/>
  <c r="AF33" i="5"/>
  <c r="W33" i="5"/>
  <c r="M33" i="5"/>
  <c r="L33" i="5"/>
  <c r="K33" i="5"/>
  <c r="AE33" i="5" s="1"/>
  <c r="F33" i="5"/>
  <c r="AP32" i="5"/>
  <c r="AO32" i="5"/>
  <c r="AF32" i="5"/>
  <c r="W32" i="5"/>
  <c r="C41" i="31" s="1"/>
  <c r="M32" i="5"/>
  <c r="L32" i="5"/>
  <c r="K32" i="5"/>
  <c r="AE32" i="5" s="1"/>
  <c r="F32" i="5"/>
  <c r="AP31" i="5"/>
  <c r="AO31" i="5"/>
  <c r="AF31" i="5"/>
  <c r="W31" i="5"/>
  <c r="M31" i="5"/>
  <c r="L31" i="5"/>
  <c r="K31" i="5"/>
  <c r="AE31" i="5" s="1"/>
  <c r="F31" i="5"/>
  <c r="AP30" i="5"/>
  <c r="AO30" i="5"/>
  <c r="AF30" i="5"/>
  <c r="W30" i="5"/>
  <c r="M30" i="5"/>
  <c r="L30" i="5"/>
  <c r="K30" i="5"/>
  <c r="AN30" i="5" s="1"/>
  <c r="F30" i="5"/>
  <c r="AP29" i="5"/>
  <c r="AO29" i="5"/>
  <c r="AF29" i="5"/>
  <c r="W29" i="5"/>
  <c r="M29" i="5"/>
  <c r="L29" i="5"/>
  <c r="K29" i="5"/>
  <c r="AE29" i="5" s="1"/>
  <c r="F29" i="5"/>
  <c r="AP28" i="5"/>
  <c r="AO28" i="5"/>
  <c r="AF28" i="5"/>
  <c r="AO27" i="31"/>
  <c r="W28" i="5"/>
  <c r="M28" i="5"/>
  <c r="L28" i="5"/>
  <c r="K28" i="5"/>
  <c r="F28" i="5"/>
  <c r="AP27" i="5"/>
  <c r="AO27" i="5"/>
  <c r="AF27" i="5"/>
  <c r="W27" i="5"/>
  <c r="M27" i="5"/>
  <c r="L27" i="5"/>
  <c r="K27" i="5"/>
  <c r="AE27" i="5" s="1"/>
  <c r="F27" i="5"/>
  <c r="AP26" i="5"/>
  <c r="AO26" i="5"/>
  <c r="AF26" i="5"/>
  <c r="W26" i="5"/>
  <c r="M26" i="5"/>
  <c r="L26" i="5"/>
  <c r="K26" i="5"/>
  <c r="AE26" i="5" s="1"/>
  <c r="F26" i="5"/>
  <c r="AP25" i="5"/>
  <c r="AO25" i="5"/>
  <c r="AF25" i="5"/>
  <c r="W25" i="5"/>
  <c r="M25" i="5"/>
  <c r="L25" i="5"/>
  <c r="K25" i="5"/>
  <c r="AE25" i="5" s="1"/>
  <c r="F25" i="5"/>
  <c r="AP24" i="5"/>
  <c r="AO24" i="5"/>
  <c r="AF24" i="5"/>
  <c r="W24" i="5"/>
  <c r="M24" i="5"/>
  <c r="L24" i="5"/>
  <c r="K24" i="5"/>
  <c r="F24" i="5"/>
  <c r="AP23" i="5"/>
  <c r="AO23" i="5"/>
  <c r="AF23" i="5"/>
  <c r="W23" i="5"/>
  <c r="M23" i="5"/>
  <c r="L23" i="5"/>
  <c r="K23" i="5"/>
  <c r="AE23" i="5" s="1"/>
  <c r="F23" i="5"/>
  <c r="AP22" i="5"/>
  <c r="AO22" i="5"/>
  <c r="AF22" i="5"/>
  <c r="W22" i="5"/>
  <c r="M22" i="5"/>
  <c r="L22" i="5"/>
  <c r="K22" i="5"/>
  <c r="AN22" i="5" s="1"/>
  <c r="F22" i="5"/>
  <c r="AP21" i="5"/>
  <c r="AO21" i="5"/>
  <c r="AF21" i="5"/>
  <c r="W21" i="5"/>
  <c r="M21" i="5"/>
  <c r="L21" i="5"/>
  <c r="K21" i="5"/>
  <c r="AN21" i="5" s="1"/>
  <c r="F21" i="5"/>
  <c r="AP20" i="5"/>
  <c r="AO20" i="5"/>
  <c r="AF20" i="5"/>
  <c r="W20" i="5"/>
  <c r="M20" i="5"/>
  <c r="L20" i="5"/>
  <c r="K20" i="5"/>
  <c r="AN20" i="5" s="1"/>
  <c r="F20" i="5"/>
  <c r="AP19" i="5"/>
  <c r="AO19" i="5"/>
  <c r="AF19" i="5"/>
  <c r="W19" i="5"/>
  <c r="M19" i="5"/>
  <c r="L19" i="5"/>
  <c r="K19" i="5"/>
  <c r="AN19" i="5" s="1"/>
  <c r="F19" i="5"/>
  <c r="AP18" i="5"/>
  <c r="AO18" i="5"/>
  <c r="AF18" i="5"/>
  <c r="W18" i="5"/>
  <c r="M18" i="5"/>
  <c r="L18" i="5"/>
  <c r="K18" i="5"/>
  <c r="AE18" i="5" s="1"/>
  <c r="F18" i="5"/>
  <c r="AP17" i="5"/>
  <c r="AO17" i="5"/>
  <c r="AF17" i="5"/>
  <c r="W17" i="5"/>
  <c r="M17" i="5"/>
  <c r="L17" i="5"/>
  <c r="K17" i="5"/>
  <c r="AN17" i="5" s="1"/>
  <c r="F17" i="5"/>
  <c r="AP16" i="5"/>
  <c r="AO16" i="5"/>
  <c r="AF16" i="5"/>
  <c r="W16" i="5"/>
  <c r="M16" i="5"/>
  <c r="L16" i="5"/>
  <c r="K16" i="5"/>
  <c r="AN16" i="5" s="1"/>
  <c r="F16" i="5"/>
  <c r="AP15" i="5"/>
  <c r="AO15" i="5"/>
  <c r="A35" i="31"/>
  <c r="AF15" i="5"/>
  <c r="W15" i="5"/>
  <c r="M15" i="5"/>
  <c r="L15" i="5"/>
  <c r="K15" i="5"/>
  <c r="AN15" i="5" s="1"/>
  <c r="A31" i="31"/>
  <c r="A33" i="31" s="1"/>
  <c r="F15" i="5"/>
  <c r="AP14" i="5"/>
  <c r="AO14" i="5"/>
  <c r="AF14" i="5"/>
  <c r="W14" i="5"/>
  <c r="M14" i="5"/>
  <c r="L14" i="5"/>
  <c r="K14" i="5"/>
  <c r="AE14" i="5" s="1"/>
  <c r="F14" i="5"/>
  <c r="AP13" i="5"/>
  <c r="AO13" i="5"/>
  <c r="AF13" i="5"/>
  <c r="W13" i="5"/>
  <c r="M13" i="5"/>
  <c r="L13" i="5"/>
  <c r="K13" i="5"/>
  <c r="F13" i="5"/>
  <c r="AP12" i="5"/>
  <c r="AO12" i="5"/>
  <c r="AF12" i="5"/>
  <c r="W12" i="5"/>
  <c r="M12" i="5"/>
  <c r="L12" i="5"/>
  <c r="K12" i="5"/>
  <c r="AE12" i="5" s="1"/>
  <c r="F12" i="5"/>
  <c r="AP11" i="5"/>
  <c r="AO11" i="5"/>
  <c r="AF11" i="5"/>
  <c r="W11" i="5"/>
  <c r="M11" i="5"/>
  <c r="L11" i="5"/>
  <c r="K11" i="5"/>
  <c r="AN11" i="5" s="1"/>
  <c r="F11" i="5"/>
  <c r="AP10" i="5"/>
  <c r="AO10" i="5"/>
  <c r="AF10" i="5"/>
  <c r="W10" i="5"/>
  <c r="M10" i="5"/>
  <c r="L10" i="5"/>
  <c r="K10" i="5"/>
  <c r="AE10" i="5" s="1"/>
  <c r="F10" i="5"/>
  <c r="AP9" i="5"/>
  <c r="AO9" i="5"/>
  <c r="AF9" i="5"/>
  <c r="W9" i="5"/>
  <c r="M9" i="5"/>
  <c r="L9" i="5"/>
  <c r="K9" i="5"/>
  <c r="AN9" i="5" s="1"/>
  <c r="F9" i="5"/>
  <c r="AP8" i="5"/>
  <c r="AO8" i="5"/>
  <c r="AF8" i="5"/>
  <c r="W8" i="5"/>
  <c r="M8" i="5"/>
  <c r="L8" i="5"/>
  <c r="K8" i="5"/>
  <c r="AN8" i="5" s="1"/>
  <c r="F8" i="5"/>
  <c r="AP7" i="5"/>
  <c r="AO7" i="5"/>
  <c r="AF7" i="5"/>
  <c r="W7" i="5"/>
  <c r="M7" i="5"/>
  <c r="L7" i="5"/>
  <c r="K7" i="5"/>
  <c r="AE7" i="5" s="1"/>
  <c r="F7" i="5"/>
  <c r="AP6" i="5"/>
  <c r="AO6" i="5"/>
  <c r="AF6" i="5"/>
  <c r="W6" i="5"/>
  <c r="M6" i="5"/>
  <c r="L6" i="5"/>
  <c r="K6" i="5"/>
  <c r="AE6" i="5" s="1"/>
  <c r="F6" i="5"/>
  <c r="AP5" i="5"/>
  <c r="AO5" i="5"/>
  <c r="AF5" i="5"/>
  <c r="W5" i="5"/>
  <c r="M5" i="5"/>
  <c r="L5" i="5"/>
  <c r="K5" i="5"/>
  <c r="AN5" i="5" s="1"/>
  <c r="F5" i="5"/>
  <c r="AP4" i="5"/>
  <c r="AO4" i="5"/>
  <c r="AF4" i="5"/>
  <c r="W4" i="5"/>
  <c r="M4" i="5"/>
  <c r="L4" i="5"/>
  <c r="K4" i="5"/>
  <c r="AN4" i="5" s="1"/>
  <c r="F4" i="5"/>
  <c r="AP3" i="5"/>
  <c r="AO3" i="5"/>
  <c r="AF3" i="5"/>
  <c r="W3" i="5"/>
  <c r="M3" i="5"/>
  <c r="L3" i="5"/>
  <c r="K3" i="5"/>
  <c r="AE3" i="5" s="1"/>
  <c r="F3" i="5"/>
  <c r="AP2" i="5"/>
  <c r="AO2" i="5"/>
  <c r="AF2" i="5"/>
  <c r="W2" i="5"/>
  <c r="B46" i="31"/>
  <c r="M2" i="5"/>
  <c r="L2" i="5"/>
  <c r="K2" i="5"/>
  <c r="AN2" i="5" s="1"/>
  <c r="F2" i="5"/>
  <c r="C1" i="5"/>
  <c r="AP68" i="31"/>
  <c r="AO68" i="31"/>
  <c r="AN68" i="31"/>
  <c r="AM68" i="31"/>
  <c r="AL68" i="31"/>
  <c r="AK68" i="31"/>
  <c r="AJ68" i="31"/>
  <c r="AI68" i="31"/>
  <c r="AH68" i="31"/>
  <c r="AG68" i="31"/>
  <c r="AF68" i="31"/>
  <c r="AE68" i="31"/>
  <c r="AD68" i="31"/>
  <c r="AC68" i="31"/>
  <c r="AB68" i="31"/>
  <c r="AA68" i="31"/>
  <c r="Z68" i="31"/>
  <c r="Y68" i="31"/>
  <c r="X68" i="31"/>
  <c r="W68" i="31"/>
  <c r="V68" i="31"/>
  <c r="U68" i="31"/>
  <c r="T68" i="31"/>
  <c r="S68" i="31"/>
  <c r="R68" i="31"/>
  <c r="Q68" i="31"/>
  <c r="P68" i="31"/>
  <c r="O68" i="31"/>
  <c r="N68" i="31"/>
  <c r="M68" i="31"/>
  <c r="L68" i="31"/>
  <c r="K68" i="31"/>
  <c r="J68" i="31"/>
  <c r="I68" i="31"/>
  <c r="H68" i="31"/>
  <c r="G68" i="31"/>
  <c r="F68" i="31"/>
  <c r="E68" i="31"/>
  <c r="AP67" i="31"/>
  <c r="AO67" i="31"/>
  <c r="AN67" i="31"/>
  <c r="AM67" i="31"/>
  <c r="AL67" i="31"/>
  <c r="AK67" i="31"/>
  <c r="AJ67" i="31"/>
  <c r="AI67" i="31"/>
  <c r="AH67" i="31"/>
  <c r="AG67" i="31"/>
  <c r="AF67" i="31"/>
  <c r="AE67" i="31"/>
  <c r="AD67" i="31"/>
  <c r="AC67" i="31"/>
  <c r="AB67" i="31"/>
  <c r="AA67" i="31"/>
  <c r="Z67" i="31"/>
  <c r="Y67" i="31"/>
  <c r="X67" i="31"/>
  <c r="W67" i="31"/>
  <c r="V67" i="31"/>
  <c r="U67" i="31"/>
  <c r="T67" i="31"/>
  <c r="S67" i="31"/>
  <c r="R67" i="31"/>
  <c r="Q67" i="31"/>
  <c r="P67" i="31"/>
  <c r="O67" i="31"/>
  <c r="N67" i="31"/>
  <c r="M67" i="31"/>
  <c r="L67" i="31"/>
  <c r="K67" i="31"/>
  <c r="J67" i="31"/>
  <c r="I67" i="31"/>
  <c r="H67" i="31"/>
  <c r="G67" i="31"/>
  <c r="F67" i="31"/>
  <c r="E67" i="31"/>
  <c r="AP66" i="31"/>
  <c r="AO66" i="31"/>
  <c r="AN66" i="31"/>
  <c r="AM66" i="31"/>
  <c r="AL66" i="31"/>
  <c r="AK66" i="31"/>
  <c r="AJ66" i="31"/>
  <c r="AI66" i="31"/>
  <c r="AH66" i="31"/>
  <c r="AG66" i="31"/>
  <c r="AF66" i="31"/>
  <c r="AE66" i="31"/>
  <c r="AD66" i="31"/>
  <c r="AC66" i="31"/>
  <c r="AB66" i="31"/>
  <c r="AA66" i="31"/>
  <c r="Z66" i="31"/>
  <c r="Y66" i="31"/>
  <c r="X66" i="31"/>
  <c r="W66" i="31"/>
  <c r="V66" i="31"/>
  <c r="U66" i="31"/>
  <c r="T66" i="31"/>
  <c r="S66" i="31"/>
  <c r="R66" i="31"/>
  <c r="Q66" i="31"/>
  <c r="P66" i="31"/>
  <c r="O66" i="31"/>
  <c r="N66" i="31"/>
  <c r="M66" i="31"/>
  <c r="L66" i="31"/>
  <c r="K66" i="31"/>
  <c r="J66" i="31"/>
  <c r="I66" i="31"/>
  <c r="H66" i="31"/>
  <c r="G66" i="31"/>
  <c r="F66" i="31"/>
  <c r="E66" i="31"/>
  <c r="AP65" i="31"/>
  <c r="AO65" i="31"/>
  <c r="AN65" i="31"/>
  <c r="AM65" i="31"/>
  <c r="AL65" i="31"/>
  <c r="AK65" i="31"/>
  <c r="AJ65" i="31"/>
  <c r="AI65" i="31"/>
  <c r="AH65" i="31"/>
  <c r="AG65" i="31"/>
  <c r="AF65" i="31"/>
  <c r="AE65" i="31"/>
  <c r="AD65" i="31"/>
  <c r="AC65" i="31"/>
  <c r="AB65" i="31"/>
  <c r="AA65" i="31"/>
  <c r="Z65" i="31"/>
  <c r="Y65" i="31"/>
  <c r="X65" i="31"/>
  <c r="W65" i="31"/>
  <c r="V65" i="31"/>
  <c r="U65" i="31"/>
  <c r="T65" i="31"/>
  <c r="S65" i="31"/>
  <c r="R65" i="31"/>
  <c r="Q65" i="31"/>
  <c r="P65" i="31"/>
  <c r="O65" i="31"/>
  <c r="N65" i="31"/>
  <c r="M65" i="31"/>
  <c r="L65" i="31"/>
  <c r="K65" i="31"/>
  <c r="J65" i="31"/>
  <c r="I65" i="31"/>
  <c r="H65" i="31"/>
  <c r="G65" i="31"/>
  <c r="F65" i="31"/>
  <c r="E65" i="31"/>
  <c r="AP64" i="31"/>
  <c r="AO64" i="31"/>
  <c r="AN64" i="31"/>
  <c r="AM64" i="31"/>
  <c r="AL64" i="31"/>
  <c r="AK64" i="31"/>
  <c r="AJ64" i="31"/>
  <c r="AI64" i="31"/>
  <c r="AH64" i="31"/>
  <c r="AG64" i="31"/>
  <c r="AF64" i="31"/>
  <c r="AE64" i="31"/>
  <c r="AD64" i="31"/>
  <c r="AC64" i="31"/>
  <c r="AB64" i="31"/>
  <c r="AA64" i="31"/>
  <c r="Z64" i="31"/>
  <c r="Y64" i="31"/>
  <c r="X64" i="31"/>
  <c r="W64" i="31"/>
  <c r="V64" i="31"/>
  <c r="U64" i="31"/>
  <c r="T64" i="31"/>
  <c r="S64" i="31"/>
  <c r="R64" i="31"/>
  <c r="Q64" i="31"/>
  <c r="P64" i="31"/>
  <c r="O64" i="31"/>
  <c r="N64" i="31"/>
  <c r="M64" i="31"/>
  <c r="L64" i="31"/>
  <c r="K64" i="31"/>
  <c r="J64" i="31"/>
  <c r="I64" i="31"/>
  <c r="H64" i="31"/>
  <c r="G64" i="31"/>
  <c r="F64" i="31"/>
  <c r="E64" i="31"/>
  <c r="AP63" i="31"/>
  <c r="AO63" i="31"/>
  <c r="AN63" i="31"/>
  <c r="AM63" i="31"/>
  <c r="AL63" i="31"/>
  <c r="AK63" i="31"/>
  <c r="AJ63" i="31"/>
  <c r="AI63" i="31"/>
  <c r="AH63" i="31"/>
  <c r="AG63" i="31"/>
  <c r="AF63" i="31"/>
  <c r="AE63" i="31"/>
  <c r="AD63" i="31"/>
  <c r="AC63" i="31"/>
  <c r="AB63" i="31"/>
  <c r="AA63" i="31"/>
  <c r="Z63" i="31"/>
  <c r="Y63" i="31"/>
  <c r="X63" i="31"/>
  <c r="W63" i="31"/>
  <c r="V63" i="31"/>
  <c r="U63" i="31"/>
  <c r="T63" i="31"/>
  <c r="S63" i="31"/>
  <c r="R63" i="31"/>
  <c r="Q63" i="31"/>
  <c r="P63" i="31"/>
  <c r="O63" i="31"/>
  <c r="N63" i="31"/>
  <c r="M63" i="31"/>
  <c r="L63" i="31"/>
  <c r="K63" i="31"/>
  <c r="J63" i="31"/>
  <c r="I63" i="31"/>
  <c r="H63" i="31"/>
  <c r="G63" i="31"/>
  <c r="F63" i="31"/>
  <c r="E63" i="31"/>
  <c r="AP62" i="31"/>
  <c r="AO62" i="31"/>
  <c r="AN62" i="31"/>
  <c r="AM62" i="31"/>
  <c r="AL62" i="31"/>
  <c r="AK62" i="31"/>
  <c r="AJ62" i="31"/>
  <c r="AI62" i="31"/>
  <c r="AH62" i="31"/>
  <c r="AG62" i="31"/>
  <c r="AF62" i="31"/>
  <c r="AE62" i="31"/>
  <c r="AD62" i="31"/>
  <c r="AC62" i="31"/>
  <c r="AB62" i="31"/>
  <c r="AA62" i="31"/>
  <c r="Z62" i="31"/>
  <c r="Y62" i="31"/>
  <c r="X62" i="31"/>
  <c r="W62" i="31"/>
  <c r="V62" i="31"/>
  <c r="U62" i="31"/>
  <c r="T62" i="31"/>
  <c r="S62" i="31"/>
  <c r="R62" i="31"/>
  <c r="Q62" i="31"/>
  <c r="P62" i="31"/>
  <c r="O62" i="31"/>
  <c r="N62" i="31"/>
  <c r="M62" i="31"/>
  <c r="L62" i="31"/>
  <c r="K62" i="31"/>
  <c r="J62" i="31"/>
  <c r="I62" i="31"/>
  <c r="H62" i="31"/>
  <c r="G62" i="31"/>
  <c r="F62" i="31"/>
  <c r="E62" i="31"/>
  <c r="D58" i="31"/>
  <c r="A46" i="31"/>
  <c r="A45" i="31"/>
  <c r="AP44" i="31"/>
  <c r="AO44" i="31"/>
  <c r="AN44" i="31"/>
  <c r="AM44" i="31"/>
  <c r="AL44" i="31"/>
  <c r="AK44" i="31"/>
  <c r="AJ44" i="31"/>
  <c r="AI44" i="31"/>
  <c r="AH44" i="31"/>
  <c r="AG44" i="31"/>
  <c r="AF44" i="31"/>
  <c r="AE44" i="31"/>
  <c r="AD44" i="31"/>
  <c r="AC44" i="31"/>
  <c r="AB44" i="31"/>
  <c r="AA44" i="31"/>
  <c r="Z44" i="31"/>
  <c r="Y44" i="31"/>
  <c r="X44" i="31"/>
  <c r="W44" i="31"/>
  <c r="V44" i="31"/>
  <c r="U44" i="31"/>
  <c r="T44" i="31"/>
  <c r="S44" i="31"/>
  <c r="R44" i="31"/>
  <c r="Q44" i="31"/>
  <c r="P44" i="31"/>
  <c r="O44" i="31"/>
  <c r="N44" i="31"/>
  <c r="M44" i="31"/>
  <c r="L44" i="31"/>
  <c r="K44" i="31"/>
  <c r="J44" i="31"/>
  <c r="I44" i="31"/>
  <c r="L50" i="40" s="1"/>
  <c r="H44" i="31"/>
  <c r="H50" i="40" s="1"/>
  <c r="G44" i="31"/>
  <c r="E50" i="10" s="1"/>
  <c r="F44" i="31"/>
  <c r="C50" i="40" s="1"/>
  <c r="E44" i="31"/>
  <c r="B50" i="10" s="1"/>
  <c r="D44" i="31"/>
  <c r="C44" i="31"/>
  <c r="B44" i="31"/>
  <c r="A44" i="31"/>
  <c r="AP43" i="31"/>
  <c r="AO43" i="31"/>
  <c r="AN43" i="31"/>
  <c r="AM43" i="31"/>
  <c r="AL43" i="31"/>
  <c r="AK43" i="31"/>
  <c r="AJ43" i="31"/>
  <c r="AI43" i="31"/>
  <c r="AH43" i="31"/>
  <c r="AG43" i="31"/>
  <c r="AF43" i="31"/>
  <c r="C169" i="38" s="1"/>
  <c r="D169" i="38" s="1"/>
  <c r="E169" i="38" s="1"/>
  <c r="F169" i="38" s="1"/>
  <c r="G169" i="38" s="1"/>
  <c r="AE43" i="31"/>
  <c r="C168" i="38" s="1"/>
  <c r="D168" i="38" s="1"/>
  <c r="E168" i="38" s="1"/>
  <c r="F168" i="38" s="1"/>
  <c r="G168" i="38" s="1"/>
  <c r="J168" i="38" s="1"/>
  <c r="AD43" i="31"/>
  <c r="C167" i="38" s="1"/>
  <c r="D167" i="38" s="1"/>
  <c r="E167" i="38" s="1"/>
  <c r="F167" i="38" s="1"/>
  <c r="G167" i="38" s="1"/>
  <c r="J167" i="38" s="1"/>
  <c r="AC43" i="31"/>
  <c r="C166" i="38" s="1"/>
  <c r="D166" i="38" s="1"/>
  <c r="E166" i="38" s="1"/>
  <c r="F166" i="38" s="1"/>
  <c r="G166" i="38" s="1"/>
  <c r="J166" i="38" s="1"/>
  <c r="AB43" i="31"/>
  <c r="C165" i="38" s="1"/>
  <c r="D165" i="38" s="1"/>
  <c r="E165" i="38" s="1"/>
  <c r="F165" i="38" s="1"/>
  <c r="G165" i="38" s="1"/>
  <c r="J165" i="38" s="1"/>
  <c r="AA43" i="31"/>
  <c r="C164" i="38" s="1"/>
  <c r="D164" i="38" s="1"/>
  <c r="E164" i="38" s="1"/>
  <c r="F164" i="38" s="1"/>
  <c r="G164" i="38" s="1"/>
  <c r="J164" i="38" s="1"/>
  <c r="Z43" i="31"/>
  <c r="C163" i="38" s="1"/>
  <c r="D163" i="38" s="1"/>
  <c r="E163" i="38" s="1"/>
  <c r="F163" i="38" s="1"/>
  <c r="G163" i="38" s="1"/>
  <c r="Y43" i="31"/>
  <c r="C162" i="38" s="1"/>
  <c r="D162" i="38" s="1"/>
  <c r="E162" i="38" s="1"/>
  <c r="F162" i="38" s="1"/>
  <c r="G162" i="38" s="1"/>
  <c r="X43" i="31"/>
  <c r="C161" i="38" s="1"/>
  <c r="D161" i="38" s="1"/>
  <c r="E161" i="38" s="1"/>
  <c r="F161" i="38" s="1"/>
  <c r="G161" i="38" s="1"/>
  <c r="J161" i="38" s="1"/>
  <c r="W43" i="31"/>
  <c r="C160" i="38" s="1"/>
  <c r="D160" i="38" s="1"/>
  <c r="E160" i="38" s="1"/>
  <c r="F160" i="38" s="1"/>
  <c r="G160" i="38" s="1"/>
  <c r="V43" i="31"/>
  <c r="C159" i="38" s="1"/>
  <c r="D159" i="38" s="1"/>
  <c r="E159" i="38" s="1"/>
  <c r="F159" i="38" s="1"/>
  <c r="G159" i="38" s="1"/>
  <c r="J159" i="38" s="1"/>
  <c r="U43" i="31"/>
  <c r="T43" i="31"/>
  <c r="C157" i="38" s="1"/>
  <c r="D157" i="38" s="1"/>
  <c r="E157" i="38" s="1"/>
  <c r="F157" i="38" s="1"/>
  <c r="G157" i="38" s="1"/>
  <c r="J157" i="38" s="1"/>
  <c r="S43" i="31"/>
  <c r="C156" i="38" s="1"/>
  <c r="D156" i="38" s="1"/>
  <c r="E156" i="38" s="1"/>
  <c r="F156" i="38" s="1"/>
  <c r="G156" i="38" s="1"/>
  <c r="J156" i="38" s="1"/>
  <c r="R43" i="31"/>
  <c r="C155" i="38" s="1"/>
  <c r="D155" i="38" s="1"/>
  <c r="E155" i="38" s="1"/>
  <c r="F155" i="38" s="1"/>
  <c r="G155" i="38" s="1"/>
  <c r="J155" i="38" s="1"/>
  <c r="Q43" i="31"/>
  <c r="P43" i="31"/>
  <c r="C153" i="38" s="1"/>
  <c r="D153" i="38" s="1"/>
  <c r="E153" i="38" s="1"/>
  <c r="F153" i="38" s="1"/>
  <c r="G153" i="38" s="1"/>
  <c r="O43" i="31"/>
  <c r="C152" i="38" s="1"/>
  <c r="D152" i="38" s="1"/>
  <c r="E152" i="38" s="1"/>
  <c r="F152" i="38" s="1"/>
  <c r="G152" i="38" s="1"/>
  <c r="J152" i="38" s="1"/>
  <c r="N43" i="31"/>
  <c r="C151" i="38" s="1"/>
  <c r="D151" i="38" s="1"/>
  <c r="E151" i="38" s="1"/>
  <c r="F151" i="38" s="1"/>
  <c r="G151" i="38" s="1"/>
  <c r="J151" i="38" s="1"/>
  <c r="M43" i="31"/>
  <c r="C150" i="38" s="1"/>
  <c r="D150" i="38" s="1"/>
  <c r="E150" i="38" s="1"/>
  <c r="F150" i="38" s="1"/>
  <c r="G150" i="38" s="1"/>
  <c r="J150" i="38" s="1"/>
  <c r="L43" i="31"/>
  <c r="C149" i="38" s="1"/>
  <c r="D149" i="38" s="1"/>
  <c r="E149" i="38" s="1"/>
  <c r="F149" i="38" s="1"/>
  <c r="G149" i="38" s="1"/>
  <c r="J149" i="38" s="1"/>
  <c r="K43" i="31"/>
  <c r="J43" i="31"/>
  <c r="H43" i="31"/>
  <c r="H49" i="10" s="1"/>
  <c r="G43" i="31"/>
  <c r="E49" i="40" s="1"/>
  <c r="F43" i="31"/>
  <c r="C49" i="10" s="1"/>
  <c r="E43" i="31"/>
  <c r="B49" i="40" s="1"/>
  <c r="D43" i="31"/>
  <c r="C43" i="31"/>
  <c r="B43" i="31"/>
  <c r="A43" i="31"/>
  <c r="AP39" i="31"/>
  <c r="AO39" i="31"/>
  <c r="AN39" i="31"/>
  <c r="AM39" i="31"/>
  <c r="AL39" i="31"/>
  <c r="AK39" i="31"/>
  <c r="AJ39" i="31"/>
  <c r="AI39" i="31"/>
  <c r="AH39" i="31"/>
  <c r="AG39" i="31"/>
  <c r="AF39" i="31"/>
  <c r="AE39" i="31"/>
  <c r="AD39" i="31"/>
  <c r="AC39" i="31"/>
  <c r="AB39" i="31"/>
  <c r="AA39" i="31"/>
  <c r="Z39" i="31"/>
  <c r="Y39" i="31"/>
  <c r="X39" i="31"/>
  <c r="W39" i="31"/>
  <c r="V39" i="31"/>
  <c r="U39" i="31"/>
  <c r="T39" i="31"/>
  <c r="S39" i="31"/>
  <c r="R39" i="31"/>
  <c r="Q39" i="31"/>
  <c r="P39" i="31"/>
  <c r="O39" i="31"/>
  <c r="N39" i="31"/>
  <c r="M39" i="31"/>
  <c r="L39" i="31"/>
  <c r="K39" i="31"/>
  <c r="J39" i="31"/>
  <c r="I39" i="31"/>
  <c r="H39" i="31"/>
  <c r="H43" i="10" s="1"/>
  <c r="G39" i="31"/>
  <c r="E43" i="40" s="1"/>
  <c r="F39" i="31"/>
  <c r="E39" i="31"/>
  <c r="B43" i="40" s="1"/>
  <c r="D39" i="31"/>
  <c r="C39" i="31"/>
  <c r="B39" i="31"/>
  <c r="A39" i="31"/>
  <c r="AP38" i="31"/>
  <c r="AO38" i="31"/>
  <c r="AN38" i="31"/>
  <c r="AM38" i="31"/>
  <c r="AL38" i="31"/>
  <c r="AK38" i="31"/>
  <c r="AJ38" i="31"/>
  <c r="AI38" i="31"/>
  <c r="AH38" i="31"/>
  <c r="AG38" i="31"/>
  <c r="AF38" i="31"/>
  <c r="C141" i="38" s="1"/>
  <c r="D141" i="38" s="1"/>
  <c r="E141" i="38" s="1"/>
  <c r="F141" i="38" s="1"/>
  <c r="G141" i="38" s="1"/>
  <c r="J141" i="38" s="1"/>
  <c r="AE38" i="31"/>
  <c r="C140" i="38" s="1"/>
  <c r="D140" i="38" s="1"/>
  <c r="E140" i="38" s="1"/>
  <c r="F140" i="38" s="1"/>
  <c r="G140" i="38" s="1"/>
  <c r="J140" i="38" s="1"/>
  <c r="AD38" i="31"/>
  <c r="AC38" i="31"/>
  <c r="C138" i="38" s="1"/>
  <c r="D138" i="38" s="1"/>
  <c r="E138" i="38" s="1"/>
  <c r="F138" i="38" s="1"/>
  <c r="G138" i="38" s="1"/>
  <c r="J138" i="38" s="1"/>
  <c r="AB38" i="31"/>
  <c r="C137" i="38" s="1"/>
  <c r="D137" i="38" s="1"/>
  <c r="E137" i="38" s="1"/>
  <c r="F137" i="38" s="1"/>
  <c r="G137" i="38" s="1"/>
  <c r="J137" i="38" s="1"/>
  <c r="AA38" i="31"/>
  <c r="C136" i="38" s="1"/>
  <c r="D136" i="38" s="1"/>
  <c r="E136" i="38" s="1"/>
  <c r="F136" i="38" s="1"/>
  <c r="G136" i="38" s="1"/>
  <c r="J136" i="38" s="1"/>
  <c r="Z38" i="31"/>
  <c r="C135" i="38" s="1"/>
  <c r="D135" i="38" s="1"/>
  <c r="E135" i="38" s="1"/>
  <c r="F135" i="38" s="1"/>
  <c r="G135" i="38" s="1"/>
  <c r="J135" i="38" s="1"/>
  <c r="Y38" i="31"/>
  <c r="C134" i="38" s="1"/>
  <c r="D134" i="38" s="1"/>
  <c r="E134" i="38" s="1"/>
  <c r="F134" i="38" s="1"/>
  <c r="G134" i="38" s="1"/>
  <c r="J134" i="38" s="1"/>
  <c r="X38" i="31"/>
  <c r="W38" i="31"/>
  <c r="C132" i="38" s="1"/>
  <c r="D132" i="38" s="1"/>
  <c r="E132" i="38" s="1"/>
  <c r="F132" i="38" s="1"/>
  <c r="G132" i="38" s="1"/>
  <c r="J132" i="38" s="1"/>
  <c r="V38" i="31"/>
  <c r="U38" i="31"/>
  <c r="C130" i="38" s="1"/>
  <c r="D130" i="38" s="1"/>
  <c r="E130" i="38" s="1"/>
  <c r="F130" i="38" s="1"/>
  <c r="G130" i="38" s="1"/>
  <c r="T38" i="31"/>
  <c r="C129" i="38" s="1"/>
  <c r="D129" i="38" s="1"/>
  <c r="E129" i="38" s="1"/>
  <c r="F129" i="38" s="1"/>
  <c r="G129" i="38" s="1"/>
  <c r="J129" i="38" s="1"/>
  <c r="S38" i="31"/>
  <c r="C128" i="38" s="1"/>
  <c r="D128" i="38" s="1"/>
  <c r="E128" i="38" s="1"/>
  <c r="F128" i="38" s="1"/>
  <c r="G128" i="38" s="1"/>
  <c r="J128" i="38" s="1"/>
  <c r="R38" i="31"/>
  <c r="Q38" i="31"/>
  <c r="C126" i="38" s="1"/>
  <c r="D126" i="38" s="1"/>
  <c r="E126" i="38" s="1"/>
  <c r="F126" i="38" s="1"/>
  <c r="G126" i="38" s="1"/>
  <c r="P38" i="31"/>
  <c r="C125" i="38" s="1"/>
  <c r="D125" i="38" s="1"/>
  <c r="E125" i="38" s="1"/>
  <c r="F125" i="38" s="1"/>
  <c r="G125" i="38" s="1"/>
  <c r="J125" i="38" s="1"/>
  <c r="O38" i="31"/>
  <c r="C124" i="38" s="1"/>
  <c r="D124" i="38" s="1"/>
  <c r="E124" i="38" s="1"/>
  <c r="F124" i="38" s="1"/>
  <c r="G124" i="38" s="1"/>
  <c r="J124" i="38" s="1"/>
  <c r="N38" i="31"/>
  <c r="M38" i="31"/>
  <c r="C122" i="38" s="1"/>
  <c r="D122" i="38" s="1"/>
  <c r="E122" i="38" s="1"/>
  <c r="F122" i="38" s="1"/>
  <c r="G122" i="38" s="1"/>
  <c r="J122" i="38" s="1"/>
  <c r="L38" i="31"/>
  <c r="C121" i="38" s="1"/>
  <c r="D121" i="38" s="1"/>
  <c r="E121" i="38" s="1"/>
  <c r="F121" i="38" s="1"/>
  <c r="G121" i="38" s="1"/>
  <c r="J121" i="38" s="1"/>
  <c r="K38" i="31"/>
  <c r="C120" i="38" s="1"/>
  <c r="D120" i="38" s="1"/>
  <c r="E120" i="38" s="1"/>
  <c r="F120" i="38" s="1"/>
  <c r="G120" i="38" s="1"/>
  <c r="J120" i="38" s="1"/>
  <c r="J38" i="31"/>
  <c r="I38" i="31"/>
  <c r="L42" i="10" s="1"/>
  <c r="H38" i="31"/>
  <c r="C117" i="38" s="1"/>
  <c r="D117" i="38" s="1"/>
  <c r="E117" i="38" s="1"/>
  <c r="F117" i="38" s="1"/>
  <c r="G117" i="38" s="1"/>
  <c r="J117" i="38" s="1"/>
  <c r="G38" i="31"/>
  <c r="E42" i="40" s="1"/>
  <c r="F38" i="31"/>
  <c r="C42" i="40" s="1"/>
  <c r="E38" i="31"/>
  <c r="C114" i="38" s="1"/>
  <c r="D114" i="38" s="1"/>
  <c r="E114" i="38" s="1"/>
  <c r="F114" i="38" s="1"/>
  <c r="G114" i="38" s="1"/>
  <c r="J114" i="38" s="1"/>
  <c r="C38" i="31"/>
  <c r="B38" i="31"/>
  <c r="A38" i="31"/>
  <c r="AP32" i="31"/>
  <c r="AO32" i="31"/>
  <c r="AN32" i="31"/>
  <c r="AM32" i="31"/>
  <c r="AL32" i="31"/>
  <c r="AK32" i="31"/>
  <c r="AJ32" i="31"/>
  <c r="AI32" i="31"/>
  <c r="AH32" i="31"/>
  <c r="AG32" i="31"/>
  <c r="AF32" i="31"/>
  <c r="AE32" i="31"/>
  <c r="AD32" i="31"/>
  <c r="AC32" i="31"/>
  <c r="AB32" i="31"/>
  <c r="AA32" i="31"/>
  <c r="Z32" i="31"/>
  <c r="Y32" i="31"/>
  <c r="X32" i="31"/>
  <c r="W32" i="31"/>
  <c r="V32" i="31"/>
  <c r="U32" i="31"/>
  <c r="T32" i="31"/>
  <c r="S32" i="31"/>
  <c r="R32" i="31"/>
  <c r="Q32" i="31"/>
  <c r="P32" i="31"/>
  <c r="O32" i="31"/>
  <c r="N32" i="31"/>
  <c r="M32" i="31"/>
  <c r="L32" i="31"/>
  <c r="K32" i="31"/>
  <c r="J32" i="31"/>
  <c r="I32" i="31"/>
  <c r="L33" i="40" s="1"/>
  <c r="H32" i="31"/>
  <c r="H33" i="40" s="1"/>
  <c r="G32" i="31"/>
  <c r="E33" i="40" s="1"/>
  <c r="F32" i="31"/>
  <c r="C33" i="10" s="1"/>
  <c r="E32" i="31"/>
  <c r="B33" i="10" s="1"/>
  <c r="D32" i="31"/>
  <c r="C32" i="31"/>
  <c r="B32" i="31"/>
  <c r="A32" i="31"/>
  <c r="AP30" i="31"/>
  <c r="AO30" i="31"/>
  <c r="AN30" i="31"/>
  <c r="AM30" i="31"/>
  <c r="AL30" i="31"/>
  <c r="AK30" i="31"/>
  <c r="AJ30" i="31"/>
  <c r="AI30" i="31"/>
  <c r="AH30" i="31"/>
  <c r="AG30" i="31"/>
  <c r="AF30" i="31"/>
  <c r="C113" i="38" s="1"/>
  <c r="D113" i="38" s="1"/>
  <c r="E113" i="38" s="1"/>
  <c r="F113" i="38" s="1"/>
  <c r="G113" i="38" s="1"/>
  <c r="J113" i="38" s="1"/>
  <c r="AE30" i="31"/>
  <c r="C112" i="38" s="1"/>
  <c r="D112" i="38" s="1"/>
  <c r="E112" i="38" s="1"/>
  <c r="F112" i="38" s="1"/>
  <c r="G112" i="38" s="1"/>
  <c r="J112" i="38" s="1"/>
  <c r="AD30" i="31"/>
  <c r="C111" i="38" s="1"/>
  <c r="D111" i="38" s="1"/>
  <c r="E111" i="38" s="1"/>
  <c r="F111" i="38" s="1"/>
  <c r="G111" i="38" s="1"/>
  <c r="J111" i="38" s="1"/>
  <c r="AC30" i="31"/>
  <c r="C110" i="38" s="1"/>
  <c r="D110" i="38" s="1"/>
  <c r="E110" i="38" s="1"/>
  <c r="F110" i="38" s="1"/>
  <c r="G110" i="38" s="1"/>
  <c r="AB30" i="31"/>
  <c r="C109" i="38" s="1"/>
  <c r="D109" i="38" s="1"/>
  <c r="E109" i="38" s="1"/>
  <c r="F109" i="38" s="1"/>
  <c r="G109" i="38" s="1"/>
  <c r="J109" i="38" s="1"/>
  <c r="AA30" i="31"/>
  <c r="C108" i="38" s="1"/>
  <c r="D108" i="38" s="1"/>
  <c r="E108" i="38" s="1"/>
  <c r="F108" i="38" s="1"/>
  <c r="G108" i="38" s="1"/>
  <c r="J108" i="38" s="1"/>
  <c r="Z30" i="31"/>
  <c r="C107" i="38" s="1"/>
  <c r="D107" i="38" s="1"/>
  <c r="E107" i="38" s="1"/>
  <c r="F107" i="38" s="1"/>
  <c r="G107" i="38" s="1"/>
  <c r="J107" i="38" s="1"/>
  <c r="Y30" i="31"/>
  <c r="C106" i="38" s="1"/>
  <c r="D106" i="38" s="1"/>
  <c r="E106" i="38" s="1"/>
  <c r="F106" i="38" s="1"/>
  <c r="G106" i="38" s="1"/>
  <c r="X30" i="31"/>
  <c r="C105" i="38" s="1"/>
  <c r="D105" i="38" s="1"/>
  <c r="E105" i="38" s="1"/>
  <c r="F105" i="38" s="1"/>
  <c r="G105" i="38" s="1"/>
  <c r="J105" i="38" s="1"/>
  <c r="W30" i="31"/>
  <c r="C104" i="38" s="1"/>
  <c r="D104" i="38" s="1"/>
  <c r="E104" i="38" s="1"/>
  <c r="F104" i="38" s="1"/>
  <c r="G104" i="38" s="1"/>
  <c r="J104" i="38" s="1"/>
  <c r="V30" i="31"/>
  <c r="C103" i="38" s="1"/>
  <c r="D103" i="38" s="1"/>
  <c r="E103" i="38" s="1"/>
  <c r="F103" i="38" s="1"/>
  <c r="G103" i="38" s="1"/>
  <c r="J103" i="38" s="1"/>
  <c r="U30" i="31"/>
  <c r="C102" i="38" s="1"/>
  <c r="D102" i="38" s="1"/>
  <c r="E102" i="38" s="1"/>
  <c r="F102" i="38" s="1"/>
  <c r="G102" i="38" s="1"/>
  <c r="J102" i="38" s="1"/>
  <c r="T30" i="31"/>
  <c r="C101" i="38" s="1"/>
  <c r="D101" i="38" s="1"/>
  <c r="E101" i="38" s="1"/>
  <c r="F101" i="38" s="1"/>
  <c r="G101" i="38" s="1"/>
  <c r="J101" i="38" s="1"/>
  <c r="S30" i="31"/>
  <c r="C100" i="38" s="1"/>
  <c r="D100" i="38" s="1"/>
  <c r="E100" i="38" s="1"/>
  <c r="F100" i="38" s="1"/>
  <c r="G100" i="38" s="1"/>
  <c r="J100" i="38" s="1"/>
  <c r="R30" i="31"/>
  <c r="C99" i="38" s="1"/>
  <c r="D99" i="38" s="1"/>
  <c r="E99" i="38" s="1"/>
  <c r="F99" i="38" s="1"/>
  <c r="G99" i="38" s="1"/>
  <c r="Q30" i="31"/>
  <c r="C98" i="38" s="1"/>
  <c r="D98" i="38" s="1"/>
  <c r="E98" i="38" s="1"/>
  <c r="F98" i="38" s="1"/>
  <c r="G98" i="38" s="1"/>
  <c r="J98" i="38" s="1"/>
  <c r="P30" i="31"/>
  <c r="C97" i="38" s="1"/>
  <c r="D97" i="38" s="1"/>
  <c r="E97" i="38" s="1"/>
  <c r="F97" i="38" s="1"/>
  <c r="G97" i="38" s="1"/>
  <c r="J97" i="38" s="1"/>
  <c r="O30" i="31"/>
  <c r="N30" i="31"/>
  <c r="M30" i="31"/>
  <c r="C94" i="38" s="1"/>
  <c r="D94" i="38" s="1"/>
  <c r="E94" i="38" s="1"/>
  <c r="F94" i="38" s="1"/>
  <c r="G94" i="38" s="1"/>
  <c r="J94" i="38" s="1"/>
  <c r="L30" i="31"/>
  <c r="K30" i="31"/>
  <c r="J30" i="31"/>
  <c r="C91" i="38" s="1"/>
  <c r="D91" i="38" s="1"/>
  <c r="E91" i="38" s="1"/>
  <c r="F91" i="38" s="1"/>
  <c r="G91" i="38" s="1"/>
  <c r="J91" i="38" s="1"/>
  <c r="I30" i="31"/>
  <c r="L32" i="40" s="1"/>
  <c r="H30" i="31"/>
  <c r="C89" i="38" s="1"/>
  <c r="D89" i="38" s="1"/>
  <c r="E89" i="38" s="1"/>
  <c r="F89" i="38" s="1"/>
  <c r="G89" i="38" s="1"/>
  <c r="J89" i="38" s="1"/>
  <c r="G30" i="31"/>
  <c r="C88" i="38" s="1"/>
  <c r="D88" i="38" s="1"/>
  <c r="E88" i="38" s="1"/>
  <c r="F88" i="38" s="1"/>
  <c r="G88" i="38" s="1"/>
  <c r="F30" i="31"/>
  <c r="C87" i="38" s="1"/>
  <c r="D87" i="38" s="1"/>
  <c r="E87" i="38" s="1"/>
  <c r="F87" i="38" s="1"/>
  <c r="G87" i="38" s="1"/>
  <c r="J87" i="38" s="1"/>
  <c r="E30" i="31"/>
  <c r="B32" i="40" s="1"/>
  <c r="D30" i="31"/>
  <c r="C30" i="31"/>
  <c r="B30" i="31"/>
  <c r="A30" i="31"/>
  <c r="AP24" i="31"/>
  <c r="AO24" i="31"/>
  <c r="AN24" i="31"/>
  <c r="AM24" i="31"/>
  <c r="AL24" i="31"/>
  <c r="AK24" i="31"/>
  <c r="AJ24" i="31"/>
  <c r="AI24" i="31"/>
  <c r="AH24" i="31"/>
  <c r="AG24" i="31"/>
  <c r="AF24" i="31"/>
  <c r="AE24" i="31"/>
  <c r="AD24" i="31"/>
  <c r="AC24" i="31"/>
  <c r="AB24" i="31"/>
  <c r="AA24" i="31"/>
  <c r="Z24" i="31"/>
  <c r="Y24" i="31"/>
  <c r="X24" i="31"/>
  <c r="W24" i="31"/>
  <c r="V24" i="31"/>
  <c r="U24" i="31"/>
  <c r="T24" i="31"/>
  <c r="S24" i="31"/>
  <c r="R24" i="31"/>
  <c r="Q24" i="31"/>
  <c r="P24" i="31"/>
  <c r="O24" i="31"/>
  <c r="N24" i="31"/>
  <c r="M24" i="31"/>
  <c r="L24" i="31"/>
  <c r="K24" i="31"/>
  <c r="J24" i="31"/>
  <c r="I24" i="31"/>
  <c r="L23" i="40" s="1"/>
  <c r="H24" i="31"/>
  <c r="H23" i="40" s="1"/>
  <c r="G24" i="31"/>
  <c r="E23" i="40" s="1"/>
  <c r="F24" i="31"/>
  <c r="C23" i="10" s="1"/>
  <c r="E24" i="31"/>
  <c r="B23" i="10" s="1"/>
  <c r="D24" i="31"/>
  <c r="B23" i="40" s="1"/>
  <c r="C24" i="31"/>
  <c r="B24" i="31"/>
  <c r="A24" i="31"/>
  <c r="AP22" i="31"/>
  <c r="AO22" i="31"/>
  <c r="AN22" i="31"/>
  <c r="AM22" i="31"/>
  <c r="AL22" i="31"/>
  <c r="AK22" i="31"/>
  <c r="AJ22" i="31"/>
  <c r="AI22" i="31"/>
  <c r="AH22" i="31"/>
  <c r="AG22" i="31"/>
  <c r="AF22" i="31"/>
  <c r="C85" i="38" s="1"/>
  <c r="D85" i="38" s="1"/>
  <c r="E85" i="38" s="1"/>
  <c r="F85" i="38" s="1"/>
  <c r="G85" i="38" s="1"/>
  <c r="J85" i="38" s="1"/>
  <c r="AE22" i="31"/>
  <c r="AD22" i="31"/>
  <c r="C83" i="38" s="1"/>
  <c r="D83" i="38" s="1"/>
  <c r="E83" i="38" s="1"/>
  <c r="F83" i="38" s="1"/>
  <c r="G83" i="38" s="1"/>
  <c r="J83" i="38" s="1"/>
  <c r="AC22" i="31"/>
  <c r="C82" i="38" s="1"/>
  <c r="D82" i="38" s="1"/>
  <c r="E82" i="38" s="1"/>
  <c r="F82" i="38" s="1"/>
  <c r="G82" i="38" s="1"/>
  <c r="J82" i="38" s="1"/>
  <c r="AB22" i="31"/>
  <c r="AA22" i="31"/>
  <c r="Z22" i="31"/>
  <c r="C79" i="38" s="1"/>
  <c r="D79" i="38" s="1"/>
  <c r="E79" i="38" s="1"/>
  <c r="F79" i="38" s="1"/>
  <c r="G79" i="38" s="1"/>
  <c r="J79" i="38" s="1"/>
  <c r="Y22" i="31"/>
  <c r="C78" i="38" s="1"/>
  <c r="D78" i="38" s="1"/>
  <c r="E78" i="38" s="1"/>
  <c r="F78" i="38" s="1"/>
  <c r="G78" i="38" s="1"/>
  <c r="J78" i="38" s="1"/>
  <c r="X22" i="31"/>
  <c r="C77" i="38" s="1"/>
  <c r="D77" i="38" s="1"/>
  <c r="E77" i="38" s="1"/>
  <c r="F77" i="38" s="1"/>
  <c r="G77" i="38" s="1"/>
  <c r="W22" i="31"/>
  <c r="C76" i="38" s="1"/>
  <c r="D76" i="38" s="1"/>
  <c r="E76" i="38" s="1"/>
  <c r="F76" i="38" s="1"/>
  <c r="G76" i="38" s="1"/>
  <c r="J76" i="38" s="1"/>
  <c r="V22" i="31"/>
  <c r="U22" i="31"/>
  <c r="C74" i="38" s="1"/>
  <c r="D74" i="38" s="1"/>
  <c r="E74" i="38" s="1"/>
  <c r="F74" i="38" s="1"/>
  <c r="G74" i="38" s="1"/>
  <c r="J74" i="38" s="1"/>
  <c r="T22" i="31"/>
  <c r="S22" i="31"/>
  <c r="C72" i="38" s="1"/>
  <c r="D72" i="38" s="1"/>
  <c r="E72" i="38" s="1"/>
  <c r="F72" i="38" s="1"/>
  <c r="G72" i="38" s="1"/>
  <c r="J72" i="38" s="1"/>
  <c r="R22" i="31"/>
  <c r="C71" i="38" s="1"/>
  <c r="D71" i="38" s="1"/>
  <c r="E71" i="38" s="1"/>
  <c r="F71" i="38" s="1"/>
  <c r="G71" i="38" s="1"/>
  <c r="J71" i="38" s="1"/>
  <c r="Q22" i="31"/>
  <c r="C70" i="38" s="1"/>
  <c r="D70" i="38" s="1"/>
  <c r="E70" i="38" s="1"/>
  <c r="F70" i="38" s="1"/>
  <c r="G70" i="38" s="1"/>
  <c r="J70" i="38" s="1"/>
  <c r="P22" i="31"/>
  <c r="C69" i="38" s="1"/>
  <c r="D69" i="38" s="1"/>
  <c r="E69" i="38" s="1"/>
  <c r="F69" i="38" s="1"/>
  <c r="G69" i="38" s="1"/>
  <c r="J69" i="38" s="1"/>
  <c r="O22" i="31"/>
  <c r="C68" i="38" s="1"/>
  <c r="D68" i="38" s="1"/>
  <c r="E68" i="38" s="1"/>
  <c r="F68" i="38" s="1"/>
  <c r="G68" i="38" s="1"/>
  <c r="J68" i="38" s="1"/>
  <c r="N22" i="31"/>
  <c r="C67" i="38" s="1"/>
  <c r="D67" i="38" s="1"/>
  <c r="E67" i="38" s="1"/>
  <c r="F67" i="38" s="1"/>
  <c r="G67" i="38" s="1"/>
  <c r="J67" i="38" s="1"/>
  <c r="M22" i="31"/>
  <c r="C66" i="38" s="1"/>
  <c r="D66" i="38" s="1"/>
  <c r="E66" i="38" s="1"/>
  <c r="F66" i="38" s="1"/>
  <c r="G66" i="38" s="1"/>
  <c r="J66" i="38" s="1"/>
  <c r="L22" i="31"/>
  <c r="C65" i="38" s="1"/>
  <c r="D65" i="38" s="1"/>
  <c r="E65" i="38" s="1"/>
  <c r="F65" i="38" s="1"/>
  <c r="G65" i="38" s="1"/>
  <c r="J65" i="38" s="1"/>
  <c r="K22" i="31"/>
  <c r="J22" i="31"/>
  <c r="C63" i="38" s="1"/>
  <c r="D63" i="38" s="1"/>
  <c r="E63" i="38" s="1"/>
  <c r="F63" i="38" s="1"/>
  <c r="G63" i="38" s="1"/>
  <c r="J63" i="38" s="1"/>
  <c r="I22" i="31"/>
  <c r="L22" i="10" s="1"/>
  <c r="H22" i="31"/>
  <c r="H22" i="40" s="1"/>
  <c r="G22" i="31"/>
  <c r="E22" i="40" s="1"/>
  <c r="F22" i="31"/>
  <c r="C59" i="38" s="1"/>
  <c r="D59" i="38" s="1"/>
  <c r="E59" i="38" s="1"/>
  <c r="F59" i="38" s="1"/>
  <c r="G59" i="38" s="1"/>
  <c r="J59" i="38" s="1"/>
  <c r="E22" i="31"/>
  <c r="C58" i="38" s="1"/>
  <c r="D58" i="38" s="1"/>
  <c r="E58" i="38" s="1"/>
  <c r="F58" i="38" s="1"/>
  <c r="G58" i="38" s="1"/>
  <c r="D22" i="31"/>
  <c r="B22" i="40" s="1"/>
  <c r="C22" i="31"/>
  <c r="B22" i="31"/>
  <c r="A22" i="31"/>
  <c r="A19" i="31"/>
  <c r="AP16" i="31"/>
  <c r="AO16" i="31"/>
  <c r="AN16" i="31"/>
  <c r="AM16" i="31"/>
  <c r="AL16" i="31"/>
  <c r="AK16" i="31"/>
  <c r="AJ16" i="31"/>
  <c r="AI16" i="31"/>
  <c r="AH16" i="31"/>
  <c r="AG16" i="31"/>
  <c r="AF16" i="31"/>
  <c r="AE16" i="31"/>
  <c r="AD16" i="31"/>
  <c r="AC16" i="31"/>
  <c r="AB16" i="31"/>
  <c r="AA16" i="31"/>
  <c r="Z16" i="31"/>
  <c r="Y16" i="31"/>
  <c r="X16" i="31"/>
  <c r="W16" i="31"/>
  <c r="V16" i="31"/>
  <c r="U16" i="31"/>
  <c r="T16" i="31"/>
  <c r="S16" i="31"/>
  <c r="R16" i="31"/>
  <c r="Q16" i="31"/>
  <c r="P16" i="31"/>
  <c r="O16" i="31"/>
  <c r="N16" i="31"/>
  <c r="M16" i="31"/>
  <c r="L16" i="31"/>
  <c r="K16" i="31"/>
  <c r="J16" i="31"/>
  <c r="I16" i="31"/>
  <c r="L14" i="40" s="1"/>
  <c r="H16" i="31"/>
  <c r="H14" i="40" s="1"/>
  <c r="G16" i="31"/>
  <c r="E14" i="40" s="1"/>
  <c r="F16" i="31"/>
  <c r="C14" i="40" s="1"/>
  <c r="E16" i="31"/>
  <c r="B14" i="10" s="1"/>
  <c r="D16" i="31"/>
  <c r="C16" i="31"/>
  <c r="B16" i="31"/>
  <c r="A16" i="31"/>
  <c r="A15" i="31"/>
  <c r="A17" i="31" s="1"/>
  <c r="AP14" i="31"/>
  <c r="AO14" i="31"/>
  <c r="AN14" i="31"/>
  <c r="AM14" i="31"/>
  <c r="AL14" i="31"/>
  <c r="AK14" i="31"/>
  <c r="AJ14" i="31"/>
  <c r="AI14" i="31"/>
  <c r="AH14" i="31"/>
  <c r="AG14" i="31"/>
  <c r="AF14" i="31"/>
  <c r="C57" i="38" s="1"/>
  <c r="D57" i="38" s="1"/>
  <c r="E57" i="38" s="1"/>
  <c r="F57" i="38" s="1"/>
  <c r="G57" i="38" s="1"/>
  <c r="J57" i="38" s="1"/>
  <c r="AE14" i="31"/>
  <c r="AD14" i="31"/>
  <c r="C55" i="38" s="1"/>
  <c r="D55" i="38" s="1"/>
  <c r="E55" i="38" s="1"/>
  <c r="F55" i="38" s="1"/>
  <c r="G55" i="38" s="1"/>
  <c r="J55" i="38" s="1"/>
  <c r="AC14" i="31"/>
  <c r="C54" i="38" s="1"/>
  <c r="D54" i="38" s="1"/>
  <c r="E54" i="38" s="1"/>
  <c r="F54" i="38" s="1"/>
  <c r="G54" i="38" s="1"/>
  <c r="J54" i="38" s="1"/>
  <c r="AB14" i="31"/>
  <c r="AA14" i="31"/>
  <c r="C52" i="38" s="1"/>
  <c r="D52" i="38" s="1"/>
  <c r="E52" i="38" s="1"/>
  <c r="F52" i="38" s="1"/>
  <c r="G52" i="38" s="1"/>
  <c r="J52" i="38" s="1"/>
  <c r="Z14" i="31"/>
  <c r="C51" i="38" s="1"/>
  <c r="D51" i="38" s="1"/>
  <c r="E51" i="38" s="1"/>
  <c r="F51" i="38" s="1"/>
  <c r="G51" i="38" s="1"/>
  <c r="J51" i="38" s="1"/>
  <c r="Y14" i="31"/>
  <c r="C50" i="38" s="1"/>
  <c r="D50" i="38" s="1"/>
  <c r="E50" i="38" s="1"/>
  <c r="F50" i="38" s="1"/>
  <c r="G50" i="38" s="1"/>
  <c r="J50" i="38" s="1"/>
  <c r="X14" i="31"/>
  <c r="C49" i="38" s="1"/>
  <c r="D49" i="38" s="1"/>
  <c r="E49" i="38" s="1"/>
  <c r="F49" i="38" s="1"/>
  <c r="G49" i="38" s="1"/>
  <c r="J49" i="38" s="1"/>
  <c r="W14" i="31"/>
  <c r="C48" i="38" s="1"/>
  <c r="D48" i="38" s="1"/>
  <c r="E48" i="38" s="1"/>
  <c r="F48" i="38" s="1"/>
  <c r="G48" i="38" s="1"/>
  <c r="V14" i="31"/>
  <c r="C47" i="38" s="1"/>
  <c r="D47" i="38" s="1"/>
  <c r="E47" i="38" s="1"/>
  <c r="F47" i="38" s="1"/>
  <c r="G47" i="38" s="1"/>
  <c r="J47" i="38" s="1"/>
  <c r="U14" i="31"/>
  <c r="C46" i="38" s="1"/>
  <c r="D46" i="38" s="1"/>
  <c r="E46" i="38" s="1"/>
  <c r="F46" i="38" s="1"/>
  <c r="G46" i="38" s="1"/>
  <c r="J46" i="38" s="1"/>
  <c r="T14" i="31"/>
  <c r="C45" i="38" s="1"/>
  <c r="D45" i="38" s="1"/>
  <c r="E45" i="38" s="1"/>
  <c r="F45" i="38" s="1"/>
  <c r="G45" i="38" s="1"/>
  <c r="J45" i="38" s="1"/>
  <c r="S14" i="31"/>
  <c r="C44" i="38" s="1"/>
  <c r="D44" i="38" s="1"/>
  <c r="E44" i="38" s="1"/>
  <c r="F44" i="38" s="1"/>
  <c r="G44" i="38" s="1"/>
  <c r="J44" i="38" s="1"/>
  <c r="R14" i="31"/>
  <c r="Q14" i="31"/>
  <c r="P14" i="31"/>
  <c r="C41" i="38" s="1"/>
  <c r="D41" i="38" s="1"/>
  <c r="E41" i="38" s="1"/>
  <c r="F41" i="38" s="1"/>
  <c r="G41" i="38" s="1"/>
  <c r="J41" i="38" s="1"/>
  <c r="O14" i="31"/>
  <c r="C40" i="38" s="1"/>
  <c r="D40" i="38" s="1"/>
  <c r="E40" i="38" s="1"/>
  <c r="F40" i="38" s="1"/>
  <c r="G40" i="38" s="1"/>
  <c r="J40" i="38" s="1"/>
  <c r="N14" i="31"/>
  <c r="M14" i="31"/>
  <c r="C38" i="38" s="1"/>
  <c r="D38" i="38" s="1"/>
  <c r="E38" i="38" s="1"/>
  <c r="F38" i="38" s="1"/>
  <c r="G38" i="38" s="1"/>
  <c r="J38" i="38" s="1"/>
  <c r="L14" i="31"/>
  <c r="K14" i="31"/>
  <c r="C36" i="38" s="1"/>
  <c r="D36" i="38" s="1"/>
  <c r="E36" i="38" s="1"/>
  <c r="F36" i="38" s="1"/>
  <c r="G36" i="38" s="1"/>
  <c r="J14" i="31"/>
  <c r="C35" i="38" s="1"/>
  <c r="D35" i="38" s="1"/>
  <c r="E35" i="38" s="1"/>
  <c r="F35" i="38" s="1"/>
  <c r="G35" i="38" s="1"/>
  <c r="J35" i="38" s="1"/>
  <c r="I14" i="31"/>
  <c r="C34" i="38" s="1"/>
  <c r="D34" i="38" s="1"/>
  <c r="E34" i="38" s="1"/>
  <c r="F34" i="38" s="1"/>
  <c r="G34" i="38" s="1"/>
  <c r="J34" i="38" s="1"/>
  <c r="H14" i="31"/>
  <c r="G14" i="31"/>
  <c r="C32" i="38" s="1"/>
  <c r="D32" i="38" s="1"/>
  <c r="E32" i="38" s="1"/>
  <c r="F32" i="38" s="1"/>
  <c r="G32" i="38" s="1"/>
  <c r="J32" i="38" s="1"/>
  <c r="F14" i="31"/>
  <c r="C13" i="40" s="1"/>
  <c r="E14" i="31"/>
  <c r="C30" i="38" s="1"/>
  <c r="D30" i="38" s="1"/>
  <c r="E30" i="38" s="1"/>
  <c r="F30" i="38" s="1"/>
  <c r="G30" i="38" s="1"/>
  <c r="J30" i="38" s="1"/>
  <c r="D14" i="31"/>
  <c r="C14" i="31"/>
  <c r="B14" i="31"/>
  <c r="A14" i="31"/>
  <c r="AP8" i="31"/>
  <c r="AO8" i="31"/>
  <c r="AN8" i="31"/>
  <c r="AM8" i="31"/>
  <c r="AL8" i="31"/>
  <c r="AK8" i="31"/>
  <c r="AJ8" i="31"/>
  <c r="AI8" i="31"/>
  <c r="AH8" i="31"/>
  <c r="AG8" i="31"/>
  <c r="AF8" i="31"/>
  <c r="AE8" i="31"/>
  <c r="AD8" i="31"/>
  <c r="AC8" i="31"/>
  <c r="AB8" i="31"/>
  <c r="AA8" i="31"/>
  <c r="Z8" i="31"/>
  <c r="Y8" i="31"/>
  <c r="X8" i="31"/>
  <c r="W8" i="31"/>
  <c r="V8" i="31"/>
  <c r="U8" i="31"/>
  <c r="T8" i="31"/>
  <c r="S8" i="31"/>
  <c r="R8" i="31"/>
  <c r="Q8" i="31"/>
  <c r="P8" i="31"/>
  <c r="O8" i="31"/>
  <c r="N8" i="31"/>
  <c r="M8" i="31"/>
  <c r="L8" i="31"/>
  <c r="K8" i="31"/>
  <c r="J8" i="31"/>
  <c r="I8" i="31"/>
  <c r="L5" i="40" s="1"/>
  <c r="H8" i="31"/>
  <c r="H5" i="40" s="1"/>
  <c r="G8" i="31"/>
  <c r="E5" i="40" s="1"/>
  <c r="F8" i="31"/>
  <c r="C5" i="40" s="1"/>
  <c r="E8" i="31"/>
  <c r="B5" i="40" s="1"/>
  <c r="D8" i="31"/>
  <c r="C8" i="31"/>
  <c r="B8" i="31"/>
  <c r="A8" i="31"/>
  <c r="AP6" i="31"/>
  <c r="AO6" i="31"/>
  <c r="AN6" i="31"/>
  <c r="AM6" i="31"/>
  <c r="AL6" i="31"/>
  <c r="AK6" i="31"/>
  <c r="AJ6" i="31"/>
  <c r="AI6" i="31"/>
  <c r="AH6" i="31"/>
  <c r="AG6" i="31"/>
  <c r="AF6" i="31"/>
  <c r="AE6" i="31"/>
  <c r="C28" i="38" s="1"/>
  <c r="D28" i="38" s="1"/>
  <c r="E28" i="38" s="1"/>
  <c r="F28" i="38" s="1"/>
  <c r="G28" i="38" s="1"/>
  <c r="J28" i="38" s="1"/>
  <c r="AD6" i="31"/>
  <c r="C27" i="38" s="1"/>
  <c r="D27" i="38" s="1"/>
  <c r="E27" i="38" s="1"/>
  <c r="F27" i="38" s="1"/>
  <c r="G27" i="38" s="1"/>
  <c r="J27" i="38" s="1"/>
  <c r="AC6" i="31"/>
  <c r="C26" i="38" s="1"/>
  <c r="D26" i="38" s="1"/>
  <c r="E26" i="38" s="1"/>
  <c r="F26" i="38" s="1"/>
  <c r="G26" i="38" s="1"/>
  <c r="J26" i="38" s="1"/>
  <c r="AB6" i="31"/>
  <c r="C25" i="38" s="1"/>
  <c r="D25" i="38" s="1"/>
  <c r="E25" i="38" s="1"/>
  <c r="F25" i="38" s="1"/>
  <c r="G25" i="38" s="1"/>
  <c r="J25" i="38" s="1"/>
  <c r="AA6" i="31"/>
  <c r="C24" i="38" s="1"/>
  <c r="D24" i="38" s="1"/>
  <c r="E24" i="38" s="1"/>
  <c r="F24" i="38" s="1"/>
  <c r="G24" i="38" s="1"/>
  <c r="Z6" i="31"/>
  <c r="C23" i="38" s="1"/>
  <c r="D23" i="38" s="1"/>
  <c r="E23" i="38" s="1"/>
  <c r="F23" i="38" s="1"/>
  <c r="G23" i="38" s="1"/>
  <c r="J23" i="38" s="1"/>
  <c r="Y6" i="31"/>
  <c r="C22" i="38" s="1"/>
  <c r="D22" i="38" s="1"/>
  <c r="E22" i="38" s="1"/>
  <c r="F22" i="38" s="1"/>
  <c r="G22" i="38" s="1"/>
  <c r="J22" i="38" s="1"/>
  <c r="X6" i="31"/>
  <c r="C21" i="38" s="1"/>
  <c r="D21" i="38" s="1"/>
  <c r="E21" i="38" s="1"/>
  <c r="F21" i="38" s="1"/>
  <c r="G21" i="38" s="1"/>
  <c r="J21" i="38" s="1"/>
  <c r="W6" i="31"/>
  <c r="C20" i="38" s="1"/>
  <c r="D20" i="38" s="1"/>
  <c r="E20" i="38" s="1"/>
  <c r="F20" i="38" s="1"/>
  <c r="G20" i="38" s="1"/>
  <c r="J20" i="38" s="1"/>
  <c r="V6" i="31"/>
  <c r="C19" i="38" s="1"/>
  <c r="D19" i="38" s="1"/>
  <c r="E19" i="38" s="1"/>
  <c r="F19" i="38" s="1"/>
  <c r="G19" i="38" s="1"/>
  <c r="J19" i="38" s="1"/>
  <c r="U6" i="31"/>
  <c r="C18" i="38" s="1"/>
  <c r="D18" i="38" s="1"/>
  <c r="E18" i="38" s="1"/>
  <c r="F18" i="38" s="1"/>
  <c r="G18" i="38" s="1"/>
  <c r="J18" i="38" s="1"/>
  <c r="T6" i="31"/>
  <c r="C17" i="38" s="1"/>
  <c r="D17" i="38" s="1"/>
  <c r="E17" i="38" s="1"/>
  <c r="F17" i="38" s="1"/>
  <c r="G17" i="38" s="1"/>
  <c r="J17" i="38" s="1"/>
  <c r="S6" i="31"/>
  <c r="C16" i="38" s="1"/>
  <c r="D16" i="38" s="1"/>
  <c r="E16" i="38" s="1"/>
  <c r="F16" i="38" s="1"/>
  <c r="G16" i="38" s="1"/>
  <c r="J16" i="38" s="1"/>
  <c r="R6" i="31"/>
  <c r="C15" i="38" s="1"/>
  <c r="D15" i="38" s="1"/>
  <c r="E15" i="38" s="1"/>
  <c r="F15" i="38" s="1"/>
  <c r="G15" i="38" s="1"/>
  <c r="J15" i="38" s="1"/>
  <c r="Q6" i="31"/>
  <c r="C14" i="38" s="1"/>
  <c r="D14" i="38" s="1"/>
  <c r="E14" i="38" s="1"/>
  <c r="F14" i="38" s="1"/>
  <c r="G14" i="38" s="1"/>
  <c r="J14" i="38" s="1"/>
  <c r="P6" i="31"/>
  <c r="C13" i="38" s="1"/>
  <c r="D13" i="38" s="1"/>
  <c r="E13" i="38" s="1"/>
  <c r="F13" i="38" s="1"/>
  <c r="G13" i="38" s="1"/>
  <c r="O6" i="31"/>
  <c r="C12" i="38" s="1"/>
  <c r="D12" i="38" s="1"/>
  <c r="E12" i="38" s="1"/>
  <c r="F12" i="38" s="1"/>
  <c r="G12" i="38" s="1"/>
  <c r="J12" i="38" s="1"/>
  <c r="N6" i="31"/>
  <c r="C11" i="38" s="1"/>
  <c r="D11" i="38" s="1"/>
  <c r="E11" i="38" s="1"/>
  <c r="F11" i="38" s="1"/>
  <c r="G11" i="38" s="1"/>
  <c r="J11" i="38" s="1"/>
  <c r="M6" i="31"/>
  <c r="C10" i="38" s="1"/>
  <c r="D10" i="38" s="1"/>
  <c r="E10" i="38" s="1"/>
  <c r="F10" i="38" s="1"/>
  <c r="G10" i="38" s="1"/>
  <c r="J10" i="38" s="1"/>
  <c r="L6" i="31"/>
  <c r="C9" i="38" s="1"/>
  <c r="D9" i="38" s="1"/>
  <c r="E9" i="38" s="1"/>
  <c r="F9" i="38" s="1"/>
  <c r="G9" i="38" s="1"/>
  <c r="K6" i="31"/>
  <c r="C8" i="38" s="1"/>
  <c r="D8" i="38" s="1"/>
  <c r="E8" i="38" s="1"/>
  <c r="F8" i="38" s="1"/>
  <c r="G8" i="38" s="1"/>
  <c r="J8" i="38" s="1"/>
  <c r="J6" i="31"/>
  <c r="C7" i="38" s="1"/>
  <c r="D7" i="38" s="1"/>
  <c r="E7" i="38" s="1"/>
  <c r="F7" i="38" s="1"/>
  <c r="G7" i="38" s="1"/>
  <c r="J7" i="38" s="1"/>
  <c r="I6" i="31"/>
  <c r="L4" i="40" s="1"/>
  <c r="H6" i="31"/>
  <c r="C5" i="38" s="1"/>
  <c r="D5" i="38" s="1"/>
  <c r="E5" i="38" s="1"/>
  <c r="F5" i="38" s="1"/>
  <c r="G5" i="38" s="1"/>
  <c r="J5" i="38" s="1"/>
  <c r="G6" i="31"/>
  <c r="C4" i="38" s="1"/>
  <c r="D4" i="38" s="1"/>
  <c r="E4" i="38" s="1"/>
  <c r="F4" i="38" s="1"/>
  <c r="G4" i="38" s="1"/>
  <c r="J4" i="38" s="1"/>
  <c r="F6" i="31"/>
  <c r="C3" i="38" s="1"/>
  <c r="D3" i="38" s="1"/>
  <c r="E3" i="38" s="1"/>
  <c r="F3" i="38" s="1"/>
  <c r="G3" i="38" s="1"/>
  <c r="E6" i="31"/>
  <c r="B4" i="40" s="1"/>
  <c r="D6" i="31"/>
  <c r="C6" i="31"/>
  <c r="B6" i="31"/>
  <c r="A6" i="31"/>
  <c r="C1" i="31"/>
  <c r="E3" i="31" s="1"/>
  <c r="A114" i="38" s="1"/>
  <c r="L72" i="10"/>
  <c r="H72" i="10"/>
  <c r="E72" i="10"/>
  <c r="C72" i="10"/>
  <c r="B72" i="10"/>
  <c r="A72" i="10"/>
  <c r="L68" i="10"/>
  <c r="H68" i="10"/>
  <c r="E68" i="10"/>
  <c r="C68" i="10"/>
  <c r="B68" i="10"/>
  <c r="A68" i="10"/>
  <c r="L64" i="10"/>
  <c r="H64" i="10"/>
  <c r="E64" i="10"/>
  <c r="C64" i="10"/>
  <c r="B64" i="10"/>
  <c r="A64" i="10"/>
  <c r="L60" i="10"/>
  <c r="H60" i="10"/>
  <c r="E60" i="10"/>
  <c r="C60" i="10"/>
  <c r="B60" i="10"/>
  <c r="A60" i="10"/>
  <c r="L56" i="10"/>
  <c r="H56" i="10"/>
  <c r="E56" i="10"/>
  <c r="C56" i="10"/>
  <c r="B56" i="10"/>
  <c r="A56" i="10"/>
  <c r="P51" i="10"/>
  <c r="O51" i="10"/>
  <c r="N51" i="10"/>
  <c r="M51" i="10"/>
  <c r="K51" i="10"/>
  <c r="J51" i="10"/>
  <c r="I51" i="10"/>
  <c r="L48" i="10"/>
  <c r="H48" i="10"/>
  <c r="E48" i="10"/>
  <c r="C48" i="10"/>
  <c r="B48" i="10"/>
  <c r="L41" i="10"/>
  <c r="H41" i="10"/>
  <c r="E41" i="10"/>
  <c r="C41" i="10"/>
  <c r="B41" i="10"/>
  <c r="L31" i="10"/>
  <c r="H31" i="10"/>
  <c r="E31" i="10"/>
  <c r="C31" i="10"/>
  <c r="B31" i="10"/>
  <c r="L21" i="10"/>
  <c r="H21" i="10"/>
  <c r="E21" i="10"/>
  <c r="C21" i="10"/>
  <c r="B21" i="10"/>
  <c r="L12" i="10"/>
  <c r="H12" i="10"/>
  <c r="E12" i="10"/>
  <c r="C12" i="10"/>
  <c r="B12" i="10"/>
  <c r="L3" i="10"/>
  <c r="H3" i="10"/>
  <c r="E3" i="10"/>
  <c r="C3" i="10"/>
  <c r="B3" i="10"/>
  <c r="J80" i="30"/>
  <c r="G80" i="30"/>
  <c r="F80" i="30"/>
  <c r="J79" i="30"/>
  <c r="F79" i="30"/>
  <c r="J78" i="30"/>
  <c r="F78" i="30"/>
  <c r="J77" i="30"/>
  <c r="F77" i="30"/>
  <c r="J76" i="30"/>
  <c r="F76" i="30"/>
  <c r="J75" i="30"/>
  <c r="F75" i="30"/>
  <c r="J74" i="30"/>
  <c r="F74" i="30"/>
  <c r="J73" i="30"/>
  <c r="F73" i="30"/>
  <c r="J72" i="30"/>
  <c r="F72" i="30"/>
  <c r="J71" i="30"/>
  <c r="F71" i="30"/>
  <c r="J70" i="30"/>
  <c r="F70" i="30"/>
  <c r="M69" i="30"/>
  <c r="M71" i="30" s="1"/>
  <c r="J69" i="30"/>
  <c r="F69" i="30"/>
  <c r="J68" i="30"/>
  <c r="F68" i="30"/>
  <c r="J67" i="30"/>
  <c r="F67" i="30"/>
  <c r="J66" i="30"/>
  <c r="F66" i="30"/>
  <c r="J65" i="30"/>
  <c r="F65" i="30"/>
  <c r="J64" i="30"/>
  <c r="F64" i="30"/>
  <c r="J63" i="30"/>
  <c r="F63" i="30"/>
  <c r="J62" i="30"/>
  <c r="F62" i="30"/>
  <c r="J61" i="30"/>
  <c r="F61" i="30"/>
  <c r="J60" i="30"/>
  <c r="F60" i="30"/>
  <c r="J59" i="30"/>
  <c r="F59" i="30"/>
  <c r="J58" i="30"/>
  <c r="F58" i="30"/>
  <c r="J57" i="30"/>
  <c r="F57" i="30"/>
  <c r="J56" i="30"/>
  <c r="F56" i="30"/>
  <c r="J55" i="30"/>
  <c r="F55" i="30"/>
  <c r="J54" i="30"/>
  <c r="F54" i="30"/>
  <c r="J53" i="30"/>
  <c r="F53" i="30"/>
  <c r="J52" i="30"/>
  <c r="F52" i="30"/>
  <c r="J51" i="30"/>
  <c r="F51" i="30"/>
  <c r="J50" i="30"/>
  <c r="F50" i="30"/>
  <c r="J49" i="30"/>
  <c r="F49" i="30"/>
  <c r="J48" i="30"/>
  <c r="F48" i="30"/>
  <c r="J47" i="30"/>
  <c r="F47" i="30"/>
  <c r="J46" i="30"/>
  <c r="F46" i="30"/>
  <c r="J45" i="30"/>
  <c r="F45" i="30"/>
  <c r="J44" i="30"/>
  <c r="F44" i="30"/>
  <c r="J43" i="30"/>
  <c r="F43" i="30"/>
  <c r="J42" i="30"/>
  <c r="F42" i="30"/>
  <c r="J41" i="30"/>
  <c r="F41" i="30"/>
  <c r="J40" i="30"/>
  <c r="F40" i="30"/>
  <c r="J39" i="30"/>
  <c r="F39" i="30"/>
  <c r="J38" i="30"/>
  <c r="F38" i="30"/>
  <c r="J37" i="30"/>
  <c r="F37" i="30"/>
  <c r="J36" i="30"/>
  <c r="F36" i="30"/>
  <c r="J35" i="30"/>
  <c r="F35" i="30"/>
  <c r="J34" i="30"/>
  <c r="F34" i="30"/>
  <c r="J33" i="30"/>
  <c r="F33" i="30"/>
  <c r="J32" i="30"/>
  <c r="F32" i="30"/>
  <c r="J31" i="30"/>
  <c r="F31" i="30"/>
  <c r="J30" i="30"/>
  <c r="F30" i="30"/>
  <c r="J29" i="30"/>
  <c r="F29" i="30"/>
  <c r="J28" i="30"/>
  <c r="F28" i="30"/>
  <c r="J27" i="30"/>
  <c r="F27" i="30"/>
  <c r="J26" i="30"/>
  <c r="F26" i="30"/>
  <c r="J25" i="30"/>
  <c r="F25" i="30"/>
  <c r="J24" i="30"/>
  <c r="J23" i="30"/>
  <c r="F23" i="30"/>
  <c r="J22" i="30"/>
  <c r="F22" i="30"/>
  <c r="J21" i="30"/>
  <c r="F21" i="30"/>
  <c r="J20" i="30"/>
  <c r="F20" i="30"/>
  <c r="J19" i="30"/>
  <c r="F19" i="30"/>
  <c r="J18" i="30"/>
  <c r="F18" i="30"/>
  <c r="J17" i="30"/>
  <c r="F17" i="30"/>
  <c r="J16" i="30"/>
  <c r="F16" i="30"/>
  <c r="J15" i="30"/>
  <c r="F15" i="30"/>
  <c r="J14" i="30"/>
  <c r="F14" i="30"/>
  <c r="J13" i="30"/>
  <c r="F13" i="30"/>
  <c r="J12" i="30"/>
  <c r="F12" i="30"/>
  <c r="J11" i="30"/>
  <c r="F11" i="30"/>
  <c r="J10" i="30"/>
  <c r="F10" i="30"/>
  <c r="J9" i="30"/>
  <c r="F9" i="30"/>
  <c r="J8" i="30"/>
  <c r="F8" i="30"/>
  <c r="J7" i="30"/>
  <c r="F7" i="30"/>
  <c r="J6" i="30"/>
  <c r="F6" i="30"/>
  <c r="J5" i="30"/>
  <c r="F5" i="30"/>
  <c r="J4" i="30"/>
  <c r="F4" i="30"/>
  <c r="J3" i="30"/>
  <c r="F3" i="30"/>
  <c r="M11" i="26"/>
  <c r="M10" i="26"/>
  <c r="R9" i="26"/>
  <c r="R8" i="26"/>
  <c r="M8" i="26"/>
  <c r="R7" i="26"/>
  <c r="M7" i="26"/>
  <c r="R6" i="26"/>
  <c r="M6" i="26"/>
  <c r="B27" i="31"/>
  <c r="C27" i="31"/>
  <c r="A11" i="31"/>
  <c r="F27" i="31"/>
  <c r="G27" i="31"/>
  <c r="I27" i="31"/>
  <c r="M27" i="31"/>
  <c r="B19" i="31"/>
  <c r="N27" i="31"/>
  <c r="AN64" i="5"/>
  <c r="AE43" i="5"/>
  <c r="B23" i="31"/>
  <c r="B25" i="31" s="1"/>
  <c r="AE59" i="5"/>
  <c r="B45" i="31"/>
  <c r="C23" i="31"/>
  <c r="C25" i="31" s="1"/>
  <c r="F23" i="31"/>
  <c r="F25" i="31" s="1"/>
  <c r="C27" i="10" s="1"/>
  <c r="H23" i="31"/>
  <c r="H25" i="31" s="1"/>
  <c r="G23" i="31"/>
  <c r="G25" i="31" s="1"/>
  <c r="E27" i="10" s="1"/>
  <c r="I23" i="31"/>
  <c r="I25" i="31" s="1"/>
  <c r="L27" i="10" s="1"/>
  <c r="M23" i="31"/>
  <c r="M25" i="31" s="1"/>
  <c r="N23" i="31"/>
  <c r="N25" i="31" s="1"/>
  <c r="B15" i="31"/>
  <c r="B17" i="31" s="1"/>
  <c r="A23" i="31"/>
  <c r="A25" i="31" s="1"/>
  <c r="AO23" i="31"/>
  <c r="AO25" i="31" s="1"/>
  <c r="AN65" i="5"/>
  <c r="AE65" i="5"/>
  <c r="AE66" i="5"/>
  <c r="AN66" i="5"/>
  <c r="AN32" i="5"/>
  <c r="L23" i="31"/>
  <c r="L25" i="31" s="1"/>
  <c r="W69" i="31" l="1"/>
  <c r="O27" i="31"/>
  <c r="U27" i="31"/>
  <c r="L27" i="31"/>
  <c r="AF27" i="31"/>
  <c r="AE63" i="5"/>
  <c r="AN51" i="5"/>
  <c r="AG27" i="31"/>
  <c r="V27" i="31"/>
  <c r="P27" i="31"/>
  <c r="AE21" i="5"/>
  <c r="AE19" i="5"/>
  <c r="D46" i="31"/>
  <c r="Y70" i="31"/>
  <c r="AC70" i="31"/>
  <c r="AN71" i="5"/>
  <c r="AN74" i="5"/>
  <c r="AN26" i="5"/>
  <c r="AH27" i="31"/>
  <c r="W27" i="31"/>
  <c r="B11" i="31"/>
  <c r="Q27" i="31"/>
  <c r="AA27" i="31"/>
  <c r="AF71" i="31"/>
  <c r="AJ69" i="31"/>
  <c r="AJ4" i="31" s="1"/>
  <c r="AN69" i="31"/>
  <c r="AN4" i="31" s="1"/>
  <c r="J69" i="31"/>
  <c r="J12" i="31" s="1"/>
  <c r="V71" i="31"/>
  <c r="AL71" i="31"/>
  <c r="E46" i="31"/>
  <c r="AE20" i="5"/>
  <c r="K23" i="31" s="1"/>
  <c r="K25" i="31" s="1"/>
  <c r="AE17" i="5"/>
  <c r="AN46" i="5"/>
  <c r="R31" i="31" s="1"/>
  <c r="R33" i="31" s="1"/>
  <c r="AN33" i="5"/>
  <c r="AE15" i="5"/>
  <c r="AE9" i="5"/>
  <c r="AN76" i="5"/>
  <c r="C11" i="31"/>
  <c r="AI27" i="31"/>
  <c r="AB27" i="31"/>
  <c r="X27" i="31"/>
  <c r="D41" i="31"/>
  <c r="R27" i="31"/>
  <c r="D27" i="31"/>
  <c r="AE67" i="5"/>
  <c r="AN60" i="5"/>
  <c r="AE34" i="5"/>
  <c r="AE15" i="31" s="1"/>
  <c r="AE17" i="31" s="1"/>
  <c r="AN31" i="5"/>
  <c r="AN23" i="5"/>
  <c r="AE22" i="5"/>
  <c r="AN18" i="5"/>
  <c r="AN12" i="5"/>
  <c r="AE8" i="5"/>
  <c r="AN3" i="5"/>
  <c r="AE2" i="5"/>
  <c r="J70" i="31"/>
  <c r="AF70" i="31"/>
  <c r="AN71" i="31"/>
  <c r="I69" i="31"/>
  <c r="I12" i="31" s="1"/>
  <c r="M69" i="31"/>
  <c r="M20" i="31" s="1"/>
  <c r="Q69" i="31"/>
  <c r="Q4" i="31" s="1"/>
  <c r="AO71" i="31"/>
  <c r="AE78" i="5"/>
  <c r="AE30" i="5"/>
  <c r="O23" i="31" s="1"/>
  <c r="O25" i="31" s="1"/>
  <c r="AE47" i="5"/>
  <c r="AN10" i="5"/>
  <c r="AN77" i="5"/>
  <c r="G2" i="5"/>
  <c r="E3" i="30" s="1"/>
  <c r="G3" i="30" s="1"/>
  <c r="G31" i="5"/>
  <c r="E32" i="30" s="1"/>
  <c r="G32" i="30" s="1"/>
  <c r="G34" i="5"/>
  <c r="E35" i="30" s="1"/>
  <c r="G35" i="30" s="1"/>
  <c r="G47" i="5"/>
  <c r="E48" i="30" s="1"/>
  <c r="G48" i="30" s="1"/>
  <c r="AN73" i="5"/>
  <c r="AN45" i="5"/>
  <c r="AN25" i="5"/>
  <c r="AN72" i="5"/>
  <c r="AN50" i="5"/>
  <c r="AN48" i="5"/>
  <c r="G62" i="5"/>
  <c r="E63" i="30" s="1"/>
  <c r="G63" i="30" s="1"/>
  <c r="G63" i="5"/>
  <c r="E64" i="30" s="1"/>
  <c r="G64" i="30" s="1"/>
  <c r="G64" i="5"/>
  <c r="E65" i="30" s="1"/>
  <c r="G65" i="30" s="1"/>
  <c r="H71" i="31"/>
  <c r="Q71" i="31"/>
  <c r="AE11" i="5"/>
  <c r="M71" i="31"/>
  <c r="U69" i="31"/>
  <c r="Y69" i="31"/>
  <c r="Y20" i="31" s="1"/>
  <c r="AC71" i="31"/>
  <c r="AG71" i="31"/>
  <c r="AK69" i="31"/>
  <c r="AK12" i="31" s="1"/>
  <c r="G8" i="5"/>
  <c r="E9" i="30" s="1"/>
  <c r="G9" i="30" s="1"/>
  <c r="G9" i="5"/>
  <c r="E10" i="30" s="1"/>
  <c r="G10" i="30" s="1"/>
  <c r="H27" i="31"/>
  <c r="E27" i="31"/>
  <c r="G69" i="31"/>
  <c r="G20" i="31" s="1"/>
  <c r="J71" i="31"/>
  <c r="AM70" i="31"/>
  <c r="G72" i="5"/>
  <c r="E73" i="30" s="1"/>
  <c r="G73" i="30" s="1"/>
  <c r="O71" i="31"/>
  <c r="S69" i="31"/>
  <c r="S4" i="31" s="1"/>
  <c r="AI69" i="31"/>
  <c r="AI20" i="31" s="1"/>
  <c r="AG70" i="31"/>
  <c r="G73" i="5"/>
  <c r="E74" i="30" s="1"/>
  <c r="G74" i="30" s="1"/>
  <c r="V70" i="31"/>
  <c r="D35" i="31"/>
  <c r="AL35" i="31"/>
  <c r="Z35" i="31"/>
  <c r="AE35" i="31"/>
  <c r="J27" i="31"/>
  <c r="AJ27" i="31"/>
  <c r="C19" i="31"/>
  <c r="Y27" i="31"/>
  <c r="K35" i="31"/>
  <c r="T35" i="31"/>
  <c r="D11" i="31"/>
  <c r="S27" i="31"/>
  <c r="AC27" i="31"/>
  <c r="E33" i="10"/>
  <c r="AD15" i="31"/>
  <c r="AD17" i="31" s="1"/>
  <c r="B13" i="40"/>
  <c r="AJ31" i="31"/>
  <c r="AJ33" i="31" s="1"/>
  <c r="AC15" i="31"/>
  <c r="AC17" i="31" s="1"/>
  <c r="S23" i="31"/>
  <c r="S25" i="31" s="1"/>
  <c r="K84" i="5"/>
  <c r="K81" i="5"/>
  <c r="B2" i="31" s="1"/>
  <c r="AN56" i="5"/>
  <c r="G27" i="5"/>
  <c r="E28" i="30" s="1"/>
  <c r="G28" i="30" s="1"/>
  <c r="G28" i="5"/>
  <c r="E29" i="30" s="1"/>
  <c r="G29" i="30" s="1"/>
  <c r="G61" i="5"/>
  <c r="E62" i="30" s="1"/>
  <c r="G62" i="30" s="1"/>
  <c r="AE70" i="5"/>
  <c r="AB15" i="31" s="1"/>
  <c r="AB17" i="31" s="1"/>
  <c r="G71" i="5"/>
  <c r="E72" i="30" s="1"/>
  <c r="G72" i="30" s="1"/>
  <c r="AN61" i="5"/>
  <c r="AN27" i="5"/>
  <c r="B4" i="10"/>
  <c r="J23" i="31"/>
  <c r="J25" i="31" s="1"/>
  <c r="G17" i="5"/>
  <c r="E18" i="30" s="1"/>
  <c r="G18" i="30" s="1"/>
  <c r="G18" i="5"/>
  <c r="E19" i="30" s="1"/>
  <c r="G19" i="30" s="1"/>
  <c r="G19" i="5"/>
  <c r="E20" i="30" s="1"/>
  <c r="G20" i="30" s="1"/>
  <c r="G20" i="5"/>
  <c r="E21" i="30" s="1"/>
  <c r="G21" i="30" s="1"/>
  <c r="G76" i="5"/>
  <c r="E77" i="30" s="1"/>
  <c r="G77" i="30" s="1"/>
  <c r="G78" i="5"/>
  <c r="E79" i="30" s="1"/>
  <c r="G79" i="30" s="1"/>
  <c r="G79" i="5"/>
  <c r="G70" i="5"/>
  <c r="E71" i="30" s="1"/>
  <c r="G71" i="30" s="1"/>
  <c r="R70" i="31"/>
  <c r="G70" i="31"/>
  <c r="H70" i="31"/>
  <c r="P70" i="31"/>
  <c r="T70" i="31"/>
  <c r="X70" i="31"/>
  <c r="AB70" i="31"/>
  <c r="C42" i="10"/>
  <c r="E70" i="31"/>
  <c r="P69" i="31"/>
  <c r="X71" i="31"/>
  <c r="AA69" i="31"/>
  <c r="AA12" i="31" s="1"/>
  <c r="AL69" i="31"/>
  <c r="AP71" i="31"/>
  <c r="G71" i="31"/>
  <c r="K69" i="31"/>
  <c r="K20" i="31" s="1"/>
  <c r="S71" i="31"/>
  <c r="W71" i="31"/>
  <c r="AA71" i="31"/>
  <c r="AE69" i="31"/>
  <c r="AE4" i="31" s="1"/>
  <c r="AM69" i="31"/>
  <c r="AM20" i="31" s="1"/>
  <c r="U20" i="31"/>
  <c r="U12" i="31"/>
  <c r="U4" i="31"/>
  <c r="AC69" i="31"/>
  <c r="E69" i="31"/>
  <c r="E12" i="31" s="1"/>
  <c r="I71" i="31"/>
  <c r="Y71" i="31"/>
  <c r="AM71" i="31"/>
  <c r="AJ20" i="31"/>
  <c r="A2" i="38"/>
  <c r="AE68" i="5"/>
  <c r="AO7" i="31" s="1"/>
  <c r="AO9" i="31" s="1"/>
  <c r="AE54" i="5"/>
  <c r="G3" i="5"/>
  <c r="E4" i="30" s="1"/>
  <c r="G4" i="30" s="1"/>
  <c r="G4" i="5"/>
  <c r="E5" i="30" s="1"/>
  <c r="G5" i="30" s="1"/>
  <c r="G5" i="5"/>
  <c r="E6" i="30" s="1"/>
  <c r="G6" i="30" s="1"/>
  <c r="G6" i="5"/>
  <c r="E7" i="30" s="1"/>
  <c r="G7" i="30" s="1"/>
  <c r="G7" i="5"/>
  <c r="E8" i="30" s="1"/>
  <c r="G8" i="30" s="1"/>
  <c r="G14" i="5"/>
  <c r="E15" i="30" s="1"/>
  <c r="G15" i="30" s="1"/>
  <c r="G15" i="5"/>
  <c r="E16" i="30" s="1"/>
  <c r="G16" i="30" s="1"/>
  <c r="G55" i="5"/>
  <c r="E56" i="30" s="1"/>
  <c r="G56" i="30" s="1"/>
  <c r="G56" i="5"/>
  <c r="E57" i="30" s="1"/>
  <c r="G57" i="30" s="1"/>
  <c r="G57" i="5"/>
  <c r="E58" i="30" s="1"/>
  <c r="G58" i="30" s="1"/>
  <c r="G58" i="5"/>
  <c r="E59" i="30" s="1"/>
  <c r="G59" i="30" s="1"/>
  <c r="G60" i="5"/>
  <c r="E61" i="30" s="1"/>
  <c r="G61" i="30" s="1"/>
  <c r="G69" i="5"/>
  <c r="E70" i="30" s="1"/>
  <c r="G70" i="30" s="1"/>
  <c r="AN55" i="5"/>
  <c r="AE57" i="5"/>
  <c r="AE5" i="5"/>
  <c r="AN14" i="5"/>
  <c r="K85" i="5"/>
  <c r="AN6" i="5"/>
  <c r="AN69" i="5"/>
  <c r="AE4" i="5"/>
  <c r="D23" i="31" s="1"/>
  <c r="D25" i="31" s="1"/>
  <c r="B27" i="40" s="1"/>
  <c r="AE75" i="5"/>
  <c r="T15" i="31" s="1"/>
  <c r="T17" i="31" s="1"/>
  <c r="AN58" i="5"/>
  <c r="G25" i="5"/>
  <c r="E26" i="30" s="1"/>
  <c r="G26" i="30" s="1"/>
  <c r="G38" i="5"/>
  <c r="E39" i="30" s="1"/>
  <c r="G39" i="30" s="1"/>
  <c r="G39" i="5"/>
  <c r="E40" i="30" s="1"/>
  <c r="G40" i="30" s="1"/>
  <c r="G42" i="5"/>
  <c r="E43" i="30" s="1"/>
  <c r="G43" i="30" s="1"/>
  <c r="G45" i="5"/>
  <c r="E46" i="30" s="1"/>
  <c r="G46" i="30" s="1"/>
  <c r="G50" i="5"/>
  <c r="E51" i="30" s="1"/>
  <c r="G51" i="30" s="1"/>
  <c r="G51" i="5"/>
  <c r="E52" i="30" s="1"/>
  <c r="G52" i="30" s="1"/>
  <c r="G54" i="5"/>
  <c r="E55" i="30" s="1"/>
  <c r="G55" i="30" s="1"/>
  <c r="G66" i="5"/>
  <c r="E67" i="30" s="1"/>
  <c r="G67" i="30" s="1"/>
  <c r="G67" i="5"/>
  <c r="E68" i="30" s="1"/>
  <c r="G68" i="30" s="1"/>
  <c r="G74" i="5"/>
  <c r="E75" i="30" s="1"/>
  <c r="G75" i="30" s="1"/>
  <c r="C118" i="38"/>
  <c r="D118" i="38" s="1"/>
  <c r="E118" i="38" s="1"/>
  <c r="F118" i="38" s="1"/>
  <c r="G118" i="38" s="1"/>
  <c r="J118" i="38" s="1"/>
  <c r="C142" i="38"/>
  <c r="D142" i="38" s="1"/>
  <c r="E142" i="38" s="1"/>
  <c r="F142" i="38" s="1"/>
  <c r="G142" i="38" s="1"/>
  <c r="J142" i="38" s="1"/>
  <c r="C144" i="38"/>
  <c r="D144" i="38" s="1"/>
  <c r="E144" i="38" s="1"/>
  <c r="F144" i="38" s="1"/>
  <c r="G144" i="38" s="1"/>
  <c r="J144" i="38" s="1"/>
  <c r="B33" i="40"/>
  <c r="A34" i="31"/>
  <c r="B34" i="31"/>
  <c r="D34" i="31"/>
  <c r="H25" i="32"/>
  <c r="L25" i="32" s="1"/>
  <c r="AQ25" i="5" s="1"/>
  <c r="H78" i="32"/>
  <c r="L78" i="32" s="1"/>
  <c r="AQ78" i="5" s="1"/>
  <c r="H34" i="32"/>
  <c r="L34" i="32" s="1"/>
  <c r="AQ34" i="5" s="1"/>
  <c r="M46" i="32"/>
  <c r="AR46" i="5" s="1"/>
  <c r="H61" i="32"/>
  <c r="L61" i="32" s="1"/>
  <c r="AQ61" i="5" s="1"/>
  <c r="H45" i="32"/>
  <c r="L45" i="32" s="1"/>
  <c r="AQ45" i="5" s="1"/>
  <c r="H60" i="32"/>
  <c r="L60" i="32" s="1"/>
  <c r="AQ60" i="5" s="1"/>
  <c r="M65" i="32"/>
  <c r="AR65" i="5" s="1"/>
  <c r="M17" i="32"/>
  <c r="AR17" i="5" s="1"/>
  <c r="M40" i="32"/>
  <c r="AR40" i="5" s="1"/>
  <c r="M22" i="32"/>
  <c r="AR22" i="5" s="1"/>
  <c r="H71" i="32"/>
  <c r="L71" i="32" s="1"/>
  <c r="AQ71" i="5" s="1"/>
  <c r="M39" i="32"/>
  <c r="AR39" i="5" s="1"/>
  <c r="H36" i="32"/>
  <c r="L36" i="32" s="1"/>
  <c r="AQ36" i="5" s="1"/>
  <c r="M12" i="32"/>
  <c r="AR12" i="5" s="1"/>
  <c r="M64" i="32"/>
  <c r="AR64" i="5" s="1"/>
  <c r="M4" i="32"/>
  <c r="AR4" i="5" s="1"/>
  <c r="H22" i="32"/>
  <c r="L22" i="32" s="1"/>
  <c r="AQ22" i="5" s="1"/>
  <c r="H72" i="32"/>
  <c r="L72" i="32" s="1"/>
  <c r="AQ72" i="5" s="1"/>
  <c r="M8" i="32"/>
  <c r="AR8" i="5" s="1"/>
  <c r="H64" i="32"/>
  <c r="L64" i="32" s="1"/>
  <c r="AQ64" i="5" s="1"/>
  <c r="C45" i="31" s="1"/>
  <c r="M56" i="32"/>
  <c r="AR56" i="5" s="1"/>
  <c r="H79" i="32"/>
  <c r="L79" i="32" s="1"/>
  <c r="H19" i="32"/>
  <c r="L19" i="32" s="1"/>
  <c r="AQ19" i="5" s="1"/>
  <c r="H54" i="32"/>
  <c r="L54" i="32" s="1"/>
  <c r="AQ54" i="5" s="1"/>
  <c r="M60" i="32"/>
  <c r="AR60" i="5" s="1"/>
  <c r="H4" i="32"/>
  <c r="L4" i="32" s="1"/>
  <c r="AQ4" i="5" s="1"/>
  <c r="H40" i="32"/>
  <c r="L40" i="32" s="1"/>
  <c r="AQ40" i="5" s="1"/>
  <c r="M38" i="32"/>
  <c r="AR38" i="5" s="1"/>
  <c r="H23" i="32"/>
  <c r="L23" i="32" s="1"/>
  <c r="AQ23" i="5" s="1"/>
  <c r="M61" i="32"/>
  <c r="AR61" i="5" s="1"/>
  <c r="H57" i="32"/>
  <c r="L57" i="32" s="1"/>
  <c r="AQ57" i="5" s="1"/>
  <c r="M32" i="32"/>
  <c r="AR32" i="5" s="1"/>
  <c r="H15" i="32"/>
  <c r="L15" i="32" s="1"/>
  <c r="AQ15" i="5" s="1"/>
  <c r="H46" i="32"/>
  <c r="L46" i="32" s="1"/>
  <c r="AQ46" i="5" s="1"/>
  <c r="M66" i="32"/>
  <c r="AR66" i="5" s="1"/>
  <c r="H69" i="32"/>
  <c r="L69" i="32" s="1"/>
  <c r="AQ69" i="5" s="1"/>
  <c r="H39" i="32"/>
  <c r="L39" i="32" s="1"/>
  <c r="AQ39" i="5" s="1"/>
  <c r="M20" i="32"/>
  <c r="AR20" i="5" s="1"/>
  <c r="H28" i="32"/>
  <c r="L28" i="32" s="1"/>
  <c r="AQ28" i="5" s="1"/>
  <c r="H41" i="32"/>
  <c r="L41" i="32" s="1"/>
  <c r="AQ41" i="5" s="1"/>
  <c r="M48" i="32"/>
  <c r="AR48" i="5" s="1"/>
  <c r="H26" i="32"/>
  <c r="L26" i="32" s="1"/>
  <c r="AQ26" i="5" s="1"/>
  <c r="M41" i="32"/>
  <c r="AR41" i="5" s="1"/>
  <c r="M15" i="32"/>
  <c r="AR15" i="5" s="1"/>
  <c r="H62" i="32"/>
  <c r="L62" i="32" s="1"/>
  <c r="AQ62" i="5" s="1"/>
  <c r="M34" i="32"/>
  <c r="AR34" i="5" s="1"/>
  <c r="H68" i="32"/>
  <c r="L68" i="32" s="1"/>
  <c r="AQ68" i="5" s="1"/>
  <c r="H55" i="32"/>
  <c r="L55" i="32" s="1"/>
  <c r="AQ55" i="5" s="1"/>
  <c r="M31" i="32"/>
  <c r="AR31" i="5" s="1"/>
  <c r="M30" i="32"/>
  <c r="AR30" i="5" s="1"/>
  <c r="H56" i="32"/>
  <c r="L56" i="32" s="1"/>
  <c r="AQ56" i="5" s="1"/>
  <c r="AK18" i="31" a="1"/>
  <c r="AK18" i="31" s="1"/>
  <c r="Y26" i="31" a="1"/>
  <c r="Y26" i="31" s="1"/>
  <c r="M34" i="31" a="1"/>
  <c r="M34" i="31" s="1"/>
  <c r="Q34" i="31" a="1"/>
  <c r="Q34" i="31" s="1"/>
  <c r="AM10" i="31" a="1"/>
  <c r="AM10" i="31" s="1"/>
  <c r="AO10" i="31" a="1"/>
  <c r="AO10" i="31" s="1"/>
  <c r="AI26" i="31" a="1"/>
  <c r="AI26" i="31" s="1"/>
  <c r="AM34" i="31" a="1"/>
  <c r="AM34" i="31" s="1"/>
  <c r="AJ40" i="31" a="1"/>
  <c r="AJ40" i="31" s="1"/>
  <c r="B10" i="31"/>
  <c r="R18" i="31" a="1"/>
  <c r="R18" i="31" s="1"/>
  <c r="AP18" i="31" a="1"/>
  <c r="AP18" i="31" s="1"/>
  <c r="AB26" i="31" a="1"/>
  <c r="AB26" i="31" s="1"/>
  <c r="AN26" i="31" a="1"/>
  <c r="AN26" i="31" s="1"/>
  <c r="L34" i="31" a="1"/>
  <c r="L34" i="31" s="1"/>
  <c r="AJ34" i="31" a="1"/>
  <c r="AJ34" i="31" s="1"/>
  <c r="AN34" i="31" a="1"/>
  <c r="AN34" i="31" s="1"/>
  <c r="AK40" i="31" a="1"/>
  <c r="AK40" i="31" s="1"/>
  <c r="J45" i="31" a="1"/>
  <c r="J45" i="31" s="1"/>
  <c r="A10" i="31"/>
  <c r="M18" i="31" a="1"/>
  <c r="M18" i="31" s="1"/>
  <c r="C34" i="31" a="1"/>
  <c r="C34" i="31" s="1"/>
  <c r="C40" i="31" a="1"/>
  <c r="C40" i="31" s="1"/>
  <c r="G10" i="31" a="1"/>
  <c r="G10" i="31" s="1"/>
  <c r="C18" i="31" a="1"/>
  <c r="C18" i="31" s="1"/>
  <c r="AI18" i="31" a="1"/>
  <c r="AI18" i="31" s="1"/>
  <c r="AM18" i="31" a="1"/>
  <c r="AM18" i="31" s="1"/>
  <c r="A26" i="31" a="1"/>
  <c r="A26" i="31" s="1"/>
  <c r="AO26" i="31" a="1"/>
  <c r="AO26" i="31" s="1"/>
  <c r="AC34" i="31" a="1"/>
  <c r="AC34" i="31" s="1"/>
  <c r="J40" i="31" a="1"/>
  <c r="J40" i="31" s="1"/>
  <c r="R40" i="31" a="1"/>
  <c r="R40" i="31" s="1"/>
  <c r="V40" i="31" a="1"/>
  <c r="V40" i="31" s="1"/>
  <c r="AH40" i="31" a="1"/>
  <c r="AH40" i="31" s="1"/>
  <c r="AI45" i="31" a="1"/>
  <c r="AI45" i="31" s="1"/>
  <c r="H8" i="32"/>
  <c r="L8" i="32" s="1"/>
  <c r="AQ8" i="5" s="1"/>
  <c r="H12" i="32"/>
  <c r="L12" i="32" s="1"/>
  <c r="AQ12" i="5" s="1"/>
  <c r="H20" i="32"/>
  <c r="L20" i="32" s="1"/>
  <c r="AQ20" i="5" s="1"/>
  <c r="M25" i="32"/>
  <c r="AR25" i="5" s="1"/>
  <c r="H32" i="32"/>
  <c r="L32" i="32" s="1"/>
  <c r="AQ32" i="5" s="1"/>
  <c r="M36" i="32"/>
  <c r="AR36" i="5" s="1"/>
  <c r="H66" i="32"/>
  <c r="L66" i="32" s="1"/>
  <c r="AQ66" i="5" s="1"/>
  <c r="M78" i="32"/>
  <c r="AR78" i="5" s="1"/>
  <c r="AK10" i="31" a="1"/>
  <c r="AK10" i="31" s="1"/>
  <c r="AG18" i="31" a="1"/>
  <c r="AG18" i="31" s="1"/>
  <c r="K34" i="31" a="1"/>
  <c r="K34" i="31" s="1"/>
  <c r="AN40" i="31" a="1"/>
  <c r="AN40" i="31" s="1"/>
  <c r="C10" i="31"/>
  <c r="D10" i="31"/>
  <c r="AJ10" i="31" a="1"/>
  <c r="AJ10" i="31" s="1"/>
  <c r="AN10" i="31" a="1"/>
  <c r="AN10" i="31" s="1"/>
  <c r="AJ18" i="31" a="1"/>
  <c r="AJ18" i="31" s="1"/>
  <c r="B26" i="31" a="1"/>
  <c r="B26" i="31" s="1"/>
  <c r="N34" i="31" a="1"/>
  <c r="N34" i="31" s="1"/>
  <c r="B40" i="31" a="1"/>
  <c r="B40" i="31" s="1"/>
  <c r="AJ45" i="31" a="1"/>
  <c r="AJ45" i="31" s="1"/>
  <c r="C50" i="10"/>
  <c r="B43" i="10"/>
  <c r="E42" i="10"/>
  <c r="Q40" i="31" a="1"/>
  <c r="Q40" i="31" s="1"/>
  <c r="C81" i="38"/>
  <c r="D81" i="38" s="1"/>
  <c r="E81" i="38" s="1"/>
  <c r="F81" i="38" s="1"/>
  <c r="G81" i="38" s="1"/>
  <c r="J81" i="38" s="1"/>
  <c r="H4" i="10"/>
  <c r="P18" i="31" a="1"/>
  <c r="P18" i="31" s="1"/>
  <c r="C131" i="38"/>
  <c r="D131" i="38" s="1"/>
  <c r="E131" i="38" s="1"/>
  <c r="F131" i="38" s="1"/>
  <c r="G131" i="38" s="1"/>
  <c r="J131" i="38" s="1"/>
  <c r="C143" i="38"/>
  <c r="D143" i="38" s="1"/>
  <c r="E143" i="38" s="1"/>
  <c r="F143" i="38" s="1"/>
  <c r="G143" i="38" s="1"/>
  <c r="J143" i="38" s="1"/>
  <c r="Y34" i="31" a="1"/>
  <c r="Y34" i="31" s="1"/>
  <c r="C115" i="38"/>
  <c r="D115" i="38" s="1"/>
  <c r="E115" i="38" s="1"/>
  <c r="F115" i="38" s="1"/>
  <c r="G115" i="38" s="1"/>
  <c r="J115" i="38" s="1"/>
  <c r="L10" i="31" a="1"/>
  <c r="L10" i="31" s="1"/>
  <c r="L42" i="40"/>
  <c r="AD45" i="31" a="1"/>
  <c r="AD45" i="31" s="1"/>
  <c r="AF26" i="31" a="1"/>
  <c r="AF26" i="31" s="1"/>
  <c r="X26" i="31" a="1"/>
  <c r="X26" i="31" s="1"/>
  <c r="E14" i="10"/>
  <c r="F40" i="31" a="1"/>
  <c r="F40" i="31" s="1"/>
  <c r="U34" i="31" a="1"/>
  <c r="U34" i="31" s="1"/>
  <c r="F34" i="31" a="1"/>
  <c r="F34" i="31" s="1"/>
  <c r="C32" i="40"/>
  <c r="K40" i="31" a="1"/>
  <c r="K40" i="31" s="1"/>
  <c r="G40" i="31" a="1"/>
  <c r="G40" i="31" s="1"/>
  <c r="L23" i="10"/>
  <c r="L33" i="10"/>
  <c r="C92" i="38"/>
  <c r="D92" i="38" s="1"/>
  <c r="E92" i="38" s="1"/>
  <c r="F92" i="38" s="1"/>
  <c r="G92" i="38" s="1"/>
  <c r="J92" i="38" s="1"/>
  <c r="I40" i="31" a="1"/>
  <c r="I40" i="31" s="1"/>
  <c r="AD34" i="31" a="1"/>
  <c r="AD34" i="31" s="1"/>
  <c r="AF40" i="31" a="1"/>
  <c r="AF40" i="31" s="1"/>
  <c r="E13" i="10"/>
  <c r="D26" i="31" a="1"/>
  <c r="D26" i="31" s="1"/>
  <c r="V34" i="31" a="1"/>
  <c r="V34" i="31" s="1"/>
  <c r="J34" i="31" a="1"/>
  <c r="J34" i="31" s="1"/>
  <c r="Z18" i="31" a="1"/>
  <c r="Z18" i="31" s="1"/>
  <c r="J18" i="31" a="1"/>
  <c r="J18" i="31" s="1"/>
  <c r="E27" i="40"/>
  <c r="H26" i="31" a="1"/>
  <c r="H26" i="31" s="1"/>
  <c r="L14" i="10"/>
  <c r="V10" i="31" a="1"/>
  <c r="V10" i="31" s="1"/>
  <c r="E40" i="31" a="1"/>
  <c r="E40" i="31" s="1"/>
  <c r="L49" i="40"/>
  <c r="H42" i="10"/>
  <c r="C116" i="38"/>
  <c r="D116" i="38" s="1"/>
  <c r="E116" i="38" s="1"/>
  <c r="F116" i="38" s="1"/>
  <c r="G116" i="38" s="1"/>
  <c r="J116" i="38" s="1"/>
  <c r="C127" i="38"/>
  <c r="D127" i="38" s="1"/>
  <c r="E127" i="38" s="1"/>
  <c r="F127" i="38" s="1"/>
  <c r="G127" i="38" s="1"/>
  <c r="J127" i="38" s="1"/>
  <c r="B42" i="10"/>
  <c r="E10" i="31" a="1"/>
  <c r="E10" i="31" s="1"/>
  <c r="H42" i="40"/>
  <c r="C49" i="40"/>
  <c r="H50" i="10"/>
  <c r="L13" i="10"/>
  <c r="L13" i="40"/>
  <c r="P40" i="31" a="1"/>
  <c r="P40" i="31" s="1"/>
  <c r="L49" i="10"/>
  <c r="U18" i="31" a="1"/>
  <c r="U18" i="31" s="1"/>
  <c r="W10" i="31" a="1"/>
  <c r="W10" i="31" s="1"/>
  <c r="Q26" i="31" a="1"/>
  <c r="Q26" i="31" s="1"/>
  <c r="E18" i="31" a="1"/>
  <c r="E18" i="31" s="1"/>
  <c r="C4" i="10"/>
  <c r="C43" i="38"/>
  <c r="D43" i="38" s="1"/>
  <c r="E43" i="38" s="1"/>
  <c r="F43" i="38" s="1"/>
  <c r="G43" i="38" s="1"/>
  <c r="J43" i="38" s="1"/>
  <c r="AF18" i="31" a="1"/>
  <c r="AF18" i="31" s="1"/>
  <c r="C13" i="10"/>
  <c r="H4" i="40"/>
  <c r="F18" i="31" a="1"/>
  <c r="F18" i="31" s="1"/>
  <c r="C31" i="38"/>
  <c r="D31" i="38" s="1"/>
  <c r="E31" i="38" s="1"/>
  <c r="F31" i="38" s="1"/>
  <c r="G31" i="38" s="1"/>
  <c r="J31" i="38" s="1"/>
  <c r="C27" i="40"/>
  <c r="H10" i="31" a="1"/>
  <c r="H10" i="31" s="1"/>
  <c r="H5" i="10"/>
  <c r="C2" i="38"/>
  <c r="D2" i="38" s="1"/>
  <c r="E2" i="38" s="1"/>
  <c r="F2" i="38" s="1"/>
  <c r="G2" i="38" s="1"/>
  <c r="I2" i="38" s="1"/>
  <c r="H33" i="10"/>
  <c r="B50" i="40"/>
  <c r="W40" i="31" a="1"/>
  <c r="W40" i="31" s="1"/>
  <c r="L5" i="10"/>
  <c r="E50" i="40"/>
  <c r="L22" i="40"/>
  <c r="H14" i="10"/>
  <c r="L45" i="31" a="1"/>
  <c r="L45" i="31" s="1"/>
  <c r="B13" i="10"/>
  <c r="B42" i="40"/>
  <c r="P34" i="31" a="1"/>
  <c r="P34" i="31" s="1"/>
  <c r="H40" i="31" a="1"/>
  <c r="H40" i="31" s="1"/>
  <c r="C4" i="40"/>
  <c r="Z10" i="31" a="1"/>
  <c r="Z10" i="31" s="1"/>
  <c r="C32" i="10"/>
  <c r="E49" i="10"/>
  <c r="B5" i="10"/>
  <c r="L27" i="40"/>
  <c r="C62" i="38"/>
  <c r="D62" i="38" s="1"/>
  <c r="E62" i="38" s="1"/>
  <c r="F62" i="38" s="1"/>
  <c r="G62" i="38" s="1"/>
  <c r="J62" i="38" s="1"/>
  <c r="C23" i="40"/>
  <c r="G45" i="31" a="1"/>
  <c r="G45" i="31" s="1"/>
  <c r="L50" i="10"/>
  <c r="Z34" i="31" a="1"/>
  <c r="Z34" i="31" s="1"/>
  <c r="C95" i="38"/>
  <c r="D95" i="38" s="1"/>
  <c r="E95" i="38" s="1"/>
  <c r="F95" i="38" s="1"/>
  <c r="G95" i="38" s="1"/>
  <c r="J95" i="38" s="1"/>
  <c r="C14" i="10"/>
  <c r="C145" i="38"/>
  <c r="D145" i="38" s="1"/>
  <c r="E145" i="38" s="1"/>
  <c r="F145" i="38" s="1"/>
  <c r="G145" i="38" s="1"/>
  <c r="J145" i="38" s="1"/>
  <c r="C22" i="10"/>
  <c r="E43" i="10"/>
  <c r="C22" i="40"/>
  <c r="H49" i="40"/>
  <c r="F45" i="31" a="1"/>
  <c r="F45" i="31" s="1"/>
  <c r="H43" i="40"/>
  <c r="AA40" i="31" a="1"/>
  <c r="AA40" i="31" s="1"/>
  <c r="O18" i="31" a="1"/>
  <c r="O18" i="31" s="1"/>
  <c r="R26" i="31" a="1"/>
  <c r="R26" i="31" s="1"/>
  <c r="H23" i="10"/>
  <c r="I34" i="31" a="1"/>
  <c r="I34" i="31" s="1"/>
  <c r="E34" i="31" a="1"/>
  <c r="E34" i="31" s="1"/>
  <c r="F10" i="31" a="1"/>
  <c r="F10" i="31" s="1"/>
  <c r="C147" i="38"/>
  <c r="D147" i="38" s="1"/>
  <c r="E147" i="38" s="1"/>
  <c r="F147" i="38" s="1"/>
  <c r="G147" i="38" s="1"/>
  <c r="J147" i="38" s="1"/>
  <c r="T45" i="31" a="1"/>
  <c r="T45" i="31" s="1"/>
  <c r="AD26" i="31" a="1"/>
  <c r="AD26" i="31" s="1"/>
  <c r="L4" i="10"/>
  <c r="B49" i="10"/>
  <c r="E13" i="40"/>
  <c r="H32" i="40"/>
  <c r="P10" i="31" a="1"/>
  <c r="P10" i="31" s="1"/>
  <c r="AC10" i="31" a="1"/>
  <c r="AC10" i="31" s="1"/>
  <c r="AC18" i="31" a="1"/>
  <c r="AC18" i="31" s="1"/>
  <c r="C93" i="38"/>
  <c r="D93" i="38" s="1"/>
  <c r="E93" i="38" s="1"/>
  <c r="F93" i="38" s="1"/>
  <c r="G93" i="38" s="1"/>
  <c r="J93" i="38" s="1"/>
  <c r="K18" i="31" a="1"/>
  <c r="K18" i="31" s="1"/>
  <c r="G18" i="31" a="1"/>
  <c r="G18" i="31" s="1"/>
  <c r="M26" i="31" a="1"/>
  <c r="M26" i="31" s="1"/>
  <c r="O40" i="31" a="1"/>
  <c r="O40" i="31" s="1"/>
  <c r="E5" i="10"/>
  <c r="E23" i="10"/>
  <c r="C86" i="38"/>
  <c r="D86" i="38" s="1"/>
  <c r="E86" i="38" s="1"/>
  <c r="F86" i="38" s="1"/>
  <c r="G86" i="38" s="1"/>
  <c r="J86" i="38" s="1"/>
  <c r="O26" i="31" a="1"/>
  <c r="O26" i="31" s="1"/>
  <c r="H32" i="10"/>
  <c r="B32" i="10"/>
  <c r="H34" i="31" a="1"/>
  <c r="H34" i="31" s="1"/>
  <c r="C33" i="40"/>
  <c r="AF34" i="31" a="1"/>
  <c r="AF34" i="31" s="1"/>
  <c r="W4" i="31"/>
  <c r="W12" i="31"/>
  <c r="I4" i="31"/>
  <c r="AA34" i="31" a="1"/>
  <c r="AA34" i="31" s="1"/>
  <c r="C53" i="38"/>
  <c r="D53" i="38" s="1"/>
  <c r="E53" i="38" s="1"/>
  <c r="F53" i="38" s="1"/>
  <c r="G53" i="38" s="1"/>
  <c r="J53" i="38" s="1"/>
  <c r="AB18" i="31" a="1"/>
  <c r="AB18" i="31" s="1"/>
  <c r="C133" i="38"/>
  <c r="D133" i="38" s="1"/>
  <c r="E133" i="38" s="1"/>
  <c r="F133" i="38" s="1"/>
  <c r="G133" i="38" s="1"/>
  <c r="J133" i="38" s="1"/>
  <c r="X40" i="31" a="1"/>
  <c r="X40" i="31" s="1"/>
  <c r="C139" i="38"/>
  <c r="D139" i="38" s="1"/>
  <c r="E139" i="38" s="1"/>
  <c r="F139" i="38" s="1"/>
  <c r="G139" i="38" s="1"/>
  <c r="J139" i="38" s="1"/>
  <c r="AD40" i="31" a="1"/>
  <c r="AD40" i="31" s="1"/>
  <c r="AN13" i="5"/>
  <c r="G13" i="5"/>
  <c r="E14" i="30" s="1"/>
  <c r="G14" i="30" s="1"/>
  <c r="AE13" i="5"/>
  <c r="AE24" i="5"/>
  <c r="S15" i="31" s="1"/>
  <c r="S17" i="31" s="1"/>
  <c r="AN24" i="5"/>
  <c r="AN35" i="5"/>
  <c r="AE35" i="5"/>
  <c r="G35" i="5"/>
  <c r="E36" i="30" s="1"/>
  <c r="G36" i="30" s="1"/>
  <c r="AE36" i="5"/>
  <c r="G36" i="5"/>
  <c r="E37" i="30" s="1"/>
  <c r="G37" i="30" s="1"/>
  <c r="K86" i="5"/>
  <c r="AN37" i="5"/>
  <c r="S31" i="31" s="1"/>
  <c r="S33" i="31" s="1"/>
  <c r="AE37" i="5"/>
  <c r="AE38" i="5"/>
  <c r="AN38" i="5"/>
  <c r="AI31" i="31" s="1"/>
  <c r="AI33" i="31" s="1"/>
  <c r="AN39" i="5"/>
  <c r="AE39" i="5"/>
  <c r="AN41" i="5"/>
  <c r="AE41" i="5"/>
  <c r="G41" i="5"/>
  <c r="E42" i="30" s="1"/>
  <c r="G42" i="30" s="1"/>
  <c r="AE42" i="5"/>
  <c r="AN42" i="5"/>
  <c r="AP31" i="31" s="1"/>
  <c r="AP33" i="31" s="1"/>
  <c r="AE52" i="5"/>
  <c r="AN52" i="5"/>
  <c r="G53" i="5"/>
  <c r="E54" i="30" s="1"/>
  <c r="G54" i="30" s="1"/>
  <c r="AN53" i="5"/>
  <c r="AE53" i="5"/>
  <c r="D40" i="31" a="1"/>
  <c r="D40" i="31" s="1"/>
  <c r="I45" i="31" a="1"/>
  <c r="I45" i="31" s="1"/>
  <c r="Z26" i="31" a="1"/>
  <c r="Z26" i="31" s="1"/>
  <c r="AH45" i="31" a="1"/>
  <c r="AH45" i="31" s="1"/>
  <c r="E45" i="31" a="1"/>
  <c r="E45" i="31" s="1"/>
  <c r="Y45" i="31" a="1"/>
  <c r="Y45" i="31" s="1"/>
  <c r="AN45" i="31" a="1"/>
  <c r="AN45" i="31" s="1"/>
  <c r="J10" i="31" a="1"/>
  <c r="J10" i="31" s="1"/>
  <c r="O45" i="31" a="1"/>
  <c r="O45" i="31" s="1"/>
  <c r="AI10" i="31" a="1"/>
  <c r="AI10" i="31" s="1"/>
  <c r="AD18" i="31" a="1"/>
  <c r="AD18" i="31" s="1"/>
  <c r="AG26" i="31" a="1"/>
  <c r="AG26" i="31" s="1"/>
  <c r="AL40" i="31" a="1"/>
  <c r="AL40" i="31" s="1"/>
  <c r="AG45" i="31" a="1"/>
  <c r="AG45" i="31" s="1"/>
  <c r="M45" i="31" a="1"/>
  <c r="M45" i="31" s="1"/>
  <c r="AM45" i="31" a="1"/>
  <c r="AM45" i="31" s="1"/>
  <c r="G26" i="31" a="1"/>
  <c r="G26" i="31" s="1"/>
  <c r="AE34" i="31" a="1"/>
  <c r="AE34" i="31" s="1"/>
  <c r="J26" i="31" a="1"/>
  <c r="J26" i="31" s="1"/>
  <c r="U10" i="31" a="1"/>
  <c r="U10" i="31" s="1"/>
  <c r="X18" i="31" a="1"/>
  <c r="X18" i="31" s="1"/>
  <c r="AC26" i="31" a="1"/>
  <c r="AC26" i="31" s="1"/>
  <c r="W18" i="31" a="1"/>
  <c r="W18" i="31" s="1"/>
  <c r="U26" i="31" a="1"/>
  <c r="U26" i="31" s="1"/>
  <c r="AB10" i="31" a="1"/>
  <c r="AB10" i="31" s="1"/>
  <c r="T40" i="31" a="1"/>
  <c r="T40" i="31" s="1"/>
  <c r="V45" i="31" a="1"/>
  <c r="V45" i="31" s="1"/>
  <c r="AC40" i="31" a="1"/>
  <c r="AC40" i="31" s="1"/>
  <c r="R45" i="31" a="1"/>
  <c r="R45" i="31" s="1"/>
  <c r="L26" i="31" a="1"/>
  <c r="L26" i="31" s="1"/>
  <c r="AC45" i="31" a="1"/>
  <c r="AC45" i="31" s="1"/>
  <c r="S40" i="31" a="1"/>
  <c r="S40" i="31" s="1"/>
  <c r="T34" i="31" a="1"/>
  <c r="T34" i="31" s="1"/>
  <c r="AB34" i="31" a="1"/>
  <c r="AB34" i="31" s="1"/>
  <c r="W26" i="31" a="1"/>
  <c r="W26" i="31" s="1"/>
  <c r="M10" i="31" a="1"/>
  <c r="M10" i="31" s="1"/>
  <c r="AE10" i="31" a="1"/>
  <c r="AE10" i="31" s="1"/>
  <c r="N10" i="31" a="1"/>
  <c r="N10" i="31" s="1"/>
  <c r="AI40" i="31" a="1"/>
  <c r="AI40" i="31" s="1"/>
  <c r="N26" i="31" a="1"/>
  <c r="N26" i="31" s="1"/>
  <c r="AH18" i="31" a="1"/>
  <c r="AH18" i="31" s="1"/>
  <c r="AK26" i="31" a="1"/>
  <c r="AK26" i="31" s="1"/>
  <c r="Z40" i="31" a="1"/>
  <c r="Z40" i="31" s="1"/>
  <c r="AP40" i="31" a="1"/>
  <c r="AP40" i="31" s="1"/>
  <c r="AK45" i="31" a="1"/>
  <c r="AK45" i="31" s="1"/>
  <c r="AI34" i="31" a="1"/>
  <c r="AI34" i="31" s="1"/>
  <c r="L40" i="31" a="1"/>
  <c r="L40" i="31" s="1"/>
  <c r="Y40" i="31" a="1"/>
  <c r="Y40" i="31" s="1"/>
  <c r="AB45" i="31" a="1"/>
  <c r="AB45" i="31" s="1"/>
  <c r="R10" i="31" a="1"/>
  <c r="R10" i="31" s="1"/>
  <c r="T18" i="31" a="1"/>
  <c r="T18" i="31" s="1"/>
  <c r="N45" i="31" a="1"/>
  <c r="N45" i="31" s="1"/>
  <c r="K10" i="31" a="1"/>
  <c r="K10" i="31" s="1"/>
  <c r="O10" i="31" a="1"/>
  <c r="O10" i="31" s="1"/>
  <c r="P26" i="31" a="1"/>
  <c r="P26" i="31" s="1"/>
  <c r="I18" i="31" a="1"/>
  <c r="I18" i="31" s="1"/>
  <c r="T10" i="31" a="1"/>
  <c r="T10" i="31" s="1"/>
  <c r="S18" i="31" a="1"/>
  <c r="S18" i="31" s="1"/>
  <c r="X10" i="31" a="1"/>
  <c r="X10" i="31" s="1"/>
  <c r="V18" i="31" a="1"/>
  <c r="V18" i="31" s="1"/>
  <c r="AE40" i="31" a="1"/>
  <c r="AE40" i="31" s="1"/>
  <c r="H45" i="31" a="1"/>
  <c r="H45" i="31" s="1"/>
  <c r="AE45" i="31" a="1"/>
  <c r="AE45" i="31" s="1"/>
  <c r="X45" i="31" a="1"/>
  <c r="X45" i="31" s="1"/>
  <c r="P45" i="31" a="1"/>
  <c r="P45" i="31" s="1"/>
  <c r="M40" i="31" a="1"/>
  <c r="M40" i="31" s="1"/>
  <c r="AB40" i="31" a="1"/>
  <c r="AB40" i="31" s="1"/>
  <c r="F26" i="31" a="1"/>
  <c r="F26" i="31" s="1"/>
  <c r="S26" i="31" a="1"/>
  <c r="S26" i="31" s="1"/>
  <c r="AA18" i="31" a="1"/>
  <c r="AA18" i="31" s="1"/>
  <c r="R34" i="31" a="1"/>
  <c r="R34" i="31" s="1"/>
  <c r="AH34" i="31" a="1"/>
  <c r="AH34" i="31" s="1"/>
  <c r="AL18" i="31" a="1"/>
  <c r="AL18" i="31" s="1"/>
  <c r="AO40" i="31" a="1"/>
  <c r="AO40" i="31" s="1"/>
  <c r="AF45" i="31" a="1"/>
  <c r="AF45" i="31" s="1"/>
  <c r="Z45" i="31" a="1"/>
  <c r="Z45" i="31" s="1"/>
  <c r="AO45" i="31" a="1"/>
  <c r="AO45" i="31" s="1"/>
  <c r="H76" i="32"/>
  <c r="L76" i="32" s="1"/>
  <c r="AQ76" i="5" s="1"/>
  <c r="M47" i="32"/>
  <c r="AR47" i="5" s="1"/>
  <c r="H74" i="32"/>
  <c r="L74" i="32" s="1"/>
  <c r="AQ74" i="5" s="1"/>
  <c r="H48" i="32"/>
  <c r="L48" i="32" s="1"/>
  <c r="AQ48" i="5" s="1"/>
  <c r="M14" i="32"/>
  <c r="AR14" i="5" s="1"/>
  <c r="H75" i="32"/>
  <c r="L75" i="32" s="1"/>
  <c r="AQ75" i="5" s="1"/>
  <c r="M27" i="32"/>
  <c r="AR27" i="5" s="1"/>
  <c r="H49" i="32"/>
  <c r="L49" i="32" s="1"/>
  <c r="AQ49" i="5" s="1"/>
  <c r="M67" i="32"/>
  <c r="AR67" i="5" s="1"/>
  <c r="H44" i="32"/>
  <c r="L44" i="32" s="1"/>
  <c r="AQ44" i="5" s="1"/>
  <c r="H27" i="32"/>
  <c r="L27" i="32" s="1"/>
  <c r="AQ27" i="5" s="1"/>
  <c r="H77" i="32"/>
  <c r="L77" i="32" s="1"/>
  <c r="AQ77" i="5" s="1"/>
  <c r="M57" i="32"/>
  <c r="AR57" i="5" s="1"/>
  <c r="H47" i="32"/>
  <c r="L47" i="32" s="1"/>
  <c r="AQ47" i="5" s="1"/>
  <c r="H35" i="32"/>
  <c r="L35" i="32" s="1"/>
  <c r="AQ35" i="5" s="1"/>
  <c r="H6" i="32"/>
  <c r="L6" i="32" s="1"/>
  <c r="AQ6" i="5" s="1"/>
  <c r="M51" i="32"/>
  <c r="AR51" i="5" s="1"/>
  <c r="H24" i="32"/>
  <c r="L24" i="32" s="1"/>
  <c r="AQ24" i="5" s="1"/>
  <c r="M42" i="32"/>
  <c r="AR42" i="5" s="1"/>
  <c r="M44" i="32"/>
  <c r="AR44" i="5" s="1"/>
  <c r="M77" i="32"/>
  <c r="AR77" i="5" s="1"/>
  <c r="M50" i="32"/>
  <c r="AR50" i="5" s="1"/>
  <c r="H31" i="32"/>
  <c r="L31" i="32" s="1"/>
  <c r="AQ31" i="5" s="1"/>
  <c r="H33" i="32"/>
  <c r="L33" i="32" s="1"/>
  <c r="AQ33" i="5" s="1"/>
  <c r="H10" i="32"/>
  <c r="L10" i="32" s="1"/>
  <c r="AQ10" i="5" s="1"/>
  <c r="H14" i="32"/>
  <c r="L14" i="32" s="1"/>
  <c r="AQ14" i="5" s="1"/>
  <c r="H43" i="32"/>
  <c r="L43" i="32" s="1"/>
  <c r="AQ43" i="5" s="1"/>
  <c r="M71" i="32"/>
  <c r="AR71" i="5" s="1"/>
  <c r="M45" i="32"/>
  <c r="AR45" i="5" s="1"/>
  <c r="M21" i="32"/>
  <c r="AR21" i="5" s="1"/>
  <c r="M26" i="32"/>
  <c r="AR26" i="5" s="1"/>
  <c r="H51" i="32"/>
  <c r="L51" i="32" s="1"/>
  <c r="AQ51" i="5" s="1"/>
  <c r="M7" i="32"/>
  <c r="AR7" i="5" s="1"/>
  <c r="H67" i="32"/>
  <c r="L67" i="32" s="1"/>
  <c r="AQ67" i="5" s="1"/>
  <c r="M5" i="32"/>
  <c r="AR5" i="5" s="1"/>
  <c r="M75" i="32"/>
  <c r="AR75" i="5" s="1"/>
  <c r="M10" i="32"/>
  <c r="AR10" i="5" s="1"/>
  <c r="M11" i="32"/>
  <c r="AR11" i="5" s="1"/>
  <c r="M59" i="32"/>
  <c r="AR59" i="5" s="1"/>
  <c r="H70" i="32"/>
  <c r="L70" i="32" s="1"/>
  <c r="AQ70" i="5" s="1"/>
  <c r="M24" i="32"/>
  <c r="AR24" i="5" s="1"/>
  <c r="H2" i="32"/>
  <c r="L2" i="32" s="1"/>
  <c r="AQ2" i="5" s="1"/>
  <c r="H73" i="32"/>
  <c r="L73" i="32" s="1"/>
  <c r="AQ73" i="5" s="1"/>
  <c r="M74" i="32"/>
  <c r="AR74" i="5" s="1"/>
  <c r="M49" i="32"/>
  <c r="AR49" i="5" s="1"/>
  <c r="H3" i="32"/>
  <c r="L3" i="32" s="1"/>
  <c r="AQ3" i="5" s="1"/>
  <c r="M23" i="32"/>
  <c r="AR23" i="5" s="1"/>
  <c r="H9" i="32"/>
  <c r="L9" i="32" s="1"/>
  <c r="AQ9" i="5" s="1"/>
  <c r="M33" i="32"/>
  <c r="AR33" i="5" s="1"/>
  <c r="M58" i="32"/>
  <c r="AR58" i="5" s="1"/>
  <c r="H18" i="32"/>
  <c r="L18" i="32" s="1"/>
  <c r="AQ18" i="5" s="1"/>
  <c r="H59" i="32"/>
  <c r="L59" i="32" s="1"/>
  <c r="AQ59" i="5" s="1"/>
  <c r="M43" i="32"/>
  <c r="AR43" i="5" s="1"/>
  <c r="H11" i="32"/>
  <c r="L11" i="32" s="1"/>
  <c r="AQ11" i="5" s="1"/>
  <c r="H42" i="32"/>
  <c r="L42" i="32" s="1"/>
  <c r="AQ42" i="5" s="1"/>
  <c r="M54" i="32"/>
  <c r="AR54" i="5" s="1"/>
  <c r="M55" i="32"/>
  <c r="AR55" i="5" s="1"/>
  <c r="M76" i="32"/>
  <c r="AR76" i="5" s="1"/>
  <c r="M16" i="32"/>
  <c r="AR16" i="5" s="1"/>
  <c r="M19" i="32"/>
  <c r="AR19" i="5" s="1"/>
  <c r="M18" i="32"/>
  <c r="AR18" i="5" s="1"/>
  <c r="H38" i="32"/>
  <c r="L38" i="32" s="1"/>
  <c r="AQ38" i="5" s="1"/>
  <c r="M79" i="32"/>
  <c r="M53" i="32"/>
  <c r="AR53" i="5" s="1"/>
  <c r="M72" i="32"/>
  <c r="AR72" i="5" s="1"/>
  <c r="H29" i="32"/>
  <c r="L29" i="32" s="1"/>
  <c r="AQ29" i="5" s="1"/>
  <c r="D18" i="31" a="1"/>
  <c r="D18" i="31" s="1"/>
  <c r="AP26" i="31" a="1"/>
  <c r="AP26" i="31" s="1"/>
  <c r="C26" i="31" a="1"/>
  <c r="C26" i="31" s="1"/>
  <c r="B18" i="31" a="1"/>
  <c r="B18" i="31" s="1"/>
  <c r="C29" i="38"/>
  <c r="D29" i="38" s="1"/>
  <c r="E29" i="38" s="1"/>
  <c r="F29" i="38" s="1"/>
  <c r="G29" i="38" s="1"/>
  <c r="J29" i="38" s="1"/>
  <c r="AF10" i="31" a="1"/>
  <c r="AF10" i="31" s="1"/>
  <c r="C96" i="38"/>
  <c r="D96" i="38" s="1"/>
  <c r="E96" i="38" s="1"/>
  <c r="F96" i="38" s="1"/>
  <c r="G96" i="38" s="1"/>
  <c r="J96" i="38" s="1"/>
  <c r="O34" i="31" a="1"/>
  <c r="O34" i="31" s="1"/>
  <c r="N40" i="31" a="1"/>
  <c r="N40" i="31" s="1"/>
  <c r="C123" i="38"/>
  <c r="D123" i="38" s="1"/>
  <c r="E123" i="38" s="1"/>
  <c r="F123" i="38" s="1"/>
  <c r="G123" i="38" s="1"/>
  <c r="J123" i="38" s="1"/>
  <c r="AN7" i="5"/>
  <c r="Z31" i="31" s="1"/>
  <c r="Z33" i="31" s="1"/>
  <c r="K80" i="5"/>
  <c r="B1" i="31" s="1"/>
  <c r="I10" i="31" a="1"/>
  <c r="I10" i="31" s="1"/>
  <c r="C119" i="38"/>
  <c r="D119" i="38" s="1"/>
  <c r="E119" i="38" s="1"/>
  <c r="F119" i="38" s="1"/>
  <c r="G119" i="38" s="1"/>
  <c r="J119" i="38" s="1"/>
  <c r="K83" i="5"/>
  <c r="U40" i="31" a="1"/>
  <c r="U40" i="31" s="1"/>
  <c r="C80" i="38"/>
  <c r="D80" i="38" s="1"/>
  <c r="E80" i="38" s="1"/>
  <c r="F80" i="38" s="1"/>
  <c r="G80" i="38" s="1"/>
  <c r="J80" i="38" s="1"/>
  <c r="AA26" i="31" a="1"/>
  <c r="AA26" i="31" s="1"/>
  <c r="C84" i="38"/>
  <c r="D84" i="38" s="1"/>
  <c r="E84" i="38" s="1"/>
  <c r="F84" i="38" s="1"/>
  <c r="G84" i="38" s="1"/>
  <c r="J84" i="38" s="1"/>
  <c r="AE26" i="31" a="1"/>
  <c r="AE26" i="31" s="1"/>
  <c r="C90" i="38"/>
  <c r="D90" i="38" s="1"/>
  <c r="E90" i="38" s="1"/>
  <c r="F90" i="38" s="1"/>
  <c r="G90" i="38" s="1"/>
  <c r="J90" i="38" s="1"/>
  <c r="L32" i="10"/>
  <c r="X34" i="31" a="1"/>
  <c r="X34" i="31" s="1"/>
  <c r="A40" i="31" a="1"/>
  <c r="A40" i="31" s="1"/>
  <c r="C6" i="38"/>
  <c r="D6" i="38" s="1"/>
  <c r="E6" i="38" s="1"/>
  <c r="F6" i="38" s="1"/>
  <c r="G6" i="38" s="1"/>
  <c r="J6" i="38" s="1"/>
  <c r="C5" i="10"/>
  <c r="S34" i="31" a="1"/>
  <c r="S34" i="31" s="1"/>
  <c r="W34" i="31" a="1"/>
  <c r="W34" i="31" s="1"/>
  <c r="Y18" i="31" a="1"/>
  <c r="Y18" i="31" s="1"/>
  <c r="C56" i="38"/>
  <c r="D56" i="38" s="1"/>
  <c r="E56" i="38" s="1"/>
  <c r="F56" i="38" s="1"/>
  <c r="G56" i="38" s="1"/>
  <c r="J56" i="38" s="1"/>
  <c r="AE18" i="31" a="1"/>
  <c r="AE18" i="31" s="1"/>
  <c r="B22" i="10"/>
  <c r="E26" i="31" a="1"/>
  <c r="E26" i="31" s="1"/>
  <c r="H22" i="10"/>
  <c r="C61" i="38"/>
  <c r="D61" i="38" s="1"/>
  <c r="E61" i="38" s="1"/>
  <c r="F61" i="38" s="1"/>
  <c r="G61" i="38" s="1"/>
  <c r="J61" i="38" s="1"/>
  <c r="T26" i="31" a="1"/>
  <c r="T26" i="31" s="1"/>
  <c r="C73" i="38"/>
  <c r="D73" i="38" s="1"/>
  <c r="E73" i="38" s="1"/>
  <c r="F73" i="38" s="1"/>
  <c r="G73" i="38" s="1"/>
  <c r="J73" i="38" s="1"/>
  <c r="C43" i="10"/>
  <c r="C43" i="40"/>
  <c r="L43" i="10"/>
  <c r="L43" i="40"/>
  <c r="C148" i="38"/>
  <c r="D148" i="38" s="1"/>
  <c r="E148" i="38" s="1"/>
  <c r="F148" i="38" s="1"/>
  <c r="G148" i="38" s="1"/>
  <c r="J148" i="38" s="1"/>
  <c r="K45" i="31" a="1"/>
  <c r="K45" i="31" s="1"/>
  <c r="C154" i="38"/>
  <c r="D154" i="38" s="1"/>
  <c r="E154" i="38" s="1"/>
  <c r="F154" i="38" s="1"/>
  <c r="G154" i="38" s="1"/>
  <c r="J154" i="38" s="1"/>
  <c r="Q45" i="31" a="1"/>
  <c r="Q45" i="31" s="1"/>
  <c r="C158" i="38"/>
  <c r="D158" i="38" s="1"/>
  <c r="E158" i="38" s="1"/>
  <c r="F158" i="38" s="1"/>
  <c r="G158" i="38" s="1"/>
  <c r="J158" i="38" s="1"/>
  <c r="U45" i="31" a="1"/>
  <c r="U45" i="31" s="1"/>
  <c r="AG10" i="31" a="1"/>
  <c r="AG10" i="31" s="1"/>
  <c r="AN18" i="31" a="1"/>
  <c r="AN18" i="31" s="1"/>
  <c r="AG40" i="31" a="1"/>
  <c r="AG40" i="31" s="1"/>
  <c r="M29" i="32"/>
  <c r="AR29" i="5" s="1"/>
  <c r="M62" i="32"/>
  <c r="AR62" i="5" s="1"/>
  <c r="H65" i="32"/>
  <c r="L65" i="32" s="1"/>
  <c r="AQ65" i="5" s="1"/>
  <c r="M69" i="32"/>
  <c r="AR69" i="5" s="1"/>
  <c r="AA10" i="31" a="1"/>
  <c r="AA10" i="31" s="1"/>
  <c r="AD70" i="31"/>
  <c r="AH70" i="31"/>
  <c r="AL70" i="31"/>
  <c r="AL72" i="31" s="1"/>
  <c r="AL36" i="31" s="1"/>
  <c r="M70" i="31"/>
  <c r="U70" i="31"/>
  <c r="AE28" i="5"/>
  <c r="B7" i="31" s="1"/>
  <c r="B9" i="31" s="1"/>
  <c r="AN28" i="5"/>
  <c r="H5" i="32"/>
  <c r="L5" i="32" s="1"/>
  <c r="AQ5" i="5" s="1"/>
  <c r="M13" i="32"/>
  <c r="AR13" i="5" s="1"/>
  <c r="H13" i="32"/>
  <c r="L13" i="32" s="1"/>
  <c r="AQ13" i="5" s="1"/>
  <c r="H17" i="32"/>
  <c r="L17" i="32" s="1"/>
  <c r="AQ17" i="5" s="1"/>
  <c r="H58" i="32"/>
  <c r="L58" i="32" s="1"/>
  <c r="AQ58" i="5" s="1"/>
  <c r="M70" i="32"/>
  <c r="AR70" i="5" s="1"/>
  <c r="M73" i="32"/>
  <c r="AR73" i="5" s="1"/>
  <c r="B14" i="40"/>
  <c r="I26" i="31" a="1"/>
  <c r="I26" i="31" s="1"/>
  <c r="S10" i="31" a="1"/>
  <c r="S10" i="31" s="1"/>
  <c r="H69" i="31"/>
  <c r="L71" i="31"/>
  <c r="P71" i="31"/>
  <c r="X69" i="31"/>
  <c r="X12" i="31" s="1"/>
  <c r="AF69" i="31"/>
  <c r="AJ71" i="31"/>
  <c r="Z71" i="31"/>
  <c r="AD69" i="31"/>
  <c r="AD12" i="31" s="1"/>
  <c r="G43" i="5"/>
  <c r="E44" i="30" s="1"/>
  <c r="G44" i="30" s="1"/>
  <c r="G48" i="5"/>
  <c r="E49" i="30" s="1"/>
  <c r="G49" i="30" s="1"/>
  <c r="G52" i="5"/>
  <c r="E53" i="30" s="1"/>
  <c r="G53" i="30" s="1"/>
  <c r="M2" i="32"/>
  <c r="AR2" i="5" s="1"/>
  <c r="M3" i="32"/>
  <c r="AR3" i="5" s="1"/>
  <c r="H30" i="32"/>
  <c r="L30" i="32" s="1"/>
  <c r="AQ30" i="5" s="1"/>
  <c r="H52" i="32"/>
  <c r="L52" i="32" s="1"/>
  <c r="AQ52" i="5" s="1"/>
  <c r="M52" i="32"/>
  <c r="AR52" i="5" s="1"/>
  <c r="M63" i="32"/>
  <c r="AR63" i="5" s="1"/>
  <c r="A18" i="31" a="1"/>
  <c r="A18" i="31" s="1"/>
  <c r="U71" i="31"/>
  <c r="Z70" i="31"/>
  <c r="AN70" i="31"/>
  <c r="G11" i="5"/>
  <c r="E12" i="30" s="1"/>
  <c r="G12" i="30" s="1"/>
  <c r="AL34" i="31" a="1"/>
  <c r="AL34" i="31" s="1"/>
  <c r="AP34" i="31" a="1"/>
  <c r="AP34" i="31" s="1"/>
  <c r="AL45" i="31" a="1"/>
  <c r="AL45" i="31" s="1"/>
  <c r="AP45" i="31" a="1"/>
  <c r="AP45" i="31" s="1"/>
  <c r="F69" i="31"/>
  <c r="N71" i="31"/>
  <c r="R71" i="31"/>
  <c r="Z69" i="31"/>
  <c r="AD71" i="31"/>
  <c r="AH69" i="31"/>
  <c r="AO69" i="31"/>
  <c r="K71" i="31"/>
  <c r="AK71" i="31"/>
  <c r="F70" i="31"/>
  <c r="N70" i="31"/>
  <c r="G26" i="5"/>
  <c r="E27" i="30" s="1"/>
  <c r="G27" i="30" s="1"/>
  <c r="G77" i="5"/>
  <c r="E78" i="30" s="1"/>
  <c r="G78" i="30" s="1"/>
  <c r="H7" i="32"/>
  <c r="L7" i="32" s="1"/>
  <c r="AQ7" i="5" s="1"/>
  <c r="Z19" i="31"/>
  <c r="N19" i="31"/>
  <c r="AM11" i="31"/>
  <c r="L11" i="31"/>
  <c r="AA11" i="31"/>
  <c r="Q11" i="31"/>
  <c r="U11" i="31"/>
  <c r="I11" i="31"/>
  <c r="K11" i="31"/>
  <c r="AD19" i="31"/>
  <c r="AK35" i="31"/>
  <c r="T19" i="31"/>
  <c r="AF11" i="31"/>
  <c r="I19" i="31"/>
  <c r="W35" i="31"/>
  <c r="AF19" i="31"/>
  <c r="AG19" i="31"/>
  <c r="AC19" i="31"/>
  <c r="R19" i="31"/>
  <c r="V19" i="31"/>
  <c r="AH19" i="31"/>
  <c r="J19" i="31"/>
  <c r="W11" i="31"/>
  <c r="T11" i="31"/>
  <c r="AH35" i="31"/>
  <c r="I35" i="31"/>
  <c r="AP35" i="31"/>
  <c r="F35" i="31"/>
  <c r="AG11" i="31"/>
  <c r="U19" i="31"/>
  <c r="Y35" i="31"/>
  <c r="P11" i="31"/>
  <c r="P19" i="31"/>
  <c r="T27" i="31"/>
  <c r="AE11" i="31"/>
  <c r="L19" i="31"/>
  <c r="X19" i="31"/>
  <c r="F19" i="31"/>
  <c r="AB11" i="31"/>
  <c r="B35" i="31"/>
  <c r="Y19" i="31"/>
  <c r="S11" i="31"/>
  <c r="AJ19" i="31"/>
  <c r="J88" i="38"/>
  <c r="A58" i="38"/>
  <c r="H58" i="38" s="1"/>
  <c r="F3" i="31"/>
  <c r="F41" i="31" s="1"/>
  <c r="C64" i="38"/>
  <c r="D64" i="38" s="1"/>
  <c r="E64" i="38" s="1"/>
  <c r="F64" i="38" s="1"/>
  <c r="G64" i="38" s="1"/>
  <c r="J64" i="38" s="1"/>
  <c r="K26" i="31" a="1"/>
  <c r="K26" i="31" s="1"/>
  <c r="T69" i="31"/>
  <c r="T71" i="31"/>
  <c r="AB69" i="31"/>
  <c r="AB71" i="31"/>
  <c r="W20" i="31"/>
  <c r="L69" i="31"/>
  <c r="AM26" i="31" a="1"/>
  <c r="AM26" i="31" s="1"/>
  <c r="W45" i="31" a="1"/>
  <c r="W45" i="31" s="1"/>
  <c r="AA45" i="31" a="1"/>
  <c r="AA45" i="31" s="1"/>
  <c r="I70" i="31"/>
  <c r="Q70" i="31"/>
  <c r="W70" i="31"/>
  <c r="A30" i="38"/>
  <c r="C42" i="38"/>
  <c r="D42" i="38" s="1"/>
  <c r="E42" i="38" s="1"/>
  <c r="F42" i="38" s="1"/>
  <c r="G42" i="38" s="1"/>
  <c r="J42" i="38" s="1"/>
  <c r="Q18" i="31" a="1"/>
  <c r="Q18" i="31" s="1"/>
  <c r="E32" i="40"/>
  <c r="E32" i="10"/>
  <c r="AD10" i="31" a="1"/>
  <c r="AD10" i="31" s="1"/>
  <c r="AO18" i="31" a="1"/>
  <c r="AO18" i="31" s="1"/>
  <c r="S45" i="31" a="1"/>
  <c r="S45" i="31" s="1"/>
  <c r="Q10" i="31" a="1"/>
  <c r="Q10" i="31" s="1"/>
  <c r="AH26" i="31" a="1"/>
  <c r="AH26" i="31" s="1"/>
  <c r="AL26" i="31" a="1"/>
  <c r="AL26" i="31" s="1"/>
  <c r="AM40" i="31" a="1"/>
  <c r="AM40" i="31" s="1"/>
  <c r="M9" i="32"/>
  <c r="AR9" i="5" s="1"/>
  <c r="H50" i="32"/>
  <c r="L50" i="32" s="1"/>
  <c r="AQ50" i="5" s="1"/>
  <c r="H53" i="32"/>
  <c r="L53" i="32" s="1"/>
  <c r="AQ53" i="5" s="1"/>
  <c r="H63" i="32"/>
  <c r="L63" i="32" s="1"/>
  <c r="AQ63" i="5" s="1"/>
  <c r="H21" i="32"/>
  <c r="L21" i="32" s="1"/>
  <c r="AQ21" i="5" s="1"/>
  <c r="M35" i="32"/>
  <c r="AR35" i="5" s="1"/>
  <c r="M6" i="32"/>
  <c r="AR6" i="5" s="1"/>
  <c r="Q12" i="31"/>
  <c r="Q20" i="31"/>
  <c r="G34" i="31" a="1"/>
  <c r="G34" i="31" s="1"/>
  <c r="Y10" i="31" a="1"/>
  <c r="Y10" i="31" s="1"/>
  <c r="AH71" i="31"/>
  <c r="R69" i="31"/>
  <c r="C75" i="38"/>
  <c r="D75" i="38" s="1"/>
  <c r="E75" i="38" s="1"/>
  <c r="F75" i="38" s="1"/>
  <c r="G75" i="38" s="1"/>
  <c r="J75" i="38" s="1"/>
  <c r="V26" i="31" a="1"/>
  <c r="V26" i="31" s="1"/>
  <c r="AE71" i="31"/>
  <c r="V69" i="31"/>
  <c r="AE40" i="5"/>
  <c r="AN40" i="5"/>
  <c r="AJ26" i="31" a="1"/>
  <c r="AJ26" i="31" s="1"/>
  <c r="AG34" i="31" a="1"/>
  <c r="AG34" i="31" s="1"/>
  <c r="AK34" i="31" a="1"/>
  <c r="AK34" i="31" s="1"/>
  <c r="AO34" i="31" a="1"/>
  <c r="AO34" i="31" s="1"/>
  <c r="E71" i="31"/>
  <c r="AG69" i="31"/>
  <c r="AJ70" i="31"/>
  <c r="G46" i="5"/>
  <c r="E47" i="30" s="1"/>
  <c r="G47" i="30" s="1"/>
  <c r="AH10" i="31" a="1"/>
  <c r="AH10" i="31" s="1"/>
  <c r="AL10" i="31" a="1"/>
  <c r="AL10" i="31" s="1"/>
  <c r="H18" i="31" a="1"/>
  <c r="H18" i="31" s="1"/>
  <c r="O69" i="31"/>
  <c r="AP69" i="31"/>
  <c r="AP70" i="31"/>
  <c r="L70" i="31"/>
  <c r="G21" i="5"/>
  <c r="E22" i="30" s="1"/>
  <c r="G22" i="30" s="1"/>
  <c r="G22" i="5"/>
  <c r="E23" i="30" s="1"/>
  <c r="G23" i="30" s="1"/>
  <c r="E41" i="31"/>
  <c r="G23" i="5"/>
  <c r="E24" i="30" s="1"/>
  <c r="G24" i="30" s="1"/>
  <c r="G24" i="5"/>
  <c r="E25" i="30" s="1"/>
  <c r="G25" i="30" s="1"/>
  <c r="G37" i="5"/>
  <c r="E38" i="30" s="1"/>
  <c r="G38" i="30" s="1"/>
  <c r="G40" i="5"/>
  <c r="E41" i="30" s="1"/>
  <c r="G41" i="30" s="1"/>
  <c r="M28" i="32"/>
  <c r="AR28" i="5" s="1"/>
  <c r="G30" i="5"/>
  <c r="E31" i="30" s="1"/>
  <c r="G31" i="30" s="1"/>
  <c r="G32" i="5"/>
  <c r="E33" i="30" s="1"/>
  <c r="G33" i="30" s="1"/>
  <c r="G33" i="5"/>
  <c r="E34" i="30" s="1"/>
  <c r="G34" i="30" s="1"/>
  <c r="G65" i="5"/>
  <c r="E66" i="30" s="1"/>
  <c r="G66" i="30" s="1"/>
  <c r="G75" i="5"/>
  <c r="E76" i="30" s="1"/>
  <c r="G76" i="30" s="1"/>
  <c r="M68" i="32"/>
  <c r="AR68" i="5" s="1"/>
  <c r="AC35" i="31"/>
  <c r="O11" i="31"/>
  <c r="X11" i="31"/>
  <c r="Q35" i="31"/>
  <c r="W19" i="31"/>
  <c r="AI35" i="31"/>
  <c r="AL11" i="31"/>
  <c r="J35" i="31"/>
  <c r="AN19" i="31"/>
  <c r="M19" i="31"/>
  <c r="M35" i="31"/>
  <c r="AB19" i="31"/>
  <c r="AM35" i="31"/>
  <c r="AN35" i="31"/>
  <c r="S19" i="31"/>
  <c r="S35" i="31"/>
  <c r="X35" i="31"/>
  <c r="N35" i="31"/>
  <c r="AD27" i="31"/>
  <c r="AH11" i="31"/>
  <c r="C35" i="31"/>
  <c r="AI11" i="31"/>
  <c r="M11" i="31"/>
  <c r="V11" i="31"/>
  <c r="AG35" i="31"/>
  <c r="AE27" i="31"/>
  <c r="V35" i="31"/>
  <c r="AL19" i="31"/>
  <c r="AE19" i="31"/>
  <c r="AK19" i="31"/>
  <c r="E19" i="31"/>
  <c r="AN11" i="31"/>
  <c r="Z27" i="31"/>
  <c r="O19" i="31"/>
  <c r="AA35" i="31"/>
  <c r="AF35" i="31"/>
  <c r="K27" i="31"/>
  <c r="H19" i="31"/>
  <c r="AK27" i="31"/>
  <c r="E35" i="31"/>
  <c r="R35" i="31"/>
  <c r="L35" i="31"/>
  <c r="F11" i="31"/>
  <c r="AK11" i="31"/>
  <c r="Y11" i="31"/>
  <c r="AJ11" i="31"/>
  <c r="AC11" i="31"/>
  <c r="P35" i="31"/>
  <c r="H35" i="31"/>
  <c r="N11" i="31"/>
  <c r="AP27" i="31"/>
  <c r="Q19" i="31"/>
  <c r="AL27" i="31"/>
  <c r="H11" i="31"/>
  <c r="O35" i="31"/>
  <c r="AO11" i="31"/>
  <c r="G35" i="31"/>
  <c r="U35" i="31"/>
  <c r="AD11" i="31"/>
  <c r="AJ35" i="31"/>
  <c r="AB35" i="31"/>
  <c r="AD35" i="31"/>
  <c r="AP11" i="31"/>
  <c r="AO35" i="31"/>
  <c r="AM19" i="31"/>
  <c r="Z11" i="31"/>
  <c r="AI19" i="31"/>
  <c r="E11" i="31"/>
  <c r="K19" i="31"/>
  <c r="AP19" i="31"/>
  <c r="R11" i="31"/>
  <c r="AA19" i="31"/>
  <c r="AM27" i="31"/>
  <c r="G19" i="31"/>
  <c r="J11" i="31"/>
  <c r="D19" i="31"/>
  <c r="G12" i="5"/>
  <c r="E13" i="30" s="1"/>
  <c r="G13" i="30" s="1"/>
  <c r="G10" i="5"/>
  <c r="E11" i="30" s="1"/>
  <c r="G11" i="30" s="1"/>
  <c r="G29" i="5"/>
  <c r="E30" i="30" s="1"/>
  <c r="G30" i="30" s="1"/>
  <c r="G11" i="31"/>
  <c r="AN27" i="31"/>
  <c r="AO19" i="31"/>
  <c r="J106" i="38"/>
  <c r="J99" i="38"/>
  <c r="J36" i="38"/>
  <c r="J48" i="38"/>
  <c r="J163" i="38"/>
  <c r="J162" i="38"/>
  <c r="J3" i="38"/>
  <c r="J77" i="38"/>
  <c r="J160" i="38"/>
  <c r="J169" i="38"/>
  <c r="J24" i="38"/>
  <c r="J110" i="38"/>
  <c r="I114" i="38"/>
  <c r="H114" i="38"/>
  <c r="AK20" i="31"/>
  <c r="AK4" i="31"/>
  <c r="J126" i="38"/>
  <c r="J153" i="38"/>
  <c r="J58" i="38"/>
  <c r="J13" i="38"/>
  <c r="J9" i="38"/>
  <c r="H13" i="40"/>
  <c r="C33" i="38"/>
  <c r="D33" i="38" s="1"/>
  <c r="E33" i="38" s="1"/>
  <c r="F33" i="38" s="1"/>
  <c r="G33" i="38" s="1"/>
  <c r="H13" i="10"/>
  <c r="C39" i="38"/>
  <c r="D39" i="38" s="1"/>
  <c r="E39" i="38" s="1"/>
  <c r="F39" i="38" s="1"/>
  <c r="G39" i="38" s="1"/>
  <c r="N18" i="31" a="1"/>
  <c r="N18" i="31" s="1"/>
  <c r="M37" i="32"/>
  <c r="AR37" i="5" s="1"/>
  <c r="H37" i="32"/>
  <c r="L37" i="32" s="1"/>
  <c r="AQ37" i="5" s="1"/>
  <c r="J130" i="38"/>
  <c r="E4" i="40"/>
  <c r="E4" i="10"/>
  <c r="H27" i="40"/>
  <c r="H27" i="10"/>
  <c r="AJ12" i="31"/>
  <c r="C37" i="38"/>
  <c r="D37" i="38" s="1"/>
  <c r="E37" i="38" s="1"/>
  <c r="F37" i="38" s="1"/>
  <c r="G37" i="38" s="1"/>
  <c r="L18" i="31" a="1"/>
  <c r="L18" i="31" s="1"/>
  <c r="C60" i="38"/>
  <c r="D60" i="38" s="1"/>
  <c r="E60" i="38" s="1"/>
  <c r="F60" i="38" s="1"/>
  <c r="G60" i="38" s="1"/>
  <c r="E22" i="10"/>
  <c r="S70" i="31"/>
  <c r="AN49" i="5"/>
  <c r="P31" i="31" s="1"/>
  <c r="P33" i="31" s="1"/>
  <c r="G49" i="5"/>
  <c r="E50" i="30" s="1"/>
  <c r="G50" i="30" s="1"/>
  <c r="AE49" i="5"/>
  <c r="AE62" i="5"/>
  <c r="AN62" i="5"/>
  <c r="A86" i="38"/>
  <c r="E2" i="31"/>
  <c r="AE70" i="31"/>
  <c r="AN29" i="5"/>
  <c r="A142" i="38"/>
  <c r="AE16" i="5"/>
  <c r="G16" i="5"/>
  <c r="E17" i="30" s="1"/>
  <c r="G17" i="30" s="1"/>
  <c r="K70" i="31"/>
  <c r="AI70" i="31"/>
  <c r="AE44" i="5"/>
  <c r="G44" i="5"/>
  <c r="E45" i="30" s="1"/>
  <c r="G45" i="30" s="1"/>
  <c r="O70" i="31"/>
  <c r="F71" i="31"/>
  <c r="N69" i="31"/>
  <c r="AK70" i="31"/>
  <c r="AO70" i="31"/>
  <c r="G68" i="5"/>
  <c r="E69" i="30" s="1"/>
  <c r="G69" i="30" s="1"/>
  <c r="AI71" i="31"/>
  <c r="AA70" i="31"/>
  <c r="H16" i="32"/>
  <c r="L16" i="32" s="1"/>
  <c r="AQ16" i="5" s="1"/>
  <c r="AK31" i="31" l="1"/>
  <c r="AK33" i="31" s="1"/>
  <c r="AC7" i="31"/>
  <c r="AC9" i="31" s="1"/>
  <c r="B31" i="31"/>
  <c r="B33" i="31" s="1"/>
  <c r="H72" i="31"/>
  <c r="H36" i="31" s="1"/>
  <c r="N15" i="31"/>
  <c r="N17" i="31" s="1"/>
  <c r="AG23" i="31"/>
  <c r="AG25" i="31" s="1"/>
  <c r="AF23" i="31"/>
  <c r="AF25" i="31" s="1"/>
  <c r="AP7" i="31"/>
  <c r="AP9" i="31" s="1"/>
  <c r="V23" i="31"/>
  <c r="V25" i="31" s="1"/>
  <c r="U23" i="31"/>
  <c r="U25" i="31" s="1"/>
  <c r="U15" i="31"/>
  <c r="U17" i="31" s="1"/>
  <c r="AF15" i="31"/>
  <c r="AF17" i="31" s="1"/>
  <c r="Y72" i="31"/>
  <c r="Y36" i="31" s="1"/>
  <c r="O72" i="31"/>
  <c r="O36" i="31" s="1"/>
  <c r="V72" i="31"/>
  <c r="V36" i="31" s="1"/>
  <c r="AP72" i="31"/>
  <c r="AN72" i="31"/>
  <c r="AN36" i="31" s="1"/>
  <c r="AN20" i="31"/>
  <c r="AF72" i="31"/>
  <c r="AF36" i="31" s="1"/>
  <c r="R7" i="31"/>
  <c r="R9" i="31" s="1"/>
  <c r="G15" i="31"/>
  <c r="G17" i="31" s="1"/>
  <c r="E18" i="10" s="1"/>
  <c r="G31" i="31"/>
  <c r="G33" i="31" s="1"/>
  <c r="E37" i="40" s="1"/>
  <c r="J15" i="31"/>
  <c r="J17" i="31" s="1"/>
  <c r="X31" i="31"/>
  <c r="X33" i="31" s="1"/>
  <c r="AJ23" i="31"/>
  <c r="AJ25" i="31" s="1"/>
  <c r="AL7" i="31"/>
  <c r="AL9" i="31" s="1"/>
  <c r="Q31" i="31"/>
  <c r="Q33" i="31" s="1"/>
  <c r="J31" i="31"/>
  <c r="J33" i="31" s="1"/>
  <c r="S7" i="31"/>
  <c r="S9" i="31" s="1"/>
  <c r="T31" i="31"/>
  <c r="T33" i="31" s="1"/>
  <c r="AG15" i="31"/>
  <c r="AG17" i="31" s="1"/>
  <c r="Y31" i="31"/>
  <c r="Y33" i="31" s="1"/>
  <c r="C31" i="31"/>
  <c r="C33" i="31" s="1"/>
  <c r="M7" i="31"/>
  <c r="M9" i="31" s="1"/>
  <c r="Y7" i="31"/>
  <c r="Y9" i="31" s="1"/>
  <c r="AL31" i="31"/>
  <c r="AL33" i="31" s="1"/>
  <c r="I15" i="31"/>
  <c r="I17" i="31" s="1"/>
  <c r="L18" i="10" s="1"/>
  <c r="Q23" i="31"/>
  <c r="Q25" i="31" s="1"/>
  <c r="P23" i="31"/>
  <c r="P25" i="31" s="1"/>
  <c r="O15" i="31"/>
  <c r="O17" i="31" s="1"/>
  <c r="D45" i="31"/>
  <c r="AC72" i="31"/>
  <c r="AC36" i="31" s="1"/>
  <c r="W72" i="31"/>
  <c r="W36" i="31" s="1"/>
  <c r="AI4" i="31"/>
  <c r="AI12" i="31"/>
  <c r="S12" i="31"/>
  <c r="S20" i="31"/>
  <c r="AG72" i="31"/>
  <c r="AG36" i="31" s="1"/>
  <c r="J20" i="31"/>
  <c r="M72" i="31"/>
  <c r="M36" i="31" s="1"/>
  <c r="B51" i="40"/>
  <c r="O7" i="31"/>
  <c r="O9" i="31" s="1"/>
  <c r="Y15" i="31"/>
  <c r="Y17" i="31" s="1"/>
  <c r="U31" i="31"/>
  <c r="U33" i="31" s="1"/>
  <c r="N7" i="31"/>
  <c r="N9" i="31" s="1"/>
  <c r="AK23" i="31"/>
  <c r="AK25" i="31" s="1"/>
  <c r="P15" i="31"/>
  <c r="P17" i="31" s="1"/>
  <c r="AM31" i="31"/>
  <c r="AM33" i="31" s="1"/>
  <c r="AB23" i="31"/>
  <c r="AB25" i="31" s="1"/>
  <c r="AA23" i="31"/>
  <c r="AA25" i="31" s="1"/>
  <c r="V15" i="31"/>
  <c r="V17" i="31" s="1"/>
  <c r="T7" i="31"/>
  <c r="T9" i="31" s="1"/>
  <c r="AI23" i="31"/>
  <c r="AI25" i="31" s="1"/>
  <c r="AH23" i="31"/>
  <c r="AH25" i="31" s="1"/>
  <c r="H15" i="31"/>
  <c r="H17" i="31" s="1"/>
  <c r="H18" i="10" s="1"/>
  <c r="M15" i="31"/>
  <c r="M17" i="31" s="1"/>
  <c r="X23" i="31"/>
  <c r="X25" i="31" s="1"/>
  <c r="W23" i="31"/>
  <c r="W25" i="31" s="1"/>
  <c r="AA31" i="31"/>
  <c r="AA33" i="31" s="1"/>
  <c r="AH15" i="31"/>
  <c r="AH17" i="31" s="1"/>
  <c r="T72" i="31"/>
  <c r="T36" i="31" s="1"/>
  <c r="J72" i="31"/>
  <c r="J36" i="31" s="1"/>
  <c r="AB72" i="31"/>
  <c r="AB36" i="31" s="1"/>
  <c r="N72" i="31"/>
  <c r="N36" i="31" s="1"/>
  <c r="B51" i="10"/>
  <c r="AO72" i="31"/>
  <c r="AO36" i="31" s="1"/>
  <c r="J4" i="31"/>
  <c r="S72" i="31"/>
  <c r="S36" i="31" s="1"/>
  <c r="Q72" i="31"/>
  <c r="Q36" i="31" s="1"/>
  <c r="X20" i="31"/>
  <c r="AD31" i="31"/>
  <c r="AD33" i="31" s="1"/>
  <c r="L7" i="31"/>
  <c r="L9" i="31" s="1"/>
  <c r="J7" i="31"/>
  <c r="J9" i="31" s="1"/>
  <c r="AN15" i="31"/>
  <c r="AN17" i="31" s="1"/>
  <c r="W7" i="31"/>
  <c r="W9" i="31" s="1"/>
  <c r="D15" i="31"/>
  <c r="D17" i="31" s="1"/>
  <c r="AA7" i="31"/>
  <c r="AA9" i="31" s="1"/>
  <c r="I31" i="31"/>
  <c r="I33" i="31" s="1"/>
  <c r="L37" i="40" s="1"/>
  <c r="V31" i="31"/>
  <c r="V33" i="31" s="1"/>
  <c r="AM15" i="31"/>
  <c r="AM17" i="31" s="1"/>
  <c r="N31" i="31"/>
  <c r="N33" i="31" s="1"/>
  <c r="L31" i="31"/>
  <c r="L33" i="31" s="1"/>
  <c r="AN7" i="31"/>
  <c r="AN9" i="31" s="1"/>
  <c r="AH7" i="31"/>
  <c r="AH9" i="31" s="1"/>
  <c r="AF7" i="31"/>
  <c r="AF9" i="31" s="1"/>
  <c r="Z7" i="31"/>
  <c r="Z9" i="31" s="1"/>
  <c r="AN31" i="31"/>
  <c r="AN33" i="31" s="1"/>
  <c r="W15" i="31"/>
  <c r="W17" i="31" s="1"/>
  <c r="AE31" i="31"/>
  <c r="AE33" i="31" s="1"/>
  <c r="Z15" i="31"/>
  <c r="Z17" i="31" s="1"/>
  <c r="K31" i="31"/>
  <c r="K33" i="31" s="1"/>
  <c r="K15" i="31"/>
  <c r="K17" i="31" s="1"/>
  <c r="AD7" i="31"/>
  <c r="AD9" i="31" s="1"/>
  <c r="AF31" i="31"/>
  <c r="AF33" i="31" s="1"/>
  <c r="U7" i="31"/>
  <c r="U9" i="31" s="1"/>
  <c r="T23" i="31"/>
  <c r="T25" i="31" s="1"/>
  <c r="R23" i="31"/>
  <c r="R25" i="31" s="1"/>
  <c r="D7" i="31"/>
  <c r="D9" i="31" s="1"/>
  <c r="C7" i="31"/>
  <c r="C9" i="31" s="1"/>
  <c r="AL23" i="31"/>
  <c r="AL25" i="31" s="1"/>
  <c r="Q15" i="31"/>
  <c r="Q17" i="31" s="1"/>
  <c r="AB31" i="31"/>
  <c r="AB33" i="31" s="1"/>
  <c r="AI15" i="31"/>
  <c r="AI17" i="31" s="1"/>
  <c r="AM72" i="31"/>
  <c r="AM36" i="31" s="1"/>
  <c r="R72" i="31"/>
  <c r="R36" i="31" s="1"/>
  <c r="F72" i="31"/>
  <c r="F36" i="31" s="1"/>
  <c r="X72" i="31"/>
  <c r="X36" i="31" s="1"/>
  <c r="Y12" i="31"/>
  <c r="AA72" i="31"/>
  <c r="AA36" i="31" s="1"/>
  <c r="I20" i="31"/>
  <c r="G4" i="31"/>
  <c r="Y4" i="31"/>
  <c r="AK72" i="31"/>
  <c r="AK36" i="31" s="1"/>
  <c r="M4" i="31"/>
  <c r="AD20" i="31"/>
  <c r="X4" i="31"/>
  <c r="AD4" i="31"/>
  <c r="M12" i="31"/>
  <c r="I58" i="38"/>
  <c r="AH72" i="31"/>
  <c r="AH36" i="31" s="1"/>
  <c r="AK15" i="31"/>
  <c r="AK17" i="31" s="1"/>
  <c r="E23" i="31"/>
  <c r="E25" i="31" s="1"/>
  <c r="B27" i="10" s="1"/>
  <c r="I72" i="31"/>
  <c r="I36" i="31" s="1"/>
  <c r="E20" i="31"/>
  <c r="E4" i="31"/>
  <c r="AM4" i="31"/>
  <c r="AA4" i="31"/>
  <c r="AA20" i="31"/>
  <c r="G72" i="31"/>
  <c r="G36" i="31" s="1"/>
  <c r="B3" i="31"/>
  <c r="AA15" i="31"/>
  <c r="AA17" i="31" s="1"/>
  <c r="I142" i="38"/>
  <c r="AJ15" i="31"/>
  <c r="AJ17" i="31" s="1"/>
  <c r="E15" i="31"/>
  <c r="E17" i="31" s="1"/>
  <c r="AJ7" i="31"/>
  <c r="AJ9" i="31" s="1"/>
  <c r="AH31" i="31"/>
  <c r="AH33" i="31" s="1"/>
  <c r="Q7" i="31"/>
  <c r="Q9" i="31" s="1"/>
  <c r="H7" i="31"/>
  <c r="H9" i="31" s="1"/>
  <c r="H9" i="10" s="1"/>
  <c r="AB7" i="31"/>
  <c r="AB9" i="31" s="1"/>
  <c r="AL15" i="31"/>
  <c r="AL17" i="31" s="1"/>
  <c r="O31" i="31"/>
  <c r="O33" i="31" s="1"/>
  <c r="L15" i="31"/>
  <c r="L17" i="31" s="1"/>
  <c r="AC31" i="31"/>
  <c r="AC33" i="31" s="1"/>
  <c r="AE7" i="31"/>
  <c r="AE9" i="31" s="1"/>
  <c r="W31" i="31"/>
  <c r="W33" i="31" s="1"/>
  <c r="E31" i="31"/>
  <c r="E33" i="31" s="1"/>
  <c r="B37" i="40" s="1"/>
  <c r="D31" i="31"/>
  <c r="D33" i="31" s="1"/>
  <c r="Z23" i="31"/>
  <c r="Z25" i="31" s="1"/>
  <c r="Y23" i="31"/>
  <c r="Y25" i="31" s="1"/>
  <c r="M31" i="31"/>
  <c r="M33" i="31" s="1"/>
  <c r="V7" i="31"/>
  <c r="V9" i="31" s="1"/>
  <c r="F31" i="31"/>
  <c r="F33" i="31" s="1"/>
  <c r="X7" i="31"/>
  <c r="X9" i="31" s="1"/>
  <c r="R15" i="31"/>
  <c r="R17" i="31" s="1"/>
  <c r="AP23" i="31"/>
  <c r="AP25" i="31" s="1"/>
  <c r="C15" i="31"/>
  <c r="C17" i="31" s="1"/>
  <c r="AI7" i="31"/>
  <c r="AI9" i="31" s="1"/>
  <c r="AO31" i="31"/>
  <c r="AO33" i="31" s="1"/>
  <c r="AG31" i="31"/>
  <c r="AG33" i="31" s="1"/>
  <c r="AD23" i="31"/>
  <c r="AD25" i="31" s="1"/>
  <c r="AC23" i="31"/>
  <c r="AC25" i="31" s="1"/>
  <c r="H31" i="31"/>
  <c r="H33" i="31" s="1"/>
  <c r="P7" i="31"/>
  <c r="P9" i="31" s="1"/>
  <c r="AM23" i="31"/>
  <c r="AM25" i="31" s="1"/>
  <c r="AG7" i="31"/>
  <c r="AG9" i="31" s="1"/>
  <c r="X15" i="31"/>
  <c r="X17" i="31" s="1"/>
  <c r="K7" i="31"/>
  <c r="K9" i="31" s="1"/>
  <c r="P72" i="31"/>
  <c r="P36" i="31" s="1"/>
  <c r="E72" i="31"/>
  <c r="E36" i="31" s="1"/>
  <c r="AD72" i="31"/>
  <c r="AD36" i="31" s="1"/>
  <c r="AE72" i="31"/>
  <c r="AE36" i="31" s="1"/>
  <c r="P12" i="31"/>
  <c r="P4" i="31"/>
  <c r="P20" i="31"/>
  <c r="K4" i="31"/>
  <c r="K12" i="31"/>
  <c r="AL4" i="31"/>
  <c r="AL20" i="31"/>
  <c r="AE12" i="31"/>
  <c r="AE20" i="31"/>
  <c r="AC20" i="31"/>
  <c r="AC12" i="31"/>
  <c r="AC4" i="31"/>
  <c r="F15" i="31"/>
  <c r="F17" i="31" s="1"/>
  <c r="C18" i="40" s="1"/>
  <c r="AP15" i="31"/>
  <c r="AP17" i="31" s="1"/>
  <c r="C38" i="10"/>
  <c r="B38" i="10"/>
  <c r="B44" i="40"/>
  <c r="C44" i="40"/>
  <c r="L38" i="40"/>
  <c r="I86" i="38"/>
  <c r="H2" i="38"/>
  <c r="J2" i="38"/>
  <c r="L38" i="10"/>
  <c r="C38" i="40"/>
  <c r="I7" i="31"/>
  <c r="I9" i="31" s="1"/>
  <c r="AO15" i="31"/>
  <c r="AO17" i="31" s="1"/>
  <c r="AO20" i="31"/>
  <c r="AO4" i="31"/>
  <c r="AO12" i="31"/>
  <c r="AF12" i="31"/>
  <c r="AF4" i="31"/>
  <c r="AF20" i="31"/>
  <c r="H4" i="31"/>
  <c r="H12" i="31"/>
  <c r="H20" i="31"/>
  <c r="AN23" i="31"/>
  <c r="AN25" i="31" s="1"/>
  <c r="E7" i="31"/>
  <c r="E9" i="31" s="1"/>
  <c r="Z12" i="31"/>
  <c r="Z4" i="31"/>
  <c r="K72" i="31"/>
  <c r="K36" i="31" s="1"/>
  <c r="F46" i="31"/>
  <c r="L72" i="31"/>
  <c r="L36" i="31" s="1"/>
  <c r="AJ72" i="31"/>
  <c r="AJ36" i="31" s="1"/>
  <c r="AH12" i="31"/>
  <c r="AH20" i="31"/>
  <c r="AH4" i="31"/>
  <c r="Z72" i="31"/>
  <c r="Z36" i="31" s="1"/>
  <c r="U72" i="31"/>
  <c r="U36" i="31" s="1"/>
  <c r="AM7" i="31"/>
  <c r="AM9" i="31" s="1"/>
  <c r="G7" i="31"/>
  <c r="G9" i="31" s="1"/>
  <c r="F7" i="31"/>
  <c r="F9" i="31" s="1"/>
  <c r="AK7" i="31"/>
  <c r="AK9" i="31" s="1"/>
  <c r="F12" i="31"/>
  <c r="F20" i="31"/>
  <c r="F4" i="31"/>
  <c r="C44" i="10"/>
  <c r="B44" i="10"/>
  <c r="B38" i="40"/>
  <c r="E38" i="40"/>
  <c r="H38" i="40"/>
  <c r="H38" i="10"/>
  <c r="O20" i="31"/>
  <c r="O12" i="31"/>
  <c r="O4" i="31"/>
  <c r="E37" i="10"/>
  <c r="A115" i="38"/>
  <c r="G3" i="31"/>
  <c r="A143" i="38"/>
  <c r="A59" i="38"/>
  <c r="A87" i="38"/>
  <c r="A3" i="38"/>
  <c r="A31" i="38"/>
  <c r="AB12" i="31"/>
  <c r="AB4" i="31"/>
  <c r="AB20" i="31"/>
  <c r="T12" i="31"/>
  <c r="T20" i="31"/>
  <c r="T4" i="31"/>
  <c r="H86" i="38"/>
  <c r="AG20" i="31"/>
  <c r="AG12" i="31"/>
  <c r="AG4" i="31"/>
  <c r="L12" i="31"/>
  <c r="L20" i="31"/>
  <c r="L4" i="31"/>
  <c r="AP20" i="31"/>
  <c r="AP4" i="31"/>
  <c r="V12" i="31"/>
  <c r="V20" i="31"/>
  <c r="V4" i="31"/>
  <c r="R12" i="31"/>
  <c r="R4" i="31"/>
  <c r="R20" i="31"/>
  <c r="I30" i="38"/>
  <c r="H30" i="38"/>
  <c r="E38" i="10"/>
  <c r="J37" i="38"/>
  <c r="J39" i="38"/>
  <c r="B1" i="40"/>
  <c r="B1" i="10"/>
  <c r="F2" i="31"/>
  <c r="H142" i="38"/>
  <c r="N12" i="31"/>
  <c r="N4" i="31"/>
  <c r="N20" i="31"/>
  <c r="AI72" i="31"/>
  <c r="AI36" i="31" s="1"/>
  <c r="J60" i="38"/>
  <c r="J33" i="38"/>
  <c r="E18" i="40" l="1"/>
  <c r="L18" i="40"/>
  <c r="H18" i="40"/>
  <c r="L37" i="10"/>
  <c r="B37" i="10"/>
  <c r="C18" i="10"/>
  <c r="B18" i="40"/>
  <c r="B18" i="10"/>
  <c r="H9" i="40"/>
  <c r="H37" i="10"/>
  <c r="H37" i="40"/>
  <c r="C37" i="40"/>
  <c r="C37" i="10"/>
  <c r="C51" i="40"/>
  <c r="C51" i="10"/>
  <c r="C9" i="40"/>
  <c r="C9" i="10"/>
  <c r="E9" i="40"/>
  <c r="E9" i="10"/>
  <c r="B9" i="10"/>
  <c r="B9" i="40"/>
  <c r="L9" i="10"/>
  <c r="L9" i="40"/>
  <c r="I31" i="38"/>
  <c r="H31" i="38"/>
  <c r="H143" i="38"/>
  <c r="I143" i="38"/>
  <c r="H3" i="38"/>
  <c r="I3" i="38"/>
  <c r="A116" i="38"/>
  <c r="H3" i="31"/>
  <c r="A60" i="38"/>
  <c r="A144" i="38"/>
  <c r="A4" i="38"/>
  <c r="A88" i="38"/>
  <c r="A32" i="38"/>
  <c r="G41" i="31"/>
  <c r="G46" i="31"/>
  <c r="I87" i="38"/>
  <c r="H87" i="38"/>
  <c r="I115" i="38"/>
  <c r="H115" i="38"/>
  <c r="H59" i="38"/>
  <c r="I59" i="38"/>
  <c r="G2" i="31"/>
  <c r="C1" i="10"/>
  <c r="C1" i="40"/>
  <c r="H88" i="38" l="1"/>
  <c r="I88" i="38"/>
  <c r="A117" i="38"/>
  <c r="A5" i="38"/>
  <c r="A61" i="38"/>
  <c r="H46" i="31"/>
  <c r="I3" i="31"/>
  <c r="I46" i="31" s="1"/>
  <c r="A89" i="38"/>
  <c r="A33" i="38"/>
  <c r="H41" i="31"/>
  <c r="A145" i="38"/>
  <c r="E51" i="40"/>
  <c r="E51" i="10"/>
  <c r="I4" i="38"/>
  <c r="H4" i="38"/>
  <c r="I116" i="38"/>
  <c r="H116" i="38"/>
  <c r="E44" i="10"/>
  <c r="E44" i="40"/>
  <c r="I144" i="38"/>
  <c r="H144" i="38"/>
  <c r="H32" i="38"/>
  <c r="I32" i="38"/>
  <c r="I60" i="38"/>
  <c r="H60" i="38"/>
  <c r="H2" i="31"/>
  <c r="E1" i="40"/>
  <c r="E1" i="10"/>
  <c r="L51" i="10" l="1"/>
  <c r="L51" i="40"/>
  <c r="I89" i="38"/>
  <c r="H89" i="38"/>
  <c r="H5" i="38"/>
  <c r="I5" i="38"/>
  <c r="H145" i="38"/>
  <c r="I145" i="38"/>
  <c r="A118" i="38"/>
  <c r="I41" i="31"/>
  <c r="A146" i="38"/>
  <c r="J3" i="31"/>
  <c r="A90" i="38"/>
  <c r="A34" i="38"/>
  <c r="A62" i="38"/>
  <c r="A6" i="38"/>
  <c r="I117" i="38"/>
  <c r="H117" i="38"/>
  <c r="H44" i="10"/>
  <c r="H44" i="40"/>
  <c r="H51" i="40"/>
  <c r="H51" i="10"/>
  <c r="H33" i="38"/>
  <c r="I33" i="38"/>
  <c r="H61" i="38"/>
  <c r="I61" i="38"/>
  <c r="H1" i="10"/>
  <c r="I2" i="31"/>
  <c r="H1" i="40"/>
  <c r="H34" i="38" l="1"/>
  <c r="I34" i="38"/>
  <c r="L44" i="10"/>
  <c r="L44" i="40"/>
  <c r="H90" i="38"/>
  <c r="I90" i="38"/>
  <c r="I118" i="38"/>
  <c r="H118" i="38"/>
  <c r="I6" i="38"/>
  <c r="H6" i="38"/>
  <c r="A63" i="38"/>
  <c r="K3" i="31"/>
  <c r="K46" i="31" s="1"/>
  <c r="J46" i="31"/>
  <c r="A147" i="38"/>
  <c r="A91" i="38"/>
  <c r="A35" i="38"/>
  <c r="A7" i="38"/>
  <c r="J41" i="31"/>
  <c r="A119" i="38"/>
  <c r="H62" i="38"/>
  <c r="I62" i="38"/>
  <c r="I146" i="38"/>
  <c r="H146" i="38"/>
  <c r="L1" i="10"/>
  <c r="J2" i="31"/>
  <c r="K2" i="31" s="1"/>
  <c r="L2" i="31" s="1"/>
  <c r="M2" i="31" s="1"/>
  <c r="N2" i="31" s="1"/>
  <c r="O2" i="31" s="1"/>
  <c r="P2" i="31" s="1"/>
  <c r="Q2" i="31" s="1"/>
  <c r="R2" i="31" s="1"/>
  <c r="S2" i="31" s="1"/>
  <c r="T2" i="31" s="1"/>
  <c r="U2" i="31" s="1"/>
  <c r="V2" i="31" s="1"/>
  <c r="W2" i="31" s="1"/>
  <c r="X2" i="31" s="1"/>
  <c r="Y2" i="31" s="1"/>
  <c r="Z2" i="31" s="1"/>
  <c r="AA2" i="31" s="1"/>
  <c r="AB2" i="31" s="1"/>
  <c r="AC2" i="31" s="1"/>
  <c r="AD2" i="31" s="1"/>
  <c r="AE2" i="31" s="1"/>
  <c r="AF2" i="31" s="1"/>
  <c r="AG2" i="31" s="1"/>
  <c r="AH2" i="31" s="1"/>
  <c r="AI2" i="31" s="1"/>
  <c r="AJ2" i="31" s="1"/>
  <c r="AK2" i="31" s="1"/>
  <c r="AL2" i="31" s="1"/>
  <c r="AM2" i="31" s="1"/>
  <c r="AN2" i="31" s="1"/>
  <c r="AO2" i="31" s="1"/>
  <c r="AP2" i="31" s="1"/>
  <c r="L1" i="40"/>
  <c r="H35" i="38" l="1"/>
  <c r="I35" i="38"/>
  <c r="A120" i="38"/>
  <c r="A92" i="38"/>
  <c r="K41" i="31"/>
  <c r="A64" i="38"/>
  <c r="A8" i="38"/>
  <c r="A36" i="38"/>
  <c r="L3" i="31"/>
  <c r="L46" i="31" s="1"/>
  <c r="A148" i="38"/>
  <c r="H119" i="38"/>
  <c r="I119" i="38"/>
  <c r="H91" i="38"/>
  <c r="I91" i="38"/>
  <c r="I63" i="38"/>
  <c r="H63" i="38"/>
  <c r="I147" i="38"/>
  <c r="H147" i="38"/>
  <c r="H7" i="38"/>
  <c r="I7" i="38"/>
  <c r="I36" i="38" l="1"/>
  <c r="H36" i="38"/>
  <c r="I92" i="38"/>
  <c r="H92" i="38"/>
  <c r="H8" i="38"/>
  <c r="I8" i="38"/>
  <c r="I120" i="38"/>
  <c r="H120" i="38"/>
  <c r="I148" i="38"/>
  <c r="H148" i="38"/>
  <c r="I64" i="38"/>
  <c r="H64" i="38"/>
  <c r="A9" i="38"/>
  <c r="A121" i="38"/>
  <c r="A37" i="38"/>
  <c r="M3" i="31"/>
  <c r="A93" i="38"/>
  <c r="A149" i="38"/>
  <c r="L41" i="31"/>
  <c r="A65" i="38"/>
  <c r="I65" i="38" l="1"/>
  <c r="H65" i="38"/>
  <c r="A150" i="38"/>
  <c r="A94" i="38"/>
  <c r="M46" i="31"/>
  <c r="A122" i="38"/>
  <c r="M41" i="31"/>
  <c r="N3" i="31"/>
  <c r="N46" i="31" s="1"/>
  <c r="A38" i="38"/>
  <c r="A66" i="38"/>
  <c r="A10" i="38"/>
  <c r="H37" i="38"/>
  <c r="I37" i="38"/>
  <c r="H149" i="38"/>
  <c r="I149" i="38"/>
  <c r="H121" i="38"/>
  <c r="I121" i="38"/>
  <c r="H93" i="38"/>
  <c r="I93" i="38"/>
  <c r="H9" i="38"/>
  <c r="I9" i="38"/>
  <c r="H10" i="38" l="1"/>
  <c r="I10" i="38"/>
  <c r="H150" i="38"/>
  <c r="I150" i="38"/>
  <c r="I94" i="38"/>
  <c r="H94" i="38"/>
  <c r="H66" i="38"/>
  <c r="I66" i="38"/>
  <c r="I122" i="38"/>
  <c r="H122" i="38"/>
  <c r="O3" i="31"/>
  <c r="A39" i="38"/>
  <c r="A11" i="38"/>
  <c r="A95" i="38"/>
  <c r="A123" i="38"/>
  <c r="A67" i="38"/>
  <c r="A151" i="38"/>
  <c r="N41" i="31"/>
  <c r="H38" i="38"/>
  <c r="I38" i="38"/>
  <c r="H67" i="38" l="1"/>
  <c r="I67" i="38"/>
  <c r="H39" i="38"/>
  <c r="I39" i="38"/>
  <c r="I123" i="38"/>
  <c r="H123" i="38"/>
  <c r="O46" i="31"/>
  <c r="A96" i="38"/>
  <c r="A12" i="38"/>
  <c r="A40" i="38"/>
  <c r="O41" i="31"/>
  <c r="A124" i="38"/>
  <c r="A152" i="38"/>
  <c r="P3" i="31"/>
  <c r="P46" i="31" s="1"/>
  <c r="A68" i="38"/>
  <c r="H95" i="38"/>
  <c r="I95" i="38"/>
  <c r="H151" i="38"/>
  <c r="I151" i="38"/>
  <c r="H11" i="38"/>
  <c r="I11" i="38"/>
  <c r="H124" i="38" l="1"/>
  <c r="I124" i="38"/>
  <c r="H96" i="38"/>
  <c r="I96" i="38"/>
  <c r="I68" i="38"/>
  <c r="H68" i="38"/>
  <c r="A13" i="38"/>
  <c r="A125" i="38"/>
  <c r="A153" i="38"/>
  <c r="A41" i="38"/>
  <c r="A69" i="38"/>
  <c r="Q3" i="31"/>
  <c r="A97" i="38"/>
  <c r="P41" i="31"/>
  <c r="I40" i="38"/>
  <c r="H40" i="38"/>
  <c r="I152" i="38"/>
  <c r="H152" i="38"/>
  <c r="I12" i="38"/>
  <c r="H12" i="38"/>
  <c r="Q46" i="31" l="1"/>
  <c r="R3" i="31"/>
  <c r="A42" i="38"/>
  <c r="A154" i="38"/>
  <c r="A14" i="38"/>
  <c r="A98" i="38"/>
  <c r="A70" i="38"/>
  <c r="Q41" i="31"/>
  <c r="A126" i="38"/>
  <c r="H125" i="38"/>
  <c r="I125" i="38"/>
  <c r="I69" i="38"/>
  <c r="H69" i="38"/>
  <c r="H13" i="38"/>
  <c r="I13" i="38"/>
  <c r="I41" i="38"/>
  <c r="H41" i="38"/>
  <c r="H97" i="38"/>
  <c r="I97" i="38"/>
  <c r="I153" i="38"/>
  <c r="H153" i="38"/>
  <c r="H154" i="38" l="1"/>
  <c r="I154" i="38"/>
  <c r="I70" i="38"/>
  <c r="H70" i="38"/>
  <c r="I42" i="38"/>
  <c r="H42" i="38"/>
  <c r="H98" i="38"/>
  <c r="I98" i="38"/>
  <c r="S3" i="31"/>
  <c r="A43" i="38"/>
  <c r="A127" i="38"/>
  <c r="A71" i="38"/>
  <c r="R46" i="31"/>
  <c r="R41" i="31"/>
  <c r="A155" i="38"/>
  <c r="A15" i="38"/>
  <c r="A99" i="38"/>
  <c r="I126" i="38"/>
  <c r="H126" i="38"/>
  <c r="H14" i="38"/>
  <c r="I14" i="38"/>
  <c r="H15" i="38" l="1"/>
  <c r="I15" i="38"/>
  <c r="I71" i="38"/>
  <c r="H71" i="38"/>
  <c r="H155" i="38"/>
  <c r="I155" i="38"/>
  <c r="H127" i="38"/>
  <c r="I127" i="38"/>
  <c r="I43" i="38"/>
  <c r="H43" i="38"/>
  <c r="H99" i="38"/>
  <c r="I99" i="38"/>
  <c r="A156" i="38"/>
  <c r="S46" i="31"/>
  <c r="A128" i="38"/>
  <c r="S41" i="31"/>
  <c r="A44" i="38"/>
  <c r="A16" i="38"/>
  <c r="T3" i="31"/>
  <c r="A72" i="38"/>
  <c r="A100" i="38"/>
  <c r="H72" i="38" l="1"/>
  <c r="I72" i="38"/>
  <c r="T46" i="31"/>
  <c r="U3" i="31"/>
  <c r="A129" i="38"/>
  <c r="T41" i="31"/>
  <c r="A157" i="38"/>
  <c r="A73" i="38"/>
  <c r="A101" i="38"/>
  <c r="A17" i="38"/>
  <c r="A45" i="38"/>
  <c r="I128" i="38"/>
  <c r="H128" i="38"/>
  <c r="H16" i="38"/>
  <c r="I16" i="38"/>
  <c r="I100" i="38"/>
  <c r="H100" i="38"/>
  <c r="I44" i="38"/>
  <c r="H44" i="38"/>
  <c r="I156" i="38"/>
  <c r="H156" i="38"/>
  <c r="I73" i="38" l="1"/>
  <c r="H73" i="38"/>
  <c r="U41" i="31"/>
  <c r="A130" i="38"/>
  <c r="A74" i="38"/>
  <c r="A158" i="38"/>
  <c r="V3" i="31"/>
  <c r="U46" i="31"/>
  <c r="A18" i="38"/>
  <c r="A102" i="38"/>
  <c r="A46" i="38"/>
  <c r="I45" i="38"/>
  <c r="H45" i="38"/>
  <c r="I157" i="38"/>
  <c r="H157" i="38"/>
  <c r="H17" i="38"/>
  <c r="I17" i="38"/>
  <c r="H101" i="38"/>
  <c r="I101" i="38"/>
  <c r="I129" i="38"/>
  <c r="H129" i="38"/>
  <c r="H130" i="38" l="1"/>
  <c r="I130" i="38"/>
  <c r="I46" i="38"/>
  <c r="H46" i="38"/>
  <c r="V41" i="31"/>
  <c r="A47" i="38"/>
  <c r="A131" i="38"/>
  <c r="A19" i="38"/>
  <c r="A159" i="38"/>
  <c r="A75" i="38"/>
  <c r="A103" i="38"/>
  <c r="W3" i="31"/>
  <c r="V46" i="31"/>
  <c r="I102" i="38"/>
  <c r="H102" i="38"/>
  <c r="I158" i="38"/>
  <c r="H158" i="38"/>
  <c r="I18" i="38"/>
  <c r="H18" i="38"/>
  <c r="H74" i="38"/>
  <c r="I74" i="38"/>
  <c r="A160" i="38" l="1"/>
  <c r="W46" i="31"/>
  <c r="A104" i="38"/>
  <c r="W41" i="31"/>
  <c r="X3" i="31"/>
  <c r="A132" i="38"/>
  <c r="A48" i="38"/>
  <c r="A20" i="38"/>
  <c r="A76" i="38"/>
  <c r="H19" i="38"/>
  <c r="I19" i="38"/>
  <c r="H103" i="38"/>
  <c r="I103" i="38"/>
  <c r="H131" i="38"/>
  <c r="I131" i="38"/>
  <c r="I75" i="38"/>
  <c r="H75" i="38"/>
  <c r="H47" i="38"/>
  <c r="I47" i="38"/>
  <c r="H159" i="38"/>
  <c r="I159" i="38"/>
  <c r="H20" i="38" l="1"/>
  <c r="I20" i="38"/>
  <c r="H48" i="38"/>
  <c r="I48" i="38"/>
  <c r="I104" i="38"/>
  <c r="H104" i="38"/>
  <c r="I132" i="38"/>
  <c r="H132" i="38"/>
  <c r="I76" i="38"/>
  <c r="H76" i="38"/>
  <c r="A161" i="38"/>
  <c r="X41" i="31"/>
  <c r="A21" i="38"/>
  <c r="A105" i="38"/>
  <c r="Y3" i="31"/>
  <c r="A49" i="38"/>
  <c r="X46" i="31"/>
  <c r="A77" i="38"/>
  <c r="A133" i="38"/>
  <c r="H160" i="38"/>
  <c r="I160" i="38"/>
  <c r="H49" i="38" l="1"/>
  <c r="I49" i="38"/>
  <c r="I133" i="38"/>
  <c r="H133" i="38"/>
  <c r="A134" i="38"/>
  <c r="Y41" i="31"/>
  <c r="Z3" i="31"/>
  <c r="A22" i="38"/>
  <c r="A50" i="38"/>
  <c r="A162" i="38"/>
  <c r="A78" i="38"/>
  <c r="Y46" i="31"/>
  <c r="A106" i="38"/>
  <c r="I161" i="38"/>
  <c r="H161" i="38"/>
  <c r="H77" i="38"/>
  <c r="I77" i="38"/>
  <c r="I105" i="38"/>
  <c r="H105" i="38"/>
  <c r="I21" i="38"/>
  <c r="H21" i="38"/>
  <c r="H22" i="38" l="1"/>
  <c r="I22" i="38"/>
  <c r="H78" i="38"/>
  <c r="I78" i="38"/>
  <c r="AA3" i="31"/>
  <c r="A163" i="38"/>
  <c r="Z41" i="31"/>
  <c r="Z46" i="31"/>
  <c r="A79" i="38"/>
  <c r="A107" i="38"/>
  <c r="A23" i="38"/>
  <c r="A51" i="38"/>
  <c r="A135" i="38"/>
  <c r="I162" i="38"/>
  <c r="H162" i="38"/>
  <c r="I106" i="38"/>
  <c r="H106" i="38"/>
  <c r="H50" i="38"/>
  <c r="I50" i="38"/>
  <c r="I134" i="38"/>
  <c r="H134" i="38"/>
  <c r="H51" i="38" l="1"/>
  <c r="I51" i="38"/>
  <c r="I23" i="38"/>
  <c r="H23" i="38"/>
  <c r="I107" i="38"/>
  <c r="H107" i="38"/>
  <c r="H163" i="38"/>
  <c r="I163" i="38"/>
  <c r="I135" i="38"/>
  <c r="H135" i="38"/>
  <c r="H79" i="38"/>
  <c r="I79" i="38"/>
  <c r="AA46" i="31"/>
  <c r="A52" i="38"/>
  <c r="A80" i="38"/>
  <c r="A136" i="38"/>
  <c r="AA41" i="31"/>
  <c r="A24" i="38"/>
  <c r="A108" i="38"/>
  <c r="AB3" i="31"/>
  <c r="A164" i="38"/>
  <c r="I164" i="38" l="1"/>
  <c r="H164" i="38"/>
  <c r="A25" i="38"/>
  <c r="A81" i="38"/>
  <c r="AB41" i="31"/>
  <c r="A53" i="38"/>
  <c r="A109" i="38"/>
  <c r="AB46" i="31"/>
  <c r="AC3" i="31"/>
  <c r="A165" i="38"/>
  <c r="A137" i="38"/>
  <c r="I136" i="38"/>
  <c r="H136" i="38"/>
  <c r="H108" i="38"/>
  <c r="I108" i="38"/>
  <c r="I80" i="38"/>
  <c r="H80" i="38"/>
  <c r="I24" i="38"/>
  <c r="H24" i="38"/>
  <c r="I52" i="38"/>
  <c r="H52" i="38"/>
  <c r="H81" i="38" l="1"/>
  <c r="I81" i="38"/>
  <c r="H137" i="38"/>
  <c r="I137" i="38"/>
  <c r="H109" i="38"/>
  <c r="I109" i="38"/>
  <c r="H25" i="38"/>
  <c r="I25" i="38"/>
  <c r="I165" i="38"/>
  <c r="H165" i="38"/>
  <c r="I53" i="38"/>
  <c r="H53" i="38"/>
  <c r="AC41" i="31"/>
  <c r="A166" i="38"/>
  <c r="A110" i="38"/>
  <c r="A54" i="38"/>
  <c r="AC46" i="31"/>
  <c r="A26" i="38"/>
  <c r="A138" i="38"/>
  <c r="AD3" i="31"/>
  <c r="A82" i="38"/>
  <c r="H82" i="38" l="1"/>
  <c r="I82" i="38"/>
  <c r="A83" i="38"/>
  <c r="AE3" i="31"/>
  <c r="A111" i="38"/>
  <c r="AD46" i="31"/>
  <c r="A55" i="38"/>
  <c r="A167" i="38"/>
  <c r="A27" i="38"/>
  <c r="AD41" i="31"/>
  <c r="A139" i="38"/>
  <c r="H54" i="38"/>
  <c r="I54" i="38"/>
  <c r="H138" i="38"/>
  <c r="I138" i="38"/>
  <c r="H110" i="38"/>
  <c r="I110" i="38"/>
  <c r="I26" i="38"/>
  <c r="H26" i="38"/>
  <c r="I166" i="38"/>
  <c r="H166" i="38"/>
  <c r="I167" i="38" l="1"/>
  <c r="H167" i="38"/>
  <c r="A28" i="38"/>
  <c r="A112" i="38"/>
  <c r="A56" i="38"/>
  <c r="A84" i="38"/>
  <c r="AF3" i="31"/>
  <c r="AF46" i="31" s="1"/>
  <c r="AE41" i="31"/>
  <c r="AE46" i="31"/>
  <c r="A168" i="38"/>
  <c r="A140" i="38"/>
  <c r="H139" i="38"/>
  <c r="I139" i="38"/>
  <c r="H55" i="38"/>
  <c r="I55" i="38"/>
  <c r="H83" i="38"/>
  <c r="I83" i="38"/>
  <c r="I27" i="38"/>
  <c r="H27" i="38"/>
  <c r="H111" i="38"/>
  <c r="I111" i="38"/>
  <c r="I112" i="38" l="1"/>
  <c r="H112" i="38"/>
  <c r="I140" i="38"/>
  <c r="H140" i="38"/>
  <c r="A113" i="38"/>
  <c r="A57" i="38"/>
  <c r="A85" i="38"/>
  <c r="A141" i="38"/>
  <c r="A169" i="38"/>
  <c r="AF41" i="31"/>
  <c r="AG3" i="31"/>
  <c r="AG46" i="31" s="1"/>
  <c r="A29" i="38"/>
  <c r="H28" i="38"/>
  <c r="I28" i="38"/>
  <c r="H168" i="38"/>
  <c r="I168" i="38"/>
  <c r="I84" i="38"/>
  <c r="H84" i="38"/>
  <c r="H56" i="38"/>
  <c r="I56" i="38"/>
  <c r="I29" i="38" l="1"/>
  <c r="H29" i="38"/>
  <c r="I141" i="38"/>
  <c r="H141" i="38"/>
  <c r="AG41" i="31"/>
  <c r="AH3" i="31"/>
  <c r="I85" i="38"/>
  <c r="H85" i="38"/>
  <c r="I57" i="38"/>
  <c r="H57" i="38"/>
  <c r="H169" i="38"/>
  <c r="I169" i="38"/>
  <c r="H113" i="38"/>
  <c r="I113" i="38"/>
  <c r="AH46" i="31" l="1"/>
  <c r="AH41" i="31"/>
  <c r="AI3" i="31"/>
  <c r="AI46" i="31" l="1"/>
  <c r="AJ3" i="31"/>
  <c r="AI41" i="31"/>
  <c r="AK3" i="31" l="1"/>
  <c r="AK46" i="31" s="1"/>
  <c r="AJ41" i="31"/>
  <c r="AJ46" i="31"/>
  <c r="AL3" i="31" l="1"/>
  <c r="AK41" i="31"/>
  <c r="AL41" i="31" l="1"/>
  <c r="AM3" i="31"/>
  <c r="AL46" i="31"/>
  <c r="AM46" i="31" l="1"/>
  <c r="AN3" i="31"/>
  <c r="AM41" i="31"/>
  <c r="AN46" i="31" l="1"/>
  <c r="AN41" i="31"/>
  <c r="AO3" i="31"/>
  <c r="AP3" i="31" l="1"/>
  <c r="AO46" i="31"/>
  <c r="AO41" i="31"/>
  <c r="AP41" i="31" l="1"/>
  <c r="AP46" i="31"/>
</calcChain>
</file>

<file path=xl/comments1.xml><?xml version="1.0" encoding="utf-8"?>
<comments xmlns="http://schemas.openxmlformats.org/spreadsheetml/2006/main">
  <authors>
    <author>clwilkin</author>
    <author>majones</author>
  </authors>
  <commentList>
    <comment ref="C6" authorId="0" shapeId="0">
      <text>
        <r>
          <rPr>
            <sz val="16"/>
            <color indexed="81"/>
            <rFont val="Tahoma"/>
            <family val="2"/>
          </rPr>
          <t>The first A service of the night is planned direct into 12 road, time 1 to 1.5 hrs, then FP and Prep.</t>
        </r>
      </text>
    </comment>
    <comment ref="C7" authorId="0" shapeId="0">
      <text>
        <r>
          <rPr>
            <sz val="16"/>
            <color indexed="81"/>
            <rFont val="Tahoma"/>
            <family val="2"/>
          </rPr>
          <t>Unit goes though FP then direct onto exam road, time 3 to 3.5 hrs</t>
        </r>
      </text>
    </comment>
    <comment ref="C9" authorId="0" shapeId="0">
      <text>
        <r>
          <rPr>
            <sz val="16"/>
            <color indexed="81"/>
            <rFont val="Tahoma"/>
            <family val="2"/>
          </rPr>
          <t>The 2nd and 3rd A services of the night are  planned through FP the onto 12 road</t>
        </r>
      </text>
    </comment>
    <comment ref="E10" authorId="1" shapeId="0">
      <text>
        <r>
          <rPr>
            <sz val="16"/>
            <color indexed="81"/>
            <rFont val="Tahoma"/>
            <family val="2"/>
          </rPr>
          <t>Major exams are given a service exam on the night of arrival, which adds 1 to the service tally.</t>
        </r>
      </text>
    </comment>
    <comment ref="G10" authorId="0" shapeId="0">
      <text>
        <r>
          <rPr>
            <sz val="16"/>
            <color indexed="81"/>
            <rFont val="Tahoma"/>
            <family val="2"/>
          </rPr>
          <t>This XC major slot should be used one week in 3</t>
        </r>
        <r>
          <rPr>
            <sz val="8"/>
            <color indexed="81"/>
            <rFont val="Tahoma"/>
            <family val="2"/>
          </rPr>
          <t xml:space="preserve">
</t>
        </r>
      </text>
    </comment>
  </commentList>
</comments>
</file>

<file path=xl/comments2.xml><?xml version="1.0" encoding="utf-8"?>
<comments xmlns="http://schemas.openxmlformats.org/spreadsheetml/2006/main">
  <authors>
    <author>Bombardier Transportation</author>
  </authors>
  <commentList>
    <comment ref="B2" authorId="0" shapeId="0">
      <text>
        <r>
          <rPr>
            <b/>
            <sz val="8"/>
            <color indexed="81"/>
            <rFont val="Tahoma"/>
            <family val="2"/>
          </rPr>
          <t>Bombardier Transportation:</t>
        </r>
        <r>
          <rPr>
            <sz val="8"/>
            <color indexed="81"/>
            <rFont val="Tahoma"/>
            <family val="2"/>
          </rPr>
          <t xml:space="preserve">
'Paste Special, values' into this column</t>
        </r>
      </text>
    </comment>
    <comment ref="C2" authorId="0" shapeId="0">
      <text>
        <r>
          <rPr>
            <b/>
            <sz val="8"/>
            <color indexed="81"/>
            <rFont val="Tahoma"/>
            <family val="2"/>
          </rPr>
          <t>Bombardier Transportation:</t>
        </r>
        <r>
          <rPr>
            <sz val="8"/>
            <color indexed="81"/>
            <rFont val="Tahoma"/>
            <family val="2"/>
          </rPr>
          <t xml:space="preserve">
'Paste Special, values' into this column</t>
        </r>
      </text>
    </comment>
  </commentList>
</comments>
</file>

<file path=xl/connections.xml><?xml version="1.0" encoding="utf-8"?>
<connections xmlns="http://schemas.openxmlformats.org/spreadsheetml/2006/main">
  <connection id="1" name="Connection" type="1" refreshedVersion="5" background="1" saveData="1">
    <dbPr connection="DSN=MS Access Database;DBQ=G:\UK\CZ\Heavy Maintenance Planning\New Exam Regime.mdb;DefaultDir=G:\UK\CZ\Heavy Maintenance Planning;DriverId=25;FIL=MS Access;MaxBufferSize=2048;PageTimeout=5;" command="SELECT qryNextService.`Unit No`, qryNextService.`FirstOfPlanned Date`as &quot;Next Service Due&quot;, qryNextService.FirstOfExam as &quot;Next Service Exam&quot;_x000d__x000a__x000d__x000a_FROM `G:\UK\CZ\Heavy Maintenance Planning\New Exam Regime`.qryNextService qryNextService_x000d__x000a_ORDER BY qryNextService.`Unit No`"/>
  </connection>
  <connection id="2" name="Connection1" type="1" refreshedVersion="6" background="1" refreshOnLoad="1" saveData="1">
    <dbPr connection="DSN=MS Access Database;DBQ=G:\UK\CZ\Heavy Maintenance Planning\New Exam Regime.mdb;DefaultDir=G:\UK\CZ\Heavy Maintenance Planning;DriverId=25;FIL=MS Access;MaxBufferSize=2048;PageTimeout=5;UID=admin;" command="SELECT qryNextExam.`FirstOfPlanned Date`, qryNextExam.FirstOfExam_x000d__x000a_FROM `G:\UK\CZ\Heavy Maintenance Planning\New Exam Regime`.qryNextExam qryNextExam"/>
  </connection>
  <connection id="3" name="Connection2" type="1" refreshedVersion="6" background="1" refreshOnLoad="1" saveData="1">
    <dbPr connection="DSN=MS Access Database;DBQ=G:\UK\CZ\Heavy Maintenance Planning\New Exam Regime.mdb;DefaultDir=G:\UK\CZ\Heavy Maintenance Planning;DriverId=25;FIL=MS Access;MaxBufferSize=2048;PageTimeout=5;UID=admin;" command="SELECT qryLastExam.`LastOfRelease Date`, qryLastExam.`LastOfOdo Reading (Miles)`_x000d__x000a_FROM `G:\UK\CZ\Heavy Maintenance Planning\New Exam Regime`.qryLastExam qryLastExam"/>
  </connection>
  <connection id="4" name="Connection3" type="1" refreshedVersion="5" background="1" saveData="1">
    <dbPr connection="DSN=MS Access Database;DBQ=G:\uk\CZ\Heavy Maintenance Planning\New Exam Regime.mdb;DefaultDir=G:\uk\CZ\Heavy Maintenance Planning;DriverId=25;FIL=MS Access;MaxBufferSize=2048;PageTimeout=5;" command="SELECT qryLastService.`Unit No`, qryLastService.LastOfExam, qryLastService.`LastOfRelease Date`, qryLastService.`LastOfOdo Reading (Miles)`_x000d__x000a_FROM `G:\uk\CZ\Heavy Maintenance Planning\New Exam Regime.mdb`.qryLastService qryLastService_x000d__x000a_ORDER BY qryLastService.`Unit No`"/>
  </connection>
  <connection id="5" name="Connection4" type="1" refreshedVersion="5" background="1" saveData="1">
    <dbPr connection="DSN=MS Access Database;DBQ=G:\UK\CZ\Heavy Maintenance Planning\New Exam Regime.mdb;DefaultDir=G:\UK\CZ\Heavy Maintenance Planning;DriverId=25;FIL=MS Access;MaxBufferSize=2048;PageTimeout=5;" command="SELECT qryLastCore.`Unit No`, qryLastCore.LastOfExam, qryLastCore.`LastOfRelease Date`, qryLastCore.`LastOfOdo Reading (Miles)`_x000d__x000a_FROM `G:\UK\CZ\Heavy Maintenance Planning\New Exam Regime.mdb`.qryLastCore qryLastCore_x000d__x000a_ORDER BY qryLastCore.`Unit No`"/>
  </connection>
  <connection id="6" name="Connection5" type="1" refreshedVersion="5" background="1" saveData="1">
    <dbPr connection="DSN=MS Access Database;DBQ=G:\UK\CZ\Heavy Maintenance Planning\New Exam Regime.mdb;DefaultDir=G:\UK\CZ\Heavy Maintenance Planning;DriverId=25;FIL=MS Access;MaxBufferSize=2048;PageTimeout=5;" command="SELECT qryNextCoreExam.`Unit No`, qryNextCoreExam.`FirstOfPlanned Date`, qryNextCoreExam.FirstOfExam, qryNextCoreExam.Customer_x000d__x000a_FROM `G:\UK\CZ\Heavy Maintenance Planning\New Exam Regime.mdb`.qryNextCoreExam qryNextCoreExam_x000d__x000a_ORDER BY qryNextCoreExam.`Unit No`"/>
  </connection>
  <connection id="7" name="Connection6" type="1" refreshedVersion="5" background="1" saveData="1">
    <dbPr connection="DSN=MS Access Database;DBQ=G:\uk\CZ\Heavy Maintenance Planning\New Exam Regime.mdb;DefaultDir=G:\uk\CZ\Heavy Maintenance Planning;DriverId=25;FIL=MS Access;MaxBufferSize=2048;PageTimeout=5;" command="SELECT qryLastMV.`Unit No`, qryLastMV.LastOfExam, qryLastMV.`LastOfRelease Date`, qryLastMV.`LastOfOdo Reading (Miles)`_x000d__x000a_FROM `G:\uk\CZ\Heavy Maintenance Planning\New Exam Regime.mdb`.qryLastMV qryLastMV_x000d__x000a_ORDER BY qryLastMV.`Unit No`"/>
  </connection>
  <connection id="8" name="Connection7" type="1" refreshedVersion="5" background="1" saveData="1">
    <dbPr connection="DSN=MS Access Database;DBQ=G:\UK\CZ\Heavy Maintenance Planning\New Exam Regime.mdb;DefaultDir=G:\UK\CZ\Heavy Maintenance Planning;DriverId=25;FIL=MS Access;MaxBufferSize=2048;PageTimeout=5;UID=admin;" command="SELECT qryNextMVExam.`Unit No`, qryNextMVExam.`FirstOfPlanned Date`, qryNextMVExam.FirstOfExam_x000d__x000a_FROM `G:\UK\CZ\Heavy Maintenance Planning\New Exam Regime.mdb`.qryNextMVExam qryNextMVExam_x000d__x000a_ORDER BY qryNextMVExam.`Unit No`"/>
  </connection>
  <connection id="9" name="Connection8" type="1" refreshedVersion="5" savePassword="1" background="1" saveData="1">
    <dbPr connection="DSN=Informational Db;UID=phtomlin;PWD=Tommo25;DBQ=PMXEEU02.WORLD;DBA=W;APA=T;EXC=F;FEN=T;QTO=T;FRC=10;FDL=10;LOB=T;RST=T;BTD=F;BNF=F;BAM=IfAllSuccessful;NUM=NLS;DPM=F;MTS=T;MDI=F;CSR=F;FWC=F;FBS=64000;TLO=O;MLD=0;ODA=F;" command="select btproject ,bttla ,location , worklocation , wonum , _x000d__x000a_substr(w.description || decode(w.hasld,0,null,' - ' || substr((select ldtext from maximo.btv_longdescription where ldkey=w.workorderid and LDOWNERTABLE='WORKORDER' and LDOWNERCOL='DESCRIPTION'),1,1000)),1,1000) ,_x000d__x000a_status ,reportdate ,_x000d__x000a_btdiagnostic , btcustfailcode  , BTASERIALNUM ,wopriority, (select description from maximo.BTV_alndomain where siteid = w.siteid and domainid = 'BTCUSTFAILCLASS' and value = w.btcustfailcode) as &quot;CFC Description&quot;, w.schedstart as &quot;Sched Start&quot;, w.schedfinish as &quot;Sched Finish&quot;, w.btaserialnum as &quot;Serial No&quot;, w.btaposition as &quot;Position&quot;, w.persongroup as &quot;Work Group&quot;, w.jpnum as &quot;Job Plan&quot;, w.parent_x000d__x000a__x000d__x000a_from maximo.btv_workorder w_x000d__x000a_where siteid ='CZVOY'_x000d__x000a_and jpnum in ('BB_X1', 'BB_W1', 'BB_X0')_x000d__x000a_and status not in ('COMP', 'CAN', 'CLOSE')"/>
  </connection>
  <connection id="10" name="Connection9" type="1" refreshedVersion="5" savePassword="1" background="1" saveData="1">
    <dbPr connection="DSN=Informational Db;UID=phtomlin;PWD=Tommo25;DBQ=PMXEEU02.WORLD;DBA=W;APA=T;EXC=F;FEN=T;QTO=T;FRC=10;FDL=10;LOB=T;RST=T;BTD=F;BNF=F;BAM=IfAllSuccessful;NUM=NLS;DPM=F;MTS=T;MDI=F;CSR=F;FWC=F;FBS=64000;TLO=O;MLD=0;ODA=F;" command="select btproject ,bttla ,location , worklocation , wonum , _x000d__x000a_substr(w.description || decode(w.hasld,0,null,' - ' || substr((select ldtext from maximo.btv_longdescription where ldkey=w.workorderid and LDOWNERTABLE='WORKORDER' and LDOWNERCOL='DESCRIPTION'),1,1000)),1,1000) ,_x000d__x000a_status ,reportdate ,_x000d__x000a_btdiagnostic , btcustfailcode  , BTASERIALNUM ,wopriority, (select description from maximo.BTV_alndomain where siteid = w.siteid and domainid = 'BTCUSTFAILCLASS' and value = w.btcustfailcode) as &quot;CFC Description&quot;, w.schedstart as &quot;Sched Start&quot;, w.schedfinish as &quot;Sched Finish&quot;, w.btaserialnum as &quot;Serial No&quot;, w.btaposition as &quot;Position&quot;, w.persongroup as &quot;Work Group&quot;, w.jpnum as &quot;Job Plan&quot;, w.parent_x000d__x000a__x000d__x000a_from maximo.btv_workorder w_x000d__x000a_where siteid ='CZVOY'_x000d__x000a_and jpnum not in ('01UAT','02UAT','UA101','UA102')_x000d__x000a_and persongroup='CZEXAMS'_x000d__x000a_and status not in ('COMP', 'CAN', 'CLOSE')"/>
  </connection>
</connections>
</file>

<file path=xl/sharedStrings.xml><?xml version="1.0" encoding="utf-8"?>
<sst xmlns="http://schemas.openxmlformats.org/spreadsheetml/2006/main" count="11064" uniqueCount="1067">
  <si>
    <t>Unit</t>
  </si>
  <si>
    <t>Exam</t>
  </si>
  <si>
    <t>221 MILES</t>
  </si>
  <si>
    <t>unit No</t>
  </si>
  <si>
    <t>today</t>
  </si>
  <si>
    <t>exam</t>
  </si>
  <si>
    <t>day 2</t>
  </si>
  <si>
    <t xml:space="preserve">exam </t>
  </si>
  <si>
    <t xml:space="preserve">day2 </t>
  </si>
  <si>
    <t>day 3</t>
  </si>
  <si>
    <t xml:space="preserve">day 2 </t>
  </si>
  <si>
    <t>day 4</t>
  </si>
  <si>
    <t>Miles</t>
  </si>
  <si>
    <t>ON EXAM TODAY</t>
  </si>
  <si>
    <t>Tilt Active Train - CZ only</t>
  </si>
  <si>
    <t>Gemini Miles</t>
  </si>
  <si>
    <t>Exam Due</t>
  </si>
  <si>
    <t>Unit Number</t>
  </si>
  <si>
    <t>Finish Location</t>
  </si>
  <si>
    <t xml:space="preserve">                             </t>
  </si>
  <si>
    <t>Last Exam Miles</t>
  </si>
  <si>
    <t>Mileages (Gemini)</t>
  </si>
  <si>
    <t>Arriva XC</t>
  </si>
  <si>
    <t>Last Exam Date</t>
  </si>
  <si>
    <t>Planned Repairs</t>
  </si>
  <si>
    <t>Next Exam Mileage</t>
  </si>
  <si>
    <t>TOTAL FLEET</t>
  </si>
  <si>
    <t>Unit No</t>
  </si>
  <si>
    <t>Slot</t>
  </si>
  <si>
    <t>Monday</t>
  </si>
  <si>
    <t>Tuesday</t>
  </si>
  <si>
    <t>Wednesday</t>
  </si>
  <si>
    <t>Thursday</t>
  </si>
  <si>
    <t>Friday</t>
  </si>
  <si>
    <t>Saturday</t>
  </si>
  <si>
    <t>Sunday</t>
  </si>
  <si>
    <t>Code</t>
  </si>
  <si>
    <t>Decription</t>
  </si>
  <si>
    <t>Exams per week</t>
  </si>
  <si>
    <t>Exams in std week nights</t>
  </si>
  <si>
    <t>Qty</t>
  </si>
  <si>
    <t>Days to BB</t>
  </si>
  <si>
    <t>1st</t>
  </si>
  <si>
    <t>As</t>
  </si>
  <si>
    <t>XC SA</t>
  </si>
  <si>
    <t>WC SA</t>
  </si>
  <si>
    <t>Xc service</t>
  </si>
  <si>
    <t>2nd</t>
  </si>
  <si>
    <t>AX</t>
  </si>
  <si>
    <t>XC Ax</t>
  </si>
  <si>
    <t>WC Ax</t>
  </si>
  <si>
    <t>XC AX</t>
  </si>
  <si>
    <t>Xc A exam</t>
  </si>
  <si>
    <t>3rd</t>
  </si>
  <si>
    <t>West cost A exam and service</t>
  </si>
  <si>
    <t>4th</t>
  </si>
  <si>
    <t>Major</t>
  </si>
  <si>
    <t>XC Major</t>
  </si>
  <si>
    <t>WC Major</t>
  </si>
  <si>
    <t>Balance Bs</t>
  </si>
  <si>
    <r>
      <t>The Overnight Maintenance sets still need to come back to CZ as early as possible with the priority being getting a service on the 1</t>
    </r>
    <r>
      <rPr>
        <b/>
        <vertAlign val="superscript"/>
        <sz val="16"/>
        <color indexed="10"/>
        <rFont val="Times New Roman"/>
        <family val="1"/>
      </rPr>
      <t>st</t>
    </r>
    <r>
      <rPr>
        <b/>
        <sz val="16"/>
        <color indexed="10"/>
        <rFont val="Times New Roman"/>
        <family val="1"/>
      </rPr>
      <t xml:space="preserve"> arrival at CZ (expecially the nights there is 3 services planned) after that all other overnight maintenance trains should aim to be delivered before midnight.  This is not to say that CZ will not be able to complete maintenance on trains that arrive after midnight but if any are it should be highlighted at the earliest opportunity at least the day before if planned.  It also helps CZ if the sets due maintenance are on the front of multiple set rakes as they can get them into the shed quicker and again have a better chance of providing the set in the morning. </t>
    </r>
  </si>
  <si>
    <t>VWC</t>
  </si>
  <si>
    <t>Days in traffic to exam</t>
  </si>
  <si>
    <t>On Plan</t>
  </si>
  <si>
    <t>Due</t>
  </si>
  <si>
    <t xml:space="preserve">3x Service
2x Core
</t>
  </si>
  <si>
    <t>WC SA+Ax</t>
  </si>
  <si>
    <t>Can Swap</t>
  </si>
  <si>
    <t>Arrivals order CZ</t>
  </si>
  <si>
    <t>Prior to 01:00hrs</t>
  </si>
  <si>
    <t>Total Daily exams</t>
  </si>
  <si>
    <t>XC
SA + Major</t>
  </si>
  <si>
    <t>WC
SA + Major</t>
  </si>
  <si>
    <t>3x Service
2x Core
1x Major</t>
  </si>
  <si>
    <t>Corrected for actual days off exam (must include release date)</t>
  </si>
  <si>
    <t>SUMMARY</t>
  </si>
  <si>
    <t>Overnight 1</t>
  </si>
  <si>
    <t>Overnight 2</t>
  </si>
  <si>
    <t>Overnight 3</t>
  </si>
  <si>
    <t>Daytime</t>
  </si>
  <si>
    <t xml:space="preserve">Service 1 </t>
  </si>
  <si>
    <t>Service 2</t>
  </si>
  <si>
    <t>Service 3</t>
  </si>
  <si>
    <t>Daytime+Service</t>
  </si>
  <si>
    <t>WC Service</t>
  </si>
  <si>
    <t>Total Service</t>
  </si>
  <si>
    <t>Total Core</t>
  </si>
  <si>
    <t>Week</t>
  </si>
  <si>
    <t>Next Core</t>
  </si>
  <si>
    <t>Next Core Date</t>
  </si>
  <si>
    <t>Next Service Date</t>
  </si>
  <si>
    <t>Next Service</t>
  </si>
  <si>
    <t>Due In Miles (From Gemini)</t>
  </si>
  <si>
    <t>C4</t>
  </si>
  <si>
    <t>C1</t>
  </si>
  <si>
    <t>C2</t>
  </si>
  <si>
    <t>C3</t>
  </si>
  <si>
    <t>MV5</t>
  </si>
  <si>
    <t>0</t>
  </si>
  <si>
    <t>MV1</t>
  </si>
  <si>
    <t>MV3</t>
  </si>
  <si>
    <t>MV7</t>
  </si>
  <si>
    <t>MV6</t>
  </si>
  <si>
    <t>Next Service Exam</t>
  </si>
  <si>
    <t>Next Service Due</t>
  </si>
  <si>
    <t>MV2</t>
  </si>
  <si>
    <t>LastOfExam</t>
  </si>
  <si>
    <t>LastOfRelease Date</t>
  </si>
  <si>
    <t>LastOfOdo Reading (Miles)</t>
  </si>
  <si>
    <t>B2/A4S</t>
  </si>
  <si>
    <t>Days Since Last Service</t>
  </si>
  <si>
    <t>A3C/A3S</t>
  </si>
  <si>
    <t>FirstOfPlanned Date</t>
  </si>
  <si>
    <t>FirstOfExam</t>
  </si>
  <si>
    <t>Miles Since Last Core</t>
  </si>
  <si>
    <t>MV8</t>
  </si>
  <si>
    <t>MV4</t>
  </si>
  <si>
    <t>Core Exam 1</t>
  </si>
  <si>
    <t>Core Exam 2</t>
  </si>
  <si>
    <t>Maintenance Visit</t>
  </si>
  <si>
    <t>Service Exams</t>
  </si>
  <si>
    <t>Miles Since Last MV</t>
  </si>
  <si>
    <t>Days Since Last MV</t>
  </si>
  <si>
    <t>Days Since Last Core</t>
  </si>
  <si>
    <t>Overnight Core Exams</t>
  </si>
  <si>
    <t>Next MV</t>
  </si>
  <si>
    <t>Days to</t>
  </si>
  <si>
    <t>Vehicle</t>
  </si>
  <si>
    <t>Ancestor</t>
  </si>
  <si>
    <t>AxleType</t>
  </si>
  <si>
    <t>Axle</t>
  </si>
  <si>
    <t>AxleConcat</t>
  </si>
  <si>
    <t>Axl Pos 1</t>
  </si>
  <si>
    <t>Axl Pos 2</t>
  </si>
  <si>
    <t>Wheel Pos 1</t>
  </si>
  <si>
    <t>Wheel Pos 2</t>
  </si>
  <si>
    <t>Vehicle Text</t>
  </si>
  <si>
    <t/>
  </si>
  <si>
    <t>220 Trailer Lifeguard</t>
  </si>
  <si>
    <t>AXLE 1</t>
  </si>
  <si>
    <t>220 Power</t>
  </si>
  <si>
    <t>AXLE 2</t>
  </si>
  <si>
    <t>220 Power Sander</t>
  </si>
  <si>
    <t>AXLE 3</t>
  </si>
  <si>
    <t>220 Trailer</t>
  </si>
  <si>
    <t>AXLE 4</t>
  </si>
  <si>
    <t>221 Trailer</t>
  </si>
  <si>
    <t>221 Power</t>
  </si>
  <si>
    <t>Pad</t>
  </si>
  <si>
    <t>Axle 2</t>
  </si>
  <si>
    <t>Axle 1</t>
  </si>
  <si>
    <t>Axle 3</t>
  </si>
  <si>
    <t>Axle 4</t>
  </si>
  <si>
    <t>Pad Axle</t>
  </si>
  <si>
    <t>1</t>
  </si>
  <si>
    <t>2</t>
  </si>
  <si>
    <t>3</t>
  </si>
  <si>
    <t>4</t>
  </si>
  <si>
    <t>5</t>
  </si>
  <si>
    <t>6</t>
  </si>
  <si>
    <t>7</t>
  </si>
  <si>
    <t>8</t>
  </si>
  <si>
    <t>Blank</t>
  </si>
  <si>
    <t>Unit2</t>
  </si>
  <si>
    <t>Maintenance Visits</t>
  </si>
  <si>
    <t>ON EXAM</t>
  </si>
  <si>
    <t>Miles to Go (Exam Sheet)</t>
  </si>
  <si>
    <t>Last Exam Miles (Gemini)</t>
  </si>
  <si>
    <t>Discrepancies?</t>
  </si>
  <si>
    <t>Yesterdays Mileages (Gemini)</t>
  </si>
  <si>
    <t>West Coast</t>
  </si>
  <si>
    <t>Location</t>
  </si>
  <si>
    <t>Status</t>
  </si>
  <si>
    <t>Fleet</t>
  </si>
  <si>
    <t>Work Location</t>
  </si>
  <si>
    <t>Work Order</t>
  </si>
  <si>
    <t>Description /long Description</t>
  </si>
  <si>
    <t>Reported Date</t>
  </si>
  <si>
    <t>CFC</t>
  </si>
  <si>
    <t xml:space="preserve">Serial number </t>
  </si>
  <si>
    <t>Priority</t>
  </si>
  <si>
    <t xml:space="preserve">CFC Description
</t>
  </si>
  <si>
    <t>Sched Finish</t>
  </si>
  <si>
    <t>Serial No</t>
  </si>
  <si>
    <t>Position</t>
  </si>
  <si>
    <t>Work Group</t>
  </si>
  <si>
    <t>Job Plan</t>
  </si>
  <si>
    <t>WSCH</t>
  </si>
  <si>
    <t>AXC</t>
  </si>
  <si>
    <t>Scheduled Brake Pad Replacement</t>
  </si>
  <si>
    <t>CZDEFECT</t>
  </si>
  <si>
    <t>BB_X1</t>
  </si>
  <si>
    <t>BB_W1</t>
  </si>
  <si>
    <t>APPR</t>
  </si>
  <si>
    <t>BB_X0</t>
  </si>
  <si>
    <t>Planned</t>
  </si>
  <si>
    <t>Comma</t>
  </si>
  <si>
    <t>Unit Real</t>
  </si>
  <si>
    <t>Unit1</t>
  </si>
  <si>
    <t>Unit Planned?</t>
  </si>
  <si>
    <t>Plan Status</t>
  </si>
  <si>
    <t>Workorder No</t>
  </si>
  <si>
    <t>WO Num</t>
  </si>
  <si>
    <t>Planned?</t>
  </si>
  <si>
    <t>220025</t>
  </si>
  <si>
    <t>Parent</t>
  </si>
  <si>
    <t>CZEXAMS</t>
  </si>
  <si>
    <t>CZ</t>
  </si>
  <si>
    <t>220022</t>
  </si>
  <si>
    <t>221105</t>
  </si>
  <si>
    <t>220023</t>
  </si>
  <si>
    <t>220031</t>
  </si>
  <si>
    <t>Parent Description</t>
  </si>
  <si>
    <t>221144</t>
  </si>
  <si>
    <t>Martyn Gall</t>
  </si>
  <si>
    <t>BB108</t>
  </si>
  <si>
    <t>WAPPR</t>
  </si>
  <si>
    <t>ExamUnit</t>
  </si>
  <si>
    <t>ExamType</t>
  </si>
  <si>
    <t>ExamReq</t>
  </si>
  <si>
    <t>ExamPre</t>
  </si>
  <si>
    <t>ExamStopper</t>
  </si>
  <si>
    <t>ExamLetter</t>
  </si>
  <si>
    <t>MVstopDate1</t>
  </si>
  <si>
    <t>MVstopDate2</t>
  </si>
  <si>
    <t>ExamArrivalDate</t>
  </si>
  <si>
    <t>UnitStatus</t>
  </si>
  <si>
    <t>BTPROJECT</t>
  </si>
  <si>
    <t>221135</t>
  </si>
  <si>
    <t>221131</t>
  </si>
  <si>
    <t>221104</t>
  </si>
  <si>
    <t>EH</t>
  </si>
  <si>
    <t>221114</t>
  </si>
  <si>
    <t>MA</t>
  </si>
  <si>
    <t>221140</t>
  </si>
  <si>
    <t>220002</t>
  </si>
  <si>
    <t>221141</t>
  </si>
  <si>
    <t>220016</t>
  </si>
  <si>
    <t>Cls 220/221 Project - Heavy Maintenance Tasks (Div3 - Revised) - Tasks (Revised) with periodicity of 3 years or multiples)</t>
  </si>
  <si>
    <t>CZ_15YEAR</t>
  </si>
  <si>
    <t>221112</t>
  </si>
  <si>
    <t>PC</t>
  </si>
  <si>
    <t>221138</t>
  </si>
  <si>
    <t>221134</t>
  </si>
  <si>
    <t>CT</t>
  </si>
  <si>
    <t>220034</t>
  </si>
  <si>
    <t>221103</t>
  </si>
  <si>
    <t>220009</t>
  </si>
  <si>
    <t>220032</t>
  </si>
  <si>
    <t>220012</t>
  </si>
  <si>
    <t>221102</t>
  </si>
  <si>
    <t>220010</t>
  </si>
  <si>
    <t>220001</t>
  </si>
  <si>
    <t>221129</t>
  </si>
  <si>
    <t>BH</t>
  </si>
  <si>
    <t>220003</t>
  </si>
  <si>
    <t>221111</t>
  </si>
  <si>
    <t>220007</t>
  </si>
  <si>
    <t>TY</t>
  </si>
  <si>
    <t>221107</t>
  </si>
  <si>
    <t>220030</t>
  </si>
  <si>
    <t>220011</t>
  </si>
  <si>
    <t>EC</t>
  </si>
  <si>
    <t>221127</t>
  </si>
  <si>
    <t>220008</t>
  </si>
  <si>
    <t>221125</t>
  </si>
  <si>
    <t>221143</t>
  </si>
  <si>
    <t>221106</t>
  </si>
  <si>
    <t>220020</t>
  </si>
  <si>
    <t>220005</t>
  </si>
  <si>
    <t>CP</t>
  </si>
  <si>
    <t>220004</t>
  </si>
  <si>
    <t>220006</t>
  </si>
  <si>
    <t>220013</t>
  </si>
  <si>
    <t>220014</t>
  </si>
  <si>
    <t>220015</t>
  </si>
  <si>
    <t>220017</t>
  </si>
  <si>
    <t>220018</t>
  </si>
  <si>
    <t>220019</t>
  </si>
  <si>
    <t>220021</t>
  </si>
  <si>
    <t>220024</t>
  </si>
  <si>
    <t>220026</t>
  </si>
  <si>
    <t>220027</t>
  </si>
  <si>
    <t>220028</t>
  </si>
  <si>
    <t>220029</t>
  </si>
  <si>
    <t>220033</t>
  </si>
  <si>
    <t>221101</t>
  </si>
  <si>
    <t>221108</t>
  </si>
  <si>
    <t>221109</t>
  </si>
  <si>
    <t>221110</t>
  </si>
  <si>
    <t>221113</t>
  </si>
  <si>
    <t>221115</t>
  </si>
  <si>
    <t>221116</t>
  </si>
  <si>
    <t>221117</t>
  </si>
  <si>
    <t>221118</t>
  </si>
  <si>
    <t>221142</t>
  </si>
  <si>
    <t>7494193</t>
  </si>
  <si>
    <t>221119</t>
  </si>
  <si>
    <t>7494272</t>
  </si>
  <si>
    <t>221120</t>
  </si>
  <si>
    <t>7494351</t>
  </si>
  <si>
    <t>221121</t>
  </si>
  <si>
    <t>7494430</t>
  </si>
  <si>
    <t>221122</t>
  </si>
  <si>
    <t>7494509</t>
  </si>
  <si>
    <t>221123</t>
  </si>
  <si>
    <t>7494588</t>
  </si>
  <si>
    <t>221124</t>
  </si>
  <si>
    <t>7494667</t>
  </si>
  <si>
    <t>7494746</t>
  </si>
  <si>
    <t>221126</t>
  </si>
  <si>
    <t>7494826</t>
  </si>
  <si>
    <t>7494905</t>
  </si>
  <si>
    <t>221128</t>
  </si>
  <si>
    <t>7494984</t>
  </si>
  <si>
    <t>7495063</t>
  </si>
  <si>
    <t>221130</t>
  </si>
  <si>
    <t>7495142</t>
  </si>
  <si>
    <t>7495222</t>
  </si>
  <si>
    <t>221132</t>
  </si>
  <si>
    <t>7495301</t>
  </si>
  <si>
    <t>221133</t>
  </si>
  <si>
    <t>7495380</t>
  </si>
  <si>
    <t>7495459</t>
  </si>
  <si>
    <t>7495538</t>
  </si>
  <si>
    <t>221136</t>
  </si>
  <si>
    <t>7495617</t>
  </si>
  <si>
    <t>221137</t>
  </si>
  <si>
    <t>7495696</t>
  </si>
  <si>
    <t>7495775</t>
  </si>
  <si>
    <t>221139</t>
  </si>
  <si>
    <t>7495854</t>
  </si>
  <si>
    <t>7495934</t>
  </si>
  <si>
    <t>7496037</t>
  </si>
  <si>
    <t xml:space="preserve"> </t>
  </si>
  <si>
    <t>LA</t>
  </si>
  <si>
    <t>7545725</t>
  </si>
  <si>
    <t>HVP BRAKE PAD THICKNESS - MANAGEMENT AND CHECK - 03/09/15 (EC) NO PIT SPACE</t>
  </si>
  <si>
    <t>TOO MANY</t>
  </si>
  <si>
    <t xml:space="preserve">   </t>
  </si>
  <si>
    <t>Center Ceiling Panels - Check</t>
  </si>
  <si>
    <t>ID</t>
  </si>
  <si>
    <t>Ceiling Panels Grilles/SpeakCv</t>
  </si>
  <si>
    <t>ID101</t>
  </si>
  <si>
    <t>7847192</t>
  </si>
  <si>
    <t>HVP BRAKE PAD THICKNESS - MANAGEMENT AND CHECK</t>
  </si>
  <si>
    <t>03KB20101A</t>
  </si>
  <si>
    <t>DEFER</t>
  </si>
  <si>
    <t>8030278</t>
  </si>
  <si>
    <t>Traction Motor - Clean Air Inlet Grid</t>
  </si>
  <si>
    <t>MT104</t>
  </si>
  <si>
    <t>8030282</t>
  </si>
  <si>
    <t>8030286</t>
  </si>
  <si>
    <t>8030136</t>
  </si>
  <si>
    <t>8030146</t>
  </si>
  <si>
    <t>8030148</t>
  </si>
  <si>
    <t>8030160</t>
  </si>
  <si>
    <t>8030170</t>
  </si>
  <si>
    <t>8030202</t>
  </si>
  <si>
    <t>8030206</t>
  </si>
  <si>
    <t>8030224</t>
  </si>
  <si>
    <t>8030252</t>
  </si>
  <si>
    <t>8030258</t>
  </si>
  <si>
    <t>8030260</t>
  </si>
  <si>
    <t>8030264</t>
  </si>
  <si>
    <t>8030268</t>
  </si>
  <si>
    <t>8030270</t>
  </si>
  <si>
    <t>8030272</t>
  </si>
  <si>
    <t>8030276</t>
  </si>
  <si>
    <t>8030182</t>
  </si>
  <si>
    <t>8030212</t>
  </si>
  <si>
    <t>8030220</t>
  </si>
  <si>
    <t>8030222</t>
  </si>
  <si>
    <t>8030228</t>
  </si>
  <si>
    <t>8030244</t>
  </si>
  <si>
    <t>8030262</t>
  </si>
  <si>
    <t>8030150</t>
  </si>
  <si>
    <t>8030164</t>
  </si>
  <si>
    <t>8030162</t>
  </si>
  <si>
    <t>8030230</t>
  </si>
  <si>
    <t>8030236</t>
  </si>
  <si>
    <t>8030240</t>
  </si>
  <si>
    <t>8030242</t>
  </si>
  <si>
    <t>8030172</t>
  </si>
  <si>
    <t>8030174</t>
  </si>
  <si>
    <t>8030176</t>
  </si>
  <si>
    <t>8030248</t>
  </si>
  <si>
    <t>8030256</t>
  </si>
  <si>
    <t>8030266</t>
  </si>
  <si>
    <t>8030280</t>
  </si>
  <si>
    <t>8030142</t>
  </si>
  <si>
    <t>8030178</t>
  </si>
  <si>
    <t>8030180</t>
  </si>
  <si>
    <t>8030184</t>
  </si>
  <si>
    <t>8030188</t>
  </si>
  <si>
    <t>8030198</t>
  </si>
  <si>
    <t>8030144</t>
  </si>
  <si>
    <t>8030152</t>
  </si>
  <si>
    <t>8030154</t>
  </si>
  <si>
    <t>8030200</t>
  </si>
  <si>
    <t>8030204</t>
  </si>
  <si>
    <t>8030208</t>
  </si>
  <si>
    <t>8030226</t>
  </si>
  <si>
    <t>8030284</t>
  </si>
  <si>
    <t>8030140</t>
  </si>
  <si>
    <t>8030156</t>
  </si>
  <si>
    <t>8030158</t>
  </si>
  <si>
    <t>8030166</t>
  </si>
  <si>
    <t>8030168</t>
  </si>
  <si>
    <t>8030186</t>
  </si>
  <si>
    <t>8030192</t>
  </si>
  <si>
    <t>8030194</t>
  </si>
  <si>
    <t>8030196</t>
  </si>
  <si>
    <t>8030210</t>
  </si>
  <si>
    <t>8030214</t>
  </si>
  <si>
    <t>8030232</t>
  </si>
  <si>
    <t>8030238</t>
  </si>
  <si>
    <t>8030246</t>
  </si>
  <si>
    <t>8030250</t>
  </si>
  <si>
    <t>8030274</t>
  </si>
  <si>
    <t>8030288</t>
  </si>
  <si>
    <t>Summerisation - Additional Work - Required additional tasks to complete Summerisation process.</t>
  </si>
  <si>
    <t>CZVOY_QR101</t>
  </si>
  <si>
    <t>8073201</t>
  </si>
  <si>
    <t>8072970</t>
  </si>
  <si>
    <t>8072421</t>
  </si>
  <si>
    <t>8074127</t>
  </si>
  <si>
    <t>8074350</t>
  </si>
  <si>
    <t>INPRG</t>
  </si>
  <si>
    <t>8138732</t>
  </si>
  <si>
    <t>8139682</t>
  </si>
  <si>
    <t>8153829</t>
  </si>
  <si>
    <t>Radiator Clean - Summerisation (Modified) Version - To be completed on All Vehicles._x000D_
._x000D_
ONLY COMPLETE SECTIONS 1, 2, 3, 4, 6, 7, 8, 9 OF THE VMI - (DO NOT UNDERTAKE SECTION 5)</t>
  </si>
  <si>
    <t>8167256</t>
  </si>
  <si>
    <t>8184726</t>
  </si>
  <si>
    <t>HVP Primary Springs Additional Inspection (CZ ONLY) - To be carried out on all SERVICE, CORE and MV Exams.</t>
  </si>
  <si>
    <t>BT/SC/2016/015</t>
  </si>
  <si>
    <t>8208276</t>
  </si>
  <si>
    <t>8259991</t>
  </si>
  <si>
    <t>8261874</t>
  </si>
  <si>
    <t>8279441</t>
  </si>
  <si>
    <t>Cls 220/221 Project - Heavy Maintenance Tasks (Div4 - Revised) - Tasks (Revised) with periodicity of 4 years or multiples)</t>
  </si>
  <si>
    <t>CZ_16YEAR</t>
  </si>
  <si>
    <t>8283039</t>
  </si>
  <si>
    <t>8308401</t>
  </si>
  <si>
    <t>8308158</t>
  </si>
  <si>
    <t>8311126</t>
  </si>
  <si>
    <t>8315060</t>
  </si>
  <si>
    <t>Summerisation - Additional Work - Required additional tasks to complete Summerisation process.
Still waiting return of steam gun EH 11/8/16</t>
  </si>
  <si>
    <t>8329321</t>
  </si>
  <si>
    <t>8343599</t>
  </si>
  <si>
    <t>QR</t>
  </si>
  <si>
    <t>Coolant Radiator</t>
  </si>
  <si>
    <t>8353573</t>
  </si>
  <si>
    <t>8360598</t>
  </si>
  <si>
    <t>8372963</t>
  </si>
  <si>
    <t>8375215</t>
  </si>
  <si>
    <t>8379135</t>
  </si>
  <si>
    <t>8379364</t>
  </si>
  <si>
    <t>8389966</t>
  </si>
  <si>
    <t>8389875</t>
  </si>
  <si>
    <t>8397796</t>
  </si>
  <si>
    <t>VIRGIN WC CLASS 221 MAINTENANCE VISIT (MV1-MV8)</t>
  </si>
  <si>
    <t>8405357</t>
  </si>
  <si>
    <t>8405700</t>
  </si>
  <si>
    <t>8412945</t>
  </si>
  <si>
    <t>8414178</t>
  </si>
  <si>
    <t>8416220</t>
  </si>
  <si>
    <t>8417165</t>
  </si>
  <si>
    <t>8417349</t>
  </si>
  <si>
    <t>Summerisation - Additional Work - Required additional tasks to complete Summerisation process
NOT DONE, ROAD UNAVAILABLE
CZ TASK.</t>
  </si>
  <si>
    <t>8418524</t>
  </si>
  <si>
    <t>8419768</t>
  </si>
  <si>
    <t>8421656</t>
  </si>
  <si>
    <t>8434069</t>
  </si>
  <si>
    <t>8436651</t>
  </si>
  <si>
    <t>8436338</t>
  </si>
  <si>
    <t>8438887</t>
  </si>
  <si>
    <t>8439170</t>
  </si>
  <si>
    <t>8440965</t>
  </si>
  <si>
    <t>8441463</t>
  </si>
  <si>
    <t>8445168</t>
  </si>
  <si>
    <t>8445260</t>
  </si>
  <si>
    <t>8448741</t>
  </si>
  <si>
    <t>8448628</t>
  </si>
  <si>
    <t>8449816</t>
  </si>
  <si>
    <t>8450821</t>
  </si>
  <si>
    <t>8450225</t>
  </si>
  <si>
    <t>8460370</t>
  </si>
  <si>
    <t>8462172</t>
  </si>
  <si>
    <t>8460710</t>
  </si>
  <si>
    <t>8463287</t>
  </si>
  <si>
    <t>8468585</t>
  </si>
  <si>
    <t>8470116</t>
  </si>
  <si>
    <t>8471435</t>
  </si>
  <si>
    <t>8471528</t>
  </si>
  <si>
    <t>8474532</t>
  </si>
  <si>
    <t>CZ_18YEAR</t>
  </si>
  <si>
    <t>8474845</t>
  </si>
  <si>
    <t>8484209</t>
  </si>
  <si>
    <t>8492743</t>
  </si>
  <si>
    <t>8494797</t>
  </si>
  <si>
    <t>8493845</t>
  </si>
  <si>
    <t>8495538</t>
  </si>
  <si>
    <t>8495653</t>
  </si>
  <si>
    <t>8496896</t>
  </si>
  <si>
    <t>8499686</t>
  </si>
  <si>
    <t>8497719</t>
  </si>
  <si>
    <t>8498576</t>
  </si>
  <si>
    <t>8500096</t>
  </si>
  <si>
    <t>8501907</t>
  </si>
  <si>
    <t>8503342</t>
  </si>
  <si>
    <t>8504799</t>
  </si>
  <si>
    <t>8503889</t>
  </si>
  <si>
    <t>8505795</t>
  </si>
  <si>
    <t>8506422</t>
  </si>
  <si>
    <t>8506702</t>
  </si>
  <si>
    <t>8509921</t>
  </si>
  <si>
    <t>8519181</t>
  </si>
  <si>
    <t>8519886</t>
  </si>
  <si>
    <t>8519989</t>
  </si>
  <si>
    <t>8522759</t>
  </si>
  <si>
    <t>8525422</t>
  </si>
  <si>
    <t>8525232</t>
  </si>
  <si>
    <t>8539938</t>
  </si>
  <si>
    <t>8557323</t>
  </si>
  <si>
    <t>PZ</t>
  </si>
  <si>
    <t>S1A</t>
  </si>
  <si>
    <t>S6A</t>
  </si>
  <si>
    <t>S5A</t>
  </si>
  <si>
    <t>S4A</t>
  </si>
  <si>
    <t>S3A</t>
  </si>
  <si>
    <t>S2A</t>
  </si>
  <si>
    <t>S8A</t>
  </si>
  <si>
    <t>S7A</t>
  </si>
  <si>
    <t>8626876</t>
  </si>
  <si>
    <t>8635944</t>
  </si>
  <si>
    <t>HD</t>
  </si>
  <si>
    <t>8644616</t>
  </si>
  <si>
    <t>8654251</t>
  </si>
  <si>
    <t>8675328</t>
  </si>
  <si>
    <t>CZ_DC103</t>
  </si>
  <si>
    <t>8695380</t>
  </si>
  <si>
    <t>8705342</t>
  </si>
  <si>
    <t>8705333</t>
  </si>
  <si>
    <t>8707741</t>
  </si>
  <si>
    <t>8707733</t>
  </si>
  <si>
    <t>8713310</t>
  </si>
  <si>
    <t>8718648</t>
  </si>
  <si>
    <t>8718640</t>
  </si>
  <si>
    <t>8722378</t>
  </si>
  <si>
    <t>8722370</t>
  </si>
  <si>
    <t>ARRIVA XC CLASS 220 SERVICE EXAM (NEW S1-S8) - Amended to include AIR FLOW MEASUREMENT POINT DATA (11/2016)</t>
  </si>
  <si>
    <t>8728044</t>
  </si>
  <si>
    <t>8728014</t>
  </si>
  <si>
    <t>8728965</t>
  </si>
  <si>
    <t>8728956</t>
  </si>
  <si>
    <t>8735156</t>
  </si>
  <si>
    <t>8753037</t>
  </si>
  <si>
    <t>CLASS 220 MV8 - Rockshield and Wiring Harness Inspection</t>
  </si>
  <si>
    <t>8777398</t>
  </si>
  <si>
    <t>8793759</t>
  </si>
  <si>
    <t>8813353</t>
  </si>
  <si>
    <t>8828942</t>
  </si>
  <si>
    <t>8839539</t>
  </si>
  <si>
    <t>CLASS 221 MV6 - Rockshield and Wiring Harness Inspection</t>
  </si>
  <si>
    <t>8844186</t>
  </si>
  <si>
    <t>8848339</t>
  </si>
  <si>
    <t>8883948</t>
  </si>
  <si>
    <t>8904617</t>
  </si>
  <si>
    <t>8906269</t>
  </si>
  <si>
    <t>ARRIVA XC CLASS 220 MAINTENANCE VISIT (MV1-MV8)</t>
  </si>
  <si>
    <t>3815297</t>
  </si>
  <si>
    <t>8922528</t>
  </si>
  <si>
    <t>4013701</t>
  </si>
  <si>
    <t>3975521</t>
  </si>
  <si>
    <t>3822095</t>
  </si>
  <si>
    <t>220 yaw damper removal for conditional assessment - From the units identified. 
Remove 6 off Yaw dampers from the unit and refit new in accordance with UD201.
Locations to remove from are:
603 Bogie 1 Both sides
602 Bogie 1 side 1
602 bogie 2 side 2
604 Bogie 2 Both sides
Record the location removed from and the serial number of the damper.
Dirty dampers removed to be marked 'FOR CONDITIONAL ASSESSMENT - FAO CZ ENGINEERING'</t>
  </si>
  <si>
    <t>220YAW-CA</t>
  </si>
  <si>
    <t>8934097</t>
  </si>
  <si>
    <t>8938451</t>
  </si>
  <si>
    <t>8938544</t>
  </si>
  <si>
    <t>4055346</t>
  </si>
  <si>
    <t>3720989</t>
  </si>
  <si>
    <t>UD</t>
  </si>
  <si>
    <t>Dampers</t>
  </si>
  <si>
    <t>3796362</t>
  </si>
  <si>
    <t>3865828</t>
  </si>
  <si>
    <t>3814414</t>
  </si>
  <si>
    <t>3693241</t>
  </si>
  <si>
    <t>8957008</t>
  </si>
  <si>
    <t>8957634</t>
  </si>
  <si>
    <t>8959109</t>
  </si>
  <si>
    <t>\</t>
  </si>
  <si>
    <t>CLASS 220 MV2 ARRIVAL TASKS</t>
  </si>
  <si>
    <t>X0MV2 - ARRIVAL</t>
  </si>
  <si>
    <t>CLASS 220 MV2 POWER ON TASKS</t>
  </si>
  <si>
    <t>X0MV2 - P/ON</t>
  </si>
  <si>
    <t>CLASS 220 MV2 - Rockshield and Wiring Harness Inspection</t>
  </si>
  <si>
    <t>X0MV2</t>
  </si>
  <si>
    <t>CLASS 220 MV2 POWER OFF TASKS</t>
  </si>
  <si>
    <t>X0MV2 - P/OFF</t>
  </si>
  <si>
    <t>3860752</t>
  </si>
  <si>
    <t>3887491</t>
  </si>
  <si>
    <t>3862473</t>
  </si>
  <si>
    <t>8972893</t>
  </si>
  <si>
    <t>3844412</t>
  </si>
  <si>
    <t>3974170</t>
  </si>
  <si>
    <t>4018187</t>
  </si>
  <si>
    <t>3816996</t>
  </si>
  <si>
    <t>60394</t>
  </si>
  <si>
    <t>8984451</t>
  </si>
  <si>
    <t>(58th Train Project) W Exam Work - JD03</t>
  </si>
  <si>
    <t>ENG347</t>
  </si>
  <si>
    <t>WC603T</t>
  </si>
  <si>
    <t>58_WEXAM</t>
  </si>
  <si>
    <t>60494</t>
  </si>
  <si>
    <t>8984459</t>
  </si>
  <si>
    <t>(58th Train Project) W Exam Work - This job plan is created to allow the Maintenance Staff to capture which VMIs are being completed under the W EXAM maintenance plan for the vehicles that are designated in the 58th Train Project.</t>
  </si>
  <si>
    <t>ENG350</t>
  </si>
  <si>
    <t>WC604T</t>
  </si>
  <si>
    <t>3796683</t>
  </si>
  <si>
    <t>3863707</t>
  </si>
  <si>
    <t>3800071</t>
  </si>
  <si>
    <t>3844344</t>
  </si>
  <si>
    <t>8989819</t>
  </si>
  <si>
    <t>3867450</t>
  </si>
  <si>
    <t>3878695</t>
  </si>
  <si>
    <t>3705204</t>
  </si>
  <si>
    <t>ARRIVA XC CLASS 220 CORE EXAM (NEW C1-C4)</t>
  </si>
  <si>
    <t>3838184</t>
  </si>
  <si>
    <t>3771077</t>
  </si>
  <si>
    <t>4048634</t>
  </si>
  <si>
    <t>3778555</t>
  </si>
  <si>
    <t>9003205</t>
  </si>
  <si>
    <t>3971124</t>
  </si>
  <si>
    <t>3820998</t>
  </si>
  <si>
    <t>3899469</t>
  </si>
  <si>
    <t>3998815</t>
  </si>
  <si>
    <t>3824857</t>
  </si>
  <si>
    <t>3852193</t>
  </si>
  <si>
    <t>4112011</t>
  </si>
  <si>
    <t>9012272</t>
  </si>
  <si>
    <t>9015052</t>
  </si>
  <si>
    <t>9015014</t>
  </si>
  <si>
    <t>ARRIVA XC CLASS 221 MAINTENANCE VISIT (MV1-MV8)</t>
  </si>
  <si>
    <t>9015015</t>
  </si>
  <si>
    <t>9015027</t>
  </si>
  <si>
    <t>9015034</t>
  </si>
  <si>
    <t>9015047</t>
  </si>
  <si>
    <t>3856218</t>
  </si>
  <si>
    <t>3778623</t>
  </si>
  <si>
    <t>IE</t>
  </si>
  <si>
    <t>Wall Panels</t>
  </si>
  <si>
    <t>3844249</t>
  </si>
  <si>
    <t>4078256</t>
  </si>
  <si>
    <t>3849079</t>
  </si>
  <si>
    <t>9021975</t>
  </si>
  <si>
    <t>3843338</t>
  </si>
  <si>
    <t>3819810</t>
  </si>
  <si>
    <t>3842118</t>
  </si>
  <si>
    <t>9028306</t>
  </si>
  <si>
    <t>3820387</t>
  </si>
  <si>
    <t>4038959</t>
  </si>
  <si>
    <t>3852713</t>
  </si>
  <si>
    <t>3892385</t>
  </si>
  <si>
    <t>3799889</t>
  </si>
  <si>
    <t>4075597</t>
  </si>
  <si>
    <t>9030311</t>
  </si>
  <si>
    <t>3840073</t>
  </si>
  <si>
    <t>CLASS 221 MV6 ARRIVAL TASKS</t>
  </si>
  <si>
    <t>X1MV6 - ARRIVALS</t>
  </si>
  <si>
    <t>CLASS 221 MV6 POWER OFF TASKS</t>
  </si>
  <si>
    <t>X1MV6 - P/OFF</t>
  </si>
  <si>
    <t>CLASS 221 MV6 POWER ON TASKS</t>
  </si>
  <si>
    <t>X1MV6 - P/ON</t>
  </si>
  <si>
    <t>X1MV6</t>
  </si>
  <si>
    <t>3821821</t>
  </si>
  <si>
    <t>3845644</t>
  </si>
  <si>
    <t>4078857</t>
  </si>
  <si>
    <t>3828724</t>
  </si>
  <si>
    <t>3996430</t>
  </si>
  <si>
    <t>3880521</t>
  </si>
  <si>
    <t>3781058</t>
  </si>
  <si>
    <t>3839964</t>
  </si>
  <si>
    <t>3814755</t>
  </si>
  <si>
    <t>4040297</t>
  </si>
  <si>
    <t>3832821</t>
  </si>
  <si>
    <t>4054177</t>
  </si>
  <si>
    <t>3824837</t>
  </si>
  <si>
    <t>3824478</t>
  </si>
  <si>
    <t>3818401</t>
  </si>
  <si>
    <t>3856760</t>
  </si>
  <si>
    <t>3999336</t>
  </si>
  <si>
    <t>9054400</t>
  </si>
  <si>
    <t>4004609</t>
  </si>
  <si>
    <t>3719970</t>
  </si>
  <si>
    <t>3795566</t>
  </si>
  <si>
    <t>3868765</t>
  </si>
  <si>
    <t>3863718</t>
  </si>
  <si>
    <t>3816618</t>
  </si>
  <si>
    <t>3629102</t>
  </si>
  <si>
    <t>3895709</t>
  </si>
  <si>
    <t>4048026</t>
  </si>
  <si>
    <t>3776174</t>
  </si>
  <si>
    <t>WC Stopping 1</t>
  </si>
  <si>
    <t>WC Stopping 2</t>
  </si>
  <si>
    <t>WC Stopping 3</t>
  </si>
  <si>
    <t>Crewe</t>
  </si>
  <si>
    <t>Polmadie</t>
  </si>
  <si>
    <t>3890277</t>
  </si>
  <si>
    <t>3843577</t>
  </si>
  <si>
    <t>3871068</t>
  </si>
  <si>
    <t>4085096</t>
  </si>
  <si>
    <t>3807502</t>
  </si>
  <si>
    <t>3870975</t>
  </si>
  <si>
    <t>Crofton</t>
  </si>
  <si>
    <t>3622906</t>
  </si>
  <si>
    <t>3868420</t>
  </si>
  <si>
    <t>3993825</t>
  </si>
  <si>
    <t>3844520</t>
  </si>
  <si>
    <t>3771073</t>
  </si>
  <si>
    <t>3890319</t>
  </si>
  <si>
    <t>3846253</t>
  </si>
  <si>
    <t>4075092</t>
  </si>
  <si>
    <t>3873391</t>
  </si>
  <si>
    <t>3852265</t>
  </si>
  <si>
    <t>4063165</t>
  </si>
  <si>
    <t>3767130</t>
  </si>
  <si>
    <t>XC Stopping 1</t>
  </si>
  <si>
    <t>XC Stopping 2</t>
  </si>
  <si>
    <t>XC Stopping 3</t>
  </si>
  <si>
    <t>XC Stopping 4</t>
  </si>
  <si>
    <t>3885924</t>
  </si>
  <si>
    <t>3729683</t>
  </si>
  <si>
    <t>3844726</t>
  </si>
  <si>
    <t>4022507</t>
  </si>
  <si>
    <t>9089146</t>
  </si>
  <si>
    <t>3908751</t>
  </si>
  <si>
    <t>3911393</t>
  </si>
  <si>
    <t>3832093</t>
  </si>
  <si>
    <t>3847852</t>
  </si>
  <si>
    <t>4134860</t>
  </si>
  <si>
    <t>3812752</t>
  </si>
  <si>
    <t>VIRGIN WC CLASS 221 CORE EXAM (NEW C1-C4)</t>
  </si>
  <si>
    <t>9091763</t>
  </si>
  <si>
    <t>221117 F/D OIL</t>
  </si>
  <si>
    <t>221105 F/D OIL</t>
  </si>
  <si>
    <t>3879071</t>
  </si>
  <si>
    <t>3925559</t>
  </si>
  <si>
    <t>3885135</t>
  </si>
  <si>
    <t>3800115</t>
  </si>
  <si>
    <t>3826364</t>
  </si>
  <si>
    <t>9096871</t>
  </si>
  <si>
    <t>9098024</t>
  </si>
  <si>
    <t>3880514</t>
  </si>
  <si>
    <t>4023454</t>
  </si>
  <si>
    <t>4104811</t>
  </si>
  <si>
    <t>3861862</t>
  </si>
  <si>
    <t>3883035</t>
  </si>
  <si>
    <t>LF102 REQUIRED (HYDRO OIL &amp; FILTERS CHANGE) - LF102 REQUIRED ON THIS ENGINE DUE TO USRD RAGARDING LOSS OF HYDRO FILTER ON ENGINE RECIEVED FROM CUMMINS.</t>
  </si>
  <si>
    <t>CZ_LF102</t>
  </si>
  <si>
    <t>XC604NT/UF/PACK</t>
  </si>
  <si>
    <t>XC607T/UF/PACK</t>
  </si>
  <si>
    <t>60429</t>
  </si>
  <si>
    <t>9101640</t>
  </si>
  <si>
    <t>312</t>
  </si>
  <si>
    <t>60775</t>
  </si>
  <si>
    <t>9101645</t>
  </si>
  <si>
    <t>99</t>
  </si>
  <si>
    <t>9103670</t>
  </si>
  <si>
    <t>3842382</t>
  </si>
  <si>
    <t>3881005</t>
  </si>
  <si>
    <t>221101 F/D OIL</t>
  </si>
  <si>
    <t>220005 F/D OIL</t>
  </si>
  <si>
    <t>9108408</t>
  </si>
  <si>
    <t>3856761</t>
  </si>
  <si>
    <t>4064194</t>
  </si>
  <si>
    <t>3884339</t>
  </si>
  <si>
    <t>9109477</t>
  </si>
  <si>
    <t>3826362</t>
  </si>
  <si>
    <t>3875774</t>
  </si>
  <si>
    <t>4096380</t>
  </si>
  <si>
    <t>220022 D BOFFEY - BODYSIDE INSP + FD OIL</t>
  </si>
  <si>
    <t>3824822</t>
  </si>
  <si>
    <t>3920308</t>
  </si>
  <si>
    <t>4105458</t>
  </si>
  <si>
    <t>3854622</t>
  </si>
  <si>
    <t>3912256</t>
  </si>
  <si>
    <t>3884338</t>
  </si>
  <si>
    <t>3885131</t>
  </si>
  <si>
    <t>9115672</t>
  </si>
  <si>
    <t>9115468</t>
  </si>
  <si>
    <t>LF</t>
  </si>
  <si>
    <t>Lub Oil/Fuel Filters&amp;Strainers</t>
  </si>
  <si>
    <t>4066027</t>
  </si>
  <si>
    <t>3871111</t>
  </si>
  <si>
    <t>3804986</t>
  </si>
  <si>
    <t>9117293</t>
  </si>
  <si>
    <t>3842551</t>
  </si>
  <si>
    <t>9121003</t>
  </si>
  <si>
    <t>X0C4</t>
  </si>
  <si>
    <t>Scheduled Brake Pad Replacement - NOTE PADS TO BE CHANGED ON 604 AXLE 1 DUE TO 3 X PADS BEING CHANGED RECENTLY EXCEPT 604 RHS OUTER
SAME ALSO APPLIES TO 604 AXLE 4 LHS OUTER</t>
  </si>
  <si>
    <t>X1MV7</t>
  </si>
  <si>
    <t>3868606</t>
  </si>
  <si>
    <t>3846958</t>
  </si>
  <si>
    <t>VWC CLASS 221 MV8 ARRIVAL TASKS</t>
  </si>
  <si>
    <t>W1MV8 - ARRIVALS</t>
  </si>
  <si>
    <t>VWC CLASS 221 MV8 POWER OFF TASKS</t>
  </si>
  <si>
    <t>W1MV8 - P/OFF</t>
  </si>
  <si>
    <t>VWC CLASS 221 MV8 POWER ON TASKS</t>
  </si>
  <si>
    <t>W1MV8 - P/ON</t>
  </si>
  <si>
    <t>VWC CLASS 221 MV8 - Rockshield and Wiring Harness Inspection</t>
  </si>
  <si>
    <t>W1MV8</t>
  </si>
  <si>
    <t>3849085</t>
  </si>
  <si>
    <t>3848106</t>
  </si>
  <si>
    <t>3822581</t>
  </si>
  <si>
    <t>SCHED</t>
  </si>
  <si>
    <t>WMATL</t>
  </si>
  <si>
    <t>3855611</t>
  </si>
  <si>
    <t>3898937</t>
  </si>
  <si>
    <t>4080275</t>
  </si>
  <si>
    <t>3856475</t>
  </si>
  <si>
    <t>3807112</t>
  </si>
  <si>
    <t>4069493</t>
  </si>
  <si>
    <t>3923648</t>
  </si>
  <si>
    <t>3879233</t>
  </si>
  <si>
    <t>9132925</t>
  </si>
  <si>
    <t>3894733</t>
  </si>
  <si>
    <t>4024603</t>
  </si>
  <si>
    <t>3908734</t>
  </si>
  <si>
    <t>3880062</t>
  </si>
  <si>
    <t>221126 AXLES</t>
  </si>
  <si>
    <t>220028 F/D OIL</t>
  </si>
  <si>
    <t>221114 F/D OIL</t>
  </si>
  <si>
    <t>9136268</t>
  </si>
  <si>
    <t>9136219</t>
  </si>
  <si>
    <t>CLASS 220 MV1 ARRIVAL TASKS</t>
  </si>
  <si>
    <t>X0MV1 - ARRIVAL</t>
  </si>
  <si>
    <t>CLASS 220 MV1 POWER OFF TASKS</t>
  </si>
  <si>
    <t>X0MV1 - P/OFF</t>
  </si>
  <si>
    <t>CLASS 220 MV1 POWER ON TASKS</t>
  </si>
  <si>
    <t>X0MV1 - P/ON</t>
  </si>
  <si>
    <t>X0MV1</t>
  </si>
  <si>
    <t>9136220</t>
  </si>
  <si>
    <t>9136234</t>
  </si>
  <si>
    <t>9136244</t>
  </si>
  <si>
    <t>9136263</t>
  </si>
  <si>
    <t>4028009</t>
  </si>
  <si>
    <t>4097249</t>
  </si>
  <si>
    <t>3746273</t>
  </si>
  <si>
    <t>4008011</t>
  </si>
  <si>
    <t>3589862</t>
  </si>
  <si>
    <t>3766244</t>
  </si>
  <si>
    <t>X0C1</t>
  </si>
  <si>
    <t>221137 RAD CLEAN @ CT</t>
  </si>
  <si>
    <t>220009 F/D OIL</t>
  </si>
  <si>
    <t>221108 F/D OIL</t>
  </si>
  <si>
    <t>9138379</t>
  </si>
  <si>
    <t>9138200</t>
  </si>
  <si>
    <t>9138380</t>
  </si>
  <si>
    <t>9139218</t>
  </si>
  <si>
    <t>221108 PACK 30K HRS</t>
  </si>
  <si>
    <t>3841125</t>
  </si>
  <si>
    <t>221128
W Exam</t>
  </si>
  <si>
    <t>221140
W Exam</t>
  </si>
  <si>
    <t>9140348</t>
  </si>
  <si>
    <t>9140299</t>
  </si>
  <si>
    <t>9140133</t>
  </si>
  <si>
    <t>9140090</t>
  </si>
  <si>
    <t>9140091</t>
  </si>
  <si>
    <t>9140128</t>
  </si>
  <si>
    <t>9140324</t>
  </si>
  <si>
    <t>9140300</t>
  </si>
  <si>
    <t>9140113</t>
  </si>
  <si>
    <t>9140343</t>
  </si>
  <si>
    <t>9140314</t>
  </si>
  <si>
    <t>9140105</t>
  </si>
  <si>
    <t>9142104</t>
  </si>
  <si>
    <t>9142064</t>
  </si>
  <si>
    <t>9142065</t>
  </si>
  <si>
    <t>9142099</t>
  </si>
  <si>
    <t>9142077</t>
  </si>
  <si>
    <t>9142084</t>
  </si>
  <si>
    <t>3832092</t>
  </si>
  <si>
    <t>4030270</t>
  </si>
  <si>
    <t>3869098</t>
  </si>
  <si>
    <t>C</t>
  </si>
  <si>
    <t>221115 AXLE</t>
  </si>
  <si>
    <t>W1C3</t>
  </si>
  <si>
    <t>3889770</t>
  </si>
  <si>
    <t>3971430</t>
  </si>
  <si>
    <t>3776372</t>
  </si>
  <si>
    <t>9145285</t>
  </si>
  <si>
    <t>3859999</t>
  </si>
  <si>
    <t>3885424</t>
  </si>
  <si>
    <t>3888778</t>
  </si>
  <si>
    <t>3854751</t>
  </si>
  <si>
    <t>3839924</t>
  </si>
  <si>
    <t>221119 F/D OIL</t>
  </si>
  <si>
    <t>220024 F/D OIL</t>
  </si>
  <si>
    <t>220004 F/D OIL / 221125 F/D OIL</t>
  </si>
  <si>
    <t>221110 F/D OIL</t>
  </si>
  <si>
    <t>9148248</t>
  </si>
  <si>
    <t>3927506</t>
  </si>
  <si>
    <t>3844072</t>
  </si>
  <si>
    <t>3884464</t>
  </si>
  <si>
    <t>3892364</t>
  </si>
  <si>
    <t>4017640</t>
  </si>
  <si>
    <t>9154141</t>
  </si>
  <si>
    <t>9154112</t>
  </si>
  <si>
    <t>9154781</t>
  </si>
  <si>
    <t>9154741</t>
  </si>
  <si>
    <t>9150048</t>
  </si>
  <si>
    <t>Radiator Clean - Summerisation (Modified) Version - To be completed on All Vehicles.
.
ONLY COMPLETE SECTIONS 1, 2, 3, 4, 6, 7, 8, 9 OF THE VMI - (DO NOT UNDERTAKE SECTION 5)
09-07-17 XW
Not done due to HVAC changes on the last 2 arrivals on Depot so no shed space</t>
  </si>
  <si>
    <t>9154742</t>
  </si>
  <si>
    <t>9154754</t>
  </si>
  <si>
    <t>9154763</t>
  </si>
  <si>
    <t>220027 PACK</t>
  </si>
  <si>
    <t>3917700</t>
  </si>
  <si>
    <t>3929043</t>
  </si>
  <si>
    <t>3924703</t>
  </si>
  <si>
    <t>4075876</t>
  </si>
  <si>
    <t>3657094</t>
  </si>
  <si>
    <t>9155382</t>
  </si>
  <si>
    <t>9156420</t>
  </si>
  <si>
    <t>9156372</t>
  </si>
  <si>
    <t>9155621</t>
  </si>
  <si>
    <t>9156415</t>
  </si>
  <si>
    <t>VIRGIN WC CLASS 221 SERVICE EXAM (NEW S1-S8) - Amended to include AIR FLOW MEASUREMENT POINT DATA (11/2016)</t>
  </si>
  <si>
    <t>9156373</t>
  </si>
  <si>
    <t>9156387</t>
  </si>
  <si>
    <t>9156395</t>
  </si>
  <si>
    <t>W1C1</t>
  </si>
  <si>
    <t>221125 T/T REQ</t>
  </si>
  <si>
    <t>3803581</t>
  </si>
  <si>
    <t>4110065</t>
  </si>
  <si>
    <t>3835765</t>
  </si>
  <si>
    <t>ARRIVA XC CLASS 221 SERVICE EXAM (NEW S1-S8) - Amended to include AIR FLOW MEASUREMENT POINT DATA (11/2016)</t>
  </si>
  <si>
    <t xml:space="preserve">221107 AXLE </t>
  </si>
  <si>
    <t>3869097</t>
  </si>
  <si>
    <t>9158918</t>
  </si>
  <si>
    <t>9158890</t>
  </si>
  <si>
    <t xml:space="preserve">220004 F/D OIL </t>
  </si>
  <si>
    <t>221123 F/D OIL</t>
  </si>
  <si>
    <t>220003 F/D OIL CHANGE</t>
  </si>
  <si>
    <t>220007 F/D OIL CHANGE</t>
  </si>
  <si>
    <t>220004 F/D OIL CHANGE</t>
  </si>
  <si>
    <t>220022 F/D OIL</t>
  </si>
  <si>
    <t>220026 AXLES / 220023 DAMPERS</t>
  </si>
  <si>
    <t>220004 ROOF EXAM REQ</t>
  </si>
  <si>
    <t>221125 W Exam</t>
  </si>
  <si>
    <t>221102 UAT</t>
  </si>
  <si>
    <t>3916947</t>
  </si>
  <si>
    <t>3873991</t>
  </si>
  <si>
    <t>9159567</t>
  </si>
  <si>
    <t>9159525</t>
  </si>
  <si>
    <t>9159549</t>
  </si>
  <si>
    <t>CLASS 221 MV5 POWER ON TASKS</t>
  </si>
  <si>
    <t>X1MV5 - P/ON</t>
  </si>
  <si>
    <t>9159526</t>
  </si>
  <si>
    <t>CLASS 221 MV5 ARRIVAL TASKS</t>
  </si>
  <si>
    <t>X1MV5 - ARRIVALS</t>
  </si>
  <si>
    <t>X1MV5</t>
  </si>
  <si>
    <t>9159540</t>
  </si>
  <si>
    <t>CLASS 221 MV5 POWER OFF TASKS</t>
  </si>
  <si>
    <t>X1MV5 - P/OFF</t>
  </si>
  <si>
    <t>221128
Traction</t>
  </si>
  <si>
    <t>220016 FRB (TRACTION)              220026 SUMMERISATION</t>
  </si>
  <si>
    <t>221139 SUMMERISATION</t>
  </si>
  <si>
    <t>221135 SUMEMRISATION</t>
  </si>
  <si>
    <t>220010 607 U1 HVAC CHANGE @ CT</t>
  </si>
  <si>
    <t>221119 603 U2 HVAC CHANGE @ CT</t>
  </si>
  <si>
    <t>220034 RAD CLEAN &amp; 607 U2 HVAC CHANGE @ CT</t>
  </si>
  <si>
    <t>220002 RAD CLEAN @ CT</t>
  </si>
  <si>
    <t>220030 RAD CLEAN @ CT</t>
  </si>
  <si>
    <t>220007 PACK 30K HOURS</t>
  </si>
  <si>
    <t>221119 609 PACK 30K HOURS</t>
  </si>
  <si>
    <t>221110 RAD CLEAN @ PC</t>
  </si>
  <si>
    <t>221142 RAD CLEAN @ PC</t>
  </si>
  <si>
    <t>221133 609 U2 HVAC ISOL CHANGE</t>
  </si>
  <si>
    <t xml:space="preserve">220001 F/D OIL </t>
  </si>
  <si>
    <t>220010 HVAC'S / 220032 F/D OIL</t>
  </si>
  <si>
    <t>221121
W Exam / 221130 AXLE</t>
  </si>
  <si>
    <t>221116 U.A.T.</t>
  </si>
  <si>
    <t>221127 U.A.T, x 4</t>
  </si>
  <si>
    <t>220009 PACK</t>
  </si>
  <si>
    <t>221105 AXLE</t>
  </si>
  <si>
    <t>221113 DECAL</t>
  </si>
  <si>
    <t>220034 PACK</t>
  </si>
  <si>
    <t>9161060</t>
  </si>
  <si>
    <t>9161030</t>
  </si>
  <si>
    <t>9162774</t>
  </si>
  <si>
    <t>9162767</t>
  </si>
  <si>
    <t>9162734</t>
  </si>
  <si>
    <t>9162690</t>
  </si>
  <si>
    <t>9164324</t>
  </si>
  <si>
    <t>9164317</t>
  </si>
  <si>
    <t>9161930</t>
  </si>
  <si>
    <t>9161923</t>
  </si>
  <si>
    <t>9163400</t>
  </si>
  <si>
    <t>W1S8A</t>
  </si>
  <si>
    <t>W1MV1</t>
  </si>
  <si>
    <t>X0S2A</t>
  </si>
  <si>
    <t>9162691</t>
  </si>
  <si>
    <t>VWC CLASS 221 MV1 ARRIVAL TASKS</t>
  </si>
  <si>
    <t>W1MV1 - ARRIVALS</t>
  </si>
  <si>
    <t>9162705</t>
  </si>
  <si>
    <t>VWC CLASS 221 MV1 POWER OFF TASKS</t>
  </si>
  <si>
    <t>W1MV1 - P/OFF</t>
  </si>
  <si>
    <t>9162715</t>
  </si>
  <si>
    <t>VWC CLASS 221 MV1 POWER ON TASKS</t>
  </si>
  <si>
    <t>W1MV1 - P/ON</t>
  </si>
  <si>
    <t>X1S4A</t>
  </si>
  <si>
    <t>3896192</t>
  </si>
  <si>
    <t>3942053</t>
  </si>
  <si>
    <t>3899278</t>
  </si>
  <si>
    <t>3910168</t>
  </si>
  <si>
    <t>9164616</t>
  </si>
  <si>
    <t>9164587</t>
  </si>
  <si>
    <t>4087608</t>
  </si>
  <si>
    <t>9166699</t>
  </si>
  <si>
    <t>9166671</t>
  </si>
  <si>
    <t>9165904</t>
  </si>
  <si>
    <t>9165896</t>
  </si>
  <si>
    <t>9165973</t>
  </si>
  <si>
    <t>9165945</t>
  </si>
  <si>
    <t>9166462</t>
  </si>
  <si>
    <t>9166426</t>
  </si>
  <si>
    <t>X0C2</t>
  </si>
  <si>
    <t>X0S1A</t>
  </si>
  <si>
    <t>ARRIVA XC CLASS 221 CORE EXAM (NEW C1-C4)</t>
  </si>
  <si>
    <t>X1C2</t>
  </si>
  <si>
    <t>3918895</t>
  </si>
  <si>
    <t>4103125</t>
  </si>
  <si>
    <t>3865602</t>
  </si>
  <si>
    <t>9166972</t>
  </si>
  <si>
    <t>9166942</t>
  </si>
  <si>
    <t>W1C2</t>
  </si>
  <si>
    <t>3811386</t>
  </si>
  <si>
    <t>221142 F/D OIL AXLE + DECALS</t>
  </si>
  <si>
    <t>221143 F/D OIL</t>
  </si>
  <si>
    <t>220018 Traction Motor 220032 COUPLER</t>
  </si>
  <si>
    <t>220015 AXLES+COUPLER</t>
  </si>
  <si>
    <t>221138 TOILET TANK</t>
  </si>
  <si>
    <t>220012 QR101</t>
  </si>
  <si>
    <t>221124 UAT
221129 FRB / 220006 PIM</t>
  </si>
  <si>
    <t>220031 AXLE + U.A.T. / 220012 PACK</t>
  </si>
  <si>
    <t>221130 609 U2 HVAC &amp; AXLE</t>
  </si>
  <si>
    <t xml:space="preserve">220033 AXLES / 220001 FRB </t>
  </si>
  <si>
    <t>221142 AXLE</t>
  </si>
  <si>
    <t>221140 607 U1 HVAC ISOL REPS /        220030 VERTICAL DAMPERS</t>
  </si>
  <si>
    <t xml:space="preserve">220007 PACK 30K HRS + F/D OIL </t>
  </si>
  <si>
    <t>221133 F/D OIL           221125 PACK</t>
  </si>
  <si>
    <t>9167568</t>
  </si>
  <si>
    <t>9168749</t>
  </si>
  <si>
    <t>9168709</t>
  </si>
  <si>
    <t>9168664</t>
  </si>
  <si>
    <t>9168626</t>
  </si>
  <si>
    <t>X1C4</t>
  </si>
  <si>
    <t>9168710</t>
  </si>
  <si>
    <t>9168722</t>
  </si>
  <si>
    <t>9168731</t>
  </si>
  <si>
    <t>3838579</t>
  </si>
  <si>
    <t>9168833</t>
  </si>
  <si>
    <t>9168802</t>
  </si>
  <si>
    <t>W1C4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</si>
</sst>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2">
    <numFmt numFmtId="164" formatCode="_(* #,##0.00_);_(* \(#,##0.00\);_(* &quot;-&quot;??_);_(@_)"/>
    <numFmt numFmtId="165" formatCode="d\-m"/>
    <numFmt numFmtId="166" formatCode="mmmm\ d\,\ yyyy"/>
    <numFmt numFmtId="167" formatCode="d\-mmm"/>
    <numFmt numFmtId="168" formatCode="dddd\,\ dd\ mmmm\,\ yyyy"/>
    <numFmt numFmtId="169" formatCode="ddd"/>
    <numFmt numFmtId="170" formatCode="m/d/yy\ h:mm\ AM/PM"/>
    <numFmt numFmtId="171" formatCode="0.0"/>
    <numFmt numFmtId="172" formatCode="[$-F400]h:mm:ss\ AM/PM"/>
    <numFmt numFmtId="173" formatCode="ddd\-dd\-mmm"/>
    <numFmt numFmtId="174" formatCode="ddd\ dd\-mmm"/>
    <numFmt numFmtId="175" formatCode="_-[$€]* #,##0.00_-;\-[$€]* #,##0.00_-;_-[$€]* &quot;-&quot;??_-;_-@_-"/>
    <numFmt numFmtId="176" formatCode="_-* #,##0_-;_-* #,##0\-;_-* &quot;-&quot;_-;_-@_-"/>
    <numFmt numFmtId="177" formatCode="_-* #,##0.00_-;_-* #,##0.00\-;_-* &quot;-&quot;??_-;_-@_-"/>
    <numFmt numFmtId="178" formatCode="_-* #,##0\ _€_-;\-* #,##0\ _€_-;_-* &quot;-&quot;\ _€_-;_-@_-"/>
    <numFmt numFmtId="179" formatCode="_-* #,##0.00\ _€_-;\-* #,##0.00\ _€_-;_-* &quot;-&quot;??\ _€_-;_-@_-"/>
    <numFmt numFmtId="180" formatCode="_-* #,##0\ &quot;€&quot;_-;\-* #,##0\ &quot;€&quot;_-;_-* &quot;-&quot;\ &quot;€&quot;_-;_-@_-"/>
    <numFmt numFmtId="181" formatCode="_-* #,##0.00\ &quot;€&quot;_-;\-* #,##0.00\ &quot;€&quot;_-;_-* &quot;-&quot;??\ &quot;€&quot;_-;_-@_-"/>
    <numFmt numFmtId="182" formatCode="_-&quot;fl&quot;\ * #,##0_-;_-&quot;fl&quot;\ * #,##0\-;_-&quot;fl&quot;\ * &quot;-&quot;_-;_-@_-"/>
    <numFmt numFmtId="183" formatCode="_-&quot;fl&quot;\ * #,##0.00_-;_-&quot;fl&quot;\ * #,##0.00\-;_-&quot;fl&quot;\ * &quot;-&quot;??_-;_-@_-"/>
    <numFmt numFmtId="184" formatCode="&quot;N$&quot;\ #,##0_);[Red]\(&quot;N$&quot;\ #,##0\)"/>
    <numFmt numFmtId="185" formatCode="&quot;N$&quot;\ #,##0.00_);[Red]\(&quot;N$&quot;\ #,##0.00\)"/>
  </numFmts>
  <fonts count="116">
    <font>
      <sz val="10"/>
      <name val="Arial"/>
    </font>
    <font>
      <sz val="10"/>
      <name val="Arial"/>
      <family val="2"/>
    </font>
    <font>
      <b/>
      <sz val="10"/>
      <name val="Arial"/>
      <family val="2"/>
    </font>
    <font>
      <u/>
      <sz val="10"/>
      <color indexed="12"/>
      <name val="Arial"/>
      <family val="2"/>
    </font>
    <font>
      <b/>
      <sz val="16"/>
      <name val="Arial"/>
      <family val="2"/>
    </font>
    <font>
      <u/>
      <sz val="10"/>
      <color indexed="36"/>
      <name val="Arial"/>
      <family val="2"/>
    </font>
    <font>
      <sz val="8"/>
      <name val="David Transparent"/>
      <charset val="177"/>
    </font>
    <font>
      <sz val="10"/>
      <color indexed="55"/>
      <name val="David Transparent"/>
      <charset val="177"/>
    </font>
    <font>
      <sz val="10"/>
      <name val="David Transparent"/>
      <charset val="177"/>
    </font>
    <font>
      <sz val="8"/>
      <color indexed="55"/>
      <name val="David Transparent"/>
      <charset val="177"/>
    </font>
    <font>
      <sz val="8"/>
      <name val="Arial"/>
      <family val="2"/>
    </font>
    <font>
      <sz val="9"/>
      <name val="Arial Narrow"/>
      <family val="2"/>
    </font>
    <font>
      <b/>
      <sz val="12"/>
      <name val="Arial"/>
      <family val="2"/>
    </font>
    <font>
      <sz val="12"/>
      <name val="David Transparent"/>
      <charset val="177"/>
    </font>
    <font>
      <b/>
      <sz val="10"/>
      <color indexed="9"/>
      <name val="Arial"/>
      <family val="2"/>
    </font>
    <font>
      <b/>
      <u/>
      <sz val="12"/>
      <name val="Arial"/>
      <family val="2"/>
    </font>
    <font>
      <sz val="10"/>
      <name val="Arial Narrow"/>
      <family val="2"/>
    </font>
    <font>
      <sz val="9"/>
      <name val="Arial"/>
      <family val="2"/>
    </font>
    <font>
      <b/>
      <sz val="9"/>
      <name val="Arial"/>
      <family val="2"/>
    </font>
    <font>
      <sz val="9"/>
      <name val="Arial"/>
      <family val="2"/>
    </font>
    <font>
      <b/>
      <sz val="10"/>
      <name val="David Transparent"/>
      <charset val="177"/>
    </font>
    <font>
      <b/>
      <sz val="18"/>
      <name val="Arial"/>
      <family val="2"/>
    </font>
    <font>
      <b/>
      <sz val="20"/>
      <name val="Arial"/>
      <family val="2"/>
    </font>
    <font>
      <sz val="16"/>
      <color indexed="81"/>
      <name val="Tahoma"/>
      <family val="2"/>
    </font>
    <font>
      <sz val="8"/>
      <color indexed="81"/>
      <name val="Tahoma"/>
      <family val="2"/>
    </font>
    <font>
      <b/>
      <sz val="16"/>
      <color indexed="10"/>
      <name val="Times New Roman"/>
      <family val="1"/>
    </font>
    <font>
      <b/>
      <vertAlign val="superscript"/>
      <sz val="16"/>
      <color indexed="10"/>
      <name val="Times New Roman"/>
      <family val="1"/>
    </font>
    <font>
      <sz val="8"/>
      <name val="Arial Narrow"/>
      <family val="2"/>
    </font>
    <font>
      <sz val="12"/>
      <name val="Arial"/>
      <family val="2"/>
    </font>
    <font>
      <sz val="16"/>
      <color indexed="45"/>
      <name val="Arial"/>
      <family val="2"/>
    </font>
    <font>
      <b/>
      <sz val="8"/>
      <color indexed="81"/>
      <name val="Tahoma"/>
      <family val="2"/>
    </font>
    <font>
      <sz val="10"/>
      <color indexed="10"/>
      <name val="Arial"/>
      <family val="2"/>
    </font>
    <font>
      <sz val="10"/>
      <name val="David Transparent"/>
      <charset val="177"/>
    </font>
    <font>
      <b/>
      <sz val="8"/>
      <color indexed="55"/>
      <name val="David Transparent"/>
      <charset val="177"/>
    </font>
    <font>
      <sz val="10"/>
      <name val="Arial"/>
      <family val="2"/>
    </font>
    <font>
      <b/>
      <sz val="11"/>
      <name val="Arial"/>
      <family val="2"/>
    </font>
    <font>
      <b/>
      <sz val="9"/>
      <color indexed="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color indexed="8"/>
      <name val="Arial"/>
      <family val="2"/>
    </font>
    <font>
      <sz val="11"/>
      <color indexed="8"/>
      <name val="Calibri"/>
      <family val="2"/>
    </font>
    <font>
      <b/>
      <sz val="11"/>
      <color indexed="8"/>
      <name val="Calibri"/>
      <family val="2"/>
    </font>
    <font>
      <b/>
      <sz val="9"/>
      <color indexed="9"/>
      <name val="Arial"/>
      <family val="2"/>
    </font>
    <font>
      <b/>
      <sz val="10"/>
      <color indexed="9"/>
      <name val="Arial"/>
      <family val="2"/>
    </font>
    <font>
      <sz val="9"/>
      <color indexed="8"/>
      <name val="Arial"/>
      <family val="2"/>
    </font>
    <font>
      <sz val="10"/>
      <color indexed="8"/>
      <name val="Arial"/>
      <family val="2"/>
    </font>
    <font>
      <b/>
      <sz val="11"/>
      <color indexed="8"/>
      <name val="Calibri"/>
      <family val="2"/>
    </font>
    <font>
      <sz val="11"/>
      <color indexed="8"/>
      <name val="Calibri"/>
      <family val="2"/>
    </font>
    <font>
      <sz val="10"/>
      <color indexed="9"/>
      <name val="Arial"/>
      <family val="2"/>
    </font>
    <font>
      <b/>
      <sz val="10"/>
      <color indexed="8"/>
      <name val="Calibri"/>
      <family val="2"/>
    </font>
    <font>
      <sz val="10"/>
      <color indexed="8"/>
      <name val="Calibri"/>
      <family val="2"/>
    </font>
    <font>
      <sz val="9"/>
      <color indexed="9"/>
      <name val="Arial"/>
      <family val="2"/>
    </font>
    <font>
      <sz val="9"/>
      <color indexed="10"/>
      <name val="Arial"/>
      <family val="2"/>
    </font>
    <font>
      <b/>
      <sz val="11"/>
      <color indexed="8"/>
      <name val="Arial"/>
      <family val="2"/>
    </font>
    <font>
      <sz val="10"/>
      <color indexed="8"/>
      <name val="Times New Roman"/>
      <family val="2"/>
    </font>
    <font>
      <sz val="10"/>
      <color indexed="9"/>
      <name val="Times New Roman"/>
      <family val="2"/>
    </font>
    <font>
      <sz val="10"/>
      <color indexed="20"/>
      <name val="Times New Roman"/>
      <family val="2"/>
    </font>
    <font>
      <b/>
      <sz val="10"/>
      <color indexed="52"/>
      <name val="Times New Roman"/>
      <family val="2"/>
    </font>
    <font>
      <b/>
      <sz val="10"/>
      <color indexed="9"/>
      <name val="Times New Roman"/>
      <family val="2"/>
    </font>
    <font>
      <sz val="10"/>
      <name val="Geneva"/>
      <family val="2"/>
    </font>
    <font>
      <i/>
      <sz val="10"/>
      <color indexed="23"/>
      <name val="Times New Roman"/>
      <family val="2"/>
    </font>
    <font>
      <sz val="10"/>
      <color indexed="17"/>
      <name val="Times New Roman"/>
      <family val="2"/>
    </font>
    <font>
      <b/>
      <sz val="15"/>
      <color indexed="8"/>
      <name val="Calibri"/>
      <family val="2"/>
    </font>
    <font>
      <b/>
      <sz val="15"/>
      <color indexed="56"/>
      <name val="Times New Roman"/>
      <family val="2"/>
    </font>
    <font>
      <b/>
      <sz val="13"/>
      <color indexed="8"/>
      <name val="Calibri"/>
      <family val="2"/>
    </font>
    <font>
      <b/>
      <sz val="13"/>
      <color indexed="56"/>
      <name val="Times New Roman"/>
      <family val="2"/>
    </font>
    <font>
      <b/>
      <sz val="11"/>
      <color indexed="56"/>
      <name val="Times New Roman"/>
      <family val="2"/>
    </font>
    <font>
      <sz val="10"/>
      <color indexed="62"/>
      <name val="Times New Roman"/>
      <family val="2"/>
    </font>
    <font>
      <sz val="10"/>
      <color indexed="52"/>
      <name val="Times New Roman"/>
      <family val="2"/>
    </font>
    <font>
      <sz val="10"/>
      <color indexed="60"/>
      <name val="Times New Roman"/>
      <family val="2"/>
    </font>
    <font>
      <b/>
      <sz val="10"/>
      <color indexed="63"/>
      <name val="Times New Roman"/>
      <family val="2"/>
    </font>
    <font>
      <b/>
      <sz val="10"/>
      <color indexed="8"/>
      <name val="Arial"/>
      <family val="2"/>
    </font>
    <font>
      <b/>
      <sz val="10"/>
      <color indexed="39"/>
      <name val="Arial"/>
      <family val="2"/>
    </font>
    <font>
      <b/>
      <sz val="12"/>
      <color indexed="8"/>
      <name val="Arial"/>
      <family val="2"/>
    </font>
    <font>
      <sz val="10"/>
      <color indexed="39"/>
      <name val="Arial"/>
      <family val="2"/>
    </font>
    <font>
      <sz val="19"/>
      <color indexed="48"/>
      <name val="Arial"/>
      <family val="2"/>
    </font>
    <font>
      <sz val="10"/>
      <name val="MS Sans Serif"/>
      <family val="2"/>
    </font>
    <font>
      <b/>
      <i/>
      <sz val="12"/>
      <color indexed="10"/>
      <name val="Times New Roman"/>
      <family val="1"/>
    </font>
    <font>
      <b/>
      <sz val="18"/>
      <color indexed="8"/>
      <name val="Cambria"/>
      <family val="2"/>
    </font>
    <font>
      <b/>
      <sz val="10"/>
      <color indexed="8"/>
      <name val="Times New Roman"/>
      <family val="2"/>
    </font>
    <font>
      <sz val="10"/>
      <color indexed="10"/>
      <name val="Times New Roman"/>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11"/>
      <color theme="10"/>
      <name val="Calibri"/>
      <family val="2"/>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0"/>
      <color rgb="FF000000"/>
      <name val="Arial"/>
      <family val="2"/>
    </font>
  </fonts>
  <fills count="86">
    <fill>
      <patternFill patternType="none"/>
    </fill>
    <fill>
      <patternFill patternType="gray125"/>
    </fill>
    <fill>
      <patternFill patternType="solid">
        <fgColor indexed="31"/>
      </patternFill>
    </fill>
    <fill>
      <patternFill patternType="solid">
        <fgColor indexed="9"/>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5"/>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23"/>
      </patternFill>
    </fill>
    <fill>
      <patternFill patternType="solid">
        <fgColor indexed="53"/>
      </patternFill>
    </fill>
    <fill>
      <patternFill patternType="solid">
        <fgColor indexed="63"/>
      </patternFill>
    </fill>
    <fill>
      <patternFill patternType="solid">
        <fgColor indexed="22"/>
        <bgColor indexed="64"/>
      </patternFill>
    </fill>
    <fill>
      <patternFill patternType="solid">
        <fgColor indexed="43"/>
        <bgColor indexed="64"/>
      </patternFill>
    </fill>
    <fill>
      <patternFill patternType="solid">
        <fgColor indexed="9"/>
        <bgColor indexed="64"/>
      </patternFill>
    </fill>
    <fill>
      <patternFill patternType="solid">
        <fgColor indexed="57"/>
        <bgColor indexed="64"/>
      </patternFill>
    </fill>
    <fill>
      <patternFill patternType="solid">
        <fgColor indexed="31"/>
        <bgColor indexed="64"/>
      </patternFill>
    </fill>
    <fill>
      <patternFill patternType="solid">
        <fgColor indexed="43"/>
      </patternFill>
    </fill>
    <fill>
      <patternFill patternType="solid">
        <fgColor indexed="26"/>
      </patternFill>
    </fill>
    <fill>
      <patternFill patternType="solid">
        <fgColor indexed="40"/>
        <bgColor indexed="64"/>
      </patternFill>
    </fill>
    <fill>
      <patternFill patternType="solid">
        <fgColor indexed="50"/>
      </patternFill>
    </fill>
    <fill>
      <patternFill patternType="lightUp">
        <fgColor indexed="48"/>
        <bgColor indexed="41"/>
      </patternFill>
    </fill>
    <fill>
      <patternFill patternType="solid">
        <fgColor indexed="41"/>
      </patternFill>
    </fill>
    <fill>
      <patternFill patternType="solid">
        <fgColor indexed="54"/>
        <bgColor indexed="64"/>
      </patternFill>
    </fill>
    <fill>
      <patternFill patternType="solid">
        <fgColor indexed="40"/>
      </patternFill>
    </fill>
    <fill>
      <patternFill patternType="solid">
        <fgColor indexed="44"/>
        <bgColor indexed="64"/>
      </patternFill>
    </fill>
    <fill>
      <patternFill patternType="solid">
        <fgColor indexed="41"/>
        <bgColor indexed="64"/>
      </patternFill>
    </fill>
    <fill>
      <patternFill patternType="solid">
        <fgColor indexed="26"/>
        <bgColor indexed="64"/>
      </patternFill>
    </fill>
    <fill>
      <patternFill patternType="solid">
        <fgColor indexed="15"/>
      </patternFill>
    </fill>
    <fill>
      <patternFill patternType="solid">
        <fgColor indexed="10"/>
        <bgColor indexed="64"/>
      </patternFill>
    </fill>
    <fill>
      <patternFill patternType="solid">
        <fgColor indexed="46"/>
        <bgColor indexed="64"/>
      </patternFill>
    </fill>
    <fill>
      <patternFill patternType="solid">
        <fgColor indexed="52"/>
        <bgColor indexed="64"/>
      </patternFill>
    </fill>
    <fill>
      <patternFill patternType="lightGray">
        <bgColor indexed="46"/>
      </patternFill>
    </fill>
    <fill>
      <patternFill patternType="solid">
        <fgColor indexed="45"/>
        <bgColor indexed="64"/>
      </patternFill>
    </fill>
    <fill>
      <patternFill patternType="lightGray">
        <bgColor indexed="45"/>
      </patternFill>
    </fill>
    <fill>
      <patternFill patternType="solid">
        <fgColor indexed="55"/>
        <bgColor indexed="64"/>
      </patternFill>
    </fill>
    <fill>
      <patternFill patternType="solid">
        <fgColor indexed="8"/>
        <bgColor indexed="8"/>
      </patternFill>
    </fill>
    <fill>
      <patternFill patternType="solid">
        <fgColor indexed="22"/>
        <bgColor indexed="22"/>
      </patternFill>
    </fill>
    <fill>
      <patternFill patternType="solid">
        <fgColor indexed="42"/>
        <bgColor indexed="64"/>
      </patternFill>
    </fill>
    <fill>
      <patternFill patternType="solid">
        <fgColor indexed="13"/>
        <bgColor indexed="64"/>
      </patternFill>
    </fill>
    <fill>
      <patternFill patternType="solid">
        <fgColor indexed="51"/>
        <bgColor indexed="64"/>
      </patternFill>
    </fill>
    <fill>
      <patternFill patternType="solid">
        <fgColor indexed="50"/>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s>
  <borders count="21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thick">
        <color indexed="9"/>
      </bottom>
      <diagonal/>
    </border>
    <border>
      <left/>
      <right/>
      <top/>
      <bottom style="medium">
        <color indexed="30"/>
      </bottom>
      <diagonal/>
    </border>
    <border>
      <left/>
      <right/>
      <top/>
      <bottom style="medium">
        <color indexed="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medium">
        <color indexed="22"/>
      </left>
      <right style="medium">
        <color indexed="22"/>
      </right>
      <top style="medium">
        <color indexed="22"/>
      </top>
      <bottom style="medium">
        <color indexed="22"/>
      </bottom>
      <diagonal/>
    </border>
    <border>
      <left style="medium">
        <color indexed="64"/>
      </left>
      <right style="medium">
        <color indexed="64"/>
      </right>
      <top style="medium">
        <color indexed="64"/>
      </top>
      <bottom style="medium">
        <color indexed="23"/>
      </bottom>
      <diagonal/>
    </border>
    <border>
      <left/>
      <right/>
      <top style="thin">
        <color indexed="62"/>
      </top>
      <bottom style="double">
        <color indexed="62"/>
      </bottom>
      <diagonal/>
    </border>
    <border>
      <left/>
      <right/>
      <top style="thin">
        <color indexed="22"/>
      </top>
      <bottom style="double">
        <color indexed="22"/>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style="thin">
        <color indexed="64"/>
      </right>
      <top style="dashDotDot">
        <color indexed="64"/>
      </top>
      <bottom style="dotted">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thin">
        <color indexed="64"/>
      </bottom>
      <diagonal/>
    </border>
    <border>
      <left/>
      <right/>
      <top style="thick">
        <color indexed="64"/>
      </top>
      <bottom style="thick">
        <color indexed="64"/>
      </bottom>
      <diagonal/>
    </border>
    <border>
      <left/>
      <right style="thin">
        <color indexed="64"/>
      </right>
      <top style="thick">
        <color indexed="64"/>
      </top>
      <bottom style="thick">
        <color indexed="64"/>
      </bottom>
      <diagonal/>
    </border>
    <border>
      <left style="thin">
        <color indexed="64"/>
      </left>
      <right style="thin">
        <color indexed="64"/>
      </right>
      <top style="medium">
        <color indexed="64"/>
      </top>
      <bottom/>
      <diagonal/>
    </border>
    <border>
      <left style="thin">
        <color indexed="64"/>
      </left>
      <right style="thin">
        <color indexed="64"/>
      </right>
      <top style="thick">
        <color indexed="64"/>
      </top>
      <bottom style="thick">
        <color indexed="64"/>
      </bottom>
      <diagonal/>
    </border>
    <border>
      <left style="thin">
        <color indexed="64"/>
      </left>
      <right/>
      <top style="thin">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right/>
      <top style="thick">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ck">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thin">
        <color indexed="64"/>
      </right>
      <top style="thick">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style="medium">
        <color indexed="64"/>
      </top>
      <bottom/>
      <diagonal/>
    </border>
    <border>
      <left/>
      <right style="thin">
        <color indexed="64"/>
      </right>
      <top style="thin">
        <color indexed="64"/>
      </top>
      <bottom style="thick">
        <color indexed="64"/>
      </bottom>
      <diagonal/>
    </border>
    <border>
      <left style="thin">
        <color indexed="64"/>
      </left>
      <right/>
      <top style="thick">
        <color indexed="64"/>
      </top>
      <bottom/>
      <diagonal/>
    </border>
    <border>
      <left style="thick">
        <color indexed="64"/>
      </left>
      <right style="thick">
        <color indexed="64"/>
      </right>
      <top style="thick">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bottom/>
      <diagonal/>
    </border>
    <border>
      <left/>
      <right style="medium">
        <color indexed="64"/>
      </right>
      <top/>
      <bottom style="medium">
        <color indexed="64"/>
      </bottom>
      <diagonal/>
    </border>
    <border>
      <left style="medium">
        <color indexed="64"/>
      </left>
      <right/>
      <top/>
      <bottom/>
      <diagonal/>
    </border>
    <border>
      <left style="thick">
        <color indexed="64"/>
      </left>
      <right style="thick">
        <color indexed="64"/>
      </right>
      <top style="medium">
        <color indexed="64"/>
      </top>
      <bottom style="thick">
        <color indexed="64"/>
      </bottom>
      <diagonal/>
    </border>
    <border>
      <left style="thick">
        <color indexed="64"/>
      </left>
      <right style="thick">
        <color indexed="64"/>
      </right>
      <top style="thick">
        <color indexed="64"/>
      </top>
      <bottom style="thick">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22"/>
      </bottom>
      <diagonal/>
    </border>
    <border>
      <left style="medium">
        <color indexed="64"/>
      </left>
      <right style="medium">
        <color indexed="64"/>
      </right>
      <top style="thin">
        <color indexed="22"/>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23"/>
      </bottom>
      <diagonal/>
    </border>
    <border>
      <left style="medium">
        <color indexed="64"/>
      </left>
      <right style="medium">
        <color indexed="64"/>
      </right>
      <top style="thin">
        <color indexed="23"/>
      </top>
      <bottom style="thin">
        <color indexed="23"/>
      </bottom>
      <diagonal/>
    </border>
    <border>
      <left/>
      <right style="thin">
        <color indexed="64"/>
      </right>
      <top style="thin">
        <color indexed="23"/>
      </top>
      <bottom style="thin">
        <color indexed="23"/>
      </bottom>
      <diagonal/>
    </border>
    <border>
      <left style="thin">
        <color indexed="64"/>
      </left>
      <right/>
      <top style="thin">
        <color indexed="23"/>
      </top>
      <bottom style="thin">
        <color indexed="23"/>
      </bottom>
      <diagonal/>
    </border>
    <border>
      <left style="medium">
        <color indexed="64"/>
      </left>
      <right style="thin">
        <color indexed="64"/>
      </right>
      <top style="thin">
        <color indexed="23"/>
      </top>
      <bottom style="thin">
        <color indexed="23"/>
      </bottom>
      <diagonal/>
    </border>
    <border>
      <left style="thin">
        <color indexed="64"/>
      </left>
      <right style="thin">
        <color indexed="64"/>
      </right>
      <top style="thin">
        <color indexed="23"/>
      </top>
      <bottom style="thin">
        <color indexed="23"/>
      </bottom>
      <diagonal/>
    </border>
    <border>
      <left style="thin">
        <color indexed="64"/>
      </left>
      <right style="medium">
        <color indexed="64"/>
      </right>
      <top style="thin">
        <color indexed="23"/>
      </top>
      <bottom style="thin">
        <color indexed="23"/>
      </bottom>
      <diagonal/>
    </border>
    <border>
      <left style="medium">
        <color indexed="64"/>
      </left>
      <right style="medium">
        <color indexed="64"/>
      </right>
      <top style="thin">
        <color indexed="23"/>
      </top>
      <bottom/>
      <diagonal/>
    </border>
    <border>
      <left/>
      <right style="thin">
        <color indexed="64"/>
      </right>
      <top style="thin">
        <color indexed="23"/>
      </top>
      <bottom/>
      <diagonal/>
    </border>
    <border>
      <left style="thin">
        <color indexed="64"/>
      </left>
      <right/>
      <top style="thin">
        <color indexed="23"/>
      </top>
      <bottom/>
      <diagonal/>
    </border>
    <border>
      <left style="medium">
        <color indexed="64"/>
      </left>
      <right style="thin">
        <color indexed="64"/>
      </right>
      <top style="thin">
        <color indexed="23"/>
      </top>
      <bottom/>
      <diagonal/>
    </border>
    <border>
      <left style="thin">
        <color indexed="64"/>
      </left>
      <right style="thin">
        <color indexed="64"/>
      </right>
      <top style="thin">
        <color indexed="23"/>
      </top>
      <bottom/>
      <diagonal/>
    </border>
    <border>
      <left style="thin">
        <color indexed="64"/>
      </left>
      <right style="medium">
        <color indexed="64"/>
      </right>
      <top style="thin">
        <color indexed="23"/>
      </top>
      <bottom/>
      <diagonal/>
    </border>
    <border>
      <left/>
      <right style="thin">
        <color indexed="64"/>
      </right>
      <top/>
      <bottom style="thin">
        <color indexed="23"/>
      </bottom>
      <diagonal/>
    </border>
    <border>
      <left style="thin">
        <color indexed="64"/>
      </left>
      <right/>
      <top/>
      <bottom style="thin">
        <color indexed="23"/>
      </bottom>
      <diagonal/>
    </border>
    <border>
      <left style="medium">
        <color indexed="64"/>
      </left>
      <right style="thin">
        <color indexed="64"/>
      </right>
      <top/>
      <bottom style="thin">
        <color indexed="23"/>
      </bottom>
      <diagonal/>
    </border>
    <border>
      <left style="thin">
        <color indexed="64"/>
      </left>
      <right style="thin">
        <color indexed="64"/>
      </right>
      <top/>
      <bottom style="thin">
        <color indexed="23"/>
      </bottom>
      <diagonal/>
    </border>
    <border>
      <left style="thin">
        <color indexed="64"/>
      </left>
      <right style="medium">
        <color indexed="64"/>
      </right>
      <top/>
      <bottom style="thin">
        <color indexed="23"/>
      </bottom>
      <diagonal/>
    </border>
    <border>
      <left style="medium">
        <color indexed="64"/>
      </left>
      <right style="medium">
        <color indexed="64"/>
      </right>
      <top/>
      <bottom style="thin">
        <color indexed="23"/>
      </bottom>
      <diagonal/>
    </border>
    <border>
      <left style="medium">
        <color indexed="64"/>
      </left>
      <right style="medium">
        <color indexed="64"/>
      </right>
      <top style="thin">
        <color indexed="23"/>
      </top>
      <bottom style="thin">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thin">
        <color indexed="64"/>
      </top>
      <bottom style="thin">
        <color indexed="22"/>
      </bottom>
      <diagonal/>
    </border>
    <border>
      <left/>
      <right/>
      <top style="thick">
        <color indexed="64"/>
      </top>
      <bottom/>
      <diagonal/>
    </border>
    <border>
      <left/>
      <right/>
      <top style="medium">
        <color indexed="64"/>
      </top>
      <bottom/>
      <diagonal/>
    </border>
    <border>
      <left style="thin">
        <color indexed="64"/>
      </left>
      <right style="thin">
        <color indexed="64"/>
      </right>
      <top/>
      <bottom style="dotted">
        <color indexed="64"/>
      </bottom>
      <diagonal/>
    </border>
    <border>
      <left/>
      <right/>
      <top style="thin">
        <color indexed="8"/>
      </top>
      <bottom style="thin">
        <color indexed="8"/>
      </bottom>
      <diagonal/>
    </border>
    <border>
      <left style="medium">
        <color indexed="64"/>
      </left>
      <right/>
      <top style="thin">
        <color indexed="8"/>
      </top>
      <bottom style="thin">
        <color indexed="8"/>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thick">
        <color indexed="64"/>
      </top>
      <bottom/>
      <diagonal/>
    </border>
    <border>
      <left style="medium">
        <color indexed="64"/>
      </left>
      <right style="thin">
        <color indexed="64"/>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22"/>
      </left>
      <right style="thin">
        <color indexed="22"/>
      </right>
      <top/>
      <bottom/>
      <diagonal/>
    </border>
    <border>
      <left style="thin">
        <color indexed="64"/>
      </left>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bottom style="dotted">
        <color indexed="64"/>
      </bottom>
      <diagonal/>
    </border>
    <border>
      <left style="thin">
        <color indexed="64"/>
      </left>
      <right style="thin">
        <color indexed="64"/>
      </right>
      <top style="thin">
        <color indexed="64"/>
      </top>
      <bottom style="dashDot">
        <color indexed="64"/>
      </bottom>
      <diagonal/>
    </border>
    <border>
      <left style="medium">
        <color indexed="64"/>
      </left>
      <right style="thin">
        <color indexed="64"/>
      </right>
      <top style="dashDot">
        <color indexed="64"/>
      </top>
      <bottom style="medium">
        <color indexed="64"/>
      </bottom>
      <diagonal/>
    </border>
    <border>
      <left/>
      <right/>
      <top style="dashDot">
        <color indexed="64"/>
      </top>
      <bottom style="medium">
        <color indexed="64"/>
      </bottom>
      <diagonal/>
    </border>
    <border>
      <left style="thin">
        <color indexed="64"/>
      </left>
      <right style="thin">
        <color indexed="64"/>
      </right>
      <top style="dashDot">
        <color indexed="64"/>
      </top>
      <bottom style="medium">
        <color indexed="64"/>
      </bottom>
      <diagonal/>
    </border>
    <border>
      <left/>
      <right style="thin">
        <color indexed="64"/>
      </right>
      <top style="dashDot">
        <color indexed="64"/>
      </top>
      <bottom style="thick">
        <color indexed="64"/>
      </bottom>
      <diagonal/>
    </border>
    <border>
      <left style="medium">
        <color indexed="64"/>
      </left>
      <right style="medium">
        <color indexed="64"/>
      </right>
      <top/>
      <bottom style="thin">
        <color indexed="64"/>
      </bottom>
      <diagonal/>
    </border>
    <border>
      <left style="medium">
        <color indexed="64"/>
      </left>
      <right style="thin">
        <color indexed="64"/>
      </right>
      <top style="thin">
        <color indexed="64"/>
      </top>
      <bottom style="dashDot">
        <color indexed="64"/>
      </bottom>
      <diagonal/>
    </border>
    <border>
      <left style="medium">
        <color indexed="64"/>
      </left>
      <right style="thin">
        <color indexed="64"/>
      </right>
      <top style="dashDotDot">
        <color indexed="64"/>
      </top>
      <bottom style="medium">
        <color indexed="64"/>
      </bottom>
      <diagonal/>
    </border>
    <border>
      <left style="thin">
        <color indexed="64"/>
      </left>
      <right style="thin">
        <color indexed="64"/>
      </right>
      <top style="dashDotDot">
        <color indexed="64"/>
      </top>
      <bottom style="medium">
        <color indexed="64"/>
      </bottom>
      <diagonal/>
    </border>
    <border>
      <left style="medium">
        <color indexed="64"/>
      </left>
      <right style="thin">
        <color indexed="64"/>
      </right>
      <top style="medium">
        <color indexed="64"/>
      </top>
      <bottom/>
      <diagonal/>
    </border>
    <border>
      <left/>
      <right style="thin">
        <color indexed="8"/>
      </right>
      <top style="thin">
        <color indexed="64"/>
      </top>
      <bottom style="thin">
        <color indexed="64"/>
      </bottom>
      <diagonal/>
    </border>
    <border>
      <left style="thin">
        <color indexed="64"/>
      </left>
      <right style="thick">
        <color indexed="64"/>
      </right>
      <top style="thin">
        <color indexed="64"/>
      </top>
      <bottom style="dashDot">
        <color indexed="64"/>
      </bottom>
      <diagonal/>
    </border>
    <border>
      <left style="thin">
        <color indexed="64"/>
      </left>
      <right style="thick">
        <color indexed="64"/>
      </right>
      <top/>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style="thick">
        <color indexed="64"/>
      </top>
      <bottom/>
      <diagonal/>
    </border>
    <border>
      <left style="thin">
        <color indexed="64"/>
      </left>
      <right/>
      <top style="thin">
        <color indexed="64"/>
      </top>
      <bottom style="dashDot">
        <color indexed="64"/>
      </bottom>
      <diagonal/>
    </border>
    <border>
      <left/>
      <right/>
      <top/>
      <bottom style="dotted">
        <color indexed="64"/>
      </bottom>
      <diagonal/>
    </border>
    <border>
      <left/>
      <right/>
      <top style="dashDotDot">
        <color indexed="64"/>
      </top>
      <bottom style="medium">
        <color indexed="64"/>
      </bottom>
      <diagonal/>
    </border>
    <border>
      <left/>
      <right/>
      <top/>
      <bottom style="medium">
        <color indexed="64"/>
      </bottom>
      <diagonal/>
    </border>
    <border>
      <left style="thin">
        <color indexed="64"/>
      </left>
      <right/>
      <top style="dashDot">
        <color indexed="64"/>
      </top>
      <bottom style="thick">
        <color indexed="64"/>
      </bottom>
      <diagonal/>
    </border>
    <border>
      <left style="thin">
        <color indexed="64"/>
      </left>
      <right style="thick">
        <color indexed="64"/>
      </right>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bottom style="dotted">
        <color indexed="64"/>
      </bottom>
      <diagonal/>
    </border>
    <border>
      <left style="thin">
        <color indexed="64"/>
      </left>
      <right style="thick">
        <color indexed="64"/>
      </right>
      <top style="thick">
        <color indexed="64"/>
      </top>
      <bottom style="thick">
        <color indexed="64"/>
      </bottom>
      <diagonal/>
    </border>
    <border>
      <left style="thin">
        <color indexed="64"/>
      </left>
      <right style="thick">
        <color indexed="64"/>
      </right>
      <top style="dashDotDot">
        <color indexed="64"/>
      </top>
      <bottom style="dotted">
        <color indexed="64"/>
      </bottom>
      <diagonal/>
    </border>
    <border>
      <left/>
      <right style="thick">
        <color indexed="64"/>
      </right>
      <top/>
      <bottom/>
      <diagonal/>
    </border>
    <border>
      <left style="thin">
        <color indexed="64"/>
      </left>
      <right style="thick">
        <color indexed="64"/>
      </right>
      <top style="dashDot">
        <color indexed="64"/>
      </top>
      <bottom style="thick">
        <color indexed="64"/>
      </bottom>
      <diagonal/>
    </border>
    <border>
      <left style="thick">
        <color indexed="64"/>
      </left>
      <right style="thin">
        <color indexed="64"/>
      </right>
      <top/>
      <bottom style="thin">
        <color indexed="64"/>
      </bottom>
      <diagonal/>
    </border>
    <border>
      <left style="thick">
        <color indexed="64"/>
      </left>
      <right/>
      <top style="thin">
        <color indexed="64"/>
      </top>
      <bottom style="thin">
        <color indexed="64"/>
      </bottom>
      <diagonal/>
    </border>
    <border>
      <left style="thick">
        <color indexed="64"/>
      </left>
      <right/>
      <top/>
      <bottom/>
      <diagonal/>
    </border>
    <border>
      <left style="thick">
        <color indexed="64"/>
      </left>
      <right style="thin">
        <color indexed="64"/>
      </right>
      <top style="thin">
        <color indexed="64"/>
      </top>
      <bottom style="dashDot">
        <color indexed="64"/>
      </bottom>
      <diagonal/>
    </border>
    <border>
      <left style="thick">
        <color indexed="64"/>
      </left>
      <right style="thin">
        <color indexed="64"/>
      </right>
      <top/>
      <bottom style="dotted">
        <color indexed="64"/>
      </bottom>
      <diagonal/>
    </border>
    <border>
      <left style="thick">
        <color indexed="64"/>
      </left>
      <right style="thin">
        <color indexed="64"/>
      </right>
      <top style="thick">
        <color indexed="64"/>
      </top>
      <bottom style="thick">
        <color indexed="64"/>
      </bottom>
      <diagonal/>
    </border>
    <border>
      <left style="thick">
        <color indexed="64"/>
      </left>
      <right style="thin">
        <color indexed="64"/>
      </right>
      <top style="dashDotDot">
        <color indexed="64"/>
      </top>
      <bottom style="dotted">
        <color indexed="64"/>
      </bottom>
      <diagonal/>
    </border>
    <border>
      <left style="thick">
        <color indexed="64"/>
      </left>
      <right style="thin">
        <color indexed="64"/>
      </right>
      <top/>
      <bottom/>
      <diagonal/>
    </border>
    <border>
      <left style="thick">
        <color indexed="64"/>
      </left>
      <right/>
      <top style="thin">
        <color indexed="64"/>
      </top>
      <bottom style="dashDot">
        <color indexed="64"/>
      </bottom>
      <diagonal/>
    </border>
    <border>
      <left style="thick">
        <color indexed="64"/>
      </left>
      <right/>
      <top style="thick">
        <color indexed="64"/>
      </top>
      <bottom style="thick">
        <color indexed="64"/>
      </bottom>
      <diagonal/>
    </border>
    <border>
      <left style="thick">
        <color indexed="64"/>
      </left>
      <right style="thin">
        <color indexed="64"/>
      </right>
      <top style="dashDot">
        <color indexed="64"/>
      </top>
      <bottom style="thick">
        <color indexed="64"/>
      </bottom>
      <diagonal/>
    </border>
    <border>
      <left/>
      <right/>
      <top style="thin">
        <color indexed="64"/>
      </top>
      <bottom style="medium">
        <color indexed="64"/>
      </bottom>
      <diagonal/>
    </border>
    <border>
      <left style="thin">
        <color indexed="64"/>
      </left>
      <right style="thick">
        <color indexed="64"/>
      </right>
      <top style="thick">
        <color indexed="64"/>
      </top>
      <bottom/>
      <diagonal/>
    </border>
    <border>
      <left style="thick">
        <color indexed="64"/>
      </left>
      <right style="thin">
        <color indexed="64"/>
      </right>
      <top style="medium">
        <color indexed="64"/>
      </top>
      <bottom/>
      <diagonal/>
    </border>
    <border>
      <left style="thin">
        <color indexed="64"/>
      </left>
      <right style="thick">
        <color indexed="64"/>
      </right>
      <top style="medium">
        <color indexed="64"/>
      </top>
      <bottom/>
      <diagonal/>
    </border>
    <border>
      <left/>
      <right/>
      <top style="dashDot">
        <color indexed="64"/>
      </top>
      <bottom style="thick">
        <color indexed="64"/>
      </bottom>
      <diagonal/>
    </border>
    <border>
      <left/>
      <right/>
      <top style="dashDot">
        <color indexed="64"/>
      </top>
      <bottom/>
      <diagonal/>
    </border>
    <border>
      <left style="thin">
        <color indexed="64"/>
      </left>
      <right style="thin">
        <color indexed="64"/>
      </right>
      <top style="dashDot">
        <color indexed="64"/>
      </top>
      <bottom/>
      <diagonal/>
    </border>
    <border>
      <left/>
      <right style="thin">
        <color indexed="64"/>
      </right>
      <top style="dashDot">
        <color indexed="64"/>
      </top>
      <bottom/>
      <diagonal/>
    </border>
    <border>
      <left style="thin">
        <color indexed="64"/>
      </left>
      <right/>
      <top style="thick">
        <color indexed="64"/>
      </top>
      <bottom style="thin">
        <color indexed="64"/>
      </bottom>
      <diagonal/>
    </border>
    <border>
      <left style="thick">
        <color indexed="64"/>
      </left>
      <right/>
      <top style="thin">
        <color indexed="64"/>
      </top>
      <bottom/>
      <diagonal/>
    </border>
    <border>
      <left style="thin">
        <color indexed="64"/>
      </left>
      <right/>
      <top style="dashDot">
        <color indexed="64"/>
      </top>
      <bottom/>
      <diagonal/>
    </border>
    <border>
      <left/>
      <right style="thin">
        <color indexed="64"/>
      </right>
      <top style="thin">
        <color indexed="64"/>
      </top>
      <bottom style="dashDot">
        <color indexed="64"/>
      </bottom>
      <diagonal/>
    </border>
    <border>
      <left/>
      <right style="medium">
        <color indexed="64"/>
      </right>
      <top/>
      <bottom/>
      <diagonal/>
    </border>
    <border>
      <left style="medium">
        <color indexed="64"/>
      </left>
      <right/>
      <top/>
      <bottom style="medium">
        <color indexed="64"/>
      </bottom>
      <diagonal/>
    </border>
    <border>
      <left style="medium">
        <color indexed="64"/>
      </left>
      <right/>
      <top style="thin">
        <color indexed="23"/>
      </top>
      <bottom style="thin">
        <color indexed="23"/>
      </bottom>
      <diagonal/>
    </border>
    <border>
      <left/>
      <right style="medium">
        <color indexed="64"/>
      </right>
      <top style="thin">
        <color indexed="23"/>
      </top>
      <bottom style="thin">
        <color indexed="23"/>
      </bottom>
      <diagonal/>
    </border>
    <border>
      <left/>
      <right/>
      <top style="thin">
        <color indexed="23"/>
      </top>
      <bottom style="thin">
        <color indexed="23"/>
      </bottom>
      <diagonal/>
    </border>
    <border>
      <left/>
      <right style="thin">
        <color indexed="64"/>
      </right>
      <top style="medium">
        <color indexed="64"/>
      </top>
      <bottom style="thin">
        <color indexed="23"/>
      </bottom>
      <diagonal/>
    </border>
    <border>
      <left style="thin">
        <color indexed="64"/>
      </left>
      <right/>
      <top style="medium">
        <color indexed="64"/>
      </top>
      <bottom style="thin">
        <color indexed="23"/>
      </bottom>
      <diagonal/>
    </border>
    <border>
      <left style="medium">
        <color indexed="64"/>
      </left>
      <right style="thin">
        <color indexed="64"/>
      </right>
      <top style="medium">
        <color indexed="64"/>
      </top>
      <bottom style="thin">
        <color indexed="23"/>
      </bottom>
      <diagonal/>
    </border>
    <border>
      <left style="thin">
        <color indexed="64"/>
      </left>
      <right style="thin">
        <color indexed="64"/>
      </right>
      <top style="medium">
        <color indexed="64"/>
      </top>
      <bottom style="thin">
        <color indexed="23"/>
      </bottom>
      <diagonal/>
    </border>
    <border>
      <left style="thin">
        <color indexed="64"/>
      </left>
      <right style="medium">
        <color indexed="64"/>
      </right>
      <top style="medium">
        <color indexed="64"/>
      </top>
      <bottom style="thin">
        <color indexed="23"/>
      </bottom>
      <diagonal/>
    </border>
    <border>
      <left style="medium">
        <color indexed="64"/>
      </left>
      <right/>
      <top style="thin">
        <color indexed="22"/>
      </top>
      <bottom style="medium">
        <color indexed="64"/>
      </bottom>
      <diagonal/>
    </border>
    <border>
      <left/>
      <right style="medium">
        <color indexed="64"/>
      </right>
      <top style="thin">
        <color indexed="22"/>
      </top>
      <bottom style="medium">
        <color indexed="64"/>
      </bottom>
      <diagonal/>
    </border>
    <border>
      <left/>
      <right/>
      <top style="thin">
        <color indexed="22"/>
      </top>
      <bottom style="medium">
        <color indexed="64"/>
      </bottom>
      <diagonal/>
    </border>
    <border>
      <left style="medium">
        <color indexed="64"/>
      </left>
      <right/>
      <top style="medium">
        <color indexed="64"/>
      </top>
      <bottom style="thin">
        <color indexed="23"/>
      </bottom>
      <diagonal/>
    </border>
    <border>
      <left/>
      <right/>
      <top style="medium">
        <color indexed="64"/>
      </top>
      <bottom style="thin">
        <color indexed="23"/>
      </bottom>
      <diagonal/>
    </border>
    <border>
      <left/>
      <right style="medium">
        <color indexed="64"/>
      </right>
      <top style="medium">
        <color indexed="64"/>
      </top>
      <bottom style="thin">
        <color indexed="23"/>
      </bottom>
      <diagonal/>
    </border>
    <border>
      <left style="medium">
        <color indexed="64"/>
      </left>
      <right/>
      <top style="thin">
        <color indexed="23"/>
      </top>
      <bottom style="thin">
        <color indexed="64"/>
      </bottom>
      <diagonal/>
    </border>
    <border>
      <left/>
      <right style="medium">
        <color indexed="64"/>
      </right>
      <top style="thin">
        <color indexed="23"/>
      </top>
      <bottom style="thin">
        <color indexed="64"/>
      </bottom>
      <diagonal/>
    </border>
    <border>
      <left/>
      <right/>
      <top style="thin">
        <color indexed="23"/>
      </top>
      <bottom style="thin">
        <color indexed="64"/>
      </bottom>
      <diagonal/>
    </border>
    <border>
      <left/>
      <right style="medium">
        <color indexed="64"/>
      </right>
      <top style="thin">
        <color indexed="64"/>
      </top>
      <bottom style="thin">
        <color indexed="22"/>
      </bottom>
      <diagonal/>
    </border>
    <border>
      <left/>
      <right/>
      <top style="thin">
        <color indexed="64"/>
      </top>
      <bottom style="thin">
        <color indexed="22"/>
      </bottom>
      <diagonal/>
    </border>
    <border>
      <left style="medium">
        <color indexed="64"/>
      </left>
      <right/>
      <top/>
      <bottom style="thick">
        <color indexed="64"/>
      </bottom>
      <diagonal/>
    </border>
    <border>
      <left/>
      <right/>
      <top/>
      <bottom style="thick">
        <color indexed="64"/>
      </bottom>
      <diagonal/>
    </border>
    <border>
      <left/>
      <right style="thick">
        <color indexed="64"/>
      </right>
      <top style="medium">
        <color indexed="64"/>
      </top>
      <bottom/>
      <diagonal/>
    </border>
    <border>
      <left style="medium">
        <color indexed="64"/>
      </left>
      <right/>
      <top style="thick">
        <color indexed="64"/>
      </top>
      <bottom style="thick">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s>
  <cellStyleXfs count="1836">
    <xf numFmtId="0" fontId="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7" fillId="55" borderId="0" applyNumberFormat="0" applyBorder="0" applyAlignment="0" applyProtection="0"/>
    <xf numFmtId="0" fontId="37" fillId="2" borderId="0" applyNumberFormat="0" applyBorder="0" applyAlignment="0" applyProtection="0"/>
    <xf numFmtId="0" fontId="37" fillId="2" borderId="0" applyNumberFormat="0" applyBorder="0" applyAlignment="0" applyProtection="0"/>
    <xf numFmtId="0" fontId="37" fillId="2" borderId="0" applyNumberFormat="0" applyBorder="0" applyAlignment="0" applyProtection="0"/>
    <xf numFmtId="0" fontId="37" fillId="3" borderId="0" applyNumberFormat="0" applyBorder="0" applyAlignment="0" applyProtection="0"/>
    <xf numFmtId="0" fontId="37" fillId="3" borderId="0" applyNumberFormat="0" applyBorder="0" applyAlignment="0" applyProtection="0"/>
    <xf numFmtId="0" fontId="37" fillId="3" borderId="0" applyNumberFormat="0" applyBorder="0" applyAlignment="0" applyProtection="0"/>
    <xf numFmtId="0" fontId="37" fillId="3" borderId="0" applyNumberFormat="0" applyBorder="0" applyAlignment="0" applyProtection="0"/>
    <xf numFmtId="0" fontId="37" fillId="3" borderId="0" applyNumberFormat="0" applyBorder="0" applyAlignment="0" applyProtection="0"/>
    <xf numFmtId="0" fontId="37" fillId="3" borderId="0" applyNumberFormat="0" applyBorder="0" applyAlignment="0" applyProtection="0"/>
    <xf numFmtId="0" fontId="37" fillId="3" borderId="0" applyNumberFormat="0" applyBorder="0" applyAlignment="0" applyProtection="0"/>
    <xf numFmtId="0" fontId="69" fillId="2" borderId="0" applyNumberFormat="0" applyBorder="0" applyAlignment="0" applyProtection="0"/>
    <xf numFmtId="0" fontId="37" fillId="2" borderId="0" applyNumberFormat="0" applyBorder="0" applyAlignment="0" applyProtection="0"/>
    <xf numFmtId="0" fontId="37" fillId="2" borderId="0" applyNumberFormat="0" applyBorder="0" applyAlignment="0" applyProtection="0"/>
    <xf numFmtId="0" fontId="37" fillId="2" borderId="0" applyNumberFormat="0" applyBorder="0" applyAlignment="0" applyProtection="0"/>
    <xf numFmtId="0" fontId="37" fillId="2" borderId="0" applyNumberFormat="0" applyBorder="0" applyAlignment="0" applyProtection="0"/>
    <xf numFmtId="0" fontId="37" fillId="2" borderId="0" applyNumberFormat="0" applyBorder="0" applyAlignment="0" applyProtection="0"/>
    <xf numFmtId="0" fontId="37" fillId="2" borderId="0" applyNumberFormat="0" applyBorder="0" applyAlignment="0" applyProtection="0"/>
    <xf numFmtId="0" fontId="37" fillId="2" borderId="0" applyNumberFormat="0" applyBorder="0" applyAlignment="0" applyProtection="0"/>
    <xf numFmtId="0" fontId="97" fillId="56" borderId="0" applyNumberFormat="0" applyBorder="0" applyAlignment="0" applyProtection="0"/>
    <xf numFmtId="0" fontId="37" fillId="4" borderId="0" applyNumberFormat="0" applyBorder="0" applyAlignment="0" applyProtection="0"/>
    <xf numFmtId="0" fontId="37" fillId="4" borderId="0" applyNumberFormat="0" applyBorder="0" applyAlignment="0" applyProtection="0"/>
    <xf numFmtId="0" fontId="37" fillId="4" borderId="0" applyNumberFormat="0" applyBorder="0" applyAlignment="0" applyProtection="0"/>
    <xf numFmtId="0" fontId="37" fillId="3" borderId="0" applyNumberFormat="0" applyBorder="0" applyAlignment="0" applyProtection="0"/>
    <xf numFmtId="0" fontId="37" fillId="3" borderId="0" applyNumberFormat="0" applyBorder="0" applyAlignment="0" applyProtection="0"/>
    <xf numFmtId="0" fontId="37" fillId="3" borderId="0" applyNumberFormat="0" applyBorder="0" applyAlignment="0" applyProtection="0"/>
    <xf numFmtId="0" fontId="37" fillId="3" borderId="0" applyNumberFormat="0" applyBorder="0" applyAlignment="0" applyProtection="0"/>
    <xf numFmtId="0" fontId="37" fillId="3" borderId="0" applyNumberFormat="0" applyBorder="0" applyAlignment="0" applyProtection="0"/>
    <xf numFmtId="0" fontId="37" fillId="3" borderId="0" applyNumberFormat="0" applyBorder="0" applyAlignment="0" applyProtection="0"/>
    <xf numFmtId="0" fontId="37" fillId="3" borderId="0" applyNumberFormat="0" applyBorder="0" applyAlignment="0" applyProtection="0"/>
    <xf numFmtId="0" fontId="69" fillId="4" borderId="0" applyNumberFormat="0" applyBorder="0" applyAlignment="0" applyProtection="0"/>
    <xf numFmtId="0" fontId="37" fillId="4" borderId="0" applyNumberFormat="0" applyBorder="0" applyAlignment="0" applyProtection="0"/>
    <xf numFmtId="0" fontId="37" fillId="4" borderId="0" applyNumberFormat="0" applyBorder="0" applyAlignment="0" applyProtection="0"/>
    <xf numFmtId="0" fontId="37" fillId="4" borderId="0" applyNumberFormat="0" applyBorder="0" applyAlignment="0" applyProtection="0"/>
    <xf numFmtId="0" fontId="37" fillId="4" borderId="0" applyNumberFormat="0" applyBorder="0" applyAlignment="0" applyProtection="0"/>
    <xf numFmtId="0" fontId="37" fillId="4" borderId="0" applyNumberFormat="0" applyBorder="0" applyAlignment="0" applyProtection="0"/>
    <xf numFmtId="0" fontId="37" fillId="4" borderId="0" applyNumberFormat="0" applyBorder="0" applyAlignment="0" applyProtection="0"/>
    <xf numFmtId="0" fontId="37" fillId="4" borderId="0" applyNumberFormat="0" applyBorder="0" applyAlignment="0" applyProtection="0"/>
    <xf numFmtId="0" fontId="97" fillId="57" borderId="0" applyNumberFormat="0" applyBorder="0" applyAlignment="0" applyProtection="0"/>
    <xf numFmtId="0" fontId="37" fillId="5" borderId="0" applyNumberFormat="0" applyBorder="0" applyAlignment="0" applyProtection="0"/>
    <xf numFmtId="0" fontId="37" fillId="5" borderId="0" applyNumberFormat="0" applyBorder="0" applyAlignment="0" applyProtection="0"/>
    <xf numFmtId="0" fontId="37" fillId="5" borderId="0" applyNumberFormat="0" applyBorder="0" applyAlignment="0" applyProtection="0"/>
    <xf numFmtId="0" fontId="37" fillId="3" borderId="0" applyNumberFormat="0" applyBorder="0" applyAlignment="0" applyProtection="0"/>
    <xf numFmtId="0" fontId="37" fillId="3" borderId="0" applyNumberFormat="0" applyBorder="0" applyAlignment="0" applyProtection="0"/>
    <xf numFmtId="0" fontId="37" fillId="3" borderId="0" applyNumberFormat="0" applyBorder="0" applyAlignment="0" applyProtection="0"/>
    <xf numFmtId="0" fontId="37" fillId="3" borderId="0" applyNumberFormat="0" applyBorder="0" applyAlignment="0" applyProtection="0"/>
    <xf numFmtId="0" fontId="37" fillId="3" borderId="0" applyNumberFormat="0" applyBorder="0" applyAlignment="0" applyProtection="0"/>
    <xf numFmtId="0" fontId="37" fillId="3" borderId="0" applyNumberFormat="0" applyBorder="0" applyAlignment="0" applyProtection="0"/>
    <xf numFmtId="0" fontId="37" fillId="3" borderId="0" applyNumberFormat="0" applyBorder="0" applyAlignment="0" applyProtection="0"/>
    <xf numFmtId="0" fontId="69" fillId="5" borderId="0" applyNumberFormat="0" applyBorder="0" applyAlignment="0" applyProtection="0"/>
    <xf numFmtId="0" fontId="37" fillId="5" borderId="0" applyNumberFormat="0" applyBorder="0" applyAlignment="0" applyProtection="0"/>
    <xf numFmtId="0" fontId="37" fillId="5" borderId="0" applyNumberFormat="0" applyBorder="0" applyAlignment="0" applyProtection="0"/>
    <xf numFmtId="0" fontId="37" fillId="5" borderId="0" applyNumberFormat="0" applyBorder="0" applyAlignment="0" applyProtection="0"/>
    <xf numFmtId="0" fontId="37" fillId="5" borderId="0" applyNumberFormat="0" applyBorder="0" applyAlignment="0" applyProtection="0"/>
    <xf numFmtId="0" fontId="37" fillId="5" borderId="0" applyNumberFormat="0" applyBorder="0" applyAlignment="0" applyProtection="0"/>
    <xf numFmtId="0" fontId="37" fillId="5" borderId="0" applyNumberFormat="0" applyBorder="0" applyAlignment="0" applyProtection="0"/>
    <xf numFmtId="0" fontId="37" fillId="5" borderId="0" applyNumberFormat="0" applyBorder="0" applyAlignment="0" applyProtection="0"/>
    <xf numFmtId="0" fontId="97" fillId="58" borderId="0" applyNumberFormat="0" applyBorder="0" applyAlignment="0" applyProtection="0"/>
    <xf numFmtId="0" fontId="37" fillId="6" borderId="0" applyNumberFormat="0" applyBorder="0" applyAlignment="0" applyProtection="0"/>
    <xf numFmtId="0" fontId="37" fillId="6" borderId="0" applyNumberFormat="0" applyBorder="0" applyAlignment="0" applyProtection="0"/>
    <xf numFmtId="0" fontId="37" fillId="6" borderId="0" applyNumberFormat="0" applyBorder="0" applyAlignment="0" applyProtection="0"/>
    <xf numFmtId="0" fontId="37" fillId="3" borderId="0" applyNumberFormat="0" applyBorder="0" applyAlignment="0" applyProtection="0"/>
    <xf numFmtId="0" fontId="37" fillId="3" borderId="0" applyNumberFormat="0" applyBorder="0" applyAlignment="0" applyProtection="0"/>
    <xf numFmtId="0" fontId="37" fillId="3" borderId="0" applyNumberFormat="0" applyBorder="0" applyAlignment="0" applyProtection="0"/>
    <xf numFmtId="0" fontId="37" fillId="3" borderId="0" applyNumberFormat="0" applyBorder="0" applyAlignment="0" applyProtection="0"/>
    <xf numFmtId="0" fontId="37" fillId="3" borderId="0" applyNumberFormat="0" applyBorder="0" applyAlignment="0" applyProtection="0"/>
    <xf numFmtId="0" fontId="37" fillId="3" borderId="0" applyNumberFormat="0" applyBorder="0" applyAlignment="0" applyProtection="0"/>
    <xf numFmtId="0" fontId="37" fillId="3" borderId="0" applyNumberFormat="0" applyBorder="0" applyAlignment="0" applyProtection="0"/>
    <xf numFmtId="0" fontId="69" fillId="6" borderId="0" applyNumberFormat="0" applyBorder="0" applyAlignment="0" applyProtection="0"/>
    <xf numFmtId="0" fontId="37" fillId="6" borderId="0" applyNumberFormat="0" applyBorder="0" applyAlignment="0" applyProtection="0"/>
    <xf numFmtId="0" fontId="37" fillId="6" borderId="0" applyNumberFormat="0" applyBorder="0" applyAlignment="0" applyProtection="0"/>
    <xf numFmtId="0" fontId="37" fillId="6" borderId="0" applyNumberFormat="0" applyBorder="0" applyAlignment="0" applyProtection="0"/>
    <xf numFmtId="0" fontId="37" fillId="6" borderId="0" applyNumberFormat="0" applyBorder="0" applyAlignment="0" applyProtection="0"/>
    <xf numFmtId="0" fontId="37" fillId="6" borderId="0" applyNumberFormat="0" applyBorder="0" applyAlignment="0" applyProtection="0"/>
    <xf numFmtId="0" fontId="37" fillId="6" borderId="0" applyNumberFormat="0" applyBorder="0" applyAlignment="0" applyProtection="0"/>
    <xf numFmtId="0" fontId="37" fillId="6" borderId="0" applyNumberFormat="0" applyBorder="0" applyAlignment="0" applyProtection="0"/>
    <xf numFmtId="0" fontId="97" fillId="59"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8" borderId="0" applyNumberFormat="0" applyBorder="0" applyAlignment="0" applyProtection="0"/>
    <xf numFmtId="0" fontId="37" fillId="8" borderId="0" applyNumberFormat="0" applyBorder="0" applyAlignment="0" applyProtection="0"/>
    <xf numFmtId="0" fontId="37" fillId="8" borderId="0" applyNumberFormat="0" applyBorder="0" applyAlignment="0" applyProtection="0"/>
    <xf numFmtId="0" fontId="37" fillId="8" borderId="0" applyNumberFormat="0" applyBorder="0" applyAlignment="0" applyProtection="0"/>
    <xf numFmtId="0" fontId="37" fillId="8" borderId="0" applyNumberFormat="0" applyBorder="0" applyAlignment="0" applyProtection="0"/>
    <xf numFmtId="0" fontId="37" fillId="8" borderId="0" applyNumberFormat="0" applyBorder="0" applyAlignment="0" applyProtection="0"/>
    <xf numFmtId="0" fontId="37" fillId="8" borderId="0" applyNumberFormat="0" applyBorder="0" applyAlignment="0" applyProtection="0"/>
    <xf numFmtId="0" fontId="69"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37" fillId="7" borderId="0" applyNumberFormat="0" applyBorder="0" applyAlignment="0" applyProtection="0"/>
    <xf numFmtId="0" fontId="97" fillId="60" borderId="0" applyNumberFormat="0" applyBorder="0" applyAlignment="0" applyProtection="0"/>
    <xf numFmtId="0" fontId="37" fillId="9" borderId="0" applyNumberFormat="0" applyBorder="0" applyAlignment="0" applyProtection="0"/>
    <xf numFmtId="0" fontId="37" fillId="9" borderId="0" applyNumberFormat="0" applyBorder="0" applyAlignment="0" applyProtection="0"/>
    <xf numFmtId="0" fontId="37" fillId="9" borderId="0" applyNumberFormat="0" applyBorder="0" applyAlignment="0" applyProtection="0"/>
    <xf numFmtId="0" fontId="37" fillId="8" borderId="0" applyNumberFormat="0" applyBorder="0" applyAlignment="0" applyProtection="0"/>
    <xf numFmtId="0" fontId="37" fillId="8" borderId="0" applyNumberFormat="0" applyBorder="0" applyAlignment="0" applyProtection="0"/>
    <xf numFmtId="0" fontId="37" fillId="8" borderId="0" applyNumberFormat="0" applyBorder="0" applyAlignment="0" applyProtection="0"/>
    <xf numFmtId="0" fontId="37" fillId="8" borderId="0" applyNumberFormat="0" applyBorder="0" applyAlignment="0" applyProtection="0"/>
    <xf numFmtId="0" fontId="37" fillId="8" borderId="0" applyNumberFormat="0" applyBorder="0" applyAlignment="0" applyProtection="0"/>
    <xf numFmtId="0" fontId="37" fillId="8" borderId="0" applyNumberFormat="0" applyBorder="0" applyAlignment="0" applyProtection="0"/>
    <xf numFmtId="0" fontId="37" fillId="8" borderId="0" applyNumberFormat="0" applyBorder="0" applyAlignment="0" applyProtection="0"/>
    <xf numFmtId="0" fontId="69" fillId="9" borderId="0" applyNumberFormat="0" applyBorder="0" applyAlignment="0" applyProtection="0"/>
    <xf numFmtId="0" fontId="37" fillId="9" borderId="0" applyNumberFormat="0" applyBorder="0" applyAlignment="0" applyProtection="0"/>
    <xf numFmtId="0" fontId="37" fillId="9" borderId="0" applyNumberFormat="0" applyBorder="0" applyAlignment="0" applyProtection="0"/>
    <xf numFmtId="0" fontId="37" fillId="9" borderId="0" applyNumberFormat="0" applyBorder="0" applyAlignment="0" applyProtection="0"/>
    <xf numFmtId="0" fontId="37" fillId="9" borderId="0" applyNumberFormat="0" applyBorder="0" applyAlignment="0" applyProtection="0"/>
    <xf numFmtId="0" fontId="37" fillId="9" borderId="0" applyNumberFormat="0" applyBorder="0" applyAlignment="0" applyProtection="0"/>
    <xf numFmtId="0" fontId="37" fillId="9" borderId="0" applyNumberFormat="0" applyBorder="0" applyAlignment="0" applyProtection="0"/>
    <xf numFmtId="0" fontId="37" fillId="9" borderId="0" applyNumberFormat="0" applyBorder="0" applyAlignment="0" applyProtection="0"/>
    <xf numFmtId="0" fontId="97" fillId="61" borderId="0" applyNumberFormat="0" applyBorder="0" applyAlignment="0" applyProtection="0"/>
    <xf numFmtId="0" fontId="37" fillId="10" borderId="0" applyNumberFormat="0" applyBorder="0" applyAlignment="0" applyProtection="0"/>
    <xf numFmtId="0" fontId="37" fillId="10" borderId="0" applyNumberFormat="0" applyBorder="0" applyAlignment="0" applyProtection="0"/>
    <xf numFmtId="0" fontId="37" fillId="10" borderId="0" applyNumberFormat="0" applyBorder="0" applyAlignment="0" applyProtection="0"/>
    <xf numFmtId="0" fontId="37" fillId="3" borderId="0" applyNumberFormat="0" applyBorder="0" applyAlignment="0" applyProtection="0"/>
    <xf numFmtId="0" fontId="37" fillId="3" borderId="0" applyNumberFormat="0" applyBorder="0" applyAlignment="0" applyProtection="0"/>
    <xf numFmtId="0" fontId="37" fillId="3" borderId="0" applyNumberFormat="0" applyBorder="0" applyAlignment="0" applyProtection="0"/>
    <xf numFmtId="0" fontId="37" fillId="3" borderId="0" applyNumberFormat="0" applyBorder="0" applyAlignment="0" applyProtection="0"/>
    <xf numFmtId="0" fontId="37" fillId="3" borderId="0" applyNumberFormat="0" applyBorder="0" applyAlignment="0" applyProtection="0"/>
    <xf numFmtId="0" fontId="37" fillId="3" borderId="0" applyNumberFormat="0" applyBorder="0" applyAlignment="0" applyProtection="0"/>
    <xf numFmtId="0" fontId="37" fillId="3" borderId="0" applyNumberFormat="0" applyBorder="0" applyAlignment="0" applyProtection="0"/>
    <xf numFmtId="0" fontId="69" fillId="10" borderId="0" applyNumberFormat="0" applyBorder="0" applyAlignment="0" applyProtection="0"/>
    <xf numFmtId="0" fontId="37" fillId="10" borderId="0" applyNumberFormat="0" applyBorder="0" applyAlignment="0" applyProtection="0"/>
    <xf numFmtId="0" fontId="37" fillId="10" borderId="0" applyNumberFormat="0" applyBorder="0" applyAlignment="0" applyProtection="0"/>
    <xf numFmtId="0" fontId="37" fillId="10" borderId="0" applyNumberFormat="0" applyBorder="0" applyAlignment="0" applyProtection="0"/>
    <xf numFmtId="0" fontId="37" fillId="10" borderId="0" applyNumberFormat="0" applyBorder="0" applyAlignment="0" applyProtection="0"/>
    <xf numFmtId="0" fontId="37" fillId="10" borderId="0" applyNumberFormat="0" applyBorder="0" applyAlignment="0" applyProtection="0"/>
    <xf numFmtId="0" fontId="37" fillId="10" borderId="0" applyNumberFormat="0" applyBorder="0" applyAlignment="0" applyProtection="0"/>
    <xf numFmtId="0" fontId="37" fillId="10" borderId="0" applyNumberFormat="0" applyBorder="0" applyAlignment="0" applyProtection="0"/>
    <xf numFmtId="0" fontId="97" fillId="62" borderId="0" applyNumberFormat="0" applyBorder="0" applyAlignment="0" applyProtection="0"/>
    <xf numFmtId="0" fontId="37" fillId="11" borderId="0" applyNumberFormat="0" applyBorder="0" applyAlignment="0" applyProtection="0"/>
    <xf numFmtId="0" fontId="37" fillId="11" borderId="0" applyNumberFormat="0" applyBorder="0" applyAlignment="0" applyProtection="0"/>
    <xf numFmtId="0" fontId="37" fillId="11" borderId="0" applyNumberFormat="0" applyBorder="0" applyAlignment="0" applyProtection="0"/>
    <xf numFmtId="0" fontId="37" fillId="3" borderId="0" applyNumberFormat="0" applyBorder="0" applyAlignment="0" applyProtection="0"/>
    <xf numFmtId="0" fontId="37" fillId="3" borderId="0" applyNumberFormat="0" applyBorder="0" applyAlignment="0" applyProtection="0"/>
    <xf numFmtId="0" fontId="37" fillId="3" borderId="0" applyNumberFormat="0" applyBorder="0" applyAlignment="0" applyProtection="0"/>
    <xf numFmtId="0" fontId="37" fillId="3" borderId="0" applyNumberFormat="0" applyBorder="0" applyAlignment="0" applyProtection="0"/>
    <xf numFmtId="0" fontId="37" fillId="3" borderId="0" applyNumberFormat="0" applyBorder="0" applyAlignment="0" applyProtection="0"/>
    <xf numFmtId="0" fontId="37" fillId="3" borderId="0" applyNumberFormat="0" applyBorder="0" applyAlignment="0" applyProtection="0"/>
    <xf numFmtId="0" fontId="37" fillId="3" borderId="0" applyNumberFormat="0" applyBorder="0" applyAlignment="0" applyProtection="0"/>
    <xf numFmtId="0" fontId="69" fillId="11" borderId="0" applyNumberFormat="0" applyBorder="0" applyAlignment="0" applyProtection="0"/>
    <xf numFmtId="0" fontId="37" fillId="11" borderId="0" applyNumberFormat="0" applyBorder="0" applyAlignment="0" applyProtection="0"/>
    <xf numFmtId="0" fontId="37" fillId="11" borderId="0" applyNumberFormat="0" applyBorder="0" applyAlignment="0" applyProtection="0"/>
    <xf numFmtId="0" fontId="37" fillId="11" borderId="0" applyNumberFormat="0" applyBorder="0" applyAlignment="0" applyProtection="0"/>
    <xf numFmtId="0" fontId="37" fillId="11" borderId="0" applyNumberFormat="0" applyBorder="0" applyAlignment="0" applyProtection="0"/>
    <xf numFmtId="0" fontId="37" fillId="11" borderId="0" applyNumberFormat="0" applyBorder="0" applyAlignment="0" applyProtection="0"/>
    <xf numFmtId="0" fontId="37" fillId="11" borderId="0" applyNumberFormat="0" applyBorder="0" applyAlignment="0" applyProtection="0"/>
    <xf numFmtId="0" fontId="37" fillId="11" borderId="0" applyNumberFormat="0" applyBorder="0" applyAlignment="0" applyProtection="0"/>
    <xf numFmtId="0" fontId="97" fillId="63" borderId="0" applyNumberFormat="0" applyBorder="0" applyAlignment="0" applyProtection="0"/>
    <xf numFmtId="0" fontId="37" fillId="12" borderId="0" applyNumberFormat="0" applyBorder="0" applyAlignment="0" applyProtection="0"/>
    <xf numFmtId="0" fontId="37" fillId="12" borderId="0" applyNumberFormat="0" applyBorder="0" applyAlignment="0" applyProtection="0"/>
    <xf numFmtId="0" fontId="37" fillId="12" borderId="0" applyNumberFormat="0" applyBorder="0" applyAlignment="0" applyProtection="0"/>
    <xf numFmtId="0" fontId="37" fillId="8" borderId="0" applyNumberFormat="0" applyBorder="0" applyAlignment="0" applyProtection="0"/>
    <xf numFmtId="0" fontId="37" fillId="8" borderId="0" applyNumberFormat="0" applyBorder="0" applyAlignment="0" applyProtection="0"/>
    <xf numFmtId="0" fontId="37" fillId="8" borderId="0" applyNumberFormat="0" applyBorder="0" applyAlignment="0" applyProtection="0"/>
    <xf numFmtId="0" fontId="37" fillId="8" borderId="0" applyNumberFormat="0" applyBorder="0" applyAlignment="0" applyProtection="0"/>
    <xf numFmtId="0" fontId="37" fillId="8" borderId="0" applyNumberFormat="0" applyBorder="0" applyAlignment="0" applyProtection="0"/>
    <xf numFmtId="0" fontId="37" fillId="8" borderId="0" applyNumberFormat="0" applyBorder="0" applyAlignment="0" applyProtection="0"/>
    <xf numFmtId="0" fontId="37" fillId="8" borderId="0" applyNumberFormat="0" applyBorder="0" applyAlignment="0" applyProtection="0"/>
    <xf numFmtId="0" fontId="69" fillId="12" borderId="0" applyNumberFormat="0" applyBorder="0" applyAlignment="0" applyProtection="0"/>
    <xf numFmtId="0" fontId="37" fillId="12" borderId="0" applyNumberFormat="0" applyBorder="0" applyAlignment="0" applyProtection="0"/>
    <xf numFmtId="0" fontId="37" fillId="12" borderId="0" applyNumberFormat="0" applyBorder="0" applyAlignment="0" applyProtection="0"/>
    <xf numFmtId="0" fontId="37" fillId="12" borderId="0" applyNumberFormat="0" applyBorder="0" applyAlignment="0" applyProtection="0"/>
    <xf numFmtId="0" fontId="37" fillId="12" borderId="0" applyNumberFormat="0" applyBorder="0" applyAlignment="0" applyProtection="0"/>
    <xf numFmtId="0" fontId="37" fillId="12" borderId="0" applyNumberFormat="0" applyBorder="0" applyAlignment="0" applyProtection="0"/>
    <xf numFmtId="0" fontId="37" fillId="12" borderId="0" applyNumberFormat="0" applyBorder="0" applyAlignment="0" applyProtection="0"/>
    <xf numFmtId="0" fontId="37" fillId="12" borderId="0" applyNumberFormat="0" applyBorder="0" applyAlignment="0" applyProtection="0"/>
    <xf numFmtId="0" fontId="97" fillId="64" borderId="0" applyNumberFormat="0" applyBorder="0" applyAlignment="0" applyProtection="0"/>
    <xf numFmtId="0" fontId="37" fillId="6" borderId="0" applyNumberFormat="0" applyBorder="0" applyAlignment="0" applyProtection="0"/>
    <xf numFmtId="0" fontId="37" fillId="6" borderId="0" applyNumberFormat="0" applyBorder="0" applyAlignment="0" applyProtection="0"/>
    <xf numFmtId="0" fontId="37" fillId="6" borderId="0" applyNumberFormat="0" applyBorder="0" applyAlignment="0" applyProtection="0"/>
    <xf numFmtId="0" fontId="37" fillId="8" borderId="0" applyNumberFormat="0" applyBorder="0" applyAlignment="0" applyProtection="0"/>
    <xf numFmtId="0" fontId="37" fillId="8" borderId="0" applyNumberFormat="0" applyBorder="0" applyAlignment="0" applyProtection="0"/>
    <xf numFmtId="0" fontId="37" fillId="8" borderId="0" applyNumberFormat="0" applyBorder="0" applyAlignment="0" applyProtection="0"/>
    <xf numFmtId="0" fontId="37" fillId="8" borderId="0" applyNumberFormat="0" applyBorder="0" applyAlignment="0" applyProtection="0"/>
    <xf numFmtId="0" fontId="37" fillId="8" borderId="0" applyNumberFormat="0" applyBorder="0" applyAlignment="0" applyProtection="0"/>
    <xf numFmtId="0" fontId="37" fillId="8" borderId="0" applyNumberFormat="0" applyBorder="0" applyAlignment="0" applyProtection="0"/>
    <xf numFmtId="0" fontId="37" fillId="8" borderId="0" applyNumberFormat="0" applyBorder="0" applyAlignment="0" applyProtection="0"/>
    <xf numFmtId="0" fontId="69" fillId="6" borderId="0" applyNumberFormat="0" applyBorder="0" applyAlignment="0" applyProtection="0"/>
    <xf numFmtId="0" fontId="37" fillId="6" borderId="0" applyNumberFormat="0" applyBorder="0" applyAlignment="0" applyProtection="0"/>
    <xf numFmtId="0" fontId="37" fillId="6" borderId="0" applyNumberFormat="0" applyBorder="0" applyAlignment="0" applyProtection="0"/>
    <xf numFmtId="0" fontId="37" fillId="6" borderId="0" applyNumberFormat="0" applyBorder="0" applyAlignment="0" applyProtection="0"/>
    <xf numFmtId="0" fontId="37" fillId="6" borderId="0" applyNumberFormat="0" applyBorder="0" applyAlignment="0" applyProtection="0"/>
    <xf numFmtId="0" fontId="37" fillId="6" borderId="0" applyNumberFormat="0" applyBorder="0" applyAlignment="0" applyProtection="0"/>
    <xf numFmtId="0" fontId="37" fillId="6" borderId="0" applyNumberFormat="0" applyBorder="0" applyAlignment="0" applyProtection="0"/>
    <xf numFmtId="0" fontId="37" fillId="6" borderId="0" applyNumberFormat="0" applyBorder="0" applyAlignment="0" applyProtection="0"/>
    <xf numFmtId="0" fontId="97" fillId="65" borderId="0" applyNumberFormat="0" applyBorder="0" applyAlignment="0" applyProtection="0"/>
    <xf numFmtId="0" fontId="37" fillId="10" borderId="0" applyNumberFormat="0" applyBorder="0" applyAlignment="0" applyProtection="0"/>
    <xf numFmtId="0" fontId="37" fillId="10" borderId="0" applyNumberFormat="0" applyBorder="0" applyAlignment="0" applyProtection="0"/>
    <xf numFmtId="0" fontId="37" fillId="10" borderId="0" applyNumberFormat="0" applyBorder="0" applyAlignment="0" applyProtection="0"/>
    <xf numFmtId="0" fontId="37" fillId="13" borderId="0" applyNumberFormat="0" applyBorder="0" applyAlignment="0" applyProtection="0"/>
    <xf numFmtId="0" fontId="37" fillId="13" borderId="0" applyNumberFormat="0" applyBorder="0" applyAlignment="0" applyProtection="0"/>
    <xf numFmtId="0" fontId="37" fillId="13" borderId="0" applyNumberFormat="0" applyBorder="0" applyAlignment="0" applyProtection="0"/>
    <xf numFmtId="0" fontId="37" fillId="13" borderId="0" applyNumberFormat="0" applyBorder="0" applyAlignment="0" applyProtection="0"/>
    <xf numFmtId="0" fontId="37" fillId="13" borderId="0" applyNumberFormat="0" applyBorder="0" applyAlignment="0" applyProtection="0"/>
    <xf numFmtId="0" fontId="37" fillId="13" borderId="0" applyNumberFormat="0" applyBorder="0" applyAlignment="0" applyProtection="0"/>
    <xf numFmtId="0" fontId="37" fillId="13" borderId="0" applyNumberFormat="0" applyBorder="0" applyAlignment="0" applyProtection="0"/>
    <xf numFmtId="0" fontId="69" fillId="10" borderId="0" applyNumberFormat="0" applyBorder="0" applyAlignment="0" applyProtection="0"/>
    <xf numFmtId="0" fontId="37" fillId="10" borderId="0" applyNumberFormat="0" applyBorder="0" applyAlignment="0" applyProtection="0"/>
    <xf numFmtId="0" fontId="37" fillId="10" borderId="0" applyNumberFormat="0" applyBorder="0" applyAlignment="0" applyProtection="0"/>
    <xf numFmtId="0" fontId="37" fillId="10" borderId="0" applyNumberFormat="0" applyBorder="0" applyAlignment="0" applyProtection="0"/>
    <xf numFmtId="0" fontId="37" fillId="10" borderId="0" applyNumberFormat="0" applyBorder="0" applyAlignment="0" applyProtection="0"/>
    <xf numFmtId="0" fontId="37" fillId="10" borderId="0" applyNumberFormat="0" applyBorder="0" applyAlignment="0" applyProtection="0"/>
    <xf numFmtId="0" fontId="37" fillId="10" borderId="0" applyNumberFormat="0" applyBorder="0" applyAlignment="0" applyProtection="0"/>
    <xf numFmtId="0" fontId="37" fillId="10" borderId="0" applyNumberFormat="0" applyBorder="0" applyAlignment="0" applyProtection="0"/>
    <xf numFmtId="0" fontId="97" fillId="66" borderId="0" applyNumberFormat="0" applyBorder="0" applyAlignment="0" applyProtection="0"/>
    <xf numFmtId="0" fontId="37" fillId="14" borderId="0" applyNumberFormat="0" applyBorder="0" applyAlignment="0" applyProtection="0"/>
    <xf numFmtId="0" fontId="37" fillId="14" borderId="0" applyNumberFormat="0" applyBorder="0" applyAlignment="0" applyProtection="0"/>
    <xf numFmtId="0" fontId="37" fillId="14" borderId="0" applyNumberFormat="0" applyBorder="0" applyAlignment="0" applyProtection="0"/>
    <xf numFmtId="0" fontId="37" fillId="8" borderId="0" applyNumberFormat="0" applyBorder="0" applyAlignment="0" applyProtection="0"/>
    <xf numFmtId="0" fontId="37" fillId="8" borderId="0" applyNumberFormat="0" applyBorder="0" applyAlignment="0" applyProtection="0"/>
    <xf numFmtId="0" fontId="37" fillId="8" borderId="0" applyNumberFormat="0" applyBorder="0" applyAlignment="0" applyProtection="0"/>
    <xf numFmtId="0" fontId="37" fillId="8" borderId="0" applyNumberFormat="0" applyBorder="0" applyAlignment="0" applyProtection="0"/>
    <xf numFmtId="0" fontId="37" fillId="8" borderId="0" applyNumberFormat="0" applyBorder="0" applyAlignment="0" applyProtection="0"/>
    <xf numFmtId="0" fontId="37" fillId="8" borderId="0" applyNumberFormat="0" applyBorder="0" applyAlignment="0" applyProtection="0"/>
    <xf numFmtId="0" fontId="37" fillId="8" borderId="0" applyNumberFormat="0" applyBorder="0" applyAlignment="0" applyProtection="0"/>
    <xf numFmtId="0" fontId="69" fillId="14" borderId="0" applyNumberFormat="0" applyBorder="0" applyAlignment="0" applyProtection="0"/>
    <xf numFmtId="0" fontId="37" fillId="14" borderId="0" applyNumberFormat="0" applyBorder="0" applyAlignment="0" applyProtection="0"/>
    <xf numFmtId="0" fontId="37" fillId="14" borderId="0" applyNumberFormat="0" applyBorder="0" applyAlignment="0" applyProtection="0"/>
    <xf numFmtId="0" fontId="37" fillId="14" borderId="0" applyNumberFormat="0" applyBorder="0" applyAlignment="0" applyProtection="0"/>
    <xf numFmtId="0" fontId="37" fillId="14" borderId="0" applyNumberFormat="0" applyBorder="0" applyAlignment="0" applyProtection="0"/>
    <xf numFmtId="0" fontId="37" fillId="14" borderId="0" applyNumberFormat="0" applyBorder="0" applyAlignment="0" applyProtection="0"/>
    <xf numFmtId="0" fontId="37" fillId="14" borderId="0" applyNumberFormat="0" applyBorder="0" applyAlignment="0" applyProtection="0"/>
    <xf numFmtId="0" fontId="37" fillId="14" borderId="0" applyNumberFormat="0" applyBorder="0" applyAlignment="0" applyProtection="0"/>
    <xf numFmtId="0" fontId="98" fillId="67" borderId="0" applyNumberFormat="0" applyBorder="0" applyAlignment="0" applyProtection="0"/>
    <xf numFmtId="0" fontId="38" fillId="15" borderId="0" applyNumberFormat="0" applyBorder="0" applyAlignment="0" applyProtection="0"/>
    <xf numFmtId="0" fontId="38" fillId="15" borderId="0" applyNumberFormat="0" applyBorder="0" applyAlignment="0" applyProtection="0"/>
    <xf numFmtId="0" fontId="38" fillId="15" borderId="0" applyNumberFormat="0" applyBorder="0" applyAlignment="0" applyProtection="0"/>
    <xf numFmtId="0" fontId="38" fillId="3" borderId="0" applyNumberFormat="0" applyBorder="0" applyAlignment="0" applyProtection="0"/>
    <xf numFmtId="0" fontId="70" fillId="15" borderId="0" applyNumberFormat="0" applyBorder="0" applyAlignment="0" applyProtection="0"/>
    <xf numFmtId="0" fontId="38" fillId="15" borderId="0" applyNumberFormat="0" applyBorder="0" applyAlignment="0" applyProtection="0"/>
    <xf numFmtId="0" fontId="38" fillId="15" borderId="0" applyNumberFormat="0" applyBorder="0" applyAlignment="0" applyProtection="0"/>
    <xf numFmtId="0" fontId="38" fillId="15" borderId="0" applyNumberFormat="0" applyBorder="0" applyAlignment="0" applyProtection="0"/>
    <xf numFmtId="0" fontId="38" fillId="15" borderId="0" applyNumberFormat="0" applyBorder="0" applyAlignment="0" applyProtection="0"/>
    <xf numFmtId="0" fontId="38" fillId="15" borderId="0" applyNumberFormat="0" applyBorder="0" applyAlignment="0" applyProtection="0"/>
    <xf numFmtId="0" fontId="38" fillId="15" borderId="0" applyNumberFormat="0" applyBorder="0" applyAlignment="0" applyProtection="0"/>
    <xf numFmtId="0" fontId="38" fillId="15" borderId="0" applyNumberFormat="0" applyBorder="0" applyAlignment="0" applyProtection="0"/>
    <xf numFmtId="0" fontId="98" fillId="68" borderId="0" applyNumberFormat="0" applyBorder="0" applyAlignment="0" applyProtection="0"/>
    <xf numFmtId="0" fontId="38" fillId="11" borderId="0" applyNumberFormat="0" applyBorder="0" applyAlignment="0" applyProtection="0"/>
    <xf numFmtId="0" fontId="38" fillId="11" borderId="0" applyNumberFormat="0" applyBorder="0" applyAlignment="0" applyProtection="0"/>
    <xf numFmtId="0" fontId="38" fillId="11" borderId="0" applyNumberFormat="0" applyBorder="0" applyAlignment="0" applyProtection="0"/>
    <xf numFmtId="0" fontId="38" fillId="8" borderId="0" applyNumberFormat="0" applyBorder="0" applyAlignment="0" applyProtection="0"/>
    <xf numFmtId="0" fontId="70" fillId="11" borderId="0" applyNumberFormat="0" applyBorder="0" applyAlignment="0" applyProtection="0"/>
    <xf numFmtId="0" fontId="38" fillId="11" borderId="0" applyNumberFormat="0" applyBorder="0" applyAlignment="0" applyProtection="0"/>
    <xf numFmtId="0" fontId="38" fillId="11" borderId="0" applyNumberFormat="0" applyBorder="0" applyAlignment="0" applyProtection="0"/>
    <xf numFmtId="0" fontId="38" fillId="11" borderId="0" applyNumberFormat="0" applyBorder="0" applyAlignment="0" applyProtection="0"/>
    <xf numFmtId="0" fontId="38" fillId="11" borderId="0" applyNumberFormat="0" applyBorder="0" applyAlignment="0" applyProtection="0"/>
    <xf numFmtId="0" fontId="38" fillId="11" borderId="0" applyNumberFormat="0" applyBorder="0" applyAlignment="0" applyProtection="0"/>
    <xf numFmtId="0" fontId="38" fillId="11" borderId="0" applyNumberFormat="0" applyBorder="0" applyAlignment="0" applyProtection="0"/>
    <xf numFmtId="0" fontId="38" fillId="11" borderId="0" applyNumberFormat="0" applyBorder="0" applyAlignment="0" applyProtection="0"/>
    <xf numFmtId="0" fontId="98" fillId="69" borderId="0" applyNumberFormat="0" applyBorder="0" applyAlignment="0" applyProtection="0"/>
    <xf numFmtId="0" fontId="38" fillId="12" borderId="0" applyNumberFormat="0" applyBorder="0" applyAlignment="0" applyProtection="0"/>
    <xf numFmtId="0" fontId="38" fillId="12" borderId="0" applyNumberFormat="0" applyBorder="0" applyAlignment="0" applyProtection="0"/>
    <xf numFmtId="0" fontId="38" fillId="12" borderId="0" applyNumberFormat="0" applyBorder="0" applyAlignment="0" applyProtection="0"/>
    <xf numFmtId="0" fontId="38" fillId="8" borderId="0" applyNumberFormat="0" applyBorder="0" applyAlignment="0" applyProtection="0"/>
    <xf numFmtId="0" fontId="70" fillId="12" borderId="0" applyNumberFormat="0" applyBorder="0" applyAlignment="0" applyProtection="0"/>
    <xf numFmtId="0" fontId="38" fillId="12" borderId="0" applyNumberFormat="0" applyBorder="0" applyAlignment="0" applyProtection="0"/>
    <xf numFmtId="0" fontId="38" fillId="12" borderId="0" applyNumberFormat="0" applyBorder="0" applyAlignment="0" applyProtection="0"/>
    <xf numFmtId="0" fontId="38" fillId="12" borderId="0" applyNumberFormat="0" applyBorder="0" applyAlignment="0" applyProtection="0"/>
    <xf numFmtId="0" fontId="38" fillId="12" borderId="0" applyNumberFormat="0" applyBorder="0" applyAlignment="0" applyProtection="0"/>
    <xf numFmtId="0" fontId="38" fillId="12" borderId="0" applyNumberFormat="0" applyBorder="0" applyAlignment="0" applyProtection="0"/>
    <xf numFmtId="0" fontId="38" fillId="12" borderId="0" applyNumberFormat="0" applyBorder="0" applyAlignment="0" applyProtection="0"/>
    <xf numFmtId="0" fontId="38" fillId="12" borderId="0" applyNumberFormat="0" applyBorder="0" applyAlignment="0" applyProtection="0"/>
    <xf numFmtId="0" fontId="98" fillId="70" borderId="0" applyNumberFormat="0" applyBorder="0" applyAlignment="0" applyProtection="0"/>
    <xf numFmtId="0" fontId="38" fillId="16" borderId="0" applyNumberFormat="0" applyBorder="0" applyAlignment="0" applyProtection="0"/>
    <xf numFmtId="0" fontId="38" fillId="16" borderId="0" applyNumberFormat="0" applyBorder="0" applyAlignment="0" applyProtection="0"/>
    <xf numFmtId="0" fontId="38" fillId="16" borderId="0" applyNumberFormat="0" applyBorder="0" applyAlignment="0" applyProtection="0"/>
    <xf numFmtId="0" fontId="38" fillId="8" borderId="0" applyNumberFormat="0" applyBorder="0" applyAlignment="0" applyProtection="0"/>
    <xf numFmtId="0" fontId="70" fillId="16" borderId="0" applyNumberFormat="0" applyBorder="0" applyAlignment="0" applyProtection="0"/>
    <xf numFmtId="0" fontId="38" fillId="16" borderId="0" applyNumberFormat="0" applyBorder="0" applyAlignment="0" applyProtection="0"/>
    <xf numFmtId="0" fontId="38" fillId="16" borderId="0" applyNumberFormat="0" applyBorder="0" applyAlignment="0" applyProtection="0"/>
    <xf numFmtId="0" fontId="38" fillId="16" borderId="0" applyNumberFormat="0" applyBorder="0" applyAlignment="0" applyProtection="0"/>
    <xf numFmtId="0" fontId="38" fillId="16" borderId="0" applyNumberFormat="0" applyBorder="0" applyAlignment="0" applyProtection="0"/>
    <xf numFmtId="0" fontId="38" fillId="16" borderId="0" applyNumberFormat="0" applyBorder="0" applyAlignment="0" applyProtection="0"/>
    <xf numFmtId="0" fontId="38" fillId="16" borderId="0" applyNumberFormat="0" applyBorder="0" applyAlignment="0" applyProtection="0"/>
    <xf numFmtId="0" fontId="38" fillId="16" borderId="0" applyNumberFormat="0" applyBorder="0" applyAlignment="0" applyProtection="0"/>
    <xf numFmtId="0" fontId="98" fillId="71" borderId="0" applyNumberFormat="0" applyBorder="0" applyAlignment="0" applyProtection="0"/>
    <xf numFmtId="0" fontId="38" fillId="17" borderId="0" applyNumberFormat="0" applyBorder="0" applyAlignment="0" applyProtection="0"/>
    <xf numFmtId="0" fontId="38" fillId="17" borderId="0" applyNumberFormat="0" applyBorder="0" applyAlignment="0" applyProtection="0"/>
    <xf numFmtId="0" fontId="38" fillId="17" borderId="0" applyNumberFormat="0" applyBorder="0" applyAlignment="0" applyProtection="0"/>
    <xf numFmtId="0" fontId="38" fillId="13" borderId="0" applyNumberFormat="0" applyBorder="0" applyAlignment="0" applyProtection="0"/>
    <xf numFmtId="0" fontId="70" fillId="17" borderId="0" applyNumberFormat="0" applyBorder="0" applyAlignment="0" applyProtection="0"/>
    <xf numFmtId="0" fontId="38" fillId="17" borderId="0" applyNumberFormat="0" applyBorder="0" applyAlignment="0" applyProtection="0"/>
    <xf numFmtId="0" fontId="38" fillId="17" borderId="0" applyNumberFormat="0" applyBorder="0" applyAlignment="0" applyProtection="0"/>
    <xf numFmtId="0" fontId="38" fillId="17" borderId="0" applyNumberFormat="0" applyBorder="0" applyAlignment="0" applyProtection="0"/>
    <xf numFmtId="0" fontId="38" fillId="17" borderId="0" applyNumberFormat="0" applyBorder="0" applyAlignment="0" applyProtection="0"/>
    <xf numFmtId="0" fontId="38" fillId="17" borderId="0" applyNumberFormat="0" applyBorder="0" applyAlignment="0" applyProtection="0"/>
    <xf numFmtId="0" fontId="38" fillId="17" borderId="0" applyNumberFormat="0" applyBorder="0" applyAlignment="0" applyProtection="0"/>
    <xf numFmtId="0" fontId="38" fillId="17" borderId="0" applyNumberFormat="0" applyBorder="0" applyAlignment="0" applyProtection="0"/>
    <xf numFmtId="0" fontId="98" fillId="72" borderId="0" applyNumberFormat="0" applyBorder="0" applyAlignment="0" applyProtection="0"/>
    <xf numFmtId="0" fontId="38" fillId="18" borderId="0" applyNumberFormat="0" applyBorder="0" applyAlignment="0" applyProtection="0"/>
    <xf numFmtId="0" fontId="38" fillId="18" borderId="0" applyNumberFormat="0" applyBorder="0" applyAlignment="0" applyProtection="0"/>
    <xf numFmtId="0" fontId="38" fillId="18" borderId="0" applyNumberFormat="0" applyBorder="0" applyAlignment="0" applyProtection="0"/>
    <xf numFmtId="0" fontId="38" fillId="13" borderId="0" applyNumberFormat="0" applyBorder="0" applyAlignment="0" applyProtection="0"/>
    <xf numFmtId="0" fontId="70" fillId="18" borderId="0" applyNumberFormat="0" applyBorder="0" applyAlignment="0" applyProtection="0"/>
    <xf numFmtId="0" fontId="38" fillId="18" borderId="0" applyNumberFormat="0" applyBorder="0" applyAlignment="0" applyProtection="0"/>
    <xf numFmtId="0" fontId="38" fillId="18" borderId="0" applyNumberFormat="0" applyBorder="0" applyAlignment="0" applyProtection="0"/>
    <xf numFmtId="0" fontId="38" fillId="18" borderId="0" applyNumberFormat="0" applyBorder="0" applyAlignment="0" applyProtection="0"/>
    <xf numFmtId="0" fontId="38" fillId="18" borderId="0" applyNumberFormat="0" applyBorder="0" applyAlignment="0" applyProtection="0"/>
    <xf numFmtId="0" fontId="38" fillId="18" borderId="0" applyNumberFormat="0" applyBorder="0" applyAlignment="0" applyProtection="0"/>
    <xf numFmtId="0" fontId="38" fillId="18" borderId="0" applyNumberFormat="0" applyBorder="0" applyAlignment="0" applyProtection="0"/>
    <xf numFmtId="0" fontId="38" fillId="18" borderId="0" applyNumberFormat="0" applyBorder="0" applyAlignment="0" applyProtection="0"/>
    <xf numFmtId="0" fontId="98" fillId="73" borderId="0" applyNumberFormat="0" applyBorder="0" applyAlignment="0" applyProtection="0"/>
    <xf numFmtId="0" fontId="38" fillId="19" borderId="0" applyNumberFormat="0" applyBorder="0" applyAlignment="0" applyProtection="0"/>
    <xf numFmtId="0" fontId="38" fillId="19" borderId="0" applyNumberFormat="0" applyBorder="0" applyAlignment="0" applyProtection="0"/>
    <xf numFmtId="0" fontId="38" fillId="19" borderId="0" applyNumberFormat="0" applyBorder="0" applyAlignment="0" applyProtection="0"/>
    <xf numFmtId="0" fontId="38" fillId="8" borderId="0" applyNumberFormat="0" applyBorder="0" applyAlignment="0" applyProtection="0"/>
    <xf numFmtId="0" fontId="70" fillId="19" borderId="0" applyNumberFormat="0" applyBorder="0" applyAlignment="0" applyProtection="0"/>
    <xf numFmtId="0" fontId="38" fillId="19" borderId="0" applyNumberFormat="0" applyBorder="0" applyAlignment="0" applyProtection="0"/>
    <xf numFmtId="0" fontId="38" fillId="19" borderId="0" applyNumberFormat="0" applyBorder="0" applyAlignment="0" applyProtection="0"/>
    <xf numFmtId="0" fontId="38" fillId="19" borderId="0" applyNumberFormat="0" applyBorder="0" applyAlignment="0" applyProtection="0"/>
    <xf numFmtId="0" fontId="38" fillId="19" borderId="0" applyNumberFormat="0" applyBorder="0" applyAlignment="0" applyProtection="0"/>
    <xf numFmtId="0" fontId="38" fillId="19" borderId="0" applyNumberFormat="0" applyBorder="0" applyAlignment="0" applyProtection="0"/>
    <xf numFmtId="0" fontId="38" fillId="19" borderId="0" applyNumberFormat="0" applyBorder="0" applyAlignment="0" applyProtection="0"/>
    <xf numFmtId="0" fontId="38" fillId="19" borderId="0" applyNumberFormat="0" applyBorder="0" applyAlignment="0" applyProtection="0"/>
    <xf numFmtId="0" fontId="98" fillId="74" borderId="0" applyNumberFormat="0" applyBorder="0" applyAlignment="0" applyProtection="0"/>
    <xf numFmtId="0" fontId="38" fillId="20" borderId="0" applyNumberFormat="0" applyBorder="0" applyAlignment="0" applyProtection="0"/>
    <xf numFmtId="0" fontId="38" fillId="20" borderId="0" applyNumberFormat="0" applyBorder="0" applyAlignment="0" applyProtection="0"/>
    <xf numFmtId="0" fontId="38" fillId="20" borderId="0" applyNumberFormat="0" applyBorder="0" applyAlignment="0" applyProtection="0"/>
    <xf numFmtId="0" fontId="38" fillId="8" borderId="0" applyNumberFormat="0" applyBorder="0" applyAlignment="0" applyProtection="0"/>
    <xf numFmtId="0" fontId="70" fillId="20" borderId="0" applyNumberFormat="0" applyBorder="0" applyAlignment="0" applyProtection="0"/>
    <xf numFmtId="0" fontId="38" fillId="20" borderId="0" applyNumberFormat="0" applyBorder="0" applyAlignment="0" applyProtection="0"/>
    <xf numFmtId="0" fontId="38" fillId="20" borderId="0" applyNumberFormat="0" applyBorder="0" applyAlignment="0" applyProtection="0"/>
    <xf numFmtId="0" fontId="38" fillId="20" borderId="0" applyNumberFormat="0" applyBorder="0" applyAlignment="0" applyProtection="0"/>
    <xf numFmtId="0" fontId="38" fillId="20" borderId="0" applyNumberFormat="0" applyBorder="0" applyAlignment="0" applyProtection="0"/>
    <xf numFmtId="0" fontId="38" fillId="20" borderId="0" applyNumberFormat="0" applyBorder="0" applyAlignment="0" applyProtection="0"/>
    <xf numFmtId="0" fontId="38" fillId="20" borderId="0" applyNumberFormat="0" applyBorder="0" applyAlignment="0" applyProtection="0"/>
    <xf numFmtId="0" fontId="38" fillId="20" borderId="0" applyNumberFormat="0" applyBorder="0" applyAlignment="0" applyProtection="0"/>
    <xf numFmtId="0" fontId="98" fillId="75" borderId="0" applyNumberFormat="0" applyBorder="0" applyAlignment="0" applyProtection="0"/>
    <xf numFmtId="0" fontId="38" fillId="21" borderId="0" applyNumberFormat="0" applyBorder="0" applyAlignment="0" applyProtection="0"/>
    <xf numFmtId="0" fontId="38" fillId="21" borderId="0" applyNumberFormat="0" applyBorder="0" applyAlignment="0" applyProtection="0"/>
    <xf numFmtId="0" fontId="38" fillId="21" borderId="0" applyNumberFormat="0" applyBorder="0" applyAlignment="0" applyProtection="0"/>
    <xf numFmtId="0" fontId="38" fillId="13" borderId="0" applyNumberFormat="0" applyBorder="0" applyAlignment="0" applyProtection="0"/>
    <xf numFmtId="0" fontId="70" fillId="21" borderId="0" applyNumberFormat="0" applyBorder="0" applyAlignment="0" applyProtection="0"/>
    <xf numFmtId="0" fontId="38" fillId="21" borderId="0" applyNumberFormat="0" applyBorder="0" applyAlignment="0" applyProtection="0"/>
    <xf numFmtId="0" fontId="38" fillId="21" borderId="0" applyNumberFormat="0" applyBorder="0" applyAlignment="0" applyProtection="0"/>
    <xf numFmtId="0" fontId="38" fillId="21" borderId="0" applyNumberFormat="0" applyBorder="0" applyAlignment="0" applyProtection="0"/>
    <xf numFmtId="0" fontId="38" fillId="21" borderId="0" applyNumberFormat="0" applyBorder="0" applyAlignment="0" applyProtection="0"/>
    <xf numFmtId="0" fontId="38" fillId="21" borderId="0" applyNumberFormat="0" applyBorder="0" applyAlignment="0" applyProtection="0"/>
    <xf numFmtId="0" fontId="38" fillId="21" borderId="0" applyNumberFormat="0" applyBorder="0" applyAlignment="0" applyProtection="0"/>
    <xf numFmtId="0" fontId="38" fillId="21" borderId="0" applyNumberFormat="0" applyBorder="0" applyAlignment="0" applyProtection="0"/>
    <xf numFmtId="0" fontId="98" fillId="76" borderId="0" applyNumberFormat="0" applyBorder="0" applyAlignment="0" applyProtection="0"/>
    <xf numFmtId="0" fontId="38" fillId="16" borderId="0" applyNumberFormat="0" applyBorder="0" applyAlignment="0" applyProtection="0"/>
    <xf numFmtId="0" fontId="38" fillId="16" borderId="0" applyNumberFormat="0" applyBorder="0" applyAlignment="0" applyProtection="0"/>
    <xf numFmtId="0" fontId="38" fillId="16" borderId="0" applyNumberFormat="0" applyBorder="0" applyAlignment="0" applyProtection="0"/>
    <xf numFmtId="0" fontId="38" fillId="22" borderId="0" applyNumberFormat="0" applyBorder="0" applyAlignment="0" applyProtection="0"/>
    <xf numFmtId="0" fontId="70" fillId="16" borderId="0" applyNumberFormat="0" applyBorder="0" applyAlignment="0" applyProtection="0"/>
    <xf numFmtId="0" fontId="38" fillId="16" borderId="0" applyNumberFormat="0" applyBorder="0" applyAlignment="0" applyProtection="0"/>
    <xf numFmtId="0" fontId="38" fillId="16" borderId="0" applyNumberFormat="0" applyBorder="0" applyAlignment="0" applyProtection="0"/>
    <xf numFmtId="0" fontId="38" fillId="16" borderId="0" applyNumberFormat="0" applyBorder="0" applyAlignment="0" applyProtection="0"/>
    <xf numFmtId="0" fontId="38" fillId="16" borderId="0" applyNumberFormat="0" applyBorder="0" applyAlignment="0" applyProtection="0"/>
    <xf numFmtId="0" fontId="38" fillId="16" borderId="0" applyNumberFormat="0" applyBorder="0" applyAlignment="0" applyProtection="0"/>
    <xf numFmtId="0" fontId="38" fillId="16" borderId="0" applyNumberFormat="0" applyBorder="0" applyAlignment="0" applyProtection="0"/>
    <xf numFmtId="0" fontId="38" fillId="16" borderId="0" applyNumberFormat="0" applyBorder="0" applyAlignment="0" applyProtection="0"/>
    <xf numFmtId="0" fontId="98" fillId="77" borderId="0" applyNumberFormat="0" applyBorder="0" applyAlignment="0" applyProtection="0"/>
    <xf numFmtId="0" fontId="38" fillId="17" borderId="0" applyNumberFormat="0" applyBorder="0" applyAlignment="0" applyProtection="0"/>
    <xf numFmtId="0" fontId="38" fillId="17" borderId="0" applyNumberFormat="0" applyBorder="0" applyAlignment="0" applyProtection="0"/>
    <xf numFmtId="0" fontId="38" fillId="17" borderId="0" applyNumberFormat="0" applyBorder="0" applyAlignment="0" applyProtection="0"/>
    <xf numFmtId="0" fontId="38" fillId="22" borderId="0" applyNumberFormat="0" applyBorder="0" applyAlignment="0" applyProtection="0"/>
    <xf numFmtId="0" fontId="70" fillId="17" borderId="0" applyNumberFormat="0" applyBorder="0" applyAlignment="0" applyProtection="0"/>
    <xf numFmtId="0" fontId="38" fillId="17" borderId="0" applyNumberFormat="0" applyBorder="0" applyAlignment="0" applyProtection="0"/>
    <xf numFmtId="0" fontId="38" fillId="17" borderId="0" applyNumberFormat="0" applyBorder="0" applyAlignment="0" applyProtection="0"/>
    <xf numFmtId="0" fontId="38" fillId="17" borderId="0" applyNumberFormat="0" applyBorder="0" applyAlignment="0" applyProtection="0"/>
    <xf numFmtId="0" fontId="38" fillId="17" borderId="0" applyNumberFormat="0" applyBorder="0" applyAlignment="0" applyProtection="0"/>
    <xf numFmtId="0" fontId="38" fillId="17" borderId="0" applyNumberFormat="0" applyBorder="0" applyAlignment="0" applyProtection="0"/>
    <xf numFmtId="0" fontId="38" fillId="17" borderId="0" applyNumberFormat="0" applyBorder="0" applyAlignment="0" applyProtection="0"/>
    <xf numFmtId="0" fontId="38" fillId="17" borderId="0" applyNumberFormat="0" applyBorder="0" applyAlignment="0" applyProtection="0"/>
    <xf numFmtId="0" fontId="98" fillId="78" borderId="0" applyNumberFormat="0" applyBorder="0" applyAlignment="0" applyProtection="0"/>
    <xf numFmtId="0" fontId="38" fillId="23" borderId="0" applyNumberFormat="0" applyBorder="0" applyAlignment="0" applyProtection="0"/>
    <xf numFmtId="0" fontId="38" fillId="23" borderId="0" applyNumberFormat="0" applyBorder="0" applyAlignment="0" applyProtection="0"/>
    <xf numFmtId="0" fontId="38" fillId="23" borderId="0" applyNumberFormat="0" applyBorder="0" applyAlignment="0" applyProtection="0"/>
    <xf numFmtId="0" fontId="38" fillId="24" borderId="0" applyNumberFormat="0" applyBorder="0" applyAlignment="0" applyProtection="0"/>
    <xf numFmtId="0" fontId="70" fillId="23" borderId="0" applyNumberFormat="0" applyBorder="0" applyAlignment="0" applyProtection="0"/>
    <xf numFmtId="0" fontId="38" fillId="23" borderId="0" applyNumberFormat="0" applyBorder="0" applyAlignment="0" applyProtection="0"/>
    <xf numFmtId="0" fontId="38" fillId="23" borderId="0" applyNumberFormat="0" applyBorder="0" applyAlignment="0" applyProtection="0"/>
    <xf numFmtId="0" fontId="38" fillId="23" borderId="0" applyNumberFormat="0" applyBorder="0" applyAlignment="0" applyProtection="0"/>
    <xf numFmtId="0" fontId="38" fillId="23" borderId="0" applyNumberFormat="0" applyBorder="0" applyAlignment="0" applyProtection="0"/>
    <xf numFmtId="0" fontId="38" fillId="23" borderId="0" applyNumberFormat="0" applyBorder="0" applyAlignment="0" applyProtection="0"/>
    <xf numFmtId="0" fontId="38" fillId="23" borderId="0" applyNumberFormat="0" applyBorder="0" applyAlignment="0" applyProtection="0"/>
    <xf numFmtId="0" fontId="38" fillId="23" borderId="0" applyNumberFormat="0" applyBorder="0" applyAlignment="0" applyProtection="0"/>
    <xf numFmtId="0" fontId="1" fillId="25" borderId="0">
      <alignment vertical="center"/>
    </xf>
    <xf numFmtId="0" fontId="1" fillId="25" borderId="0">
      <alignment vertical="center"/>
    </xf>
    <xf numFmtId="0" fontId="1" fillId="25" borderId="0">
      <alignment vertical="center"/>
    </xf>
    <xf numFmtId="0" fontId="1" fillId="25" borderId="0">
      <alignment vertical="center"/>
    </xf>
    <xf numFmtId="0" fontId="1" fillId="25" borderId="0">
      <alignment vertical="center"/>
    </xf>
    <xf numFmtId="0" fontId="1" fillId="25" borderId="0">
      <alignment vertical="center"/>
    </xf>
    <xf numFmtId="0" fontId="1" fillId="25" borderId="0">
      <alignment vertical="center"/>
    </xf>
    <xf numFmtId="0" fontId="1" fillId="25" borderId="0">
      <alignment vertical="center"/>
    </xf>
    <xf numFmtId="0" fontId="1" fillId="25" borderId="0">
      <alignment vertical="center"/>
    </xf>
    <xf numFmtId="0" fontId="1" fillId="25" borderId="0">
      <alignment vertical="center"/>
    </xf>
    <xf numFmtId="0" fontId="1" fillId="25" borderId="0">
      <alignment vertical="center"/>
    </xf>
    <xf numFmtId="0" fontId="1" fillId="25" borderId="0">
      <alignment vertical="center"/>
    </xf>
    <xf numFmtId="0" fontId="99" fillId="79" borderId="0" applyNumberFormat="0" applyBorder="0" applyAlignment="0" applyProtection="0"/>
    <xf numFmtId="0" fontId="39" fillId="4" borderId="0" applyNumberFormat="0" applyBorder="0" applyAlignment="0" applyProtection="0"/>
    <xf numFmtId="0" fontId="39" fillId="4" borderId="0" applyNumberFormat="0" applyBorder="0" applyAlignment="0" applyProtection="0"/>
    <xf numFmtId="0" fontId="39" fillId="4" borderId="0" applyNumberFormat="0" applyBorder="0" applyAlignment="0" applyProtection="0"/>
    <xf numFmtId="0" fontId="71" fillId="4" borderId="0" applyNumberFormat="0" applyBorder="0" applyAlignment="0" applyProtection="0"/>
    <xf numFmtId="0" fontId="39" fillId="4" borderId="0" applyNumberFormat="0" applyBorder="0" applyAlignment="0" applyProtection="0"/>
    <xf numFmtId="0" fontId="39" fillId="4" borderId="0" applyNumberFormat="0" applyBorder="0" applyAlignment="0" applyProtection="0"/>
    <xf numFmtId="0" fontId="39" fillId="4" borderId="0" applyNumberFormat="0" applyBorder="0" applyAlignment="0" applyProtection="0"/>
    <xf numFmtId="0" fontId="39" fillId="4" borderId="0" applyNumberFormat="0" applyBorder="0" applyAlignment="0" applyProtection="0"/>
    <xf numFmtId="0" fontId="39" fillId="4" borderId="0" applyNumberFormat="0" applyBorder="0" applyAlignment="0" applyProtection="0"/>
    <xf numFmtId="0" fontId="39" fillId="4" borderId="0" applyNumberFormat="0" applyBorder="0" applyAlignment="0" applyProtection="0"/>
    <xf numFmtId="0" fontId="39" fillId="4" borderId="0" applyNumberFormat="0" applyBorder="0" applyAlignment="0" applyProtection="0"/>
    <xf numFmtId="0" fontId="5" fillId="0" borderId="0" applyNumberFormat="0" applyFill="0" applyBorder="0" applyAlignment="0" applyProtection="0">
      <alignment vertical="top"/>
      <protection locked="0"/>
    </xf>
    <xf numFmtId="1" fontId="1" fillId="26" borderId="0">
      <alignment horizontal="center" vertical="center"/>
    </xf>
    <xf numFmtId="1" fontId="1" fillId="26" borderId="0">
      <alignment horizontal="center" vertical="center"/>
    </xf>
    <xf numFmtId="1" fontId="1" fillId="26" borderId="0">
      <alignment horizontal="center" vertical="center"/>
    </xf>
    <xf numFmtId="1" fontId="1" fillId="26" borderId="0">
      <alignment horizontal="center" vertical="center"/>
    </xf>
    <xf numFmtId="1" fontId="1" fillId="26" borderId="0">
      <alignment horizontal="center" vertical="center"/>
    </xf>
    <xf numFmtId="1" fontId="1" fillId="26" borderId="0">
      <alignment horizontal="center" vertical="center"/>
    </xf>
    <xf numFmtId="1" fontId="1" fillId="26" borderId="0">
      <alignment horizontal="center" vertical="center"/>
    </xf>
    <xf numFmtId="1" fontId="1" fillId="26" borderId="0">
      <alignment horizontal="center" vertical="center"/>
    </xf>
    <xf numFmtId="1" fontId="1" fillId="26" borderId="0">
      <alignment horizontal="center" vertical="center"/>
    </xf>
    <xf numFmtId="1" fontId="1" fillId="26" borderId="0">
      <alignment horizontal="center" vertical="center"/>
    </xf>
    <xf numFmtId="1" fontId="1" fillId="26" borderId="0">
      <alignment horizontal="center" vertical="center"/>
    </xf>
    <xf numFmtId="1" fontId="1" fillId="26" borderId="0">
      <alignment horizontal="center" vertical="center"/>
    </xf>
    <xf numFmtId="0" fontId="100" fillId="80" borderId="205" applyNumberFormat="0" applyAlignment="0" applyProtection="0"/>
    <xf numFmtId="0" fontId="40" fillId="8" borderId="1" applyNumberFormat="0" applyAlignment="0" applyProtection="0"/>
    <xf numFmtId="0" fontId="40" fillId="8" borderId="1" applyNumberFormat="0" applyAlignment="0" applyProtection="0"/>
    <xf numFmtId="0" fontId="40" fillId="8" borderId="1" applyNumberFormat="0" applyAlignment="0" applyProtection="0"/>
    <xf numFmtId="0" fontId="72" fillId="8" borderId="1" applyNumberFormat="0" applyAlignment="0" applyProtection="0"/>
    <xf numFmtId="0" fontId="40" fillId="8" borderId="1" applyNumberFormat="0" applyAlignment="0" applyProtection="0"/>
    <xf numFmtId="0" fontId="72" fillId="8" borderId="1" applyNumberFormat="0" applyAlignment="0" applyProtection="0"/>
    <xf numFmtId="0" fontId="40" fillId="8" borderId="1" applyNumberFormat="0" applyAlignment="0" applyProtection="0"/>
    <xf numFmtId="0" fontId="40" fillId="8" borderId="1" applyNumberFormat="0" applyAlignment="0" applyProtection="0"/>
    <xf numFmtId="0" fontId="40" fillId="8" borderId="1" applyNumberFormat="0" applyAlignment="0" applyProtection="0"/>
    <xf numFmtId="0" fontId="40" fillId="8" borderId="1" applyNumberFormat="0" applyAlignment="0" applyProtection="0"/>
    <xf numFmtId="0" fontId="40" fillId="8" borderId="1" applyNumberFormat="0" applyAlignment="0" applyProtection="0"/>
    <xf numFmtId="0" fontId="40" fillId="8" borderId="1" applyNumberFormat="0" applyAlignment="0" applyProtection="0"/>
    <xf numFmtId="0" fontId="101" fillId="81" borderId="206" applyNumberFormat="0" applyAlignment="0" applyProtection="0"/>
    <xf numFmtId="0" fontId="41" fillId="13" borderId="2" applyNumberFormat="0" applyAlignment="0" applyProtection="0"/>
    <xf numFmtId="0" fontId="41" fillId="13" borderId="2" applyNumberFormat="0" applyAlignment="0" applyProtection="0"/>
    <xf numFmtId="0" fontId="41" fillId="13" borderId="2" applyNumberFormat="0" applyAlignment="0" applyProtection="0"/>
    <xf numFmtId="0" fontId="73" fillId="13" borderId="2" applyNumberFormat="0" applyAlignment="0" applyProtection="0"/>
    <xf numFmtId="0" fontId="41" fillId="13" borderId="2" applyNumberFormat="0" applyAlignment="0" applyProtection="0"/>
    <xf numFmtId="0" fontId="73" fillId="13" borderId="2" applyNumberFormat="0" applyAlignment="0" applyProtection="0"/>
    <xf numFmtId="0" fontId="41" fillId="13" borderId="2" applyNumberFormat="0" applyAlignment="0" applyProtection="0"/>
    <xf numFmtId="0" fontId="41" fillId="13" borderId="2" applyNumberFormat="0" applyAlignment="0" applyProtection="0"/>
    <xf numFmtId="0" fontId="41" fillId="13" borderId="2" applyNumberFormat="0" applyAlignment="0" applyProtection="0"/>
    <xf numFmtId="0" fontId="41" fillId="13" borderId="2" applyNumberFormat="0" applyAlignment="0" applyProtection="0"/>
    <xf numFmtId="0" fontId="41" fillId="13" borderId="2" applyNumberFormat="0" applyAlignment="0" applyProtection="0"/>
    <xf numFmtId="0" fontId="41" fillId="13" borderId="2" applyNumberFormat="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5" fontId="2" fillId="27" borderId="0">
      <alignment horizontal="center" vertical="center"/>
    </xf>
    <xf numFmtId="15" fontId="2" fillId="27" borderId="0">
      <alignment horizontal="center" vertical="center"/>
    </xf>
    <xf numFmtId="15" fontId="2" fillId="27" borderId="0">
      <alignment horizontal="center" vertical="center"/>
    </xf>
    <xf numFmtId="15" fontId="2" fillId="27" borderId="0">
      <alignment horizontal="center" vertical="center"/>
    </xf>
    <xf numFmtId="15" fontId="2" fillId="27" borderId="0">
      <alignment horizontal="center" vertical="center"/>
    </xf>
    <xf numFmtId="15" fontId="2" fillId="27" borderId="0">
      <alignment horizontal="center" vertical="center"/>
    </xf>
    <xf numFmtId="15" fontId="2" fillId="27" borderId="0">
      <alignment horizontal="center" vertical="center"/>
    </xf>
    <xf numFmtId="15" fontId="2" fillId="27" borderId="0">
      <alignment horizontal="center" vertical="center"/>
    </xf>
    <xf numFmtId="38" fontId="74" fillId="0" borderId="0" applyFont="0" applyFill="0" applyBorder="0" applyAlignment="0" applyProtection="0"/>
    <xf numFmtId="0" fontId="1" fillId="0" borderId="0" applyFont="0" applyFill="0" applyBorder="0" applyAlignment="0" applyProtection="0"/>
    <xf numFmtId="175" fontId="1" fillId="0" borderId="0" applyFont="0" applyFill="0" applyBorder="0" applyAlignment="0" applyProtection="0"/>
    <xf numFmtId="175" fontId="1" fillId="0" borderId="0" applyFont="0" applyFill="0" applyBorder="0" applyAlignment="0" applyProtection="0"/>
    <xf numFmtId="175" fontId="1" fillId="0" borderId="0" applyFont="0" applyFill="0" applyBorder="0" applyAlignment="0" applyProtection="0"/>
    <xf numFmtId="175" fontId="1" fillId="0" borderId="0" applyFont="0" applyFill="0" applyBorder="0" applyAlignment="0" applyProtection="0"/>
    <xf numFmtId="175" fontId="1" fillId="0" borderId="0" applyFont="0" applyFill="0" applyBorder="0" applyAlignment="0" applyProtection="0"/>
    <xf numFmtId="175" fontId="1" fillId="0" borderId="0" applyFont="0" applyFill="0" applyBorder="0" applyAlignment="0" applyProtection="0"/>
    <xf numFmtId="175" fontId="1" fillId="0" borderId="0" applyFont="0" applyFill="0" applyBorder="0" applyAlignment="0" applyProtection="0"/>
    <xf numFmtId="175" fontId="1" fillId="0" borderId="0" applyFont="0" applyFill="0" applyBorder="0" applyAlignment="0" applyProtection="0"/>
    <xf numFmtId="175" fontId="1" fillId="0" borderId="0" applyFont="0" applyFill="0" applyBorder="0" applyAlignment="0" applyProtection="0"/>
    <xf numFmtId="175" fontId="1" fillId="0" borderId="0" applyFont="0" applyFill="0" applyBorder="0" applyAlignment="0" applyProtection="0"/>
    <xf numFmtId="0" fontId="102"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75"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14" fillId="28" borderId="3">
      <alignment horizontal="center" vertical="center" wrapText="1"/>
    </xf>
    <xf numFmtId="0" fontId="103" fillId="82"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76"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43" fillId="5" borderId="0" applyNumberFormat="0" applyBorder="0" applyAlignment="0" applyProtection="0"/>
    <xf numFmtId="0" fontId="104" fillId="0" borderId="207" applyNumberFormat="0" applyFill="0" applyAlignment="0" applyProtection="0"/>
    <xf numFmtId="0" fontId="44" fillId="0" borderId="4" applyNumberFormat="0" applyFill="0" applyAlignment="0" applyProtection="0"/>
    <xf numFmtId="0" fontId="44" fillId="0" borderId="4" applyNumberFormat="0" applyFill="0" applyAlignment="0" applyProtection="0"/>
    <xf numFmtId="0" fontId="44" fillId="0" borderId="4" applyNumberFormat="0" applyFill="0" applyAlignment="0" applyProtection="0"/>
    <xf numFmtId="0" fontId="77" fillId="0" borderId="5" applyNumberFormat="0" applyFill="0" applyAlignment="0" applyProtection="0"/>
    <xf numFmtId="0" fontId="78" fillId="0" borderId="4" applyNumberFormat="0" applyFill="0" applyAlignment="0" applyProtection="0"/>
    <xf numFmtId="0" fontId="44" fillId="0" borderId="4" applyNumberFormat="0" applyFill="0" applyAlignment="0" applyProtection="0"/>
    <xf numFmtId="0" fontId="78" fillId="0" borderId="4" applyNumberFormat="0" applyFill="0" applyAlignment="0" applyProtection="0"/>
    <xf numFmtId="0" fontId="44" fillId="0" borderId="4" applyNumberFormat="0" applyFill="0" applyAlignment="0" applyProtection="0"/>
    <xf numFmtId="0" fontId="44" fillId="0" borderId="4" applyNumberFormat="0" applyFill="0" applyAlignment="0" applyProtection="0"/>
    <xf numFmtId="0" fontId="44" fillId="0" borderId="4" applyNumberFormat="0" applyFill="0" applyAlignment="0" applyProtection="0"/>
    <xf numFmtId="0" fontId="44" fillId="0" borderId="4" applyNumberFormat="0" applyFill="0" applyAlignment="0" applyProtection="0"/>
    <xf numFmtId="0" fontId="44" fillId="0" borderId="4" applyNumberFormat="0" applyFill="0" applyAlignment="0" applyProtection="0"/>
    <xf numFmtId="0" fontId="44" fillId="0" borderId="4" applyNumberFormat="0" applyFill="0" applyAlignment="0" applyProtection="0"/>
    <xf numFmtId="0" fontId="105" fillId="0" borderId="208" applyNumberFormat="0" applyFill="0" applyAlignment="0" applyProtection="0"/>
    <xf numFmtId="0" fontId="45" fillId="0" borderId="5" applyNumberFormat="0" applyFill="0" applyAlignment="0" applyProtection="0"/>
    <xf numFmtId="0" fontId="45" fillId="0" borderId="5" applyNumberFormat="0" applyFill="0" applyAlignment="0" applyProtection="0"/>
    <xf numFmtId="0" fontId="45" fillId="0" borderId="5" applyNumberFormat="0" applyFill="0" applyAlignment="0" applyProtection="0"/>
    <xf numFmtId="0" fontId="79" fillId="0" borderId="6" applyNumberFormat="0" applyFill="0" applyAlignment="0" applyProtection="0"/>
    <xf numFmtId="0" fontId="80" fillId="0" borderId="5" applyNumberFormat="0" applyFill="0" applyAlignment="0" applyProtection="0"/>
    <xf numFmtId="0" fontId="45" fillId="0" borderId="5" applyNumberFormat="0" applyFill="0" applyAlignment="0" applyProtection="0"/>
    <xf numFmtId="0" fontId="45" fillId="0" borderId="5" applyNumberFormat="0" applyFill="0" applyAlignment="0" applyProtection="0"/>
    <xf numFmtId="0" fontId="45" fillId="0" borderId="5" applyNumberFormat="0" applyFill="0" applyAlignment="0" applyProtection="0"/>
    <xf numFmtId="0" fontId="45" fillId="0" borderId="5" applyNumberFormat="0" applyFill="0" applyAlignment="0" applyProtection="0"/>
    <xf numFmtId="0" fontId="45" fillId="0" borderId="5" applyNumberFormat="0" applyFill="0" applyAlignment="0" applyProtection="0"/>
    <xf numFmtId="0" fontId="45" fillId="0" borderId="5" applyNumberFormat="0" applyFill="0" applyAlignment="0" applyProtection="0"/>
    <xf numFmtId="0" fontId="45" fillId="0" borderId="5" applyNumberFormat="0" applyFill="0" applyAlignment="0" applyProtection="0"/>
    <xf numFmtId="0" fontId="106" fillId="0" borderId="209" applyNumberFormat="0" applyFill="0" applyAlignment="0" applyProtection="0"/>
    <xf numFmtId="0" fontId="46" fillId="0" borderId="7" applyNumberFormat="0" applyFill="0" applyAlignment="0" applyProtection="0"/>
    <xf numFmtId="0" fontId="46" fillId="0" borderId="7" applyNumberFormat="0" applyFill="0" applyAlignment="0" applyProtection="0"/>
    <xf numFmtId="0" fontId="46" fillId="0" borderId="7" applyNumberFormat="0" applyFill="0" applyAlignment="0" applyProtection="0"/>
    <xf numFmtId="0" fontId="52" fillId="0" borderId="8" applyNumberFormat="0" applyFill="0" applyAlignment="0" applyProtection="0"/>
    <xf numFmtId="0" fontId="81" fillId="0" borderId="7" applyNumberFormat="0" applyFill="0" applyAlignment="0" applyProtection="0"/>
    <xf numFmtId="0" fontId="46" fillId="0" borderId="7" applyNumberFormat="0" applyFill="0" applyAlignment="0" applyProtection="0"/>
    <xf numFmtId="0" fontId="81" fillId="0" borderId="7" applyNumberFormat="0" applyFill="0" applyAlignment="0" applyProtection="0"/>
    <xf numFmtId="0" fontId="46" fillId="0" borderId="7" applyNumberFormat="0" applyFill="0" applyAlignment="0" applyProtection="0"/>
    <xf numFmtId="0" fontId="46" fillId="0" borderId="7" applyNumberFormat="0" applyFill="0" applyAlignment="0" applyProtection="0"/>
    <xf numFmtId="0" fontId="46" fillId="0" borderId="7" applyNumberFormat="0" applyFill="0" applyAlignment="0" applyProtection="0"/>
    <xf numFmtId="0" fontId="46" fillId="0" borderId="7" applyNumberFormat="0" applyFill="0" applyAlignment="0" applyProtection="0"/>
    <xf numFmtId="0" fontId="46" fillId="0" borderId="7" applyNumberFormat="0" applyFill="0" applyAlignment="0" applyProtection="0"/>
    <xf numFmtId="0" fontId="46" fillId="0" borderId="7" applyNumberFormat="0" applyFill="0" applyAlignment="0" applyProtection="0"/>
    <xf numFmtId="0" fontId="10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52" fillId="0" borderId="0" applyNumberFormat="0" applyFill="0" applyBorder="0" applyAlignment="0" applyProtection="0"/>
    <xf numFmtId="0" fontId="8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107" fillId="0" borderId="0" applyNumberFormat="0" applyFill="0" applyBorder="0" applyAlignment="0" applyProtection="0">
      <alignment vertical="top"/>
      <protection locked="0"/>
    </xf>
    <xf numFmtId="0" fontId="108" fillId="83" borderId="205" applyNumberFormat="0" applyAlignment="0" applyProtection="0"/>
    <xf numFmtId="0" fontId="47" fillId="9" borderId="1" applyNumberFormat="0" applyAlignment="0" applyProtection="0"/>
    <xf numFmtId="0" fontId="47" fillId="9" borderId="1" applyNumberFormat="0" applyAlignment="0" applyProtection="0"/>
    <xf numFmtId="0" fontId="47" fillId="9" borderId="1" applyNumberFormat="0" applyAlignment="0" applyProtection="0"/>
    <xf numFmtId="0" fontId="82" fillId="9" borderId="1" applyNumberFormat="0" applyAlignment="0" applyProtection="0"/>
    <xf numFmtId="0" fontId="47" fillId="9" borderId="1" applyNumberFormat="0" applyAlignment="0" applyProtection="0"/>
    <xf numFmtId="0" fontId="82" fillId="9" borderId="1" applyNumberFormat="0" applyAlignment="0" applyProtection="0"/>
    <xf numFmtId="0" fontId="47" fillId="9" borderId="1" applyNumberFormat="0" applyAlignment="0" applyProtection="0"/>
    <xf numFmtId="0" fontId="47" fillId="9" borderId="1" applyNumberFormat="0" applyAlignment="0" applyProtection="0"/>
    <xf numFmtId="0" fontId="47" fillId="9" borderId="1" applyNumberFormat="0" applyAlignment="0" applyProtection="0"/>
    <xf numFmtId="0" fontId="47" fillId="9" borderId="1" applyNumberFormat="0" applyAlignment="0" applyProtection="0"/>
    <xf numFmtId="0" fontId="47" fillId="9" borderId="1" applyNumberFormat="0" applyAlignment="0" applyProtection="0"/>
    <xf numFmtId="0" fontId="47" fillId="9" borderId="1" applyNumberFormat="0" applyAlignment="0" applyProtection="0"/>
    <xf numFmtId="176" fontId="1" fillId="0" borderId="0" applyFont="0" applyFill="0" applyBorder="0" applyAlignment="0" applyProtection="0"/>
    <xf numFmtId="177" fontId="1" fillId="0" borderId="0" applyFont="0" applyFill="0" applyBorder="0" applyAlignment="0" applyProtection="0"/>
    <xf numFmtId="0" fontId="3" fillId="0" borderId="0" applyNumberFormat="0" applyFill="0" applyBorder="0" applyAlignment="0" applyProtection="0">
      <alignment vertical="top"/>
      <protection locked="0"/>
    </xf>
    <xf numFmtId="0" fontId="3" fillId="0" borderId="0" applyNumberFormat="0" applyFill="0" applyBorder="0" applyAlignment="0" applyProtection="0">
      <alignment vertical="top"/>
      <protection locked="0"/>
    </xf>
    <xf numFmtId="0" fontId="3" fillId="0" borderId="0" applyNumberFormat="0" applyFill="0" applyBorder="0" applyAlignment="0" applyProtection="0">
      <alignment vertical="top"/>
      <protection locked="0"/>
    </xf>
    <xf numFmtId="0" fontId="3" fillId="0" borderId="0" applyNumberFormat="0" applyFill="0" applyBorder="0" applyAlignment="0" applyProtection="0">
      <alignment vertical="top"/>
      <protection locked="0"/>
    </xf>
    <xf numFmtId="0" fontId="3" fillId="0" borderId="0" applyNumberFormat="0" applyFill="0" applyBorder="0" applyAlignment="0" applyProtection="0">
      <alignment vertical="top"/>
      <protection locked="0"/>
    </xf>
    <xf numFmtId="0" fontId="3" fillId="0" borderId="0" applyNumberFormat="0" applyFill="0" applyBorder="0" applyAlignment="0" applyProtection="0">
      <alignment vertical="top"/>
      <protection locked="0"/>
    </xf>
    <xf numFmtId="0" fontId="3" fillId="0" borderId="0" applyNumberFormat="0" applyFill="0" applyBorder="0" applyAlignment="0" applyProtection="0">
      <alignment vertical="top"/>
      <protection locked="0"/>
    </xf>
    <xf numFmtId="0" fontId="3" fillId="0" borderId="0" applyNumberFormat="0" applyFill="0" applyBorder="0" applyAlignment="0" applyProtection="0">
      <alignment vertical="top"/>
      <protection locked="0"/>
    </xf>
    <xf numFmtId="0" fontId="3" fillId="0" borderId="0" applyNumberFormat="0" applyFill="0" applyBorder="0" applyAlignment="0" applyProtection="0">
      <alignment vertical="top"/>
      <protection locked="0"/>
    </xf>
    <xf numFmtId="0" fontId="3"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3" fillId="0" borderId="0" applyNumberFormat="0" applyFill="0" applyBorder="0" applyAlignment="0" applyProtection="0">
      <alignment vertical="top"/>
      <protection locked="0"/>
    </xf>
    <xf numFmtId="0" fontId="109" fillId="0" borderId="210"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83" fillId="0" borderId="9" applyNumberFormat="0" applyFill="0" applyAlignment="0" applyProtection="0"/>
    <xf numFmtId="0" fontId="48" fillId="0" borderId="9" applyNumberFormat="0" applyFill="0" applyAlignment="0" applyProtection="0"/>
    <xf numFmtId="0" fontId="83"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1" fillId="29" borderId="0">
      <alignment horizontal="center" vertical="center"/>
      <protection locked="0"/>
    </xf>
    <xf numFmtId="0" fontId="1" fillId="29" borderId="0">
      <alignment horizontal="center" vertical="center"/>
      <protection locked="0"/>
    </xf>
    <xf numFmtId="0" fontId="1" fillId="29" borderId="0">
      <alignment horizontal="center" vertical="center"/>
      <protection locked="0"/>
    </xf>
    <xf numFmtId="0" fontId="1" fillId="29" borderId="0">
      <alignment horizontal="center" vertical="center"/>
      <protection locked="0"/>
    </xf>
    <xf numFmtId="0" fontId="1" fillId="29" borderId="0">
      <alignment horizontal="center" vertical="center"/>
      <protection locked="0"/>
    </xf>
    <xf numFmtId="0" fontId="1" fillId="29" borderId="0">
      <alignment horizontal="center" vertical="center"/>
      <protection locked="0"/>
    </xf>
    <xf numFmtId="0" fontId="1" fillId="29" borderId="0">
      <alignment horizontal="center" vertical="center"/>
      <protection locked="0"/>
    </xf>
    <xf numFmtId="0" fontId="1" fillId="29" borderId="0">
      <alignment horizontal="center" vertical="center"/>
      <protection locked="0"/>
    </xf>
    <xf numFmtId="0" fontId="1" fillId="29" borderId="0">
      <alignment horizontal="center" vertical="center"/>
      <protection locked="0"/>
    </xf>
    <xf numFmtId="0" fontId="1" fillId="29" borderId="0">
      <alignment horizontal="center" vertical="center"/>
      <protection locked="0"/>
    </xf>
    <xf numFmtId="0" fontId="1" fillId="29" borderId="0">
      <alignment horizontal="center" vertical="center"/>
      <protection locked="0"/>
    </xf>
    <xf numFmtId="0" fontId="1" fillId="29" borderId="0">
      <alignment horizontal="center" vertical="center"/>
      <protection locked="0"/>
    </xf>
    <xf numFmtId="178" fontId="1" fillId="0" borderId="0" applyFont="0" applyFill="0" applyBorder="0" applyAlignment="0" applyProtection="0"/>
    <xf numFmtId="179" fontId="1" fillId="0" borderId="0" applyFont="0" applyFill="0" applyBorder="0" applyAlignment="0" applyProtection="0"/>
    <xf numFmtId="180" fontId="1" fillId="0" borderId="0" applyFont="0" applyFill="0" applyBorder="0" applyAlignment="0" applyProtection="0"/>
    <xf numFmtId="181" fontId="1" fillId="0" borderId="0" applyFont="0" applyFill="0" applyBorder="0" applyAlignment="0" applyProtection="0"/>
    <xf numFmtId="0" fontId="110" fillId="84" borderId="0" applyNumberFormat="0" applyBorder="0" applyAlignment="0" applyProtection="0"/>
    <xf numFmtId="0" fontId="49" fillId="30" borderId="0" applyNumberFormat="0" applyBorder="0" applyAlignment="0" applyProtection="0"/>
    <xf numFmtId="0" fontId="49" fillId="30" borderId="0" applyNumberFormat="0" applyBorder="0" applyAlignment="0" applyProtection="0"/>
    <xf numFmtId="0" fontId="49" fillId="30" borderId="0" applyNumberFormat="0" applyBorder="0" applyAlignment="0" applyProtection="0"/>
    <xf numFmtId="0" fontId="84" fillId="30" borderId="0" applyNumberFormat="0" applyBorder="0" applyAlignment="0" applyProtection="0"/>
    <xf numFmtId="0" fontId="49" fillId="30" borderId="0" applyNumberFormat="0" applyBorder="0" applyAlignment="0" applyProtection="0"/>
    <xf numFmtId="0" fontId="49" fillId="30" borderId="0" applyNumberFormat="0" applyBorder="0" applyAlignment="0" applyProtection="0"/>
    <xf numFmtId="0" fontId="49" fillId="30" borderId="0" applyNumberFormat="0" applyBorder="0" applyAlignment="0" applyProtection="0"/>
    <xf numFmtId="0" fontId="49" fillId="30" borderId="0" applyNumberFormat="0" applyBorder="0" applyAlignment="0" applyProtection="0"/>
    <xf numFmtId="0" fontId="49" fillId="30" borderId="0" applyNumberFormat="0" applyBorder="0" applyAlignment="0" applyProtection="0"/>
    <xf numFmtId="0" fontId="49" fillId="30" borderId="0" applyNumberFormat="0" applyBorder="0" applyAlignment="0" applyProtection="0"/>
    <xf numFmtId="0" fontId="49" fillId="30"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1" fillId="0" borderId="0"/>
    <xf numFmtId="0" fontId="1" fillId="0" borderId="0"/>
    <xf numFmtId="0" fontId="1" fillId="0" borderId="0"/>
    <xf numFmtId="0" fontId="37" fillId="0" borderId="0"/>
    <xf numFmtId="0" fontId="1" fillId="0" borderId="0"/>
    <xf numFmtId="0" fontId="1" fillId="0" borderId="0"/>
    <xf numFmtId="0" fontId="1" fillId="0" borderId="0"/>
    <xf numFmtId="0" fontId="3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7" fillId="0" borderId="0"/>
    <xf numFmtId="0" fontId="1" fillId="0" borderId="0"/>
    <xf numFmtId="0" fontId="1" fillId="0" borderId="0"/>
    <xf numFmtId="0" fontId="1" fillId="0" borderId="0"/>
    <xf numFmtId="0" fontId="1" fillId="0" borderId="0"/>
    <xf numFmtId="0" fontId="1" fillId="0" borderId="0"/>
    <xf numFmtId="0" fontId="1" fillId="0" borderId="0"/>
    <xf numFmtId="0" fontId="37" fillId="0" borderId="0"/>
    <xf numFmtId="0" fontId="97" fillId="0" borderId="0"/>
    <xf numFmtId="0" fontId="37" fillId="0" borderId="0"/>
    <xf numFmtId="0" fontId="97" fillId="0" borderId="0"/>
    <xf numFmtId="0" fontId="97" fillId="0" borderId="0"/>
    <xf numFmtId="0" fontId="97" fillId="0" borderId="0"/>
    <xf numFmtId="0" fontId="97" fillId="0" borderId="0"/>
    <xf numFmtId="0" fontId="9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7" fillId="0" borderId="0"/>
    <xf numFmtId="0" fontId="97" fillId="0" borderId="0"/>
    <xf numFmtId="0" fontId="97" fillId="0" borderId="0"/>
    <xf numFmtId="0" fontId="9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1" borderId="10" applyNumberFormat="0" applyFont="0" applyAlignment="0" applyProtection="0"/>
    <xf numFmtId="0" fontId="1" fillId="31" borderId="10" applyNumberFormat="0" applyFont="0" applyAlignment="0" applyProtection="0"/>
    <xf numFmtId="0" fontId="1" fillId="31" borderId="10" applyNumberFormat="0" applyFont="0" applyAlignment="0" applyProtection="0"/>
    <xf numFmtId="0" fontId="55" fillId="85" borderId="211" applyNumberFormat="0" applyFont="0" applyAlignment="0" applyProtection="0"/>
    <xf numFmtId="0" fontId="1" fillId="31" borderId="10" applyNumberFormat="0" applyFont="0" applyAlignment="0" applyProtection="0"/>
    <xf numFmtId="0" fontId="1" fillId="31" borderId="10" applyNumberFormat="0" applyFont="0" applyAlignment="0" applyProtection="0"/>
    <xf numFmtId="0" fontId="1" fillId="31" borderId="10" applyNumberFormat="0" applyFont="0" applyAlignment="0" applyProtection="0"/>
    <xf numFmtId="0" fontId="1" fillId="31" borderId="10" applyNumberFormat="0" applyFont="0" applyAlignment="0" applyProtection="0"/>
    <xf numFmtId="0" fontId="1" fillId="31" borderId="10" applyNumberFormat="0" applyFont="0" applyAlignment="0" applyProtection="0"/>
    <xf numFmtId="0" fontId="1" fillId="31" borderId="10" applyNumberFormat="0" applyFont="0" applyAlignment="0" applyProtection="0"/>
    <xf numFmtId="0" fontId="1" fillId="31" borderId="10" applyNumberFormat="0" applyFont="0" applyAlignment="0" applyProtection="0"/>
    <xf numFmtId="0" fontId="1" fillId="31" borderId="10" applyNumberFormat="0" applyFont="0" applyAlignment="0" applyProtection="0"/>
    <xf numFmtId="0" fontId="1" fillId="31" borderId="10" applyNumberFormat="0" applyFont="0" applyAlignment="0" applyProtection="0"/>
    <xf numFmtId="0" fontId="1" fillId="31" borderId="10" applyNumberFormat="0" applyFont="0" applyAlignment="0" applyProtection="0"/>
    <xf numFmtId="0" fontId="1" fillId="31" borderId="10" applyNumberFormat="0" applyFont="0" applyAlignment="0" applyProtection="0"/>
    <xf numFmtId="0" fontId="1" fillId="31" borderId="10" applyNumberFormat="0" applyFont="0" applyAlignment="0" applyProtection="0"/>
    <xf numFmtId="0" fontId="1" fillId="31" borderId="10" applyNumberFormat="0" applyFont="0" applyAlignment="0" applyProtection="0"/>
    <xf numFmtId="0" fontId="1" fillId="31" borderId="10" applyNumberFormat="0" applyFont="0" applyAlignment="0" applyProtection="0"/>
    <xf numFmtId="0" fontId="1" fillId="31" borderId="10" applyNumberFormat="0" applyFont="0" applyAlignment="0" applyProtection="0"/>
    <xf numFmtId="0" fontId="1" fillId="31" borderId="10" applyNumberFormat="0" applyFont="0" applyAlignment="0" applyProtection="0"/>
    <xf numFmtId="0" fontId="1" fillId="31" borderId="10" applyNumberFormat="0" applyFont="0" applyAlignment="0" applyProtection="0"/>
    <xf numFmtId="0" fontId="111" fillId="80" borderId="212" applyNumberFormat="0" applyAlignment="0" applyProtection="0"/>
    <xf numFmtId="0" fontId="50" fillId="8" borderId="11" applyNumberFormat="0" applyAlignment="0" applyProtection="0"/>
    <xf numFmtId="0" fontId="50" fillId="8" borderId="11" applyNumberFormat="0" applyAlignment="0" applyProtection="0"/>
    <xf numFmtId="0" fontId="50" fillId="8" borderId="11" applyNumberFormat="0" applyAlignment="0" applyProtection="0"/>
    <xf numFmtId="0" fontId="85" fillId="8" borderId="11" applyNumberFormat="0" applyAlignment="0" applyProtection="0"/>
    <xf numFmtId="0" fontId="50" fillId="8" borderId="11" applyNumberFormat="0" applyAlignment="0" applyProtection="0"/>
    <xf numFmtId="0" fontId="85" fillId="8" borderId="11" applyNumberFormat="0" applyAlignment="0" applyProtection="0"/>
    <xf numFmtId="0" fontId="50" fillId="8" borderId="11" applyNumberFormat="0" applyAlignment="0" applyProtection="0"/>
    <xf numFmtId="0" fontId="50" fillId="8" borderId="11" applyNumberFormat="0" applyAlignment="0" applyProtection="0"/>
    <xf numFmtId="0" fontId="50" fillId="8" borderId="11" applyNumberFormat="0" applyAlignment="0" applyProtection="0"/>
    <xf numFmtId="0" fontId="50" fillId="8" borderId="11" applyNumberFormat="0" applyAlignment="0" applyProtection="0"/>
    <xf numFmtId="0" fontId="50" fillId="8" borderId="11" applyNumberFormat="0" applyAlignment="0" applyProtection="0"/>
    <xf numFmtId="0" fontId="50" fillId="8" borderId="11" applyNumberFormat="0" applyAlignment="0" applyProtection="0"/>
    <xf numFmtId="4" fontId="86" fillId="30" borderId="12" applyNumberFormat="0" applyProtection="0">
      <alignment vertical="center"/>
    </xf>
    <xf numFmtId="4" fontId="87" fillId="26" borderId="12" applyNumberFormat="0" applyProtection="0">
      <alignment vertical="center"/>
    </xf>
    <xf numFmtId="4" fontId="86" fillId="26" borderId="12" applyNumberFormat="0" applyProtection="0">
      <alignment horizontal="left" vertical="center" indent="1"/>
    </xf>
    <xf numFmtId="0" fontId="86" fillId="26" borderId="12" applyNumberFormat="0" applyProtection="0">
      <alignment horizontal="left" vertical="top" indent="1"/>
    </xf>
    <xf numFmtId="4" fontId="86" fillId="32" borderId="0" applyNumberFormat="0" applyProtection="0">
      <alignment horizontal="left" vertical="center" indent="1"/>
    </xf>
    <xf numFmtId="4" fontId="54" fillId="4" borderId="12" applyNumberFormat="0" applyProtection="0">
      <alignment horizontal="right" vertical="center"/>
    </xf>
    <xf numFmtId="4" fontId="54" fillId="11" borderId="12" applyNumberFormat="0" applyProtection="0">
      <alignment horizontal="right" vertical="center"/>
    </xf>
    <xf numFmtId="4" fontId="54" fillId="20" borderId="12" applyNumberFormat="0" applyProtection="0">
      <alignment horizontal="right" vertical="center"/>
    </xf>
    <xf numFmtId="4" fontId="54" fillId="14" borderId="12" applyNumberFormat="0" applyProtection="0">
      <alignment horizontal="right" vertical="center"/>
    </xf>
    <xf numFmtId="4" fontId="54" fillId="18" borderId="12" applyNumberFormat="0" applyProtection="0">
      <alignment horizontal="right" vertical="center"/>
    </xf>
    <xf numFmtId="4" fontId="54" fillId="23" borderId="12" applyNumberFormat="0" applyProtection="0">
      <alignment horizontal="right" vertical="center"/>
    </xf>
    <xf numFmtId="4" fontId="54" fillId="21" borderId="12" applyNumberFormat="0" applyProtection="0">
      <alignment horizontal="right" vertical="center"/>
    </xf>
    <xf numFmtId="4" fontId="54" fillId="33" borderId="12" applyNumberFormat="0" applyProtection="0">
      <alignment horizontal="right" vertical="center"/>
    </xf>
    <xf numFmtId="4" fontId="54" fillId="12" borderId="12" applyNumberFormat="0" applyProtection="0">
      <alignment horizontal="right" vertical="center"/>
    </xf>
    <xf numFmtId="4" fontId="86" fillId="34" borderId="13" applyNumberFormat="0" applyProtection="0">
      <alignment horizontal="left" vertical="center" indent="1"/>
    </xf>
    <xf numFmtId="4" fontId="54" fillId="35" borderId="0" applyNumberFormat="0" applyProtection="0">
      <alignment horizontal="left" vertical="center" indent="1"/>
    </xf>
    <xf numFmtId="4" fontId="88" fillId="36" borderId="0" applyNumberFormat="0" applyProtection="0">
      <alignment horizontal="left" vertical="center" indent="1"/>
    </xf>
    <xf numFmtId="4" fontId="88" fillId="36" borderId="0" applyNumberFormat="0" applyProtection="0">
      <alignment horizontal="left" vertical="center" indent="1"/>
    </xf>
    <xf numFmtId="4" fontId="88" fillId="36" borderId="0" applyNumberFormat="0" applyProtection="0">
      <alignment horizontal="left" vertical="center" indent="1"/>
    </xf>
    <xf numFmtId="4" fontId="88" fillId="36" borderId="0" applyNumberFormat="0" applyProtection="0">
      <alignment horizontal="left" vertical="center" indent="1"/>
    </xf>
    <xf numFmtId="4" fontId="88" fillId="36" borderId="0" applyNumberFormat="0" applyProtection="0">
      <alignment horizontal="left" vertical="center" indent="1"/>
    </xf>
    <xf numFmtId="4" fontId="88" fillId="36" borderId="0" applyNumberFormat="0" applyProtection="0">
      <alignment horizontal="left" vertical="center" indent="1"/>
    </xf>
    <xf numFmtId="4" fontId="88" fillId="36" borderId="0" applyNumberFormat="0" applyProtection="0">
      <alignment horizontal="left" vertical="center" indent="1"/>
    </xf>
    <xf numFmtId="4" fontId="88" fillId="36" borderId="0" applyNumberFormat="0" applyProtection="0">
      <alignment horizontal="left" vertical="center" indent="1"/>
    </xf>
    <xf numFmtId="4" fontId="88" fillId="36" borderId="0" applyNumberFormat="0" applyProtection="0">
      <alignment horizontal="left" vertical="center" indent="1"/>
    </xf>
    <xf numFmtId="4" fontId="88" fillId="36" borderId="0" applyNumberFormat="0" applyProtection="0">
      <alignment horizontal="left" vertical="center" indent="1"/>
    </xf>
    <xf numFmtId="4" fontId="88" fillId="36" borderId="0" applyNumberFormat="0" applyProtection="0">
      <alignment horizontal="left" vertical="center" indent="1"/>
    </xf>
    <xf numFmtId="4" fontId="54" fillId="37" borderId="12" applyNumberFormat="0" applyProtection="0">
      <alignment horizontal="right" vertical="center"/>
    </xf>
    <xf numFmtId="4" fontId="54" fillId="35" borderId="0" applyNumberFormat="0" applyProtection="0">
      <alignment horizontal="left" vertical="center" indent="1"/>
    </xf>
    <xf numFmtId="4" fontId="54" fillId="35" borderId="0" applyNumberFormat="0" applyProtection="0">
      <alignment horizontal="left" vertical="center" indent="1"/>
    </xf>
    <xf numFmtId="4" fontId="54" fillId="35" borderId="0" applyNumberFormat="0" applyProtection="0">
      <alignment horizontal="left" vertical="center" indent="1"/>
    </xf>
    <xf numFmtId="4" fontId="54" fillId="35" borderId="0" applyNumberFormat="0" applyProtection="0">
      <alignment horizontal="left" vertical="center" indent="1"/>
    </xf>
    <xf numFmtId="4" fontId="54" fillId="35" borderId="0" applyNumberFormat="0" applyProtection="0">
      <alignment horizontal="left" vertical="center" indent="1"/>
    </xf>
    <xf numFmtId="4" fontId="54" fillId="35" borderId="0" applyNumberFormat="0" applyProtection="0">
      <alignment horizontal="left" vertical="center" indent="1"/>
    </xf>
    <xf numFmtId="4" fontId="54" fillId="35" borderId="0" applyNumberFormat="0" applyProtection="0">
      <alignment horizontal="left" vertical="center" indent="1"/>
    </xf>
    <xf numFmtId="4" fontId="54" fillId="35" borderId="0" applyNumberFormat="0" applyProtection="0">
      <alignment horizontal="left" vertical="center" indent="1"/>
    </xf>
    <xf numFmtId="4" fontId="54" fillId="35" borderId="0" applyNumberFormat="0" applyProtection="0">
      <alignment horizontal="left" vertical="center" indent="1"/>
    </xf>
    <xf numFmtId="4" fontId="54" fillId="35" borderId="0" applyNumberFormat="0" applyProtection="0">
      <alignment horizontal="left" vertical="center" indent="1"/>
    </xf>
    <xf numFmtId="4" fontId="54" fillId="35" borderId="0" applyNumberFormat="0" applyProtection="0">
      <alignment horizontal="left" vertical="center" indent="1"/>
    </xf>
    <xf numFmtId="4" fontId="54" fillId="32" borderId="0" applyNumberFormat="0" applyProtection="0">
      <alignment horizontal="left" vertical="center" indent="1"/>
    </xf>
    <xf numFmtId="4" fontId="54" fillId="32" borderId="0" applyNumberFormat="0" applyProtection="0">
      <alignment horizontal="left" vertical="center" indent="1"/>
    </xf>
    <xf numFmtId="4" fontId="54" fillId="32" borderId="0" applyNumberFormat="0" applyProtection="0">
      <alignment horizontal="left" vertical="center" indent="1"/>
    </xf>
    <xf numFmtId="4" fontId="54" fillId="32" borderId="0" applyNumberFormat="0" applyProtection="0">
      <alignment horizontal="left" vertical="center" indent="1"/>
    </xf>
    <xf numFmtId="4" fontId="54" fillId="32" borderId="0" applyNumberFormat="0" applyProtection="0">
      <alignment horizontal="left" vertical="center" indent="1"/>
    </xf>
    <xf numFmtId="4" fontId="54" fillId="32" borderId="0" applyNumberFormat="0" applyProtection="0">
      <alignment horizontal="left" vertical="center" indent="1"/>
    </xf>
    <xf numFmtId="4" fontId="54" fillId="32" borderId="0" applyNumberFormat="0" applyProtection="0">
      <alignment horizontal="left" vertical="center" indent="1"/>
    </xf>
    <xf numFmtId="4" fontId="54" fillId="32" borderId="0" applyNumberFormat="0" applyProtection="0">
      <alignment horizontal="left" vertical="center" indent="1"/>
    </xf>
    <xf numFmtId="4" fontId="54" fillId="32" borderId="0" applyNumberFormat="0" applyProtection="0">
      <alignment horizontal="left" vertical="center" indent="1"/>
    </xf>
    <xf numFmtId="4" fontId="54" fillId="32" borderId="0" applyNumberFormat="0" applyProtection="0">
      <alignment horizontal="left" vertical="center" indent="1"/>
    </xf>
    <xf numFmtId="4" fontId="54" fillId="32" borderId="0" applyNumberFormat="0" applyProtection="0">
      <alignment horizontal="left" vertical="center" indent="1"/>
    </xf>
    <xf numFmtId="0" fontId="1" fillId="36" borderId="12" applyNumberFormat="0" applyProtection="0">
      <alignment horizontal="left" vertical="center" indent="1"/>
    </xf>
    <xf numFmtId="0" fontId="1" fillId="36" borderId="12" applyNumberFormat="0" applyProtection="0">
      <alignment horizontal="left" vertical="center" indent="1"/>
    </xf>
    <xf numFmtId="0" fontId="1" fillId="36" borderId="12" applyNumberFormat="0" applyProtection="0">
      <alignment horizontal="left" vertical="center" indent="1"/>
    </xf>
    <xf numFmtId="0" fontId="1" fillId="36" borderId="12" applyNumberFormat="0" applyProtection="0">
      <alignment horizontal="left" vertical="center" indent="1"/>
    </xf>
    <xf numFmtId="0" fontId="1" fillId="36" borderId="12" applyNumberFormat="0" applyProtection="0">
      <alignment horizontal="left" vertical="center" indent="1"/>
    </xf>
    <xf numFmtId="0" fontId="1" fillId="36" borderId="12" applyNumberFormat="0" applyProtection="0">
      <alignment horizontal="left" vertical="center" indent="1"/>
    </xf>
    <xf numFmtId="0" fontId="1" fillId="36" borderId="12" applyNumberFormat="0" applyProtection="0">
      <alignment horizontal="left" vertical="center" indent="1"/>
    </xf>
    <xf numFmtId="0" fontId="1" fillId="36" borderId="12" applyNumberFormat="0" applyProtection="0">
      <alignment horizontal="left" vertical="center" indent="1"/>
    </xf>
    <xf numFmtId="0" fontId="1" fillId="36" borderId="12" applyNumberFormat="0" applyProtection="0">
      <alignment horizontal="left" vertical="center" indent="1"/>
    </xf>
    <xf numFmtId="0" fontId="1" fillId="36" borderId="12" applyNumberFormat="0" applyProtection="0">
      <alignment horizontal="left" vertical="center" indent="1"/>
    </xf>
    <xf numFmtId="0" fontId="1" fillId="36" borderId="12" applyNumberFormat="0" applyProtection="0">
      <alignment horizontal="left" vertical="center" indent="1"/>
    </xf>
    <xf numFmtId="0" fontId="1" fillId="36" borderId="12" applyNumberFormat="0" applyProtection="0">
      <alignment horizontal="left" vertical="center" indent="1"/>
    </xf>
    <xf numFmtId="0" fontId="1" fillId="36" borderId="12" applyNumberFormat="0" applyProtection="0">
      <alignment horizontal="left" vertical="top" indent="1"/>
    </xf>
    <xf numFmtId="0" fontId="1" fillId="36" borderId="12" applyNumberFormat="0" applyProtection="0">
      <alignment horizontal="left" vertical="top" indent="1"/>
    </xf>
    <xf numFmtId="0" fontId="1" fillId="36" borderId="12" applyNumberFormat="0" applyProtection="0">
      <alignment horizontal="left" vertical="top" indent="1"/>
    </xf>
    <xf numFmtId="0" fontId="1" fillId="36" borderId="12" applyNumberFormat="0" applyProtection="0">
      <alignment horizontal="left" vertical="top" indent="1"/>
    </xf>
    <xf numFmtId="0" fontId="1" fillId="36" borderId="12" applyNumberFormat="0" applyProtection="0">
      <alignment horizontal="left" vertical="top" indent="1"/>
    </xf>
    <xf numFmtId="0" fontId="1" fillId="36" borderId="12" applyNumberFormat="0" applyProtection="0">
      <alignment horizontal="left" vertical="top" indent="1"/>
    </xf>
    <xf numFmtId="0" fontId="1" fillId="36" borderId="12" applyNumberFormat="0" applyProtection="0">
      <alignment horizontal="left" vertical="top" indent="1"/>
    </xf>
    <xf numFmtId="0" fontId="1" fillId="36" borderId="12" applyNumberFormat="0" applyProtection="0">
      <alignment horizontal="left" vertical="top" indent="1"/>
    </xf>
    <xf numFmtId="0" fontId="1" fillId="36" borderId="12" applyNumberFormat="0" applyProtection="0">
      <alignment horizontal="left" vertical="top" indent="1"/>
    </xf>
    <xf numFmtId="0" fontId="1" fillId="36" borderId="12" applyNumberFormat="0" applyProtection="0">
      <alignment horizontal="left" vertical="top" indent="1"/>
    </xf>
    <xf numFmtId="0" fontId="1" fillId="36" borderId="12" applyNumberFormat="0" applyProtection="0">
      <alignment horizontal="left" vertical="top" indent="1"/>
    </xf>
    <xf numFmtId="0" fontId="1" fillId="36" borderId="12" applyNumberFormat="0" applyProtection="0">
      <alignment horizontal="left" vertical="top" indent="1"/>
    </xf>
    <xf numFmtId="0" fontId="1" fillId="32" borderId="12" applyNumberFormat="0" applyProtection="0">
      <alignment horizontal="left" vertical="center" indent="1"/>
    </xf>
    <xf numFmtId="0" fontId="1" fillId="32" borderId="12" applyNumberFormat="0" applyProtection="0">
      <alignment horizontal="left" vertical="center" indent="1"/>
    </xf>
    <xf numFmtId="0" fontId="1" fillId="32" borderId="12" applyNumberFormat="0" applyProtection="0">
      <alignment horizontal="left" vertical="center" indent="1"/>
    </xf>
    <xf numFmtId="0" fontId="1" fillId="32" borderId="12" applyNumberFormat="0" applyProtection="0">
      <alignment horizontal="left" vertical="center" indent="1"/>
    </xf>
    <xf numFmtId="0" fontId="1" fillId="32" borderId="12" applyNumberFormat="0" applyProtection="0">
      <alignment horizontal="left" vertical="center" indent="1"/>
    </xf>
    <xf numFmtId="0" fontId="1" fillId="32" borderId="12" applyNumberFormat="0" applyProtection="0">
      <alignment horizontal="left" vertical="center" indent="1"/>
    </xf>
    <xf numFmtId="0" fontId="1" fillId="32" borderId="12" applyNumberFormat="0" applyProtection="0">
      <alignment horizontal="left" vertical="center" indent="1"/>
    </xf>
    <xf numFmtId="0" fontId="1" fillId="32" borderId="12" applyNumberFormat="0" applyProtection="0">
      <alignment horizontal="left" vertical="center" indent="1"/>
    </xf>
    <xf numFmtId="0" fontId="1" fillId="32" borderId="12" applyNumberFormat="0" applyProtection="0">
      <alignment horizontal="left" vertical="center" indent="1"/>
    </xf>
    <xf numFmtId="0" fontId="1" fillId="32" borderId="12" applyNumberFormat="0" applyProtection="0">
      <alignment horizontal="left" vertical="center" indent="1"/>
    </xf>
    <xf numFmtId="0" fontId="1" fillId="32" borderId="12" applyNumberFormat="0" applyProtection="0">
      <alignment horizontal="left" vertical="center" indent="1"/>
    </xf>
    <xf numFmtId="0" fontId="1" fillId="32" borderId="12" applyNumberFormat="0" applyProtection="0">
      <alignment horizontal="left" vertical="center" indent="1"/>
    </xf>
    <xf numFmtId="0" fontId="1" fillId="32" borderId="12" applyNumberFormat="0" applyProtection="0">
      <alignment horizontal="left" vertical="top" indent="1"/>
    </xf>
    <xf numFmtId="0" fontId="1" fillId="32" borderId="12" applyNumberFormat="0" applyProtection="0">
      <alignment horizontal="left" vertical="top" indent="1"/>
    </xf>
    <xf numFmtId="0" fontId="1" fillId="32" borderId="12" applyNumberFormat="0" applyProtection="0">
      <alignment horizontal="left" vertical="top" indent="1"/>
    </xf>
    <xf numFmtId="0" fontId="1" fillId="32" borderId="12" applyNumberFormat="0" applyProtection="0">
      <alignment horizontal="left" vertical="top" indent="1"/>
    </xf>
    <xf numFmtId="0" fontId="1" fillId="32" borderId="12" applyNumberFormat="0" applyProtection="0">
      <alignment horizontal="left" vertical="top" indent="1"/>
    </xf>
    <xf numFmtId="0" fontId="1" fillId="32" borderId="12" applyNumberFormat="0" applyProtection="0">
      <alignment horizontal="left" vertical="top" indent="1"/>
    </xf>
    <xf numFmtId="0" fontId="1" fillId="32" borderId="12" applyNumberFormat="0" applyProtection="0">
      <alignment horizontal="left" vertical="top" indent="1"/>
    </xf>
    <xf numFmtId="0" fontId="1" fillId="32" borderId="12" applyNumberFormat="0" applyProtection="0">
      <alignment horizontal="left" vertical="top" indent="1"/>
    </xf>
    <xf numFmtId="0" fontId="1" fillId="32" borderId="12" applyNumberFormat="0" applyProtection="0">
      <alignment horizontal="left" vertical="top" indent="1"/>
    </xf>
    <xf numFmtId="0" fontId="1" fillId="32" borderId="12" applyNumberFormat="0" applyProtection="0">
      <alignment horizontal="left" vertical="top" indent="1"/>
    </xf>
    <xf numFmtId="0" fontId="1" fillId="32" borderId="12" applyNumberFormat="0" applyProtection="0">
      <alignment horizontal="left" vertical="top" indent="1"/>
    </xf>
    <xf numFmtId="0" fontId="1" fillId="32" borderId="12" applyNumberFormat="0" applyProtection="0">
      <alignment horizontal="left" vertical="top" indent="1"/>
    </xf>
    <xf numFmtId="0" fontId="1" fillId="38" borderId="12" applyNumberFormat="0" applyProtection="0">
      <alignment horizontal="left" vertical="center" indent="1"/>
    </xf>
    <xf numFmtId="0" fontId="1" fillId="38" borderId="12" applyNumberFormat="0" applyProtection="0">
      <alignment horizontal="left" vertical="center" indent="1"/>
    </xf>
    <xf numFmtId="0" fontId="1" fillId="38" borderId="12" applyNumberFormat="0" applyProtection="0">
      <alignment horizontal="left" vertical="center" indent="1"/>
    </xf>
    <xf numFmtId="0" fontId="1" fillId="38" borderId="12" applyNumberFormat="0" applyProtection="0">
      <alignment horizontal="left" vertical="center" indent="1"/>
    </xf>
    <xf numFmtId="0" fontId="1" fillId="38" borderId="12" applyNumberFormat="0" applyProtection="0">
      <alignment horizontal="left" vertical="center" indent="1"/>
    </xf>
    <xf numFmtId="0" fontId="1" fillId="38" borderId="12" applyNumberFormat="0" applyProtection="0">
      <alignment horizontal="left" vertical="center" indent="1"/>
    </xf>
    <xf numFmtId="0" fontId="1" fillId="38" borderId="12" applyNumberFormat="0" applyProtection="0">
      <alignment horizontal="left" vertical="center" indent="1"/>
    </xf>
    <xf numFmtId="0" fontId="1" fillId="38" borderId="12" applyNumberFormat="0" applyProtection="0">
      <alignment horizontal="left" vertical="center" indent="1"/>
    </xf>
    <xf numFmtId="0" fontId="1" fillId="38" borderId="12" applyNumberFormat="0" applyProtection="0">
      <alignment horizontal="left" vertical="center" indent="1"/>
    </xf>
    <xf numFmtId="0" fontId="1" fillId="38" borderId="12" applyNumberFormat="0" applyProtection="0">
      <alignment horizontal="left" vertical="center" indent="1"/>
    </xf>
    <xf numFmtId="0" fontId="1" fillId="38" borderId="12" applyNumberFormat="0" applyProtection="0">
      <alignment horizontal="left" vertical="center" indent="1"/>
    </xf>
    <xf numFmtId="0" fontId="1" fillId="38" borderId="12" applyNumberFormat="0" applyProtection="0">
      <alignment horizontal="left" vertical="center" indent="1"/>
    </xf>
    <xf numFmtId="0" fontId="1" fillId="38" borderId="12" applyNumberFormat="0" applyProtection="0">
      <alignment horizontal="left" vertical="top" indent="1"/>
    </xf>
    <xf numFmtId="0" fontId="1" fillId="38" borderId="12" applyNumberFormat="0" applyProtection="0">
      <alignment horizontal="left" vertical="top" indent="1"/>
    </xf>
    <xf numFmtId="0" fontId="1" fillId="38" borderId="12" applyNumberFormat="0" applyProtection="0">
      <alignment horizontal="left" vertical="top" indent="1"/>
    </xf>
    <xf numFmtId="0" fontId="1" fillId="38" borderId="12" applyNumberFormat="0" applyProtection="0">
      <alignment horizontal="left" vertical="top" indent="1"/>
    </xf>
    <xf numFmtId="0" fontId="1" fillId="38" borderId="12" applyNumberFormat="0" applyProtection="0">
      <alignment horizontal="left" vertical="top" indent="1"/>
    </xf>
    <xf numFmtId="0" fontId="1" fillId="38" borderId="12" applyNumberFormat="0" applyProtection="0">
      <alignment horizontal="left" vertical="top" indent="1"/>
    </xf>
    <xf numFmtId="0" fontId="1" fillId="38" borderId="12" applyNumberFormat="0" applyProtection="0">
      <alignment horizontal="left" vertical="top" indent="1"/>
    </xf>
    <xf numFmtId="0" fontId="1" fillId="38" borderId="12" applyNumberFormat="0" applyProtection="0">
      <alignment horizontal="left" vertical="top" indent="1"/>
    </xf>
    <xf numFmtId="0" fontId="1" fillId="38" borderId="12" applyNumberFormat="0" applyProtection="0">
      <alignment horizontal="left" vertical="top" indent="1"/>
    </xf>
    <xf numFmtId="0" fontId="1" fillId="38" borderId="12" applyNumberFormat="0" applyProtection="0">
      <alignment horizontal="left" vertical="top" indent="1"/>
    </xf>
    <xf numFmtId="0" fontId="1" fillId="38" borderId="12" applyNumberFormat="0" applyProtection="0">
      <alignment horizontal="left" vertical="top" indent="1"/>
    </xf>
    <xf numFmtId="0" fontId="1" fillId="38" borderId="12" applyNumberFormat="0" applyProtection="0">
      <alignment horizontal="left" vertical="top" indent="1"/>
    </xf>
    <xf numFmtId="0" fontId="1" fillId="39" borderId="12" applyNumberFormat="0" applyProtection="0">
      <alignment horizontal="left" vertical="center" indent="1"/>
    </xf>
    <xf numFmtId="0" fontId="1" fillId="39" borderId="12" applyNumberFormat="0" applyProtection="0">
      <alignment horizontal="left" vertical="center" indent="1"/>
    </xf>
    <xf numFmtId="0" fontId="1" fillId="39" borderId="12" applyNumberFormat="0" applyProtection="0">
      <alignment horizontal="left" vertical="center" indent="1"/>
    </xf>
    <xf numFmtId="0" fontId="1" fillId="39" borderId="12" applyNumberFormat="0" applyProtection="0">
      <alignment horizontal="left" vertical="center" indent="1"/>
    </xf>
    <xf numFmtId="0" fontId="1" fillId="39" borderId="12" applyNumberFormat="0" applyProtection="0">
      <alignment horizontal="left" vertical="center" indent="1"/>
    </xf>
    <xf numFmtId="0" fontId="1" fillId="39" borderId="12" applyNumberFormat="0" applyProtection="0">
      <alignment horizontal="left" vertical="center" indent="1"/>
    </xf>
    <xf numFmtId="0" fontId="1" fillId="39" borderId="12" applyNumberFormat="0" applyProtection="0">
      <alignment horizontal="left" vertical="center" indent="1"/>
    </xf>
    <xf numFmtId="0" fontId="1" fillId="39" borderId="12" applyNumberFormat="0" applyProtection="0">
      <alignment horizontal="left" vertical="center" indent="1"/>
    </xf>
    <xf numFmtId="0" fontId="1" fillId="39" borderId="12" applyNumberFormat="0" applyProtection="0">
      <alignment horizontal="left" vertical="center" indent="1"/>
    </xf>
    <xf numFmtId="0" fontId="1" fillId="39" borderId="12" applyNumberFormat="0" applyProtection="0">
      <alignment horizontal="left" vertical="center" indent="1"/>
    </xf>
    <xf numFmtId="0" fontId="1" fillId="39" borderId="12" applyNumberFormat="0" applyProtection="0">
      <alignment horizontal="left" vertical="center" indent="1"/>
    </xf>
    <xf numFmtId="0" fontId="1" fillId="39" borderId="12" applyNumberFormat="0" applyProtection="0">
      <alignment horizontal="left" vertical="center" indent="1"/>
    </xf>
    <xf numFmtId="0" fontId="1" fillId="39" borderId="12" applyNumberFormat="0" applyProtection="0">
      <alignment horizontal="left" vertical="top" indent="1"/>
    </xf>
    <xf numFmtId="0" fontId="1" fillId="39" borderId="12" applyNumberFormat="0" applyProtection="0">
      <alignment horizontal="left" vertical="top" indent="1"/>
    </xf>
    <xf numFmtId="0" fontId="1" fillId="39" borderId="12" applyNumberFormat="0" applyProtection="0">
      <alignment horizontal="left" vertical="top" indent="1"/>
    </xf>
    <xf numFmtId="0" fontId="1" fillId="39" borderId="12" applyNumberFormat="0" applyProtection="0">
      <alignment horizontal="left" vertical="top" indent="1"/>
    </xf>
    <xf numFmtId="0" fontId="1" fillId="39" borderId="12" applyNumberFormat="0" applyProtection="0">
      <alignment horizontal="left" vertical="top" indent="1"/>
    </xf>
    <xf numFmtId="0" fontId="1" fillId="39" borderId="12" applyNumberFormat="0" applyProtection="0">
      <alignment horizontal="left" vertical="top" indent="1"/>
    </xf>
    <xf numFmtId="0" fontId="1" fillId="39" borderId="12" applyNumberFormat="0" applyProtection="0">
      <alignment horizontal="left" vertical="top" indent="1"/>
    </xf>
    <xf numFmtId="0" fontId="1" fillId="39" borderId="12" applyNumberFormat="0" applyProtection="0">
      <alignment horizontal="left" vertical="top" indent="1"/>
    </xf>
    <xf numFmtId="0" fontId="1" fillId="39" borderId="12" applyNumberFormat="0" applyProtection="0">
      <alignment horizontal="left" vertical="top" indent="1"/>
    </xf>
    <xf numFmtId="0" fontId="1" fillId="39" borderId="12" applyNumberFormat="0" applyProtection="0">
      <alignment horizontal="left" vertical="top" indent="1"/>
    </xf>
    <xf numFmtId="0" fontId="1" fillId="39" borderId="12" applyNumberFormat="0" applyProtection="0">
      <alignment horizontal="left" vertical="top" indent="1"/>
    </xf>
    <xf numFmtId="0" fontId="1" fillId="39" borderId="12" applyNumberFormat="0" applyProtection="0">
      <alignment horizontal="left" vertical="top" indent="1"/>
    </xf>
    <xf numFmtId="4" fontId="54" fillId="40" borderId="12" applyNumberFormat="0" applyProtection="0">
      <alignment vertical="center"/>
    </xf>
    <xf numFmtId="4" fontId="89" fillId="40" borderId="12" applyNumberFormat="0" applyProtection="0">
      <alignment vertical="center"/>
    </xf>
    <xf numFmtId="4" fontId="54" fillId="40" borderId="12" applyNumberFormat="0" applyProtection="0">
      <alignment horizontal="left" vertical="center" indent="1"/>
    </xf>
    <xf numFmtId="0" fontId="54" fillId="40" borderId="12" applyNumberFormat="0" applyProtection="0">
      <alignment horizontal="left" vertical="top" indent="1"/>
    </xf>
    <xf numFmtId="4" fontId="54" fillId="35" borderId="12" applyNumberFormat="0" applyProtection="0">
      <alignment horizontal="right" vertical="center"/>
    </xf>
    <xf numFmtId="4" fontId="89" fillId="35" borderId="12" applyNumberFormat="0" applyProtection="0">
      <alignment horizontal="right" vertical="center"/>
    </xf>
    <xf numFmtId="4" fontId="54" fillId="37" borderId="12" applyNumberFormat="0" applyProtection="0">
      <alignment horizontal="left" vertical="center" indent="1"/>
    </xf>
    <xf numFmtId="0" fontId="54" fillId="32" borderId="12" applyNumberFormat="0" applyProtection="0">
      <alignment horizontal="left" vertical="top" indent="1"/>
    </xf>
    <xf numFmtId="4" fontId="90" fillId="41" borderId="0" applyNumberFormat="0" applyProtection="0">
      <alignment horizontal="left" vertical="center" indent="1"/>
    </xf>
    <xf numFmtId="4" fontId="90" fillId="41" borderId="0" applyNumberFormat="0" applyProtection="0">
      <alignment horizontal="left" vertical="center" indent="1"/>
    </xf>
    <xf numFmtId="4" fontId="90" fillId="41" borderId="0" applyNumberFormat="0" applyProtection="0">
      <alignment horizontal="left" vertical="center" indent="1"/>
    </xf>
    <xf numFmtId="4" fontId="90" fillId="41" borderId="0" applyNumberFormat="0" applyProtection="0">
      <alignment horizontal="left" vertical="center" indent="1"/>
    </xf>
    <xf numFmtId="4" fontId="90" fillId="41" borderId="0" applyNumberFormat="0" applyProtection="0">
      <alignment horizontal="left" vertical="center" indent="1"/>
    </xf>
    <xf numFmtId="4" fontId="90" fillId="41" borderId="0" applyNumberFormat="0" applyProtection="0">
      <alignment horizontal="left" vertical="center" indent="1"/>
    </xf>
    <xf numFmtId="4" fontId="90" fillId="41" borderId="0" applyNumberFormat="0" applyProtection="0">
      <alignment horizontal="left" vertical="center" indent="1"/>
    </xf>
    <xf numFmtId="4" fontId="90" fillId="41" borderId="0" applyNumberFormat="0" applyProtection="0">
      <alignment horizontal="left" vertical="center" indent="1"/>
    </xf>
    <xf numFmtId="4" fontId="90" fillId="41" borderId="0" applyNumberFormat="0" applyProtection="0">
      <alignment horizontal="left" vertical="center" indent="1"/>
    </xf>
    <xf numFmtId="4" fontId="90" fillId="41" borderId="0" applyNumberFormat="0" applyProtection="0">
      <alignment horizontal="left" vertical="center" indent="1"/>
    </xf>
    <xf numFmtId="4" fontId="90" fillId="41" borderId="0" applyNumberFormat="0" applyProtection="0">
      <alignment horizontal="left" vertical="center" indent="1"/>
    </xf>
    <xf numFmtId="4" fontId="31" fillId="35" borderId="12" applyNumberFormat="0" applyProtection="0">
      <alignment horizontal="right" vertical="center"/>
    </xf>
    <xf numFmtId="0" fontId="91" fillId="0" borderId="14"/>
    <xf numFmtId="0" fontId="92" fillId="8" borderId="15">
      <alignment horizontal="center"/>
    </xf>
    <xf numFmtId="0" fontId="91" fillId="0" borderId="0"/>
    <xf numFmtId="0" fontId="74" fillId="0" borderId="0"/>
    <xf numFmtId="0" fontId="112"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93"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113" fillId="0" borderId="213" applyNumberFormat="0" applyFill="0" applyAlignment="0" applyProtection="0"/>
    <xf numFmtId="0" fontId="52" fillId="0" borderId="16" applyNumberFormat="0" applyFill="0" applyAlignment="0" applyProtection="0"/>
    <xf numFmtId="0" fontId="52" fillId="0" borderId="16" applyNumberFormat="0" applyFill="0" applyAlignment="0" applyProtection="0"/>
    <xf numFmtId="0" fontId="52" fillId="0" borderId="16" applyNumberFormat="0" applyFill="0" applyAlignment="0" applyProtection="0"/>
    <xf numFmtId="0" fontId="52" fillId="0" borderId="17" applyNumberFormat="0" applyFill="0" applyAlignment="0" applyProtection="0"/>
    <xf numFmtId="0" fontId="94" fillId="0" borderId="16" applyNumberFormat="0" applyFill="0" applyAlignment="0" applyProtection="0"/>
    <xf numFmtId="0" fontId="52" fillId="0" borderId="16" applyNumberFormat="0" applyFill="0" applyAlignment="0" applyProtection="0"/>
    <xf numFmtId="0" fontId="94" fillId="0" borderId="16" applyNumberFormat="0" applyFill="0" applyAlignment="0" applyProtection="0"/>
    <xf numFmtId="0" fontId="52" fillId="0" borderId="16" applyNumberFormat="0" applyFill="0" applyAlignment="0" applyProtection="0"/>
    <xf numFmtId="0" fontId="52" fillId="0" borderId="16" applyNumberFormat="0" applyFill="0" applyAlignment="0" applyProtection="0"/>
    <xf numFmtId="0" fontId="52" fillId="0" borderId="16" applyNumberFormat="0" applyFill="0" applyAlignment="0" applyProtection="0"/>
    <xf numFmtId="0" fontId="52" fillId="0" borderId="16" applyNumberFormat="0" applyFill="0" applyAlignment="0" applyProtection="0"/>
    <xf numFmtId="0" fontId="52" fillId="0" borderId="16" applyNumberFormat="0" applyFill="0" applyAlignment="0" applyProtection="0"/>
    <xf numFmtId="0" fontId="52" fillId="0" borderId="16" applyNumberFormat="0" applyFill="0" applyAlignment="0" applyProtection="0"/>
    <xf numFmtId="182" fontId="1" fillId="0" borderId="0" applyFont="0" applyFill="0" applyBorder="0" applyAlignment="0" applyProtection="0"/>
    <xf numFmtId="183" fontId="1" fillId="0" borderId="0" applyFont="0" applyFill="0" applyBorder="0" applyAlignment="0" applyProtection="0"/>
    <xf numFmtId="184" fontId="74" fillId="0" borderId="0" applyFont="0" applyFill="0" applyBorder="0" applyAlignment="0" applyProtection="0"/>
    <xf numFmtId="185" fontId="74" fillId="0" borderId="0" applyFont="0" applyFill="0" applyBorder="0" applyAlignment="0" applyProtection="0"/>
    <xf numFmtId="0" fontId="114"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95"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cellStyleXfs>
  <cellXfs count="822">
    <xf numFmtId="0" fontId="0" fillId="0" borderId="0" xfId="0"/>
    <xf numFmtId="1" fontId="1" fillId="0" borderId="18" xfId="0" applyNumberFormat="1" applyFont="1" applyFill="1" applyBorder="1" applyAlignment="1" applyProtection="1">
      <alignment horizontal="center" vertical="center" wrapText="1"/>
    </xf>
    <xf numFmtId="1" fontId="1" fillId="0" borderId="19" xfId="0" applyNumberFormat="1" applyFont="1" applyFill="1" applyBorder="1" applyAlignment="1" applyProtection="1">
      <alignment horizontal="center" vertical="center" wrapText="1"/>
    </xf>
    <xf numFmtId="16" fontId="1" fillId="0" borderId="18" xfId="0" applyNumberFormat="1" applyFont="1" applyFill="1" applyBorder="1" applyAlignment="1" applyProtection="1">
      <alignment horizontal="center" vertical="center" wrapText="1"/>
    </xf>
    <xf numFmtId="16" fontId="1" fillId="0" borderId="19" xfId="0" applyNumberFormat="1" applyFont="1" applyFill="1" applyBorder="1" applyAlignment="1" applyProtection="1">
      <alignment horizontal="center" vertical="center" wrapText="1"/>
    </xf>
    <xf numFmtId="1" fontId="1" fillId="0" borderId="20" xfId="0" applyNumberFormat="1" applyFont="1" applyFill="1" applyBorder="1" applyAlignment="1" applyProtection="1">
      <alignment horizontal="center" vertical="center" wrapText="1"/>
    </xf>
    <xf numFmtId="1" fontId="2" fillId="0" borderId="21" xfId="0" applyNumberFormat="1" applyFont="1" applyFill="1" applyBorder="1" applyAlignment="1" applyProtection="1">
      <alignment horizontal="center" vertical="center" wrapText="1"/>
    </xf>
    <xf numFmtId="1" fontId="1" fillId="0" borderId="0" xfId="0" applyNumberFormat="1" applyFont="1" applyFill="1" applyBorder="1" applyAlignment="1" applyProtection="1">
      <alignment horizontal="center" vertical="center" wrapText="1"/>
    </xf>
    <xf numFmtId="3" fontId="1" fillId="0" borderId="22" xfId="0" applyNumberFormat="1" applyFont="1" applyFill="1" applyBorder="1" applyAlignment="1" applyProtection="1">
      <alignment horizontal="center" vertical="center" wrapText="1"/>
    </xf>
    <xf numFmtId="0" fontId="11" fillId="39" borderId="23" xfId="0" applyFont="1" applyFill="1" applyBorder="1" applyAlignment="1" applyProtection="1">
      <alignment horizontal="center" vertical="center"/>
    </xf>
    <xf numFmtId="0" fontId="11" fillId="39" borderId="24" xfId="0" applyFont="1" applyFill="1" applyBorder="1" applyAlignment="1" applyProtection="1">
      <alignment horizontal="center" vertical="center"/>
    </xf>
    <xf numFmtId="0" fontId="11" fillId="39" borderId="24" xfId="0" applyFont="1" applyFill="1" applyBorder="1" applyAlignment="1" applyProtection="1">
      <alignment horizontal="center" vertical="center" wrapText="1"/>
    </xf>
    <xf numFmtId="1" fontId="11" fillId="39" borderId="25" xfId="0" applyNumberFormat="1" applyFont="1" applyFill="1" applyBorder="1" applyAlignment="1" applyProtection="1">
      <alignment horizontal="center" vertical="center" wrapText="1"/>
    </xf>
    <xf numFmtId="0" fontId="11" fillId="39" borderId="26" xfId="0" applyFont="1" applyFill="1" applyBorder="1" applyAlignment="1" applyProtection="1">
      <alignment horizontal="center" vertical="center" wrapText="1"/>
    </xf>
    <xf numFmtId="0" fontId="11" fillId="39" borderId="25" xfId="0" applyFont="1" applyFill="1" applyBorder="1" applyAlignment="1" applyProtection="1">
      <alignment horizontal="center" vertical="center" wrapText="1"/>
    </xf>
    <xf numFmtId="0" fontId="11" fillId="0" borderId="0" xfId="0" applyFont="1" applyBorder="1" applyAlignment="1" applyProtection="1">
      <alignment vertical="center"/>
    </xf>
    <xf numFmtId="0" fontId="11" fillId="0" borderId="0" xfId="0" applyFont="1" applyBorder="1" applyAlignment="1" applyProtection="1">
      <alignment horizontal="center" vertical="center"/>
    </xf>
    <xf numFmtId="0" fontId="11" fillId="0" borderId="0" xfId="0" applyFont="1" applyAlignment="1" applyProtection="1">
      <alignment vertical="center"/>
    </xf>
    <xf numFmtId="0" fontId="11" fillId="39" borderId="27" xfId="0" applyFont="1" applyFill="1" applyBorder="1" applyAlignment="1" applyProtection="1">
      <alignment horizontal="center" vertical="center"/>
    </xf>
    <xf numFmtId="0" fontId="11" fillId="39" borderId="28" xfId="0" applyFont="1" applyFill="1" applyBorder="1" applyAlignment="1" applyProtection="1">
      <alignment horizontal="center" vertical="center"/>
    </xf>
    <xf numFmtId="1" fontId="11" fillId="39" borderId="29" xfId="0" applyNumberFormat="1" applyFont="1" applyFill="1" applyBorder="1" applyAlignment="1" applyProtection="1">
      <alignment horizontal="center" vertical="center"/>
    </xf>
    <xf numFmtId="1" fontId="11" fillId="39" borderId="30" xfId="0" applyNumberFormat="1" applyFont="1" applyFill="1" applyBorder="1" applyAlignment="1" applyProtection="1">
      <alignment horizontal="center" vertical="center"/>
    </xf>
    <xf numFmtId="1" fontId="11" fillId="39" borderId="31" xfId="0" applyNumberFormat="1" applyFont="1" applyFill="1" applyBorder="1" applyAlignment="1" applyProtection="1">
      <alignment horizontal="center" vertical="center"/>
    </xf>
    <xf numFmtId="1" fontId="11" fillId="0" borderId="0" xfId="0" applyNumberFormat="1" applyFont="1" applyBorder="1" applyAlignment="1" applyProtection="1">
      <alignment vertical="center"/>
    </xf>
    <xf numFmtId="0" fontId="11" fillId="39" borderId="32" xfId="0" applyFont="1" applyFill="1" applyBorder="1" applyAlignment="1" applyProtection="1">
      <alignment horizontal="center" vertical="center"/>
    </xf>
    <xf numFmtId="1" fontId="11" fillId="39" borderId="32" xfId="0" applyNumberFormat="1" applyFont="1" applyFill="1" applyBorder="1" applyAlignment="1" applyProtection="1">
      <alignment horizontal="center" vertical="center"/>
    </xf>
    <xf numFmtId="1" fontId="11" fillId="39" borderId="33" xfId="0" applyNumberFormat="1" applyFont="1" applyFill="1" applyBorder="1" applyAlignment="1" applyProtection="1">
      <alignment horizontal="center" vertical="center"/>
    </xf>
    <xf numFmtId="1" fontId="11" fillId="0" borderId="0" xfId="0" applyNumberFormat="1" applyFont="1" applyFill="1" applyBorder="1" applyAlignment="1" applyProtection="1">
      <alignment horizontal="center" vertical="center"/>
    </xf>
    <xf numFmtId="1" fontId="11" fillId="39" borderId="34" xfId="0" applyNumberFormat="1" applyFont="1" applyFill="1" applyBorder="1" applyAlignment="1" applyProtection="1">
      <alignment horizontal="center" vertical="center"/>
    </xf>
    <xf numFmtId="14" fontId="11" fillId="0" borderId="0" xfId="0" applyNumberFormat="1" applyFont="1" applyBorder="1" applyAlignment="1" applyProtection="1">
      <alignment vertical="center"/>
    </xf>
    <xf numFmtId="1" fontId="11" fillId="39" borderId="35" xfId="0" applyNumberFormat="1" applyFont="1" applyFill="1" applyBorder="1" applyAlignment="1" applyProtection="1">
      <alignment horizontal="center" vertical="center"/>
    </xf>
    <xf numFmtId="165" fontId="11" fillId="0" borderId="0" xfId="0" applyNumberFormat="1" applyFont="1" applyBorder="1" applyAlignment="1" applyProtection="1">
      <alignment horizontal="center" vertical="center"/>
    </xf>
    <xf numFmtId="165" fontId="11" fillId="0" borderId="0" xfId="0" applyNumberFormat="1" applyFont="1" applyAlignment="1" applyProtection="1">
      <alignment vertical="center"/>
    </xf>
    <xf numFmtId="0" fontId="11" fillId="0" borderId="0" xfId="0" applyNumberFormat="1" applyFont="1" applyBorder="1" applyAlignment="1" applyProtection="1">
      <alignment horizontal="left" vertical="center"/>
    </xf>
    <xf numFmtId="3" fontId="11" fillId="0" borderId="0" xfId="0" applyNumberFormat="1" applyFont="1" applyBorder="1" applyAlignment="1" applyProtection="1">
      <alignment vertical="center"/>
    </xf>
    <xf numFmtId="0" fontId="11" fillId="0" borderId="0" xfId="0" applyFont="1" applyAlignment="1" applyProtection="1">
      <alignment horizontal="left" vertical="center"/>
    </xf>
    <xf numFmtId="0" fontId="11" fillId="0" borderId="0" xfId="0" applyFont="1" applyAlignment="1" applyProtection="1">
      <alignment horizontal="center" vertical="center"/>
    </xf>
    <xf numFmtId="0" fontId="16" fillId="0" borderId="0" xfId="0" applyFont="1" applyProtection="1"/>
    <xf numFmtId="165" fontId="11" fillId="0" borderId="0" xfId="0" applyNumberFormat="1" applyFont="1" applyBorder="1" applyAlignment="1" applyProtection="1">
      <alignment vertical="center"/>
    </xf>
    <xf numFmtId="0" fontId="11" fillId="0" borderId="36" xfId="0" applyFont="1" applyBorder="1" applyAlignment="1" applyProtection="1">
      <alignment vertical="center"/>
    </xf>
    <xf numFmtId="1" fontId="11" fillId="0" borderId="37" xfId="0" applyNumberFormat="1" applyFont="1" applyBorder="1" applyAlignment="1" applyProtection="1">
      <alignment vertical="center"/>
    </xf>
    <xf numFmtId="0" fontId="11" fillId="0" borderId="38" xfId="0" applyFont="1" applyBorder="1" applyAlignment="1" applyProtection="1">
      <alignment vertical="center"/>
    </xf>
    <xf numFmtId="1" fontId="11" fillId="0" borderId="39" xfId="0" applyNumberFormat="1" applyFont="1" applyBorder="1" applyAlignment="1" applyProtection="1">
      <alignment vertical="center"/>
    </xf>
    <xf numFmtId="0" fontId="11" fillId="0" borderId="40" xfId="0" applyFont="1" applyBorder="1" applyAlignment="1" applyProtection="1">
      <alignment vertical="center"/>
    </xf>
    <xf numFmtId="1" fontId="11" fillId="0" borderId="41" xfId="0" applyNumberFormat="1" applyFont="1" applyBorder="1" applyAlignment="1" applyProtection="1">
      <alignment vertical="center"/>
    </xf>
    <xf numFmtId="166" fontId="11" fillId="0" borderId="0" xfId="0" applyNumberFormat="1" applyFont="1" applyBorder="1" applyAlignment="1" applyProtection="1">
      <alignment horizontal="left" vertical="center"/>
    </xf>
    <xf numFmtId="165" fontId="11" fillId="0" borderId="0" xfId="0" applyNumberFormat="1" applyFont="1" applyBorder="1" applyAlignment="1" applyProtection="1">
      <alignment horizontal="center" vertical="center"/>
      <protection locked="0"/>
    </xf>
    <xf numFmtId="3" fontId="1" fillId="0" borderId="37" xfId="0" applyNumberFormat="1" applyFont="1" applyFill="1" applyBorder="1" applyAlignment="1" applyProtection="1">
      <alignment horizontal="center" vertical="center" wrapText="1"/>
    </xf>
    <xf numFmtId="1" fontId="11" fillId="39" borderId="42" xfId="0" applyNumberFormat="1" applyFont="1" applyFill="1" applyBorder="1" applyAlignment="1" applyProtection="1">
      <alignment horizontal="center" vertical="center"/>
    </xf>
    <xf numFmtId="0" fontId="1" fillId="0" borderId="0" xfId="0" applyFont="1" applyAlignment="1" applyProtection="1">
      <alignment horizontal="center"/>
      <protection locked="0"/>
    </xf>
    <xf numFmtId="0" fontId="1" fillId="0" borderId="0" xfId="0" applyFont="1" applyAlignment="1" applyProtection="1">
      <alignment horizontal="center" vertical="center"/>
      <protection locked="0"/>
    </xf>
    <xf numFmtId="1" fontId="15" fillId="25" borderId="43" xfId="0" applyNumberFormat="1" applyFont="1" applyFill="1" applyBorder="1" applyAlignment="1" applyProtection="1">
      <alignment vertical="center"/>
      <protection locked="0"/>
    </xf>
    <xf numFmtId="1" fontId="15" fillId="25" borderId="44" xfId="0" applyNumberFormat="1" applyFont="1" applyFill="1" applyBorder="1" applyAlignment="1" applyProtection="1">
      <alignment vertical="center"/>
      <protection locked="0"/>
    </xf>
    <xf numFmtId="1" fontId="1" fillId="0" borderId="45" xfId="0" applyNumberFormat="1" applyFont="1" applyFill="1" applyBorder="1" applyAlignment="1" applyProtection="1">
      <alignment horizontal="center" vertical="center" wrapText="1"/>
      <protection locked="0"/>
    </xf>
    <xf numFmtId="16" fontId="1" fillId="0" borderId="0" xfId="0" applyNumberFormat="1" applyFont="1" applyAlignment="1" applyProtection="1">
      <alignment horizontal="center"/>
      <protection locked="0"/>
    </xf>
    <xf numFmtId="0" fontId="1" fillId="0" borderId="0" xfId="0" applyFont="1" applyBorder="1" applyAlignment="1" applyProtection="1">
      <alignment horizontal="center"/>
      <protection locked="0"/>
    </xf>
    <xf numFmtId="0" fontId="2" fillId="0" borderId="0" xfId="0" applyFont="1" applyAlignment="1" applyProtection="1">
      <alignment horizontal="center"/>
      <protection locked="0"/>
    </xf>
    <xf numFmtId="1" fontId="2" fillId="25" borderId="44" xfId="0" applyNumberFormat="1" applyFont="1" applyFill="1" applyBorder="1" applyAlignment="1" applyProtection="1">
      <alignment horizontal="center" vertical="center" wrapText="1"/>
      <protection locked="0"/>
    </xf>
    <xf numFmtId="1" fontId="2" fillId="25" borderId="46" xfId="0" applyNumberFormat="1" applyFont="1" applyFill="1" applyBorder="1" applyAlignment="1" applyProtection="1">
      <alignment horizontal="center" vertical="center" wrapText="1"/>
      <protection locked="0"/>
    </xf>
    <xf numFmtId="0" fontId="2" fillId="0" borderId="0" xfId="0" applyFont="1" applyAlignment="1" applyProtection="1">
      <alignment horizontal="center" vertical="center"/>
      <protection locked="0"/>
    </xf>
    <xf numFmtId="0" fontId="1" fillId="0" borderId="0" xfId="0" applyNumberFormat="1" applyFont="1" applyAlignment="1" applyProtection="1">
      <alignment horizontal="center"/>
      <protection locked="0"/>
    </xf>
    <xf numFmtId="1" fontId="1" fillId="0" borderId="0" xfId="0" applyNumberFormat="1" applyFont="1" applyFill="1" applyBorder="1" applyAlignment="1" applyProtection="1">
      <alignment horizontal="center" vertical="center" wrapText="1"/>
      <protection locked="0"/>
    </xf>
    <xf numFmtId="1" fontId="1" fillId="0" borderId="3" xfId="0" applyNumberFormat="1" applyFont="1" applyFill="1" applyBorder="1" applyAlignment="1" applyProtection="1">
      <alignment horizontal="center" vertical="center" wrapText="1"/>
      <protection locked="0"/>
    </xf>
    <xf numFmtId="0" fontId="1" fillId="0" borderId="47" xfId="0" applyFont="1" applyBorder="1" applyAlignment="1" applyProtection="1">
      <alignment horizontal="center"/>
      <protection locked="0"/>
    </xf>
    <xf numFmtId="0" fontId="1" fillId="0" borderId="0" xfId="0" applyFont="1" applyAlignment="1" applyProtection="1">
      <alignment horizontal="center" vertical="center" wrapText="1"/>
      <protection locked="0"/>
    </xf>
    <xf numFmtId="0" fontId="1" fillId="0" borderId="0" xfId="0" applyFont="1" applyFill="1" applyAlignment="1" applyProtection="1">
      <alignment horizontal="center"/>
      <protection locked="0"/>
    </xf>
    <xf numFmtId="14" fontId="1" fillId="0" borderId="0" xfId="0" applyNumberFormat="1" applyFont="1" applyAlignment="1" applyProtection="1">
      <alignment horizontal="center"/>
      <protection locked="0"/>
    </xf>
    <xf numFmtId="1" fontId="1" fillId="0" borderId="0" xfId="0" applyNumberFormat="1" applyFont="1" applyFill="1" applyAlignment="1" applyProtection="1">
      <alignment horizontal="center" vertical="center" wrapText="1"/>
      <protection locked="0"/>
    </xf>
    <xf numFmtId="0" fontId="1" fillId="0" borderId="0" xfId="0" applyNumberFormat="1" applyFont="1" applyFill="1" applyBorder="1" applyAlignment="1" applyProtection="1">
      <alignment horizontal="center" vertical="center" wrapText="1"/>
      <protection locked="0"/>
    </xf>
    <xf numFmtId="170" fontId="1" fillId="0" borderId="0" xfId="0" applyNumberFormat="1" applyFont="1" applyFill="1" applyAlignment="1" applyProtection="1">
      <alignment horizontal="center"/>
      <protection locked="0"/>
    </xf>
    <xf numFmtId="16" fontId="1" fillId="0" borderId="0" xfId="0" applyNumberFormat="1" applyFont="1" applyFill="1" applyAlignment="1" applyProtection="1">
      <alignment horizontal="center"/>
      <protection locked="0"/>
    </xf>
    <xf numFmtId="22" fontId="1" fillId="0" borderId="0" xfId="0" applyNumberFormat="1" applyFont="1" applyFill="1" applyAlignment="1" applyProtection="1">
      <alignment horizontal="center"/>
      <protection locked="0"/>
    </xf>
    <xf numFmtId="0" fontId="1" fillId="0" borderId="0" xfId="0" applyNumberFormat="1" applyFont="1" applyFill="1" applyAlignment="1" applyProtection="1">
      <alignment horizontal="center"/>
      <protection locked="0"/>
    </xf>
    <xf numFmtId="0" fontId="1" fillId="0" borderId="0" xfId="0" applyFont="1" applyFill="1" applyAlignment="1" applyProtection="1">
      <alignment horizontal="center" vertical="center" wrapText="1"/>
      <protection locked="0"/>
    </xf>
    <xf numFmtId="1" fontId="1" fillId="0" borderId="48" xfId="0" applyNumberFormat="1" applyFont="1" applyFill="1" applyBorder="1" applyAlignment="1" applyProtection="1">
      <alignment horizontal="center" vertical="center" wrapText="1"/>
    </xf>
    <xf numFmtId="1" fontId="1" fillId="0" borderId="49" xfId="0" applyNumberFormat="1" applyFont="1" applyFill="1" applyBorder="1" applyAlignment="1" applyProtection="1">
      <alignment horizontal="center" vertical="center" wrapText="1"/>
    </xf>
    <xf numFmtId="1" fontId="1" fillId="0" borderId="50" xfId="0" applyNumberFormat="1" applyFont="1" applyFill="1" applyBorder="1" applyAlignment="1" applyProtection="1">
      <alignment horizontal="center" vertical="center" wrapText="1"/>
    </xf>
    <xf numFmtId="169" fontId="1" fillId="0" borderId="51" xfId="0" applyNumberFormat="1" applyFont="1" applyFill="1" applyBorder="1" applyAlignment="1" applyProtection="1">
      <alignment horizontal="center" vertical="center" wrapText="1"/>
    </xf>
    <xf numFmtId="169" fontId="1" fillId="0" borderId="3" xfId="0" applyNumberFormat="1" applyFont="1" applyFill="1" applyBorder="1" applyAlignment="1" applyProtection="1">
      <alignment horizontal="center" vertical="center" wrapText="1"/>
    </xf>
    <xf numFmtId="169" fontId="1" fillId="0" borderId="52" xfId="0" applyNumberFormat="1" applyFont="1" applyFill="1" applyBorder="1" applyAlignment="1" applyProtection="1">
      <alignment horizontal="center" vertical="center" wrapText="1"/>
    </xf>
    <xf numFmtId="167" fontId="1" fillId="0" borderId="53" xfId="0" applyNumberFormat="1" applyFont="1" applyFill="1" applyBorder="1" applyAlignment="1" applyProtection="1">
      <alignment horizontal="center" vertical="center" wrapText="1"/>
    </xf>
    <xf numFmtId="167" fontId="1" fillId="0" borderId="54" xfId="0" applyNumberFormat="1" applyFont="1" applyFill="1" applyBorder="1" applyAlignment="1" applyProtection="1">
      <alignment horizontal="center" vertical="center" wrapText="1"/>
    </xf>
    <xf numFmtId="167" fontId="1" fillId="0" borderId="55" xfId="0" applyNumberFormat="1" applyFont="1" applyFill="1" applyBorder="1" applyAlignment="1" applyProtection="1">
      <alignment horizontal="center" vertical="center" wrapText="1"/>
    </xf>
    <xf numFmtId="167" fontId="1" fillId="0" borderId="56" xfId="0" applyNumberFormat="1" applyFont="1" applyFill="1" applyBorder="1" applyAlignment="1" applyProtection="1">
      <alignment horizontal="center" vertical="center" wrapText="1"/>
    </xf>
    <xf numFmtId="1" fontId="1" fillId="0" borderId="57" xfId="0" applyNumberFormat="1" applyFont="1" applyFill="1" applyBorder="1" applyAlignment="1" applyProtection="1">
      <alignment horizontal="center" vertical="center" wrapText="1"/>
      <protection locked="0"/>
    </xf>
    <xf numFmtId="1" fontId="1" fillId="0" borderId="58" xfId="0" applyNumberFormat="1" applyFont="1" applyFill="1" applyBorder="1" applyAlignment="1" applyProtection="1">
      <alignment horizontal="center" vertical="center" wrapText="1"/>
      <protection locked="0"/>
    </xf>
    <xf numFmtId="1" fontId="1" fillId="0" borderId="59" xfId="0" applyNumberFormat="1" applyFont="1" applyFill="1" applyBorder="1" applyAlignment="1" applyProtection="1">
      <alignment horizontal="center" vertical="center" wrapText="1"/>
      <protection locked="0"/>
    </xf>
    <xf numFmtId="0" fontId="11" fillId="39" borderId="42" xfId="0" applyFont="1" applyFill="1" applyBorder="1" applyAlignment="1" applyProtection="1">
      <alignment vertical="center"/>
    </xf>
    <xf numFmtId="0" fontId="11" fillId="39" borderId="30" xfId="0" applyFont="1" applyFill="1" applyBorder="1" applyAlignment="1" applyProtection="1">
      <alignment vertical="center"/>
    </xf>
    <xf numFmtId="0" fontId="11" fillId="39" borderId="35" xfId="0" applyFont="1" applyFill="1" applyBorder="1" applyAlignment="1" applyProtection="1">
      <alignment vertical="center"/>
    </xf>
    <xf numFmtId="3" fontId="1" fillId="0" borderId="60" xfId="0" applyNumberFormat="1" applyFont="1" applyFill="1" applyBorder="1" applyAlignment="1" applyProtection="1">
      <alignment horizontal="center" vertical="center" wrapText="1"/>
    </xf>
    <xf numFmtId="14" fontId="11" fillId="0" borderId="0" xfId="0" applyNumberFormat="1" applyFont="1" applyAlignment="1" applyProtection="1">
      <alignment horizontal="center" vertical="center"/>
    </xf>
    <xf numFmtId="14" fontId="11" fillId="0" borderId="0" xfId="0" applyNumberFormat="1" applyFont="1" applyAlignment="1" applyProtection="1">
      <alignment vertical="center"/>
    </xf>
    <xf numFmtId="14" fontId="16" fillId="0" borderId="0" xfId="0" applyNumberFormat="1" applyFont="1" applyProtection="1"/>
    <xf numFmtId="0" fontId="11" fillId="39" borderId="27" xfId="0" applyFont="1" applyFill="1" applyBorder="1" applyAlignment="1" applyProtection="1">
      <alignment horizontal="center" vertical="center" wrapText="1"/>
    </xf>
    <xf numFmtId="0" fontId="11" fillId="39" borderId="28" xfId="0" applyFont="1" applyFill="1" applyBorder="1" applyAlignment="1" applyProtection="1">
      <alignment horizontal="center" vertical="center" wrapText="1"/>
    </xf>
    <xf numFmtId="1" fontId="11" fillId="39" borderId="29" xfId="0" applyNumberFormat="1" applyFont="1" applyFill="1" applyBorder="1" applyAlignment="1" applyProtection="1">
      <alignment horizontal="center" vertical="center" wrapText="1"/>
    </xf>
    <xf numFmtId="1" fontId="11" fillId="39" borderId="30" xfId="0" applyNumberFormat="1" applyFont="1" applyFill="1" applyBorder="1" applyAlignment="1" applyProtection="1">
      <alignment horizontal="center" vertical="center" wrapText="1"/>
    </xf>
    <xf numFmtId="1" fontId="11" fillId="39" borderId="31" xfId="0" applyNumberFormat="1" applyFont="1" applyFill="1" applyBorder="1" applyAlignment="1" applyProtection="1">
      <alignment horizontal="center" vertical="center" wrapText="1"/>
    </xf>
    <xf numFmtId="1" fontId="11" fillId="39" borderId="61" xfId="0" applyNumberFormat="1" applyFont="1" applyFill="1" applyBorder="1" applyAlignment="1" applyProtection="1">
      <alignment horizontal="center" vertical="center" wrapText="1"/>
    </xf>
    <xf numFmtId="0" fontId="11" fillId="0" borderId="0" xfId="0" applyFont="1" applyAlignment="1" applyProtection="1">
      <alignment vertical="center" wrapText="1"/>
    </xf>
    <xf numFmtId="14" fontId="11" fillId="0" borderId="0" xfId="0" applyNumberFormat="1" applyFont="1" applyFill="1" applyBorder="1" applyAlignment="1" applyProtection="1">
      <alignment horizontal="center" vertical="center"/>
    </xf>
    <xf numFmtId="14" fontId="11" fillId="0" borderId="0" xfId="0" applyNumberFormat="1" applyFont="1" applyBorder="1" applyAlignment="1" applyProtection="1">
      <alignment horizontal="center" vertical="center"/>
    </xf>
    <xf numFmtId="14" fontId="0" fillId="39" borderId="36" xfId="0" applyNumberFormat="1" applyFont="1" applyFill="1" applyBorder="1" applyAlignment="1" applyProtection="1">
      <alignment horizontal="center" vertical="center"/>
    </xf>
    <xf numFmtId="1" fontId="0" fillId="39" borderId="36" xfId="0" applyNumberFormat="1" applyFont="1" applyFill="1" applyBorder="1" applyAlignment="1" applyProtection="1">
      <alignment horizontal="center" vertical="center" wrapText="1"/>
    </xf>
    <xf numFmtId="0" fontId="11" fillId="39" borderId="62" xfId="0" applyFont="1" applyFill="1" applyBorder="1" applyAlignment="1" applyProtection="1">
      <alignment vertical="center"/>
    </xf>
    <xf numFmtId="14" fontId="11" fillId="39" borderId="25" xfId="0" applyNumberFormat="1" applyFont="1" applyFill="1" applyBorder="1" applyAlignment="1" applyProtection="1">
      <alignment horizontal="center" vertical="center" wrapText="1"/>
    </xf>
    <xf numFmtId="14" fontId="11" fillId="39" borderId="27" xfId="0" applyNumberFormat="1" applyFont="1" applyFill="1" applyBorder="1" applyAlignment="1" applyProtection="1">
      <alignment horizontal="center" vertical="center"/>
    </xf>
    <xf numFmtId="14" fontId="11" fillId="39" borderId="28" xfId="0" applyNumberFormat="1" applyFont="1" applyFill="1" applyBorder="1" applyAlignment="1" applyProtection="1">
      <alignment horizontal="center" vertical="center"/>
    </xf>
    <xf numFmtId="14" fontId="11" fillId="39" borderId="32" xfId="0" applyNumberFormat="1" applyFont="1" applyFill="1" applyBorder="1" applyAlignment="1" applyProtection="1">
      <alignment horizontal="center" vertical="center"/>
    </xf>
    <xf numFmtId="15" fontId="11" fillId="39" borderId="24" xfId="0" applyNumberFormat="1" applyFont="1" applyFill="1" applyBorder="1" applyAlignment="1" applyProtection="1">
      <alignment horizontal="center" vertical="center" wrapText="1"/>
    </xf>
    <xf numFmtId="0" fontId="11" fillId="42" borderId="27" xfId="0" applyFont="1" applyFill="1" applyBorder="1" applyAlignment="1" applyProtection="1">
      <alignment horizontal="center" vertical="center"/>
    </xf>
    <xf numFmtId="0" fontId="11" fillId="42" borderId="28" xfId="0" applyFont="1" applyFill="1" applyBorder="1" applyAlignment="1" applyProtection="1">
      <alignment horizontal="center" vertical="center"/>
    </xf>
    <xf numFmtId="0" fontId="11" fillId="42" borderId="32" xfId="0" applyFont="1" applyFill="1" applyBorder="1" applyAlignment="1" applyProtection="1">
      <alignment horizontal="center" vertical="center"/>
    </xf>
    <xf numFmtId="14" fontId="11" fillId="39" borderId="61" xfId="0" applyNumberFormat="1" applyFont="1" applyFill="1" applyBorder="1" applyAlignment="1" applyProtection="1">
      <alignment horizontal="center" vertical="center"/>
    </xf>
    <xf numFmtId="14" fontId="11" fillId="39" borderId="31" xfId="0" applyNumberFormat="1" applyFont="1" applyFill="1" applyBorder="1" applyAlignment="1" applyProtection="1">
      <alignment horizontal="center" vertical="center"/>
    </xf>
    <xf numFmtId="14" fontId="11" fillId="39" borderId="34" xfId="0" applyNumberFormat="1" applyFont="1" applyFill="1" applyBorder="1" applyAlignment="1" applyProtection="1">
      <alignment horizontal="center" vertical="center"/>
    </xf>
    <xf numFmtId="0" fontId="0" fillId="0" borderId="0" xfId="0" applyAlignment="1">
      <alignment horizontal="center"/>
    </xf>
    <xf numFmtId="0" fontId="21" fillId="0" borderId="24" xfId="0" applyFont="1" applyBorder="1" applyAlignment="1">
      <alignment horizontal="center" wrapText="1"/>
    </xf>
    <xf numFmtId="0" fontId="21" fillId="0" borderId="24" xfId="0" applyFont="1" applyFill="1" applyBorder="1" applyAlignment="1">
      <alignment horizontal="center" wrapText="1"/>
    </xf>
    <xf numFmtId="171" fontId="22" fillId="0" borderId="24" xfId="0" applyNumberFormat="1" applyFont="1" applyBorder="1" applyAlignment="1">
      <alignment horizontal="center"/>
    </xf>
    <xf numFmtId="0" fontId="2" fillId="0" borderId="0" xfId="0" applyFont="1"/>
    <xf numFmtId="0" fontId="27" fillId="39" borderId="63" xfId="0" applyFont="1" applyFill="1" applyBorder="1" applyAlignment="1" applyProtection="1">
      <alignment horizontal="center" vertical="center" textRotation="90"/>
    </xf>
    <xf numFmtId="167" fontId="1" fillId="0" borderId="64" xfId="0" applyNumberFormat="1" applyFont="1" applyFill="1" applyBorder="1" applyAlignment="1" applyProtection="1">
      <alignment horizontal="center" vertical="center" wrapText="1"/>
    </xf>
    <xf numFmtId="0" fontId="1" fillId="0" borderId="40" xfId="0" applyFont="1" applyBorder="1" applyAlignment="1" applyProtection="1">
      <alignment horizontal="center"/>
      <protection locked="0"/>
    </xf>
    <xf numFmtId="1" fontId="1" fillId="0" borderId="65" xfId="0" applyNumberFormat="1" applyFont="1" applyFill="1" applyBorder="1" applyAlignment="1" applyProtection="1">
      <alignment horizontal="center" vertical="center" wrapText="1"/>
      <protection locked="0"/>
    </xf>
    <xf numFmtId="1" fontId="2" fillId="38" borderId="66" xfId="0" applyNumberFormat="1" applyFont="1" applyFill="1" applyBorder="1" applyAlignment="1" applyProtection="1">
      <alignment horizontal="center" vertical="center" wrapText="1"/>
      <protection locked="0"/>
    </xf>
    <xf numFmtId="0" fontId="11" fillId="39" borderId="63" xfId="0" applyFont="1" applyFill="1" applyBorder="1" applyAlignment="1" applyProtection="1">
      <alignment horizontal="center" vertical="center" textRotation="90"/>
    </xf>
    <xf numFmtId="0" fontId="21" fillId="43" borderId="24" xfId="0" applyFont="1" applyFill="1" applyBorder="1" applyAlignment="1">
      <alignment horizontal="center"/>
    </xf>
    <xf numFmtId="0" fontId="21" fillId="44" borderId="24" xfId="0" applyFont="1" applyFill="1" applyBorder="1" applyAlignment="1">
      <alignment horizontal="center"/>
    </xf>
    <xf numFmtId="0" fontId="21" fillId="0" borderId="24" xfId="0" applyFont="1" applyBorder="1" applyAlignment="1">
      <alignment horizontal="center" vertical="center" wrapText="1"/>
    </xf>
    <xf numFmtId="0" fontId="21" fillId="44" borderId="67" xfId="0" applyFont="1" applyFill="1" applyBorder="1" applyAlignment="1">
      <alignment horizontal="center" vertical="center"/>
    </xf>
    <xf numFmtId="0" fontId="21" fillId="43" borderId="24" xfId="0" applyFont="1" applyFill="1" applyBorder="1" applyAlignment="1">
      <alignment horizontal="center" vertical="center"/>
    </xf>
    <xf numFmtId="0" fontId="21" fillId="43" borderId="23" xfId="0" applyFont="1" applyFill="1" applyBorder="1" applyAlignment="1">
      <alignment horizontal="center" vertical="center"/>
    </xf>
    <xf numFmtId="0" fontId="21" fillId="0" borderId="68" xfId="0" applyFont="1" applyFill="1" applyBorder="1" applyAlignment="1">
      <alignment horizontal="center" vertical="center"/>
    </xf>
    <xf numFmtId="0" fontId="21" fillId="43" borderId="26" xfId="0" applyFont="1" applyFill="1" applyBorder="1" applyAlignment="1">
      <alignment horizontal="center" vertical="center"/>
    </xf>
    <xf numFmtId="0" fontId="21" fillId="44" borderId="24" xfId="0" applyFont="1" applyFill="1" applyBorder="1" applyAlignment="1">
      <alignment horizontal="center" wrapText="1"/>
    </xf>
    <xf numFmtId="0" fontId="21" fillId="43" borderId="24" xfId="0" applyFont="1" applyFill="1" applyBorder="1" applyAlignment="1">
      <alignment horizontal="center" wrapText="1"/>
    </xf>
    <xf numFmtId="0" fontId="28" fillId="0" borderId="69" xfId="0" applyFont="1" applyBorder="1" applyAlignment="1">
      <alignment horizontal="center" vertical="center" wrapText="1"/>
    </xf>
    <xf numFmtId="0" fontId="28" fillId="0" borderId="70" xfId="0" applyFont="1" applyBorder="1" applyAlignment="1">
      <alignment horizontal="center" vertical="center" wrapText="1"/>
    </xf>
    <xf numFmtId="0" fontId="28" fillId="0" borderId="71" xfId="0" applyFont="1" applyBorder="1" applyAlignment="1">
      <alignment horizontal="center" vertical="center" wrapText="1"/>
    </xf>
    <xf numFmtId="0" fontId="21" fillId="45" borderId="24" xfId="0" applyFont="1" applyFill="1" applyBorder="1" applyAlignment="1">
      <alignment horizontal="center" vertical="center"/>
    </xf>
    <xf numFmtId="0" fontId="21" fillId="45" borderId="23" xfId="0" applyFont="1" applyFill="1" applyBorder="1" applyAlignment="1">
      <alignment horizontal="center" vertical="center"/>
    </xf>
    <xf numFmtId="0" fontId="21" fillId="45" borderId="67" xfId="0" applyFont="1" applyFill="1" applyBorder="1" applyAlignment="1">
      <alignment horizontal="center" vertical="center"/>
    </xf>
    <xf numFmtId="0" fontId="21" fillId="45" borderId="26" xfId="0" applyFont="1" applyFill="1" applyBorder="1" applyAlignment="1">
      <alignment horizontal="center" vertical="center"/>
    </xf>
    <xf numFmtId="0" fontId="21" fillId="45" borderId="24" xfId="0" applyFont="1" applyFill="1" applyBorder="1" applyAlignment="1">
      <alignment horizontal="center"/>
    </xf>
    <xf numFmtId="0" fontId="21" fillId="44" borderId="72" xfId="0" applyFont="1" applyFill="1" applyBorder="1" applyAlignment="1">
      <alignment horizontal="center" vertical="center"/>
    </xf>
    <xf numFmtId="0" fontId="29" fillId="0" borderId="73" xfId="0" applyFont="1" applyFill="1" applyBorder="1" applyAlignment="1">
      <alignment horizontal="center" wrapText="1"/>
    </xf>
    <xf numFmtId="0" fontId="29" fillId="0" borderId="74" xfId="0" applyFont="1" applyFill="1" applyBorder="1" applyAlignment="1">
      <alignment horizontal="center" wrapText="1"/>
    </xf>
    <xf numFmtId="0" fontId="21" fillId="46" borderId="66" xfId="0" applyFont="1" applyFill="1" applyBorder="1" applyAlignment="1">
      <alignment horizontal="center" vertical="center"/>
    </xf>
    <xf numFmtId="0" fontId="21" fillId="47" borderId="75" xfId="0" applyFont="1" applyFill="1" applyBorder="1" applyAlignment="1">
      <alignment horizontal="center" vertical="center"/>
    </xf>
    <xf numFmtId="0" fontId="21" fillId="46" borderId="76" xfId="0" applyFont="1" applyFill="1" applyBorder="1" applyAlignment="1">
      <alignment horizontal="center" vertical="center"/>
    </xf>
    <xf numFmtId="0" fontId="21" fillId="43" borderId="24" xfId="0" applyFont="1" applyFill="1" applyBorder="1" applyAlignment="1">
      <alignment horizontal="center" vertical="center" wrapText="1"/>
    </xf>
    <xf numFmtId="0" fontId="21" fillId="43" borderId="67" xfId="0" applyFont="1" applyFill="1" applyBorder="1" applyAlignment="1">
      <alignment horizontal="center" vertical="center" wrapText="1"/>
    </xf>
    <xf numFmtId="0" fontId="21" fillId="44" borderId="24" xfId="0" applyFont="1" applyFill="1" applyBorder="1" applyAlignment="1">
      <alignment horizontal="center" vertical="center" wrapText="1"/>
    </xf>
    <xf numFmtId="14" fontId="19" fillId="0" borderId="0" xfId="0" applyNumberFormat="1" applyFont="1" applyAlignment="1" applyProtection="1">
      <alignment vertical="center"/>
    </xf>
    <xf numFmtId="0" fontId="19" fillId="0" borderId="0" xfId="0" applyFont="1" applyAlignment="1" applyProtection="1">
      <alignment vertical="center"/>
    </xf>
    <xf numFmtId="14" fontId="11" fillId="0" borderId="0" xfId="0" applyNumberFormat="1" applyFont="1" applyAlignment="1" applyProtection="1">
      <alignment vertical="center" wrapText="1"/>
    </xf>
    <xf numFmtId="0" fontId="11" fillId="0" borderId="0" xfId="0" applyFont="1" applyAlignment="1" applyProtection="1">
      <alignment horizontal="center" vertical="center" wrapText="1"/>
    </xf>
    <xf numFmtId="1" fontId="1" fillId="0" borderId="0" xfId="0" applyNumberFormat="1" applyFont="1" applyFill="1" applyAlignment="1" applyProtection="1">
      <alignment horizontal="center"/>
      <protection locked="0"/>
    </xf>
    <xf numFmtId="174" fontId="2" fillId="0" borderId="0" xfId="0" applyNumberFormat="1" applyFont="1" applyAlignment="1" applyProtection="1">
      <alignment horizontal="center"/>
      <protection locked="0"/>
    </xf>
    <xf numFmtId="1" fontId="1" fillId="0" borderId="77" xfId="0" applyNumberFormat="1" applyFont="1" applyFill="1" applyBorder="1" applyAlignment="1" applyProtection="1">
      <alignment horizontal="center" vertical="center" wrapText="1"/>
    </xf>
    <xf numFmtId="1" fontId="1" fillId="0" borderId="55" xfId="0" applyNumberFormat="1" applyFont="1" applyFill="1" applyBorder="1" applyAlignment="1" applyProtection="1">
      <alignment horizontal="center" vertical="center" wrapText="1"/>
    </xf>
    <xf numFmtId="1" fontId="1" fillId="0" borderId="53" xfId="0" applyNumberFormat="1" applyFont="1" applyFill="1" applyBorder="1" applyAlignment="1" applyProtection="1">
      <alignment horizontal="center" vertical="center" wrapText="1"/>
    </xf>
    <xf numFmtId="1" fontId="1" fillId="0" borderId="78" xfId="0" applyNumberFormat="1" applyFont="1" applyFill="1" applyBorder="1" applyAlignment="1" applyProtection="1">
      <alignment horizontal="center" vertical="center" wrapText="1"/>
    </xf>
    <xf numFmtId="1" fontId="1" fillId="0" borderId="29" xfId="0" applyNumberFormat="1" applyFont="1" applyFill="1" applyBorder="1" applyAlignment="1" applyProtection="1">
      <alignment horizontal="center" vertical="center" wrapText="1"/>
    </xf>
    <xf numFmtId="1" fontId="1" fillId="0" borderId="79" xfId="0" applyNumberFormat="1" applyFont="1" applyFill="1" applyBorder="1" applyAlignment="1" applyProtection="1">
      <alignment horizontal="center" vertical="center" wrapText="1"/>
    </xf>
    <xf numFmtId="1" fontId="1" fillId="0" borderId="47" xfId="0" applyNumberFormat="1" applyFont="1" applyFill="1" applyBorder="1" applyAlignment="1" applyProtection="1">
      <alignment horizontal="center" vertical="center" wrapText="1"/>
    </xf>
    <xf numFmtId="1" fontId="1" fillId="0" borderId="52" xfId="0" applyNumberFormat="1" applyFont="1" applyFill="1" applyBorder="1" applyAlignment="1" applyProtection="1">
      <alignment horizontal="center" vertical="center" wrapText="1"/>
    </xf>
    <xf numFmtId="1" fontId="1" fillId="0" borderId="51" xfId="0" applyNumberFormat="1" applyFont="1" applyFill="1" applyBorder="1" applyAlignment="1" applyProtection="1">
      <alignment horizontal="center" vertical="center" wrapText="1"/>
    </xf>
    <xf numFmtId="0" fontId="1" fillId="0" borderId="54" xfId="0" applyFont="1" applyBorder="1" applyAlignment="1" applyProtection="1">
      <alignment horizontal="center"/>
      <protection locked="0"/>
    </xf>
    <xf numFmtId="0" fontId="1" fillId="0" borderId="18" xfId="0" applyFont="1" applyBorder="1" applyAlignment="1" applyProtection="1">
      <alignment horizontal="center"/>
      <protection locked="0"/>
    </xf>
    <xf numFmtId="1" fontId="1" fillId="0" borderId="54" xfId="0" applyNumberFormat="1" applyFont="1" applyFill="1" applyBorder="1" applyAlignment="1" applyProtection="1">
      <alignment horizontal="center" vertical="center" wrapText="1"/>
      <protection locked="0"/>
    </xf>
    <xf numFmtId="1" fontId="1" fillId="0" borderId="18" xfId="0" applyNumberFormat="1" applyFont="1" applyFill="1" applyBorder="1" applyAlignment="1" applyProtection="1">
      <alignment horizontal="center" vertical="center" wrapText="1"/>
      <protection locked="0"/>
    </xf>
    <xf numFmtId="1" fontId="1" fillId="0" borderId="20" xfId="0" applyNumberFormat="1" applyFont="1" applyFill="1" applyBorder="1" applyAlignment="1" applyProtection="1">
      <alignment horizontal="center" vertical="center" wrapText="1"/>
      <protection locked="0"/>
    </xf>
    <xf numFmtId="1" fontId="1" fillId="0" borderId="23" xfId="0" applyNumberFormat="1" applyFont="1" applyFill="1" applyBorder="1" applyAlignment="1" applyProtection="1">
      <alignment horizontal="center" vertical="center" wrapText="1"/>
      <protection locked="0"/>
    </xf>
    <xf numFmtId="1" fontId="1" fillId="0" borderId="25" xfId="0" applyNumberFormat="1" applyFont="1" applyFill="1" applyBorder="1" applyAlignment="1" applyProtection="1">
      <alignment horizontal="center" vertical="center" wrapText="1"/>
    </xf>
    <xf numFmtId="1" fontId="1" fillId="0" borderId="26" xfId="0" applyNumberFormat="1" applyFont="1" applyFill="1" applyBorder="1" applyAlignment="1" applyProtection="1">
      <alignment horizontal="center" vertical="center" wrapText="1"/>
    </xf>
    <xf numFmtId="167" fontId="31" fillId="25" borderId="46" xfId="0" applyNumberFormat="1" applyFont="1" applyFill="1" applyBorder="1" applyAlignment="1" applyProtection="1">
      <alignment horizontal="center" vertical="center"/>
      <protection locked="0"/>
    </xf>
    <xf numFmtId="0" fontId="1" fillId="0" borderId="65" xfId="0" applyFont="1" applyBorder="1" applyAlignment="1" applyProtection="1">
      <alignment horizontal="center"/>
      <protection locked="0"/>
    </xf>
    <xf numFmtId="0" fontId="11" fillId="39" borderId="32" xfId="0" applyFont="1" applyFill="1" applyBorder="1" applyAlignment="1" applyProtection="1">
      <alignment horizontal="center" vertical="center" wrapText="1"/>
    </xf>
    <xf numFmtId="14" fontId="11" fillId="39" borderId="73" xfId="0" applyNumberFormat="1" applyFont="1" applyFill="1" applyBorder="1" applyAlignment="1" applyProtection="1">
      <alignment horizontal="center" vertical="center"/>
    </xf>
    <xf numFmtId="16" fontId="1" fillId="27" borderId="19" xfId="0" applyNumberFormat="1" applyFont="1" applyFill="1" applyBorder="1" applyAlignment="1" applyProtection="1">
      <alignment horizontal="center" vertical="center" wrapText="1"/>
    </xf>
    <xf numFmtId="0" fontId="1" fillId="0" borderId="0" xfId="0" applyFont="1" applyBorder="1" applyAlignment="1" applyProtection="1">
      <alignment horizontal="center" vertical="center" wrapText="1"/>
      <protection locked="0"/>
    </xf>
    <xf numFmtId="0" fontId="1" fillId="0" borderId="77" xfId="0" applyFont="1" applyBorder="1" applyAlignment="1" applyProtection="1">
      <alignment horizontal="center" vertical="center" wrapText="1"/>
      <protection locked="0"/>
    </xf>
    <xf numFmtId="0" fontId="1" fillId="0" borderId="54" xfId="0" applyFont="1" applyBorder="1" applyAlignment="1" applyProtection="1">
      <alignment horizontal="center" vertical="center" wrapText="1"/>
      <protection locked="0"/>
    </xf>
    <xf numFmtId="0" fontId="1" fillId="0" borderId="3" xfId="0" applyFont="1" applyBorder="1" applyAlignment="1" applyProtection="1">
      <alignment horizontal="center" vertical="center" wrapText="1"/>
      <protection locked="0"/>
    </xf>
    <xf numFmtId="0" fontId="1" fillId="0" borderId="47" xfId="0" applyFont="1" applyBorder="1" applyAlignment="1" applyProtection="1">
      <alignment horizontal="center" vertical="center" wrapText="1"/>
      <protection locked="0"/>
    </xf>
    <xf numFmtId="0" fontId="1" fillId="0" borderId="51" xfId="0" applyFont="1" applyBorder="1" applyAlignment="1" applyProtection="1">
      <alignment horizontal="center" vertical="center" wrapText="1"/>
      <protection locked="0"/>
    </xf>
    <xf numFmtId="1" fontId="1" fillId="0" borderId="0" xfId="0" applyNumberFormat="1" applyFont="1" applyBorder="1" applyAlignment="1" applyProtection="1">
      <alignment horizontal="center"/>
    </xf>
    <xf numFmtId="1" fontId="1" fillId="0" borderId="19" xfId="0" applyNumberFormat="1" applyFont="1" applyBorder="1" applyAlignment="1" applyProtection="1">
      <alignment horizontal="center"/>
    </xf>
    <xf numFmtId="172" fontId="13" fillId="0" borderId="72" xfId="0" applyNumberFormat="1" applyFont="1" applyFill="1" applyBorder="1" applyAlignment="1" applyProtection="1">
      <alignment vertical="center" wrapText="1"/>
    </xf>
    <xf numFmtId="173" fontId="9" fillId="0" borderId="26" xfId="0" applyNumberFormat="1" applyFont="1" applyFill="1" applyBorder="1" applyAlignment="1" applyProtection="1">
      <alignment horizontal="center" vertical="center" wrapText="1"/>
    </xf>
    <xf numFmtId="0" fontId="7" fillId="0" borderId="0" xfId="0" applyFont="1" applyFill="1" applyAlignment="1" applyProtection="1">
      <alignment horizontal="center" vertical="center" wrapText="1"/>
    </xf>
    <xf numFmtId="172" fontId="13" fillId="0" borderId="23" xfId="0" applyNumberFormat="1" applyFont="1" applyFill="1" applyBorder="1" applyAlignment="1" applyProtection="1">
      <alignment vertical="center" wrapText="1"/>
    </xf>
    <xf numFmtId="169" fontId="9" fillId="0" borderId="23" xfId="0" applyNumberFormat="1" applyFont="1" applyFill="1" applyBorder="1" applyAlignment="1" applyProtection="1">
      <alignment horizontal="center" vertical="center" wrapText="1"/>
    </xf>
    <xf numFmtId="169" fontId="9" fillId="0" borderId="25" xfId="0" applyNumberFormat="1" applyFont="1" applyFill="1" applyBorder="1" applyAlignment="1" applyProtection="1">
      <alignment horizontal="center" vertical="center" wrapText="1"/>
    </xf>
    <xf numFmtId="169" fontId="9" fillId="0" borderId="26" xfId="0" applyNumberFormat="1" applyFont="1" applyFill="1" applyBorder="1" applyAlignment="1" applyProtection="1">
      <alignment horizontal="center" vertical="center" wrapText="1"/>
    </xf>
    <xf numFmtId="0" fontId="7" fillId="0" borderId="42" xfId="0" applyFont="1" applyFill="1" applyBorder="1" applyAlignment="1" applyProtection="1">
      <alignment horizontal="center" vertical="center" wrapText="1"/>
    </xf>
    <xf numFmtId="1" fontId="8" fillId="0" borderId="27" xfId="0" applyNumberFormat="1" applyFont="1" applyFill="1" applyBorder="1" applyAlignment="1" applyProtection="1">
      <alignment horizontal="center" vertical="center" wrapText="1"/>
    </xf>
    <xf numFmtId="0" fontId="8" fillId="0" borderId="0" xfId="0" applyFont="1" applyFill="1" applyAlignment="1" applyProtection="1">
      <alignment horizontal="center" vertical="center" wrapText="1"/>
    </xf>
    <xf numFmtId="0" fontId="0" fillId="0" borderId="0" xfId="0" applyFill="1" applyProtection="1"/>
    <xf numFmtId="0" fontId="9" fillId="0" borderId="30" xfId="0" applyFont="1" applyFill="1" applyBorder="1" applyAlignment="1" applyProtection="1">
      <alignment horizontal="center" vertical="center" wrapText="1"/>
    </xf>
    <xf numFmtId="49" fontId="9" fillId="0" borderId="30" xfId="0" applyNumberFormat="1" applyFont="1" applyFill="1" applyBorder="1" applyAlignment="1" applyProtection="1">
      <alignment horizontal="center" vertical="center" wrapText="1"/>
    </xf>
    <xf numFmtId="49" fontId="7" fillId="0" borderId="0" xfId="0" applyNumberFormat="1" applyFont="1" applyFill="1" applyAlignment="1" applyProtection="1">
      <alignment horizontal="center" vertical="center" wrapText="1"/>
    </xf>
    <xf numFmtId="0" fontId="6" fillId="0" borderId="80" xfId="0" applyFont="1" applyFill="1" applyBorder="1" applyAlignment="1" applyProtection="1">
      <alignment horizontal="center" vertical="center" wrapText="1"/>
    </xf>
    <xf numFmtId="0" fontId="6" fillId="0" borderId="81" xfId="0" applyFont="1" applyFill="1" applyBorder="1" applyAlignment="1" applyProtection="1">
      <alignment horizontal="center" vertical="center" wrapText="1"/>
    </xf>
    <xf numFmtId="0" fontId="9" fillId="0" borderId="62" xfId="0" applyFont="1" applyFill="1" applyBorder="1" applyAlignment="1" applyProtection="1">
      <alignment horizontal="center" vertical="center" wrapText="1"/>
    </xf>
    <xf numFmtId="0" fontId="6" fillId="0" borderId="30" xfId="0" applyFont="1" applyFill="1" applyBorder="1" applyAlignment="1" applyProtection="1">
      <alignment horizontal="center" vertical="center" wrapText="1"/>
    </xf>
    <xf numFmtId="0" fontId="7" fillId="0" borderId="0" xfId="0" applyNumberFormat="1" applyFont="1" applyFill="1" applyAlignment="1" applyProtection="1">
      <alignment horizontal="center" vertical="center" wrapText="1"/>
    </xf>
    <xf numFmtId="1" fontId="32" fillId="0" borderId="27" xfId="0" applyNumberFormat="1" applyFont="1" applyFill="1" applyBorder="1" applyAlignment="1" applyProtection="1">
      <alignment horizontal="center" vertical="center" wrapText="1"/>
    </xf>
    <xf numFmtId="0" fontId="7" fillId="0" borderId="0" xfId="0" applyFont="1" applyFill="1" applyAlignment="1" applyProtection="1">
      <alignment vertical="center" wrapText="1"/>
    </xf>
    <xf numFmtId="0" fontId="11" fillId="48" borderId="27" xfId="0" applyNumberFormat="1" applyFont="1" applyFill="1" applyBorder="1" applyAlignment="1" applyProtection="1">
      <alignment horizontal="center" vertical="center"/>
    </xf>
    <xf numFmtId="0" fontId="11" fillId="48" borderId="28" xfId="0" applyNumberFormat="1" applyFont="1" applyFill="1" applyBorder="1" applyAlignment="1" applyProtection="1">
      <alignment horizontal="center" vertical="center"/>
    </xf>
    <xf numFmtId="0" fontId="11" fillId="48" borderId="32" xfId="0" applyNumberFormat="1" applyFont="1" applyFill="1" applyBorder="1" applyAlignment="1" applyProtection="1">
      <alignment horizontal="center" vertical="center"/>
    </xf>
    <xf numFmtId="0" fontId="11" fillId="48" borderId="82" xfId="0" applyNumberFormat="1" applyFont="1" applyFill="1" applyBorder="1" applyAlignment="1" applyProtection="1">
      <alignment horizontal="center" vertical="center"/>
    </xf>
    <xf numFmtId="0" fontId="11" fillId="48" borderId="24" xfId="0" applyFont="1" applyFill="1" applyBorder="1" applyAlignment="1" applyProtection="1">
      <alignment horizontal="center" vertical="center" wrapText="1"/>
    </xf>
    <xf numFmtId="173" fontId="33" fillId="0" borderId="83" xfId="0" applyNumberFormat="1" applyFont="1" applyFill="1" applyBorder="1" applyAlignment="1" applyProtection="1">
      <alignment horizontal="center" vertical="center" wrapText="1"/>
    </xf>
    <xf numFmtId="1" fontId="8" fillId="27" borderId="84" xfId="0" applyNumberFormat="1" applyFont="1" applyFill="1" applyBorder="1" applyAlignment="1" applyProtection="1">
      <alignment horizontal="center" vertical="center" wrapText="1"/>
    </xf>
    <xf numFmtId="1" fontId="6" fillId="27" borderId="85" xfId="0" applyNumberFormat="1" applyFont="1" applyFill="1" applyBorder="1" applyAlignment="1" applyProtection="1">
      <alignment horizontal="center" vertical="center" wrapText="1"/>
    </xf>
    <xf numFmtId="167" fontId="6" fillId="27" borderId="85" xfId="0" applyNumberFormat="1" applyFont="1" applyFill="1" applyBorder="1" applyAlignment="1" applyProtection="1">
      <alignment horizontal="center" vertical="center" wrapText="1"/>
    </xf>
    <xf numFmtId="49" fontId="6" fillId="27" borderId="86" xfId="0" applyNumberFormat="1" applyFont="1" applyFill="1" applyBorder="1" applyAlignment="1" applyProtection="1">
      <alignment horizontal="center" vertical="center" wrapText="1"/>
    </xf>
    <xf numFmtId="49" fontId="6" fillId="27" borderId="87" xfId="0" applyNumberFormat="1" applyFont="1" applyFill="1" applyBorder="1" applyAlignment="1" applyProtection="1">
      <alignment horizontal="center" vertical="center" wrapText="1"/>
    </xf>
    <xf numFmtId="49" fontId="6" fillId="27" borderId="88" xfId="0" applyNumberFormat="1" applyFont="1" applyFill="1" applyBorder="1" applyAlignment="1" applyProtection="1">
      <alignment horizontal="center" vertical="center" wrapText="1"/>
    </xf>
    <xf numFmtId="49" fontId="6" fillId="27" borderId="89" xfId="0" applyNumberFormat="1" applyFont="1" applyFill="1" applyBorder="1" applyAlignment="1" applyProtection="1">
      <alignment horizontal="center" vertical="center" wrapText="1"/>
    </xf>
    <xf numFmtId="49" fontId="6" fillId="27" borderId="90" xfId="0" applyNumberFormat="1" applyFont="1" applyFill="1" applyBorder="1" applyAlignment="1" applyProtection="1">
      <alignment horizontal="center" vertical="center" wrapText="1"/>
    </xf>
    <xf numFmtId="1" fontId="6" fillId="27" borderId="91" xfId="0" applyNumberFormat="1" applyFont="1" applyFill="1" applyBorder="1" applyAlignment="1" applyProtection="1">
      <alignment horizontal="center" vertical="center" wrapText="1"/>
    </xf>
    <xf numFmtId="1" fontId="6" fillId="27" borderId="92" xfId="0" applyNumberFormat="1" applyFont="1" applyFill="1" applyBorder="1" applyAlignment="1" applyProtection="1">
      <alignment horizontal="center" vertical="center" wrapText="1"/>
    </xf>
    <xf numFmtId="1" fontId="6" fillId="27" borderId="93" xfId="0" applyNumberFormat="1" applyFont="1" applyFill="1" applyBorder="1" applyAlignment="1" applyProtection="1">
      <alignment horizontal="center" vertical="center" wrapText="1"/>
    </xf>
    <xf numFmtId="1" fontId="6" fillId="27" borderId="94" xfId="0" applyNumberFormat="1" applyFont="1" applyFill="1" applyBorder="1" applyAlignment="1" applyProtection="1">
      <alignment horizontal="center" vertical="center" wrapText="1"/>
    </xf>
    <xf numFmtId="1" fontId="6" fillId="27" borderId="95" xfId="0" applyNumberFormat="1" applyFont="1" applyFill="1" applyBorder="1" applyAlignment="1" applyProtection="1">
      <alignment horizontal="center" vertical="center" wrapText="1"/>
    </xf>
    <xf numFmtId="1" fontId="6" fillId="27" borderId="96" xfId="0" applyNumberFormat="1" applyFont="1" applyFill="1" applyBorder="1" applyAlignment="1" applyProtection="1">
      <alignment horizontal="center" vertical="center" wrapText="1"/>
    </xf>
    <xf numFmtId="1" fontId="6" fillId="27" borderId="97" xfId="0" applyNumberFormat="1" applyFont="1" applyFill="1" applyBorder="1" applyAlignment="1" applyProtection="1">
      <alignment horizontal="center" vertical="center" wrapText="1"/>
    </xf>
    <xf numFmtId="1" fontId="6" fillId="27" borderId="98" xfId="0" applyNumberFormat="1" applyFont="1" applyFill="1" applyBorder="1" applyAlignment="1" applyProtection="1">
      <alignment horizontal="center" vertical="center" wrapText="1"/>
    </xf>
    <xf numFmtId="1" fontId="6" fillId="27" borderId="99" xfId="0" applyNumberFormat="1" applyFont="1" applyFill="1" applyBorder="1" applyAlignment="1" applyProtection="1">
      <alignment horizontal="center" vertical="center" wrapText="1"/>
    </xf>
    <xf numFmtId="1" fontId="6" fillId="27" borderId="100" xfId="0" applyNumberFormat="1" applyFont="1" applyFill="1" applyBorder="1" applyAlignment="1" applyProtection="1">
      <alignment horizontal="center" vertical="center" wrapText="1"/>
    </xf>
    <xf numFmtId="1" fontId="6" fillId="27" borderId="101" xfId="0" applyNumberFormat="1" applyFont="1" applyFill="1" applyBorder="1" applyAlignment="1" applyProtection="1">
      <alignment horizontal="center" vertical="center" wrapText="1"/>
    </xf>
    <xf numFmtId="1" fontId="6" fillId="27" borderId="81" xfId="0" applyNumberFormat="1" applyFont="1" applyFill="1" applyBorder="1" applyAlignment="1" applyProtection="1">
      <alignment horizontal="center" vertical="center" wrapText="1"/>
    </xf>
    <xf numFmtId="167" fontId="9" fillId="27" borderId="85" xfId="0" applyNumberFormat="1" applyFont="1" applyFill="1" applyBorder="1" applyAlignment="1" applyProtection="1">
      <alignment horizontal="center" vertical="center" wrapText="1"/>
    </xf>
    <xf numFmtId="49" fontId="9" fillId="27" borderId="85" xfId="0" applyNumberFormat="1" applyFont="1" applyFill="1" applyBorder="1" applyAlignment="1" applyProtection="1">
      <alignment horizontal="center" vertical="center" wrapText="1"/>
    </xf>
    <xf numFmtId="49" fontId="9" fillId="27" borderId="86" xfId="0" applyNumberFormat="1" applyFont="1" applyFill="1" applyBorder="1" applyAlignment="1" applyProtection="1">
      <alignment horizontal="center" vertical="center" wrapText="1"/>
    </xf>
    <xf numFmtId="49" fontId="9" fillId="27" borderId="87" xfId="0" applyNumberFormat="1" applyFont="1" applyFill="1" applyBorder="1" applyAlignment="1" applyProtection="1">
      <alignment horizontal="center" vertical="center" wrapText="1"/>
    </xf>
    <xf numFmtId="49" fontId="9" fillId="27" borderId="88" xfId="0" applyNumberFormat="1" applyFont="1" applyFill="1" applyBorder="1" applyAlignment="1" applyProtection="1">
      <alignment horizontal="center" vertical="center" wrapText="1"/>
    </xf>
    <xf numFmtId="49" fontId="9" fillId="27" borderId="89" xfId="0" applyNumberFormat="1" applyFont="1" applyFill="1" applyBorder="1" applyAlignment="1" applyProtection="1">
      <alignment horizontal="center" vertical="center" wrapText="1"/>
    </xf>
    <xf numFmtId="49" fontId="9" fillId="27" borderId="90" xfId="0" applyNumberFormat="1" applyFont="1" applyFill="1" applyBorder="1" applyAlignment="1" applyProtection="1">
      <alignment horizontal="center" vertical="center" wrapText="1"/>
    </xf>
    <xf numFmtId="1" fontId="9" fillId="27" borderId="91" xfId="0" applyNumberFormat="1" applyFont="1" applyFill="1" applyBorder="1" applyAlignment="1" applyProtection="1">
      <alignment horizontal="center" vertical="center" wrapText="1"/>
    </xf>
    <xf numFmtId="1" fontId="9" fillId="27" borderId="92" xfId="0" applyNumberFormat="1" applyFont="1" applyFill="1" applyBorder="1" applyAlignment="1" applyProtection="1">
      <alignment horizontal="center" vertical="center" wrapText="1"/>
    </xf>
    <xf numFmtId="1" fontId="9" fillId="27" borderId="93" xfId="0" applyNumberFormat="1" applyFont="1" applyFill="1" applyBorder="1" applyAlignment="1" applyProtection="1">
      <alignment horizontal="center" vertical="center" wrapText="1"/>
    </xf>
    <xf numFmtId="1" fontId="9" fillId="27" borderId="94" xfId="0" applyNumberFormat="1" applyFont="1" applyFill="1" applyBorder="1" applyAlignment="1" applyProtection="1">
      <alignment horizontal="center" vertical="center" wrapText="1"/>
    </xf>
    <xf numFmtId="1" fontId="9" fillId="27" borderId="95" xfId="0" applyNumberFormat="1" applyFont="1" applyFill="1" applyBorder="1" applyAlignment="1" applyProtection="1">
      <alignment horizontal="center" vertical="center" wrapText="1"/>
    </xf>
    <xf numFmtId="1" fontId="9" fillId="27" borderId="96" xfId="0" applyNumberFormat="1" applyFont="1" applyFill="1" applyBorder="1" applyAlignment="1" applyProtection="1">
      <alignment horizontal="center" vertical="center" wrapText="1"/>
    </xf>
    <xf numFmtId="1" fontId="9" fillId="27" borderId="102" xfId="0" applyNumberFormat="1" applyFont="1" applyFill="1" applyBorder="1" applyAlignment="1" applyProtection="1">
      <alignment horizontal="center" vertical="center" wrapText="1"/>
    </xf>
    <xf numFmtId="1" fontId="9" fillId="27" borderId="97" xfId="0" applyNumberFormat="1" applyFont="1" applyFill="1" applyBorder="1" applyAlignment="1" applyProtection="1">
      <alignment horizontal="center" vertical="center" wrapText="1"/>
    </xf>
    <xf numFmtId="1" fontId="9" fillId="27" borderId="98" xfId="0" applyNumberFormat="1" applyFont="1" applyFill="1" applyBorder="1" applyAlignment="1" applyProtection="1">
      <alignment horizontal="center" vertical="center" wrapText="1"/>
    </xf>
    <xf numFmtId="1" fontId="9" fillId="27" borderId="99" xfId="0" applyNumberFormat="1" applyFont="1" applyFill="1" applyBorder="1" applyAlignment="1" applyProtection="1">
      <alignment horizontal="center" vertical="center" wrapText="1"/>
    </xf>
    <xf numFmtId="1" fontId="9" fillId="27" borderId="100" xfId="0" applyNumberFormat="1" applyFont="1" applyFill="1" applyBorder="1" applyAlignment="1" applyProtection="1">
      <alignment horizontal="center" vertical="center" wrapText="1"/>
    </xf>
    <xf numFmtId="1" fontId="9" fillId="27" borderId="101" xfId="0" applyNumberFormat="1" applyFont="1" applyFill="1" applyBorder="1" applyAlignment="1" applyProtection="1">
      <alignment horizontal="center" vertical="center" wrapText="1"/>
    </xf>
    <xf numFmtId="1" fontId="9" fillId="27" borderId="103" xfId="0" applyNumberFormat="1" applyFont="1" applyFill="1" applyBorder="1" applyAlignment="1" applyProtection="1">
      <alignment horizontal="center" vertical="center" wrapText="1"/>
    </xf>
    <xf numFmtId="173" fontId="9" fillId="27" borderId="26" xfId="0" applyNumberFormat="1" applyFont="1" applyFill="1" applyBorder="1" applyAlignment="1" applyProtection="1">
      <alignment horizontal="center" vertical="center" wrapText="1"/>
    </xf>
    <xf numFmtId="169" fontId="9" fillId="27" borderId="23" xfId="0" applyNumberFormat="1" applyFont="1" applyFill="1" applyBorder="1" applyAlignment="1" applyProtection="1">
      <alignment horizontal="center" vertical="center" wrapText="1"/>
    </xf>
    <xf numFmtId="169" fontId="9" fillId="27" borderId="25" xfId="0" applyNumberFormat="1" applyFont="1" applyFill="1" applyBorder="1" applyAlignment="1" applyProtection="1">
      <alignment horizontal="center" vertical="center" wrapText="1"/>
    </xf>
    <xf numFmtId="169" fontId="9" fillId="27" borderId="26" xfId="0" applyNumberFormat="1" applyFont="1" applyFill="1" applyBorder="1" applyAlignment="1" applyProtection="1">
      <alignment horizontal="center" vertical="center" wrapText="1"/>
    </xf>
    <xf numFmtId="49" fontId="9" fillId="27" borderId="102" xfId="0" applyNumberFormat="1" applyFont="1" applyFill="1" applyBorder="1" applyAlignment="1" applyProtection="1">
      <alignment horizontal="center" vertical="center" wrapText="1"/>
    </xf>
    <xf numFmtId="49" fontId="9" fillId="27" borderId="97" xfId="0" applyNumberFormat="1" applyFont="1" applyFill="1" applyBorder="1" applyAlignment="1" applyProtection="1">
      <alignment horizontal="center" vertical="center" wrapText="1"/>
    </xf>
    <xf numFmtId="49" fontId="9" fillId="27" borderId="98" xfId="0" applyNumberFormat="1" applyFont="1" applyFill="1" applyBorder="1" applyAlignment="1" applyProtection="1">
      <alignment horizontal="center" vertical="center" wrapText="1"/>
    </xf>
    <xf numFmtId="49" fontId="9" fillId="27" borderId="99" xfId="0" applyNumberFormat="1" applyFont="1" applyFill="1" applyBorder="1" applyAlignment="1" applyProtection="1">
      <alignment horizontal="center" vertical="center" wrapText="1"/>
    </xf>
    <xf numFmtId="49" fontId="9" fillId="27" borderId="100" xfId="0" applyNumberFormat="1" applyFont="1" applyFill="1" applyBorder="1" applyAlignment="1" applyProtection="1">
      <alignment horizontal="center" vertical="center" wrapText="1"/>
    </xf>
    <xf numFmtId="49" fontId="9" fillId="27" borderId="101" xfId="0" applyNumberFormat="1" applyFont="1" applyFill="1" applyBorder="1" applyAlignment="1" applyProtection="1">
      <alignment horizontal="center" vertical="center" wrapText="1"/>
    </xf>
    <xf numFmtId="49" fontId="6" fillId="27" borderId="102" xfId="0" applyNumberFormat="1" applyFont="1" applyFill="1" applyBorder="1" applyAlignment="1" applyProtection="1">
      <alignment horizontal="center" vertical="center" wrapText="1"/>
    </xf>
    <xf numFmtId="1" fontId="6" fillId="27" borderId="67" xfId="0" applyNumberFormat="1" applyFont="1" applyFill="1" applyBorder="1" applyAlignment="1" applyProtection="1">
      <alignment horizontal="center" vertical="center" wrapText="1"/>
    </xf>
    <xf numFmtId="1" fontId="9" fillId="27" borderId="104" xfId="0" applyNumberFormat="1" applyFont="1" applyFill="1" applyBorder="1" applyAlignment="1" applyProtection="1">
      <alignment horizontal="center" vertical="center" wrapText="1"/>
    </xf>
    <xf numFmtId="1" fontId="9" fillId="27" borderId="105" xfId="0" applyNumberFormat="1" applyFont="1" applyFill="1" applyBorder="1" applyAlignment="1" applyProtection="1">
      <alignment horizontal="center" vertical="center" wrapText="1"/>
    </xf>
    <xf numFmtId="1" fontId="9" fillId="27" borderId="106" xfId="0" applyNumberFormat="1" applyFont="1" applyFill="1" applyBorder="1" applyAlignment="1" applyProtection="1">
      <alignment horizontal="center" vertical="center" wrapText="1"/>
    </xf>
    <xf numFmtId="1" fontId="9" fillId="27" borderId="107" xfId="0" applyNumberFormat="1" applyFont="1" applyFill="1" applyBorder="1" applyAlignment="1" applyProtection="1">
      <alignment horizontal="center" vertical="center" wrapText="1"/>
    </xf>
    <xf numFmtId="1" fontId="9" fillId="27" borderId="108" xfId="0" applyNumberFormat="1" applyFont="1" applyFill="1" applyBorder="1" applyAlignment="1" applyProtection="1">
      <alignment horizontal="center" vertical="center" wrapText="1"/>
    </xf>
    <xf numFmtId="49" fontId="6" fillId="27" borderId="85" xfId="0" applyNumberFormat="1" applyFont="1" applyFill="1" applyBorder="1" applyAlignment="1" applyProtection="1">
      <alignment horizontal="center" vertical="center" wrapText="1"/>
    </xf>
    <xf numFmtId="1" fontId="6" fillId="27" borderId="102" xfId="0" applyNumberFormat="1" applyFont="1" applyFill="1" applyBorder="1" applyAlignment="1" applyProtection="1">
      <alignment horizontal="center" vertical="center" wrapText="1"/>
    </xf>
    <xf numFmtId="1" fontId="6" fillId="27" borderId="103" xfId="0" applyNumberFormat="1" applyFont="1" applyFill="1" applyBorder="1" applyAlignment="1" applyProtection="1">
      <alignment horizontal="center" vertical="center" wrapText="1"/>
    </xf>
    <xf numFmtId="1" fontId="6" fillId="27" borderId="109" xfId="0" applyNumberFormat="1" applyFont="1" applyFill="1" applyBorder="1" applyAlignment="1" applyProtection="1">
      <alignment horizontal="center" vertical="center" wrapText="1"/>
    </xf>
    <xf numFmtId="0" fontId="1" fillId="0" borderId="59" xfId="0" applyFont="1" applyBorder="1" applyAlignment="1" applyProtection="1">
      <alignment horizontal="center"/>
      <protection locked="0"/>
    </xf>
    <xf numFmtId="0" fontId="1" fillId="0" borderId="110" xfId="0" applyFont="1" applyBorder="1" applyAlignment="1" applyProtection="1">
      <alignment horizontal="center"/>
      <protection locked="0"/>
    </xf>
    <xf numFmtId="1" fontId="1" fillId="0" borderId="111" xfId="0" applyNumberFormat="1" applyFont="1" applyFill="1" applyBorder="1" applyAlignment="1" applyProtection="1">
      <alignment horizontal="center" vertical="center" wrapText="1"/>
      <protection locked="0"/>
    </xf>
    <xf numFmtId="1" fontId="1" fillId="0" borderId="52" xfId="0" applyNumberFormat="1" applyFont="1" applyFill="1" applyBorder="1" applyAlignment="1" applyProtection="1">
      <alignment horizontal="center" vertical="center" wrapText="1"/>
      <protection locked="0"/>
    </xf>
    <xf numFmtId="16" fontId="1" fillId="0" borderId="20" xfId="0" applyNumberFormat="1" applyFont="1" applyFill="1" applyBorder="1" applyAlignment="1" applyProtection="1">
      <alignment horizontal="center" vertical="center" wrapText="1"/>
    </xf>
    <xf numFmtId="0" fontId="1" fillId="0" borderId="3" xfId="0" applyFont="1" applyFill="1" applyBorder="1" applyAlignment="1" applyProtection="1">
      <alignment horizontal="center" vertical="center" wrapText="1"/>
      <protection locked="0"/>
    </xf>
    <xf numFmtId="0" fontId="1" fillId="0" borderId="40" xfId="0" applyFont="1" applyFill="1" applyBorder="1" applyAlignment="1" applyProtection="1">
      <alignment horizontal="center" vertical="center" wrapText="1"/>
      <protection locked="0"/>
    </xf>
    <xf numFmtId="1" fontId="1" fillId="27" borderId="45" xfId="0" applyNumberFormat="1" applyFont="1" applyFill="1" applyBorder="1" applyAlignment="1" applyProtection="1">
      <alignment horizontal="center" vertical="center" wrapText="1"/>
      <protection locked="0"/>
    </xf>
    <xf numFmtId="1" fontId="2" fillId="0" borderId="112" xfId="0" applyNumberFormat="1" applyFont="1" applyFill="1" applyBorder="1" applyAlignment="1" applyProtection="1">
      <alignment horizontal="center" vertical="center" wrapText="1"/>
    </xf>
    <xf numFmtId="1" fontId="1" fillId="27" borderId="59" xfId="0" applyNumberFormat="1" applyFont="1" applyFill="1" applyBorder="1" applyAlignment="1" applyProtection="1">
      <alignment horizontal="center" vertical="center" wrapText="1"/>
      <protection locked="0"/>
    </xf>
    <xf numFmtId="0" fontId="18" fillId="0" borderId="0" xfId="0" applyFont="1" applyBorder="1" applyAlignment="1" applyProtection="1">
      <alignment horizontal="center" vertical="center" wrapText="1"/>
    </xf>
    <xf numFmtId="0" fontId="1" fillId="0" borderId="0" xfId="0" applyFont="1" applyAlignment="1">
      <alignment horizontal="center" vertical="center" wrapText="1"/>
    </xf>
    <xf numFmtId="0" fontId="57" fillId="49" borderId="113" xfId="0" applyFont="1" applyFill="1" applyBorder="1" applyAlignment="1">
      <alignment horizontal="center" vertical="center" wrapText="1"/>
    </xf>
    <xf numFmtId="0" fontId="58" fillId="49" borderId="113" xfId="0" applyFont="1" applyFill="1" applyBorder="1" applyAlignment="1">
      <alignment horizontal="center" vertical="center" wrapText="1"/>
    </xf>
    <xf numFmtId="0" fontId="19" fillId="0" borderId="0" xfId="0" applyFont="1" applyBorder="1" applyAlignment="1" applyProtection="1">
      <alignment horizontal="center" vertical="center" wrapText="1"/>
    </xf>
    <xf numFmtId="14" fontId="0" fillId="0" borderId="0" xfId="0" applyNumberFormat="1" applyAlignment="1">
      <alignment horizontal="center"/>
    </xf>
    <xf numFmtId="1" fontId="0" fillId="0" borderId="0" xfId="0" applyNumberFormat="1" applyAlignment="1">
      <alignment horizontal="center"/>
    </xf>
    <xf numFmtId="0" fontId="19" fillId="0" borderId="0" xfId="0" applyFont="1" applyBorder="1" applyAlignment="1" applyProtection="1">
      <alignment horizontal="center" vertical="center"/>
    </xf>
    <xf numFmtId="0" fontId="19" fillId="0" borderId="0" xfId="0" applyFont="1" applyAlignment="1" applyProtection="1">
      <alignment horizontal="center" vertical="center"/>
    </xf>
    <xf numFmtId="0" fontId="59" fillId="50" borderId="113" xfId="0" applyFont="1" applyFill="1" applyBorder="1" applyAlignment="1">
      <alignment horizontal="center" vertical="center" wrapText="1"/>
    </xf>
    <xf numFmtId="14" fontId="60" fillId="50" borderId="113" xfId="0" applyNumberFormat="1" applyFont="1" applyFill="1" applyBorder="1" applyAlignment="1">
      <alignment horizontal="center"/>
    </xf>
    <xf numFmtId="0" fontId="59" fillId="0" borderId="113" xfId="0" applyFont="1" applyBorder="1" applyAlignment="1">
      <alignment horizontal="center" vertical="center"/>
    </xf>
    <xf numFmtId="14" fontId="60" fillId="0" borderId="113" xfId="0" applyNumberFormat="1" applyFont="1" applyBorder="1" applyAlignment="1">
      <alignment horizontal="center"/>
    </xf>
    <xf numFmtId="0" fontId="59" fillId="50" borderId="113" xfId="0" applyFont="1" applyFill="1" applyBorder="1" applyAlignment="1">
      <alignment horizontal="center" vertical="center"/>
    </xf>
    <xf numFmtId="0" fontId="57" fillId="49" borderId="114" xfId="0" applyFont="1" applyFill="1" applyBorder="1" applyAlignment="1">
      <alignment horizontal="center" vertical="center" wrapText="1"/>
    </xf>
    <xf numFmtId="0" fontId="59" fillId="50" borderId="114" xfId="0" applyFont="1" applyFill="1" applyBorder="1" applyAlignment="1">
      <alignment horizontal="center" vertical="center" wrapText="1"/>
    </xf>
    <xf numFmtId="0" fontId="59" fillId="0" borderId="114" xfId="0" applyFont="1" applyBorder="1" applyAlignment="1">
      <alignment horizontal="center" vertical="center"/>
    </xf>
    <xf numFmtId="0" fontId="59" fillId="50" borderId="114" xfId="0" applyFont="1" applyFill="1" applyBorder="1" applyAlignment="1">
      <alignment horizontal="center" vertical="center"/>
    </xf>
    <xf numFmtId="0" fontId="17" fillId="0" borderId="0" xfId="982" applyFont="1" applyAlignment="1" applyProtection="1">
      <alignment horizontal="center"/>
    </xf>
    <xf numFmtId="1" fontId="17" fillId="0" borderId="0" xfId="982" applyNumberFormat="1" applyFont="1" applyAlignment="1" applyProtection="1">
      <alignment horizontal="center"/>
    </xf>
    <xf numFmtId="1" fontId="11" fillId="39" borderId="32" xfId="0" applyNumberFormat="1" applyFont="1" applyFill="1" applyBorder="1" applyAlignment="1" applyProtection="1">
      <alignment horizontal="center" vertical="center" wrapText="1"/>
    </xf>
    <xf numFmtId="1" fontId="1" fillId="0" borderId="40" xfId="0" applyNumberFormat="1" applyFont="1" applyFill="1" applyBorder="1" applyAlignment="1" applyProtection="1">
      <alignment horizontal="center" vertical="center" wrapText="1"/>
    </xf>
    <xf numFmtId="0" fontId="35" fillId="0" borderId="20" xfId="0" applyFont="1" applyBorder="1" applyAlignment="1" applyProtection="1">
      <alignment horizontal="center"/>
      <protection locked="0"/>
    </xf>
    <xf numFmtId="1" fontId="1" fillId="0" borderId="3" xfId="0" applyNumberFormat="1" applyFont="1" applyFill="1" applyBorder="1" applyAlignment="1" applyProtection="1">
      <alignment horizontal="center" vertical="center" wrapText="1"/>
    </xf>
    <xf numFmtId="0" fontId="35" fillId="0" borderId="18" xfId="0" applyFont="1" applyBorder="1" applyAlignment="1" applyProtection="1">
      <alignment horizontal="center"/>
      <protection locked="0"/>
    </xf>
    <xf numFmtId="0" fontId="35" fillId="0" borderId="40" xfId="0" applyFont="1" applyBorder="1" applyAlignment="1" applyProtection="1">
      <alignment horizontal="center"/>
      <protection locked="0"/>
    </xf>
    <xf numFmtId="14" fontId="17" fillId="0" borderId="0" xfId="0" applyNumberFormat="1" applyFont="1" applyAlignment="1" applyProtection="1">
      <alignment horizontal="center"/>
    </xf>
    <xf numFmtId="0" fontId="17" fillId="0" borderId="0" xfId="0" applyFont="1" applyAlignment="1" applyProtection="1">
      <alignment horizontal="center"/>
    </xf>
    <xf numFmtId="1" fontId="17" fillId="0" borderId="0" xfId="0" applyNumberFormat="1" applyFont="1" applyAlignment="1" applyProtection="1">
      <alignment horizontal="center"/>
    </xf>
    <xf numFmtId="0" fontId="18" fillId="25" borderId="24" xfId="0" applyFont="1" applyFill="1" applyBorder="1" applyAlignment="1" applyProtection="1">
      <alignment horizontal="center" vertical="center" wrapText="1"/>
    </xf>
    <xf numFmtId="0" fontId="18" fillId="0" borderId="0" xfId="0" applyFont="1" applyAlignment="1" applyProtection="1">
      <alignment horizontal="center" vertical="center" wrapText="1"/>
    </xf>
    <xf numFmtId="0" fontId="18" fillId="25" borderId="28" xfId="0" applyFont="1" applyFill="1" applyBorder="1" applyAlignment="1" applyProtection="1">
      <alignment horizontal="center"/>
    </xf>
    <xf numFmtId="0" fontId="18" fillId="25" borderId="32" xfId="0" applyFont="1" applyFill="1" applyBorder="1" applyAlignment="1" applyProtection="1">
      <alignment horizontal="center"/>
    </xf>
    <xf numFmtId="1" fontId="1" fillId="0" borderId="40" xfId="0" applyNumberFormat="1" applyFont="1" applyFill="1" applyBorder="1" applyAlignment="1" applyProtection="1">
      <alignment horizontal="center" vertical="center" wrapText="1"/>
      <protection locked="0"/>
    </xf>
    <xf numFmtId="14" fontId="35" fillId="0" borderId="20" xfId="0" applyNumberFormat="1" applyFont="1" applyFill="1" applyBorder="1" applyAlignment="1" applyProtection="1">
      <alignment horizontal="center" vertical="center" wrapText="1"/>
    </xf>
    <xf numFmtId="16" fontId="35" fillId="0" borderId="19" xfId="0" applyNumberFormat="1" applyFont="1" applyFill="1" applyBorder="1" applyAlignment="1" applyProtection="1">
      <alignment horizontal="center" vertical="center" wrapText="1"/>
    </xf>
    <xf numFmtId="1" fontId="1" fillId="0" borderId="115" xfId="0" applyNumberFormat="1" applyFont="1" applyFill="1" applyBorder="1" applyAlignment="1" applyProtection="1">
      <alignment horizontal="center" vertical="center" wrapText="1"/>
    </xf>
    <xf numFmtId="1" fontId="1" fillId="0" borderId="116" xfId="0" applyNumberFormat="1" applyFont="1" applyFill="1" applyBorder="1" applyAlignment="1" applyProtection="1">
      <alignment vertical="center" wrapText="1"/>
    </xf>
    <xf numFmtId="1" fontId="1" fillId="0" borderId="117" xfId="0" applyNumberFormat="1" applyFont="1" applyFill="1" applyBorder="1" applyAlignment="1" applyProtection="1">
      <alignment horizontal="center" vertical="center" wrapText="1"/>
      <protection locked="0"/>
    </xf>
    <xf numFmtId="1" fontId="1" fillId="0" borderId="118" xfId="0" applyNumberFormat="1" applyFont="1" applyFill="1" applyBorder="1" applyAlignment="1" applyProtection="1">
      <alignment horizontal="center" vertical="center" wrapText="1"/>
      <protection locked="0"/>
    </xf>
    <xf numFmtId="1" fontId="1" fillId="0" borderId="118" xfId="0" applyNumberFormat="1" applyFont="1" applyFill="1" applyBorder="1" applyAlignment="1" applyProtection="1">
      <alignment horizontal="center" vertical="center" wrapText="1"/>
    </xf>
    <xf numFmtId="16" fontId="1" fillId="0" borderId="118" xfId="0" applyNumberFormat="1" applyFont="1" applyFill="1" applyBorder="1" applyAlignment="1" applyProtection="1">
      <alignment horizontal="center" vertical="center" wrapText="1"/>
    </xf>
    <xf numFmtId="14" fontId="35" fillId="0" borderId="74" xfId="0" applyNumberFormat="1" applyFont="1" applyFill="1" applyBorder="1" applyAlignment="1" applyProtection="1">
      <alignment horizontal="center" vertical="center" wrapText="1"/>
    </xf>
    <xf numFmtId="16" fontId="1" fillId="0" borderId="74" xfId="0" applyNumberFormat="1" applyFont="1" applyFill="1" applyBorder="1" applyAlignment="1" applyProtection="1">
      <alignment horizontal="center" vertical="center" wrapText="1"/>
    </xf>
    <xf numFmtId="1" fontId="2" fillId="0" borderId="106" xfId="0" applyNumberFormat="1" applyFont="1" applyFill="1" applyBorder="1" applyAlignment="1" applyProtection="1">
      <alignment horizontal="center" vertical="center" wrapText="1"/>
    </xf>
    <xf numFmtId="1" fontId="2" fillId="0" borderId="107" xfId="0" applyNumberFormat="1" applyFont="1" applyFill="1" applyBorder="1" applyAlignment="1" applyProtection="1">
      <alignment horizontal="center" vertical="center" wrapText="1"/>
    </xf>
    <xf numFmtId="1" fontId="1" fillId="0" borderId="0" xfId="0" applyNumberFormat="1" applyFont="1" applyAlignment="1">
      <alignment horizontal="center"/>
    </xf>
    <xf numFmtId="1" fontId="0" fillId="0" borderId="119" xfId="0" applyNumberFormat="1" applyBorder="1" applyAlignment="1">
      <alignment horizontal="center"/>
    </xf>
    <xf numFmtId="14" fontId="0" fillId="0" borderId="22" xfId="0" applyNumberFormat="1" applyBorder="1" applyAlignment="1">
      <alignment horizontal="center"/>
    </xf>
    <xf numFmtId="1" fontId="0" fillId="0" borderId="120" xfId="0" applyNumberFormat="1" applyBorder="1" applyAlignment="1">
      <alignment horizontal="center"/>
    </xf>
    <xf numFmtId="14" fontId="0" fillId="0" borderId="39" xfId="0" applyNumberFormat="1" applyBorder="1" applyAlignment="1">
      <alignment horizontal="center"/>
    </xf>
    <xf numFmtId="0" fontId="0" fillId="0" borderId="30" xfId="0" applyBorder="1" applyAlignment="1">
      <alignment horizontal="center"/>
    </xf>
    <xf numFmtId="0" fontId="0" fillId="0" borderId="35" xfId="0" applyBorder="1" applyAlignment="1">
      <alignment horizontal="center"/>
    </xf>
    <xf numFmtId="0" fontId="61" fillId="50" borderId="3" xfId="0" applyFont="1" applyFill="1" applyBorder="1" applyAlignment="1" applyProtection="1">
      <alignment horizontal="center" vertical="center"/>
    </xf>
    <xf numFmtId="0" fontId="61" fillId="50" borderId="18" xfId="0" applyFont="1" applyFill="1" applyBorder="1" applyAlignment="1" applyProtection="1">
      <alignment horizontal="center" vertical="center"/>
    </xf>
    <xf numFmtId="0" fontId="62" fillId="0" borderId="10" xfId="0" applyFont="1" applyFill="1" applyBorder="1" applyAlignment="1" applyProtection="1">
      <alignment horizontal="right" vertical="center" wrapText="1"/>
    </xf>
    <xf numFmtId="0" fontId="62" fillId="0" borderId="10" xfId="0" quotePrefix="1" applyFont="1" applyFill="1" applyBorder="1" applyAlignment="1" applyProtection="1">
      <alignment horizontal="right" vertical="center" wrapText="1"/>
    </xf>
    <xf numFmtId="0" fontId="62" fillId="0" borderId="10" xfId="0" applyFont="1" applyFill="1" applyBorder="1" applyAlignment="1" applyProtection="1">
      <alignment vertical="center" wrapText="1"/>
    </xf>
    <xf numFmtId="0" fontId="1" fillId="0" borderId="0" xfId="0" applyFont="1" applyAlignment="1"/>
    <xf numFmtId="0" fontId="0" fillId="0" borderId="0" xfId="0" applyAlignment="1"/>
    <xf numFmtId="0" fontId="61" fillId="50" borderId="18" xfId="0" applyFont="1" applyFill="1" applyBorder="1" applyAlignment="1" applyProtection="1">
      <alignment vertical="center"/>
    </xf>
    <xf numFmtId="0" fontId="1" fillId="0" borderId="0" xfId="0" applyFont="1" applyFill="1" applyBorder="1" applyAlignment="1"/>
    <xf numFmtId="1" fontId="62" fillId="0" borderId="121" xfId="0" quotePrefix="1" applyNumberFormat="1" applyFont="1" applyFill="1" applyBorder="1" applyAlignment="1" applyProtection="1">
      <alignment horizontal="center" vertical="center" wrapText="1"/>
    </xf>
    <xf numFmtId="14" fontId="0" fillId="0" borderId="47" xfId="0" applyNumberFormat="1" applyBorder="1" applyAlignment="1">
      <alignment horizontal="center"/>
    </xf>
    <xf numFmtId="14" fontId="0" fillId="0" borderId="122" xfId="0" applyNumberFormat="1" applyBorder="1" applyAlignment="1">
      <alignment horizontal="center"/>
    </xf>
    <xf numFmtId="0" fontId="0" fillId="0" borderId="32" xfId="0" applyBorder="1" applyAlignment="1">
      <alignment horizontal="center"/>
    </xf>
    <xf numFmtId="0" fontId="0" fillId="0" borderId="123" xfId="0" applyBorder="1" applyAlignment="1">
      <alignment horizontal="center"/>
    </xf>
    <xf numFmtId="1" fontId="0" fillId="0" borderId="115" xfId="0" applyNumberFormat="1" applyBorder="1" applyAlignment="1">
      <alignment horizontal="center"/>
    </xf>
    <xf numFmtId="14" fontId="0" fillId="0" borderId="41" xfId="0" applyNumberFormat="1" applyBorder="1" applyAlignment="1">
      <alignment horizontal="center"/>
    </xf>
    <xf numFmtId="14" fontId="0" fillId="0" borderId="78" xfId="0" applyNumberFormat="1" applyBorder="1" applyAlignment="1">
      <alignment horizontal="center"/>
    </xf>
    <xf numFmtId="0" fontId="1" fillId="0" borderId="23" xfId="0" applyFont="1" applyBorder="1" applyAlignment="1">
      <alignment horizontal="center"/>
    </xf>
    <xf numFmtId="0" fontId="1" fillId="0" borderId="124" xfId="0" applyFont="1" applyBorder="1" applyAlignment="1">
      <alignment horizontal="center"/>
    </xf>
    <xf numFmtId="0" fontId="1" fillId="0" borderId="125" xfId="0" applyFont="1" applyBorder="1" applyAlignment="1">
      <alignment horizontal="center"/>
    </xf>
    <xf numFmtId="14" fontId="0" fillId="0" borderId="126" xfId="0" applyNumberFormat="1" applyBorder="1" applyAlignment="1">
      <alignment horizontal="center"/>
    </xf>
    <xf numFmtId="0" fontId="17" fillId="0" borderId="0" xfId="0" applyFont="1" applyBorder="1" applyAlignment="1" applyProtection="1">
      <alignment horizontal="center" vertical="center"/>
    </xf>
    <xf numFmtId="1" fontId="2" fillId="0" borderId="127" xfId="0" applyNumberFormat="1" applyFont="1" applyFill="1" applyBorder="1" applyAlignment="1" applyProtection="1">
      <alignment horizontal="center" vertical="center" wrapText="1"/>
    </xf>
    <xf numFmtId="1" fontId="63" fillId="0" borderId="128" xfId="0" applyNumberFormat="1" applyFont="1" applyFill="1" applyBorder="1" applyAlignment="1" applyProtection="1">
      <alignment horizontal="center" vertical="center" wrapText="1"/>
    </xf>
    <xf numFmtId="0" fontId="1" fillId="0" borderId="63" xfId="0" applyFont="1" applyFill="1" applyBorder="1" applyAlignment="1">
      <alignment horizontal="center"/>
    </xf>
    <xf numFmtId="1" fontId="0" fillId="0" borderId="123" xfId="0" applyNumberFormat="1" applyBorder="1" applyAlignment="1">
      <alignment horizontal="center"/>
    </xf>
    <xf numFmtId="1" fontId="1" fillId="0" borderId="129" xfId="0" applyNumberFormat="1" applyFont="1" applyFill="1" applyBorder="1" applyAlignment="1" applyProtection="1">
      <alignment horizontal="center" vertical="center" wrapText="1"/>
    </xf>
    <xf numFmtId="1" fontId="1" fillId="0" borderId="130" xfId="0" applyNumberFormat="1" applyFont="1" applyFill="1" applyBorder="1" applyAlignment="1" applyProtection="1">
      <alignment horizontal="center" vertical="center" wrapText="1"/>
    </xf>
    <xf numFmtId="1" fontId="1" fillId="0" borderId="131" xfId="0" applyNumberFormat="1" applyFont="1" applyFill="1" applyBorder="1" applyAlignment="1" applyProtection="1">
      <alignment horizontal="center" vertical="center" wrapText="1"/>
    </xf>
    <xf numFmtId="1" fontId="8" fillId="27" borderId="27" xfId="0" applyNumberFormat="1" applyFont="1" applyFill="1" applyBorder="1" applyAlignment="1" applyProtection="1">
      <alignment horizontal="center" vertical="center" wrapText="1"/>
    </xf>
    <xf numFmtId="0" fontId="17" fillId="51" borderId="0" xfId="0" applyFont="1" applyFill="1" applyBorder="1" applyAlignment="1" applyProtection="1">
      <alignment horizontal="center" vertical="center" wrapText="1"/>
    </xf>
    <xf numFmtId="1" fontId="17" fillId="51" borderId="0" xfId="0" applyNumberFormat="1" applyFont="1" applyFill="1" applyBorder="1" applyAlignment="1" applyProtection="1">
      <alignment horizontal="center" vertical="center" wrapText="1"/>
    </xf>
    <xf numFmtId="0" fontId="18" fillId="0" borderId="29" xfId="0" applyFont="1" applyBorder="1" applyAlignment="1" applyProtection="1">
      <alignment horizontal="center" vertical="center" wrapText="1"/>
    </xf>
    <xf numFmtId="1" fontId="0" fillId="0" borderId="19" xfId="0" applyNumberFormat="1" applyBorder="1"/>
    <xf numFmtId="1" fontId="0" fillId="0" borderId="79" xfId="0" applyNumberFormat="1" applyBorder="1"/>
    <xf numFmtId="1" fontId="1" fillId="0" borderId="19" xfId="0" applyNumberFormat="1" applyFont="1" applyFill="1" applyBorder="1" applyAlignment="1" applyProtection="1">
      <alignment horizontal="center" vertical="center" wrapText="1"/>
      <protection locked="0"/>
    </xf>
    <xf numFmtId="0" fontId="1" fillId="0" borderId="20" xfId="0" applyFont="1" applyBorder="1" applyAlignment="1" applyProtection="1">
      <alignment horizontal="center"/>
      <protection locked="0"/>
    </xf>
    <xf numFmtId="1" fontId="2" fillId="0" borderId="132" xfId="0" applyNumberFormat="1" applyFont="1" applyFill="1" applyBorder="1" applyAlignment="1" applyProtection="1">
      <alignment horizontal="center" vertical="center" wrapText="1"/>
    </xf>
    <xf numFmtId="0" fontId="17" fillId="0" borderId="0" xfId="0" applyFont="1" applyBorder="1" applyAlignment="1" applyProtection="1">
      <alignment horizontal="center" vertical="center" wrapText="1"/>
    </xf>
    <xf numFmtId="0" fontId="18" fillId="0" borderId="0" xfId="0" applyFont="1" applyFill="1" applyAlignment="1" applyProtection="1">
      <alignment horizontal="center" vertical="center" wrapText="1"/>
    </xf>
    <xf numFmtId="0" fontId="64" fillId="25" borderId="54" xfId="0" applyFont="1" applyFill="1" applyBorder="1" applyAlignment="1">
      <alignment horizontal="center" vertical="top" wrapText="1"/>
    </xf>
    <xf numFmtId="2" fontId="64" fillId="25" borderId="3" xfId="0" applyNumberFormat="1" applyFont="1" applyFill="1" applyBorder="1" applyAlignment="1">
      <alignment horizontal="center" vertical="top" wrapText="1"/>
    </xf>
    <xf numFmtId="0" fontId="64" fillId="25" borderId="3" xfId="0" applyFont="1" applyFill="1" applyBorder="1" applyAlignment="1">
      <alignment horizontal="center" vertical="top" wrapText="1"/>
    </xf>
    <xf numFmtId="0" fontId="64" fillId="25" borderId="3" xfId="0" applyFont="1" applyFill="1" applyBorder="1" applyAlignment="1">
      <alignment horizontal="left" vertical="center" wrapText="1"/>
    </xf>
    <xf numFmtId="0" fontId="64" fillId="25" borderId="3" xfId="0" applyFont="1" applyFill="1" applyBorder="1" applyAlignment="1">
      <alignment vertical="top"/>
    </xf>
    <xf numFmtId="0" fontId="64" fillId="25" borderId="3" xfId="0" applyFont="1" applyFill="1" applyBorder="1" applyAlignment="1">
      <alignment vertical="top" wrapText="1"/>
    </xf>
    <xf numFmtId="0" fontId="56" fillId="25" borderId="3" xfId="0" applyFont="1" applyFill="1" applyBorder="1" applyAlignment="1">
      <alignment vertical="center"/>
    </xf>
    <xf numFmtId="0" fontId="65" fillId="0" borderId="3" xfId="0" applyFont="1" applyBorder="1"/>
    <xf numFmtId="2" fontId="65" fillId="0" borderId="3" xfId="0" applyNumberFormat="1" applyFont="1" applyFill="1" applyBorder="1"/>
    <xf numFmtId="0" fontId="65" fillId="0" borderId="3" xfId="0" applyFont="1" applyFill="1" applyBorder="1"/>
    <xf numFmtId="0" fontId="65" fillId="0" borderId="3" xfId="0" applyFont="1" applyFill="1" applyBorder="1" applyAlignment="1">
      <alignment horizontal="left" vertical="center" wrapText="1"/>
    </xf>
    <xf numFmtId="22" fontId="65" fillId="0" borderId="3" xfId="0" applyNumberFormat="1" applyFont="1" applyFill="1" applyBorder="1"/>
    <xf numFmtId="14" fontId="65" fillId="0" borderId="3" xfId="0" applyNumberFormat="1" applyFont="1" applyFill="1" applyBorder="1"/>
    <xf numFmtId="14" fontId="0" fillId="39" borderId="3" xfId="0" applyNumberFormat="1" applyFont="1" applyFill="1" applyBorder="1" applyAlignment="1" applyProtection="1">
      <alignment horizontal="center" vertical="center"/>
    </xf>
    <xf numFmtId="1" fontId="0" fillId="39" borderId="3" xfId="0" applyNumberFormat="1" applyFont="1" applyFill="1" applyBorder="1" applyAlignment="1" applyProtection="1">
      <alignment horizontal="center" vertical="center"/>
    </xf>
    <xf numFmtId="0" fontId="0" fillId="0" borderId="123" xfId="0" quotePrefix="1" applyBorder="1" applyAlignment="1">
      <alignment horizontal="center"/>
    </xf>
    <xf numFmtId="0" fontId="1" fillId="0" borderId="24" xfId="0" applyFont="1" applyFill="1" applyBorder="1" applyAlignment="1">
      <alignment horizontal="center"/>
    </xf>
    <xf numFmtId="0" fontId="0" fillId="0" borderId="133" xfId="0"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0" fontId="0" fillId="0" borderId="3" xfId="0" applyBorder="1" applyAlignment="1">
      <alignment horizontal="center"/>
    </xf>
    <xf numFmtId="0" fontId="65" fillId="0" borderId="3" xfId="0" quotePrefix="1" applyFont="1" applyFill="1" applyBorder="1"/>
    <xf numFmtId="0" fontId="56" fillId="25" borderId="3" xfId="0" applyFont="1" applyFill="1" applyBorder="1" applyAlignment="1">
      <alignment horizontal="center" vertical="center"/>
    </xf>
    <xf numFmtId="0" fontId="17" fillId="27" borderId="0" xfId="0" applyFont="1" applyFill="1" applyAlignment="1" applyProtection="1">
      <alignment horizontal="left"/>
    </xf>
    <xf numFmtId="0" fontId="17" fillId="27" borderId="0" xfId="0" applyFont="1" applyFill="1" applyAlignment="1" applyProtection="1">
      <alignment horizontal="center"/>
    </xf>
    <xf numFmtId="0" fontId="66" fillId="0" borderId="0" xfId="0" applyFont="1" applyAlignment="1" applyProtection="1">
      <alignment horizontal="center"/>
    </xf>
    <xf numFmtId="0" fontId="17" fillId="0" borderId="0" xfId="0" applyFont="1" applyAlignment="1" applyProtection="1">
      <alignment horizontal="left"/>
    </xf>
    <xf numFmtId="16" fontId="17" fillId="0" borderId="0" xfId="0" applyNumberFormat="1" applyFont="1" applyAlignment="1" applyProtection="1">
      <alignment horizontal="center"/>
    </xf>
    <xf numFmtId="2" fontId="65" fillId="0" borderId="0" xfId="0" applyNumberFormat="1" applyFont="1" applyFill="1" applyBorder="1"/>
    <xf numFmtId="1" fontId="63" fillId="0" borderId="134" xfId="0" applyNumberFormat="1" applyFont="1" applyFill="1" applyBorder="1" applyAlignment="1" applyProtection="1">
      <alignment horizontal="center" vertical="center" wrapText="1"/>
    </xf>
    <xf numFmtId="1" fontId="2" fillId="0" borderId="135" xfId="0" applyNumberFormat="1" applyFont="1" applyFill="1" applyBorder="1" applyAlignment="1" applyProtection="1">
      <alignment horizontal="center" vertical="center" wrapText="1"/>
    </xf>
    <xf numFmtId="1" fontId="2" fillId="0" borderId="136" xfId="0" applyNumberFormat="1" applyFont="1" applyFill="1" applyBorder="1" applyAlignment="1" applyProtection="1">
      <alignment horizontal="center" vertical="center" wrapText="1"/>
    </xf>
    <xf numFmtId="1" fontId="1" fillId="0" borderId="137" xfId="0" applyNumberFormat="1" applyFont="1" applyFill="1" applyBorder="1" applyAlignment="1" applyProtection="1">
      <alignment horizontal="center" vertical="center" wrapText="1"/>
      <protection locked="0"/>
    </xf>
    <xf numFmtId="0" fontId="65" fillId="0" borderId="40" xfId="0" applyFont="1" applyFill="1" applyBorder="1"/>
    <xf numFmtId="0" fontId="0" fillId="0" borderId="3" xfId="0" applyBorder="1"/>
    <xf numFmtId="167" fontId="31" fillId="25" borderId="59" xfId="0" applyNumberFormat="1" applyFont="1" applyFill="1" applyBorder="1" applyAlignment="1" applyProtection="1">
      <alignment horizontal="center" vertical="center"/>
      <protection locked="0"/>
    </xf>
    <xf numFmtId="0" fontId="1" fillId="0" borderId="38" xfId="0" applyFont="1" applyBorder="1" applyAlignment="1" applyProtection="1">
      <alignment horizontal="center" vertical="center" wrapText="1"/>
      <protection locked="0"/>
    </xf>
    <xf numFmtId="0" fontId="1" fillId="0" borderId="122" xfId="0" applyFont="1" applyBorder="1" applyAlignment="1" applyProtection="1">
      <alignment horizontal="center" vertical="center" wrapText="1"/>
      <protection locked="0"/>
    </xf>
    <xf numFmtId="0" fontId="17" fillId="0" borderId="0" xfId="0" applyFont="1" applyFill="1" applyAlignment="1" applyProtection="1">
      <alignment horizontal="left"/>
    </xf>
    <xf numFmtId="0" fontId="17" fillId="0" borderId="0" xfId="0" applyFont="1" applyFill="1" applyAlignment="1" applyProtection="1">
      <alignment horizontal="center"/>
    </xf>
    <xf numFmtId="0" fontId="66" fillId="0" borderId="0" xfId="0" applyFont="1" applyFill="1" applyAlignment="1" applyProtection="1">
      <alignment horizontal="center"/>
    </xf>
    <xf numFmtId="0" fontId="67" fillId="0" borderId="0" xfId="0" applyFont="1" applyAlignment="1" applyProtection="1">
      <alignment horizontal="left"/>
    </xf>
    <xf numFmtId="0" fontId="67" fillId="0" borderId="0" xfId="0" applyFont="1" applyAlignment="1" applyProtection="1">
      <alignment horizontal="center"/>
    </xf>
    <xf numFmtId="0" fontId="65" fillId="0" borderId="3" xfId="0" applyFont="1" applyFill="1" applyBorder="1" applyAlignment="1">
      <alignment horizontal="left"/>
    </xf>
    <xf numFmtId="1" fontId="1" fillId="0" borderId="138" xfId="0" applyNumberFormat="1" applyFont="1" applyFill="1" applyBorder="1" applyAlignment="1" applyProtection="1">
      <alignment horizontal="center" vertical="center" wrapText="1"/>
      <protection locked="0"/>
    </xf>
    <xf numFmtId="0" fontId="1" fillId="0" borderId="0" xfId="0" applyFont="1" applyAlignment="1">
      <alignment horizontal="center"/>
    </xf>
    <xf numFmtId="14" fontId="0" fillId="0" borderId="3" xfId="0" applyNumberFormat="1" applyBorder="1" applyAlignment="1">
      <alignment horizontal="center"/>
    </xf>
    <xf numFmtId="0" fontId="0" fillId="0" borderId="0" xfId="0" applyAlignment="1">
      <alignment horizontal="center" vertical="center"/>
    </xf>
    <xf numFmtId="14" fontId="0" fillId="52" borderId="3" xfId="0" applyNumberFormat="1" applyFill="1" applyBorder="1" applyAlignment="1">
      <alignment horizontal="center" vertical="center"/>
    </xf>
    <xf numFmtId="0" fontId="0" fillId="52" borderId="3" xfId="0" applyNumberFormat="1" applyFill="1" applyBorder="1" applyAlignment="1">
      <alignment horizontal="center" vertical="center"/>
    </xf>
    <xf numFmtId="14" fontId="0" fillId="53" borderId="3" xfId="0" applyNumberFormat="1" applyFill="1" applyBorder="1" applyAlignment="1">
      <alignment horizontal="center" vertical="center"/>
    </xf>
    <xf numFmtId="1" fontId="0" fillId="53" borderId="3" xfId="0" applyNumberFormat="1" applyFill="1" applyBorder="1" applyAlignment="1">
      <alignment horizontal="center" vertical="center"/>
    </xf>
    <xf numFmtId="0" fontId="0" fillId="53" borderId="3" xfId="0" applyNumberFormat="1" applyFill="1" applyBorder="1" applyAlignment="1">
      <alignment horizontal="center" vertical="center"/>
    </xf>
    <xf numFmtId="14" fontId="0" fillId="54" borderId="3" xfId="0" applyNumberFormat="1" applyFill="1" applyBorder="1" applyAlignment="1">
      <alignment horizontal="center" vertical="center"/>
    </xf>
    <xf numFmtId="1" fontId="0" fillId="54" borderId="3" xfId="0" applyNumberFormat="1" applyFill="1" applyBorder="1" applyAlignment="1">
      <alignment horizontal="center" vertical="center"/>
    </xf>
    <xf numFmtId="0" fontId="0" fillId="54" borderId="3" xfId="0" applyNumberFormat="1" applyFill="1" applyBorder="1" applyAlignment="1">
      <alignment horizontal="center" vertical="center"/>
    </xf>
    <xf numFmtId="14" fontId="0" fillId="32" borderId="3" xfId="0" applyNumberFormat="1" applyFill="1" applyBorder="1" applyAlignment="1">
      <alignment horizontal="center" vertical="center"/>
    </xf>
    <xf numFmtId="1" fontId="0" fillId="32" borderId="3" xfId="0" applyNumberFormat="1" applyFill="1" applyBorder="1" applyAlignment="1">
      <alignment horizontal="center" vertical="center"/>
    </xf>
    <xf numFmtId="0" fontId="0" fillId="32" borderId="3" xfId="0" applyNumberFormat="1" applyFill="1" applyBorder="1" applyAlignment="1">
      <alignment horizontal="center" vertical="center"/>
    </xf>
    <xf numFmtId="14" fontId="0" fillId="38" borderId="3" xfId="0" applyNumberFormat="1" applyFill="1" applyBorder="1" applyAlignment="1">
      <alignment horizontal="center" vertical="center"/>
    </xf>
    <xf numFmtId="16" fontId="0" fillId="38" borderId="3" xfId="0" applyNumberFormat="1" applyFill="1" applyBorder="1" applyAlignment="1">
      <alignment horizontal="center" vertical="center"/>
    </xf>
    <xf numFmtId="0" fontId="1" fillId="0" borderId="3" xfId="0" applyFont="1" applyBorder="1" applyAlignment="1">
      <alignment horizontal="center" vertical="center"/>
    </xf>
    <xf numFmtId="0" fontId="1" fillId="0" borderId="18" xfId="0" applyFont="1" applyFill="1" applyBorder="1" applyAlignment="1">
      <alignment horizontal="center" vertical="center"/>
    </xf>
    <xf numFmtId="0" fontId="1" fillId="0" borderId="3" xfId="0" applyFont="1" applyFill="1" applyBorder="1" applyAlignment="1">
      <alignment horizontal="center" vertical="center"/>
    </xf>
    <xf numFmtId="1" fontId="0" fillId="52" borderId="3" xfId="0" applyNumberFormat="1" applyFill="1" applyBorder="1" applyAlignment="1">
      <alignment horizontal="center" vertical="center"/>
    </xf>
    <xf numFmtId="0" fontId="0" fillId="38" borderId="3" xfId="0" applyNumberFormat="1" applyFill="1" applyBorder="1" applyAlignment="1">
      <alignment horizontal="center" vertical="center"/>
    </xf>
    <xf numFmtId="1" fontId="0" fillId="38" borderId="3" xfId="0" applyNumberFormat="1" applyFill="1" applyBorder="1" applyAlignment="1">
      <alignment horizontal="center" vertical="center"/>
    </xf>
    <xf numFmtId="0" fontId="0" fillId="0" borderId="3" xfId="0" applyBorder="1" applyAlignment="1">
      <alignment horizontal="center" vertical="center"/>
    </xf>
    <xf numFmtId="1" fontId="14" fillId="44" borderId="66" xfId="0" applyNumberFormat="1" applyFont="1" applyFill="1" applyBorder="1" applyAlignment="1" applyProtection="1">
      <alignment horizontal="center" vertical="center" wrapText="1"/>
      <protection locked="0"/>
    </xf>
    <xf numFmtId="1" fontId="63" fillId="0" borderId="139" xfId="0" applyNumberFormat="1" applyFont="1" applyFill="1" applyBorder="1" applyAlignment="1" applyProtection="1">
      <alignment horizontal="center" vertical="center" wrapText="1"/>
    </xf>
    <xf numFmtId="16" fontId="1" fillId="0" borderId="140" xfId="0" applyNumberFormat="1" applyFont="1" applyFill="1" applyBorder="1" applyAlignment="1" applyProtection="1">
      <alignment horizontal="center" vertical="center" wrapText="1"/>
    </xf>
    <xf numFmtId="1" fontId="1" fillId="0" borderId="141" xfId="0" applyNumberFormat="1" applyFont="1" applyFill="1" applyBorder="1" applyAlignment="1" applyProtection="1">
      <alignment horizontal="center" vertical="center" wrapText="1"/>
    </xf>
    <xf numFmtId="169" fontId="1" fillId="0" borderId="142" xfId="0" applyNumberFormat="1" applyFont="1" applyFill="1" applyBorder="1" applyAlignment="1" applyProtection="1">
      <alignment horizontal="center" vertical="center" wrapText="1"/>
    </xf>
    <xf numFmtId="167" fontId="1" fillId="0" borderId="143" xfId="0" applyNumberFormat="1" applyFont="1" applyFill="1" applyBorder="1" applyAlignment="1" applyProtection="1">
      <alignment horizontal="center" vertical="center" wrapText="1"/>
    </xf>
    <xf numFmtId="167" fontId="31" fillId="25" borderId="144" xfId="0" applyNumberFormat="1" applyFont="1" applyFill="1" applyBorder="1" applyAlignment="1" applyProtection="1">
      <alignment horizontal="center" vertical="center"/>
      <protection locked="0"/>
    </xf>
    <xf numFmtId="14" fontId="35" fillId="0" borderId="18" xfId="0" applyNumberFormat="1" applyFont="1" applyFill="1" applyBorder="1" applyAlignment="1" applyProtection="1">
      <alignment horizontal="center" vertical="center" wrapText="1"/>
    </xf>
    <xf numFmtId="0" fontId="1" fillId="0" borderId="3" xfId="0" applyFont="1" applyBorder="1" applyAlignment="1" applyProtection="1">
      <alignment horizontal="center" vertical="center"/>
      <protection locked="0"/>
    </xf>
    <xf numFmtId="0" fontId="1" fillId="0" borderId="0" xfId="0" applyFont="1" applyBorder="1" applyAlignment="1" applyProtection="1">
      <alignment horizontal="center" wrapText="1"/>
      <protection locked="0"/>
    </xf>
    <xf numFmtId="0" fontId="2" fillId="0" borderId="20" xfId="0" applyFont="1" applyBorder="1" applyAlignment="1" applyProtection="1">
      <alignment horizontal="center"/>
      <protection locked="0"/>
    </xf>
    <xf numFmtId="0" fontId="1" fillId="0" borderId="31" xfId="0" applyFont="1" applyBorder="1" applyAlignment="1" applyProtection="1">
      <alignment horizontal="center"/>
      <protection locked="0"/>
    </xf>
    <xf numFmtId="0" fontId="1" fillId="0" borderId="31" xfId="0" applyFont="1" applyBorder="1" applyAlignment="1" applyProtection="1">
      <alignment horizontal="center" vertical="center" wrapText="1"/>
      <protection locked="0"/>
    </xf>
    <xf numFmtId="0" fontId="1" fillId="0" borderId="33" xfId="0" applyFont="1" applyBorder="1" applyAlignment="1" applyProtection="1">
      <alignment horizontal="center" vertical="center" wrapText="1"/>
      <protection locked="0"/>
    </xf>
    <xf numFmtId="0" fontId="1" fillId="0" borderId="3" xfId="0" applyFont="1" applyBorder="1" applyAlignment="1" applyProtection="1">
      <alignment horizontal="center"/>
      <protection locked="0"/>
    </xf>
    <xf numFmtId="16" fontId="1" fillId="0" borderId="0" xfId="0" applyNumberFormat="1" applyFont="1" applyFill="1" applyBorder="1" applyAlignment="1" applyProtection="1">
      <alignment horizontal="center" vertical="center" wrapText="1"/>
    </xf>
    <xf numFmtId="1" fontId="63" fillId="0" borderId="145" xfId="0" applyNumberFormat="1" applyFont="1" applyFill="1" applyBorder="1" applyAlignment="1" applyProtection="1">
      <alignment horizontal="center" vertical="center" wrapText="1"/>
    </xf>
    <xf numFmtId="1" fontId="2" fillId="0" borderId="146" xfId="0" applyNumberFormat="1" applyFont="1" applyFill="1" applyBorder="1" applyAlignment="1" applyProtection="1">
      <alignment horizontal="center" vertical="center" wrapText="1"/>
    </xf>
    <xf numFmtId="1" fontId="2" fillId="0" borderId="147" xfId="0" applyNumberFormat="1" applyFont="1" applyFill="1" applyBorder="1" applyAlignment="1" applyProtection="1">
      <alignment horizontal="center" vertical="center" wrapText="1"/>
    </xf>
    <xf numFmtId="1" fontId="2" fillId="0" borderId="148" xfId="0" applyNumberFormat="1" applyFont="1" applyFill="1" applyBorder="1" applyAlignment="1" applyProtection="1">
      <alignment horizontal="center" vertical="center" wrapText="1"/>
    </xf>
    <xf numFmtId="14" fontId="35" fillId="0" borderId="0" xfId="0" applyNumberFormat="1" applyFont="1" applyFill="1" applyBorder="1" applyAlignment="1" applyProtection="1">
      <alignment horizontal="center" vertical="center" wrapText="1"/>
    </xf>
    <xf numFmtId="1" fontId="1" fillId="0" borderId="149" xfId="0" applyNumberFormat="1" applyFont="1" applyFill="1" applyBorder="1" applyAlignment="1" applyProtection="1">
      <alignment horizontal="center" vertical="center" wrapText="1"/>
    </xf>
    <xf numFmtId="0" fontId="35" fillId="0" borderId="150" xfId="0" applyFont="1" applyBorder="1" applyAlignment="1" applyProtection="1">
      <alignment horizontal="center"/>
      <protection locked="0"/>
    </xf>
    <xf numFmtId="1" fontId="1" fillId="0" borderId="151" xfId="0" applyNumberFormat="1" applyFont="1" applyFill="1" applyBorder="1" applyAlignment="1" applyProtection="1">
      <alignment horizontal="center" vertical="center" wrapText="1"/>
    </xf>
    <xf numFmtId="1" fontId="1" fillId="0" borderId="140" xfId="0" applyNumberFormat="1" applyFont="1" applyFill="1" applyBorder="1" applyAlignment="1" applyProtection="1">
      <alignment horizontal="center" vertical="center" wrapText="1"/>
    </xf>
    <xf numFmtId="1" fontId="2" fillId="0" borderId="152" xfId="0" applyNumberFormat="1" applyFont="1" applyFill="1" applyBorder="1" applyAlignment="1" applyProtection="1">
      <alignment horizontal="center" vertical="center" wrapText="1"/>
    </xf>
    <xf numFmtId="167" fontId="31" fillId="25" borderId="153" xfId="0" applyNumberFormat="1" applyFont="1" applyFill="1" applyBorder="1" applyAlignment="1" applyProtection="1">
      <alignment horizontal="center" vertical="center"/>
      <protection locked="0"/>
    </xf>
    <xf numFmtId="1" fontId="2" fillId="0" borderId="154" xfId="0" applyNumberFormat="1" applyFont="1" applyFill="1" applyBorder="1" applyAlignment="1" applyProtection="1">
      <alignment horizontal="center" vertical="center" wrapText="1"/>
    </xf>
    <xf numFmtId="0" fontId="1" fillId="0" borderId="155" xfId="0" applyFont="1" applyBorder="1" applyAlignment="1" applyProtection="1">
      <alignment horizontal="center"/>
      <protection locked="0"/>
    </xf>
    <xf numFmtId="0" fontId="35" fillId="0" borderId="140" xfId="0" applyFont="1" applyBorder="1" applyAlignment="1" applyProtection="1">
      <alignment horizontal="center"/>
      <protection locked="0"/>
    </xf>
    <xf numFmtId="1" fontId="1" fillId="0" borderId="150" xfId="0" applyNumberFormat="1" applyFont="1" applyFill="1" applyBorder="1" applyAlignment="1" applyProtection="1">
      <alignment horizontal="center" vertical="center" wrapText="1"/>
    </xf>
    <xf numFmtId="1" fontId="2" fillId="25" borderId="153" xfId="0" applyNumberFormat="1" applyFont="1" applyFill="1" applyBorder="1" applyAlignment="1" applyProtection="1">
      <alignment horizontal="center" vertical="center" wrapText="1"/>
      <protection locked="0"/>
    </xf>
    <xf numFmtId="16" fontId="35" fillId="0" borderId="140" xfId="0" applyNumberFormat="1" applyFont="1" applyFill="1" applyBorder="1" applyAlignment="1" applyProtection="1">
      <alignment horizontal="center" vertical="center" wrapText="1"/>
    </xf>
    <xf numFmtId="1" fontId="2" fillId="0" borderId="156" xfId="0" applyNumberFormat="1" applyFont="1" applyFill="1" applyBorder="1" applyAlignment="1" applyProtection="1">
      <alignment horizontal="center" vertical="center" wrapText="1"/>
    </xf>
    <xf numFmtId="1" fontId="35" fillId="0" borderId="157" xfId="0" applyNumberFormat="1" applyFont="1" applyFill="1" applyBorder="1" applyAlignment="1" applyProtection="1">
      <alignment horizontal="center" vertical="center" wrapText="1"/>
      <protection locked="0"/>
    </xf>
    <xf numFmtId="1" fontId="1" fillId="0" borderId="158" xfId="0" applyNumberFormat="1" applyFont="1" applyFill="1" applyBorder="1" applyAlignment="1" applyProtection="1">
      <alignment horizontal="center" vertical="center" wrapText="1"/>
    </xf>
    <xf numFmtId="16" fontId="1" fillId="0" borderId="159" xfId="0" applyNumberFormat="1" applyFont="1" applyFill="1" applyBorder="1" applyAlignment="1" applyProtection="1">
      <alignment horizontal="center" vertical="center" wrapText="1"/>
    </xf>
    <xf numFmtId="1" fontId="63" fillId="0" borderId="160" xfId="0" applyNumberFormat="1" applyFont="1" applyFill="1" applyBorder="1" applyAlignment="1" applyProtection="1">
      <alignment horizontal="center" vertical="center" wrapText="1"/>
    </xf>
    <xf numFmtId="1" fontId="2" fillId="0" borderId="161" xfId="0" applyNumberFormat="1" applyFont="1" applyFill="1" applyBorder="1" applyAlignment="1" applyProtection="1">
      <alignment horizontal="center" vertical="center" wrapText="1"/>
    </xf>
    <xf numFmtId="167" fontId="31" fillId="25" borderId="162" xfId="0" applyNumberFormat="1" applyFont="1" applyFill="1" applyBorder="1" applyAlignment="1" applyProtection="1">
      <alignment horizontal="center" vertical="center"/>
      <protection locked="0"/>
    </xf>
    <xf numFmtId="1" fontId="2" fillId="0" borderId="163" xfId="0" applyNumberFormat="1" applyFont="1" applyFill="1" applyBorder="1" applyAlignment="1" applyProtection="1">
      <alignment horizontal="center" vertical="center" wrapText="1"/>
    </xf>
    <xf numFmtId="1" fontId="1" fillId="0" borderId="142" xfId="0" applyNumberFormat="1" applyFont="1" applyFill="1" applyBorder="1" applyAlignment="1" applyProtection="1">
      <alignment horizontal="center" vertical="center" wrapText="1"/>
    </xf>
    <xf numFmtId="16" fontId="1" fillId="0" borderId="164" xfId="0" applyNumberFormat="1" applyFont="1" applyFill="1" applyBorder="1" applyAlignment="1" applyProtection="1">
      <alignment horizontal="center" vertical="center" wrapText="1"/>
    </xf>
    <xf numFmtId="1" fontId="63" fillId="0" borderId="165" xfId="0" applyNumberFormat="1" applyFont="1" applyFill="1" applyBorder="1" applyAlignment="1" applyProtection="1">
      <alignment horizontal="center" vertical="center" wrapText="1"/>
    </xf>
    <xf numFmtId="1" fontId="15" fillId="25" borderId="166" xfId="0" applyNumberFormat="1" applyFont="1" applyFill="1" applyBorder="1" applyAlignment="1" applyProtection="1">
      <alignment vertical="center"/>
      <protection locked="0"/>
    </xf>
    <xf numFmtId="16" fontId="68" fillId="0" borderId="164" xfId="0" applyNumberFormat="1" applyFont="1" applyFill="1" applyBorder="1" applyAlignment="1" applyProtection="1">
      <alignment horizontal="center" vertical="center" wrapText="1"/>
    </xf>
    <xf numFmtId="1" fontId="2" fillId="0" borderId="167" xfId="0" applyNumberFormat="1" applyFont="1" applyFill="1" applyBorder="1" applyAlignment="1" applyProtection="1">
      <alignment horizontal="center" vertical="center" wrapText="1"/>
    </xf>
    <xf numFmtId="16" fontId="35" fillId="0" borderId="164" xfId="0" applyNumberFormat="1" applyFont="1" applyFill="1" applyBorder="1" applyAlignment="1" applyProtection="1">
      <alignment horizontal="center" vertical="center" wrapText="1"/>
    </xf>
    <xf numFmtId="0" fontId="2" fillId="0" borderId="18" xfId="0" applyFont="1" applyBorder="1" applyAlignment="1" applyProtection="1">
      <alignment horizontal="center"/>
      <protection locked="0"/>
    </xf>
    <xf numFmtId="0" fontId="1" fillId="0" borderId="52" xfId="0" applyFont="1" applyBorder="1" applyAlignment="1" applyProtection="1">
      <alignment horizontal="center"/>
      <protection locked="0"/>
    </xf>
    <xf numFmtId="0" fontId="1" fillId="0" borderId="52" xfId="0" applyFont="1" applyBorder="1" applyAlignment="1" applyProtection="1">
      <alignment horizontal="center" vertical="center" wrapText="1"/>
      <protection locked="0"/>
    </xf>
    <xf numFmtId="0" fontId="1" fillId="0" borderId="168" xfId="0" applyFont="1" applyBorder="1" applyAlignment="1" applyProtection="1">
      <alignment horizontal="center" vertical="center" wrapText="1"/>
      <protection locked="0"/>
    </xf>
    <xf numFmtId="1" fontId="1" fillId="27" borderId="65" xfId="0" applyNumberFormat="1" applyFont="1" applyFill="1" applyBorder="1" applyAlignment="1" applyProtection="1">
      <alignment horizontal="center" vertical="center" wrapText="1"/>
      <protection locked="0"/>
    </xf>
    <xf numFmtId="1" fontId="1" fillId="27" borderId="144" xfId="0" applyNumberFormat="1" applyFont="1" applyFill="1" applyBorder="1" applyAlignment="1" applyProtection="1">
      <alignment horizontal="center" vertical="center" wrapText="1"/>
      <protection locked="0"/>
    </xf>
    <xf numFmtId="0" fontId="1" fillId="0" borderId="144" xfId="0" applyFont="1" applyBorder="1" applyAlignment="1" applyProtection="1">
      <alignment horizontal="center"/>
      <protection locked="0"/>
    </xf>
    <xf numFmtId="1" fontId="1" fillId="0" borderId="164" xfId="0" applyNumberFormat="1" applyFont="1" applyFill="1" applyBorder="1" applyAlignment="1" applyProtection="1">
      <alignment horizontal="center" vertical="center" wrapText="1"/>
      <protection locked="0"/>
    </xf>
    <xf numFmtId="1" fontId="1" fillId="0" borderId="29" xfId="0" applyNumberFormat="1" applyFont="1" applyFill="1" applyBorder="1" applyAlignment="1" applyProtection="1">
      <alignment horizontal="center" vertical="center" wrapText="1"/>
      <protection locked="0"/>
    </xf>
    <xf numFmtId="167" fontId="31" fillId="25" borderId="169" xfId="0" applyNumberFormat="1" applyFont="1" applyFill="1" applyBorder="1" applyAlignment="1" applyProtection="1">
      <alignment horizontal="center" vertical="center"/>
      <protection locked="0"/>
    </xf>
    <xf numFmtId="1" fontId="1" fillId="0" borderId="61" xfId="0" applyNumberFormat="1" applyFont="1" applyFill="1" applyBorder="1" applyAlignment="1" applyProtection="1">
      <alignment horizontal="center" vertical="center" wrapText="1"/>
      <protection locked="0"/>
    </xf>
    <xf numFmtId="0" fontId="2" fillId="0" borderId="0" xfId="0" applyFont="1" applyBorder="1" applyAlignment="1" applyProtection="1">
      <alignment horizontal="center"/>
      <protection locked="0"/>
    </xf>
    <xf numFmtId="0" fontId="2" fillId="0" borderId="65" xfId="0" applyFont="1" applyBorder="1" applyAlignment="1" applyProtection="1">
      <alignment horizontal="center"/>
      <protection locked="0"/>
    </xf>
    <xf numFmtId="0" fontId="2" fillId="0" borderId="59" xfId="0" applyFont="1" applyBorder="1" applyAlignment="1" applyProtection="1">
      <alignment horizontal="center"/>
      <protection locked="0"/>
    </xf>
    <xf numFmtId="1" fontId="1" fillId="27" borderId="170" xfId="0" applyNumberFormat="1" applyFont="1" applyFill="1" applyBorder="1" applyAlignment="1" applyProtection="1">
      <alignment horizontal="center" vertical="center" wrapText="1"/>
      <protection locked="0"/>
    </xf>
    <xf numFmtId="1" fontId="1" fillId="27" borderId="169" xfId="0" applyNumberFormat="1" applyFont="1" applyFill="1" applyBorder="1" applyAlignment="1" applyProtection="1">
      <alignment horizontal="center" vertical="center" wrapText="1"/>
      <protection locked="0"/>
    </xf>
    <xf numFmtId="1" fontId="1" fillId="0" borderId="171" xfId="0" applyNumberFormat="1" applyFont="1" applyFill="1" applyBorder="1" applyAlignment="1" applyProtection="1">
      <alignment horizontal="center" vertical="center" wrapText="1"/>
      <protection locked="0"/>
    </xf>
    <xf numFmtId="0" fontId="1" fillId="0" borderId="169" xfId="0" applyFont="1" applyBorder="1" applyAlignment="1" applyProtection="1">
      <alignment horizontal="center"/>
      <protection locked="0"/>
    </xf>
    <xf numFmtId="0" fontId="35" fillId="0" borderId="78" xfId="0" applyFont="1" applyBorder="1" applyAlignment="1" applyProtection="1">
      <alignment horizontal="center"/>
      <protection locked="0"/>
    </xf>
    <xf numFmtId="16" fontId="35" fillId="0" borderId="0" xfId="0" applyNumberFormat="1" applyFont="1" applyFill="1" applyBorder="1" applyAlignment="1" applyProtection="1">
      <alignment horizontal="center" vertical="center" wrapText="1"/>
    </xf>
    <xf numFmtId="1" fontId="2" fillId="0" borderId="172" xfId="0" applyNumberFormat="1" applyFont="1" applyFill="1" applyBorder="1" applyAlignment="1" applyProtection="1">
      <alignment horizontal="center" vertical="center" wrapText="1"/>
    </xf>
    <xf numFmtId="16" fontId="35" fillId="0" borderId="18" xfId="0" applyNumberFormat="1" applyFont="1" applyFill="1" applyBorder="1" applyAlignment="1" applyProtection="1">
      <alignment horizontal="center" vertical="center" wrapText="1"/>
    </xf>
    <xf numFmtId="16" fontId="35" fillId="0" borderId="20" xfId="0" applyNumberFormat="1" applyFont="1" applyFill="1" applyBorder="1" applyAlignment="1" applyProtection="1">
      <alignment horizontal="center" vertical="center" wrapText="1"/>
    </xf>
    <xf numFmtId="1" fontId="2" fillId="0" borderId="149" xfId="0" applyNumberFormat="1" applyFont="1" applyFill="1" applyBorder="1" applyAlignment="1" applyProtection="1">
      <alignment horizontal="center" vertical="center" wrapText="1"/>
    </xf>
    <xf numFmtId="0" fontId="2" fillId="0" borderId="140" xfId="0" applyFont="1" applyBorder="1" applyAlignment="1" applyProtection="1">
      <alignment horizontal="center"/>
      <protection locked="0"/>
    </xf>
    <xf numFmtId="1" fontId="2" fillId="0" borderId="173" xfId="0" applyNumberFormat="1" applyFont="1" applyFill="1" applyBorder="1" applyAlignment="1" applyProtection="1">
      <alignment horizontal="center" vertical="center" wrapText="1"/>
    </xf>
    <xf numFmtId="1" fontId="2" fillId="0" borderId="174" xfId="0" applyNumberFormat="1" applyFont="1" applyFill="1" applyBorder="1" applyAlignment="1" applyProtection="1">
      <alignment horizontal="center" vertical="center" wrapText="1"/>
    </xf>
    <xf numFmtId="1" fontId="2" fillId="0" borderId="175" xfId="0" applyNumberFormat="1" applyFont="1" applyFill="1" applyBorder="1" applyAlignment="1" applyProtection="1">
      <alignment horizontal="center" vertical="center" wrapText="1"/>
    </xf>
    <xf numFmtId="1" fontId="1" fillId="0" borderId="176" xfId="0" applyNumberFormat="1" applyFont="1" applyFill="1" applyBorder="1" applyAlignment="1" applyProtection="1">
      <alignment horizontal="center" vertical="center" wrapText="1"/>
      <protection locked="0"/>
    </xf>
    <xf numFmtId="1" fontId="1" fillId="0" borderId="49" xfId="0" applyNumberFormat="1" applyFont="1" applyFill="1" applyBorder="1" applyAlignment="1" applyProtection="1">
      <alignment horizontal="center" vertical="center" wrapText="1"/>
      <protection locked="0"/>
    </xf>
    <xf numFmtId="1" fontId="1" fillId="0" borderId="157" xfId="0" applyNumberFormat="1" applyFont="1" applyFill="1" applyBorder="1" applyAlignment="1" applyProtection="1">
      <alignment horizontal="center" vertical="center" wrapText="1"/>
    </xf>
    <xf numFmtId="16" fontId="1" fillId="0" borderId="177" xfId="0" applyNumberFormat="1" applyFont="1" applyFill="1" applyBorder="1" applyAlignment="1" applyProtection="1">
      <alignment horizontal="center" vertical="center" wrapText="1"/>
    </xf>
    <xf numFmtId="16" fontId="1" fillId="0" borderId="54" xfId="0" applyNumberFormat="1" applyFont="1" applyFill="1" applyBorder="1" applyAlignment="1" applyProtection="1">
      <alignment horizontal="center" vertical="center" wrapText="1"/>
    </xf>
    <xf numFmtId="0" fontId="1" fillId="0" borderId="0" xfId="0" applyFont="1"/>
    <xf numFmtId="0" fontId="35" fillId="0" borderId="157" xfId="0" applyFont="1" applyBorder="1" applyAlignment="1" applyProtection="1">
      <alignment horizontal="center"/>
      <protection locked="0"/>
    </xf>
    <xf numFmtId="1" fontId="1" fillId="0" borderId="45" xfId="0" applyNumberFormat="1" applyFont="1" applyFill="1" applyBorder="1" applyAlignment="1" applyProtection="1">
      <alignment horizontal="center" wrapText="1"/>
      <protection locked="0"/>
    </xf>
    <xf numFmtId="1" fontId="1" fillId="0" borderId="79" xfId="0" applyNumberFormat="1" applyFont="1" applyFill="1" applyBorder="1" applyAlignment="1" applyProtection="1">
      <alignment horizontal="center" vertical="center" wrapText="1"/>
      <protection locked="0"/>
    </xf>
    <xf numFmtId="1" fontId="1" fillId="0" borderId="51" xfId="0" applyNumberFormat="1" applyFont="1" applyFill="1" applyBorder="1" applyAlignment="1" applyProtection="1">
      <alignment horizontal="center" vertical="center" wrapText="1"/>
      <protection locked="0"/>
    </xf>
    <xf numFmtId="1" fontId="1" fillId="0" borderId="178" xfId="0" applyNumberFormat="1" applyFont="1" applyFill="1" applyBorder="1" applyAlignment="1" applyProtection="1">
      <alignment horizontal="center" vertical="center" wrapText="1"/>
    </xf>
    <xf numFmtId="1" fontId="1" fillId="0" borderId="27" xfId="0" applyNumberFormat="1" applyFont="1" applyFill="1" applyBorder="1" applyAlignment="1" applyProtection="1">
      <alignment horizontal="center" vertical="center" wrapText="1"/>
      <protection locked="0"/>
    </xf>
    <xf numFmtId="1" fontId="1" fillId="0" borderId="28" xfId="0" applyNumberFormat="1" applyFont="1" applyFill="1" applyBorder="1" applyAlignment="1" applyProtection="1">
      <alignment horizontal="center" vertical="center" wrapText="1"/>
      <protection locked="0"/>
    </xf>
    <xf numFmtId="0" fontId="1" fillId="0" borderId="32" xfId="0" applyFont="1" applyFill="1" applyBorder="1" applyAlignment="1" applyProtection="1">
      <alignment horizontal="center" vertical="center" wrapText="1"/>
      <protection locked="0"/>
    </xf>
    <xf numFmtId="0" fontId="97" fillId="0" borderId="0" xfId="1275" applyFill="1" applyBorder="1"/>
    <xf numFmtId="0" fontId="1" fillId="0" borderId="35" xfId="0" applyFont="1" applyBorder="1" applyAlignment="1" applyProtection="1">
      <alignment horizontal="center" vertical="center" wrapText="1"/>
      <protection locked="0"/>
    </xf>
    <xf numFmtId="0" fontId="97" fillId="0" borderId="0" xfId="1281"/>
    <xf numFmtId="1" fontId="63" fillId="0" borderId="179" xfId="0" applyNumberFormat="1" applyFont="1" applyFill="1" applyBorder="1" applyAlignment="1" applyProtection="1">
      <alignment horizontal="center" vertical="center" wrapText="1"/>
    </xf>
    <xf numFmtId="0" fontId="65" fillId="0" borderId="3" xfId="0" applyFont="1" applyFill="1" applyBorder="1" applyAlignment="1">
      <alignment wrapText="1"/>
    </xf>
    <xf numFmtId="0" fontId="65" fillId="0" borderId="3" xfId="0" applyFont="1" applyFill="1" applyBorder="1" applyAlignment="1">
      <alignment horizontal="center" vertical="center"/>
    </xf>
    <xf numFmtId="0" fontId="65" fillId="0" borderId="0" xfId="0" applyFont="1" applyFill="1" applyBorder="1" applyAlignment="1">
      <alignment horizontal="center" vertical="center"/>
    </xf>
    <xf numFmtId="1" fontId="63" fillId="0" borderId="128" xfId="0" applyNumberFormat="1" applyFont="1" applyFill="1" applyBorder="1" applyAlignment="1" applyProtection="1">
      <alignment horizontal="center" vertical="center"/>
    </xf>
    <xf numFmtId="1" fontId="63" fillId="0" borderId="3" xfId="0" applyNumberFormat="1" applyFont="1" applyFill="1" applyBorder="1" applyAlignment="1" applyProtection="1">
      <alignment horizontal="center" vertical="center" wrapText="1"/>
    </xf>
    <xf numFmtId="1" fontId="63" fillId="0" borderId="179" xfId="0" applyNumberFormat="1" applyFont="1" applyFill="1" applyBorder="1" applyAlignment="1" applyProtection="1">
      <alignment horizontal="center" vertical="center"/>
    </xf>
    <xf numFmtId="1" fontId="17" fillId="0" borderId="0" xfId="0" applyNumberFormat="1" applyFont="1" applyFill="1" applyBorder="1" applyAlignment="1" applyProtection="1">
      <alignment horizontal="center" vertical="center" wrapText="1"/>
    </xf>
    <xf numFmtId="0" fontId="17" fillId="51" borderId="111" xfId="0" applyFont="1" applyFill="1" applyBorder="1" applyAlignment="1" applyProtection="1">
      <alignment horizontal="center" vertical="center" wrapText="1"/>
    </xf>
    <xf numFmtId="1" fontId="17" fillId="51" borderId="111" xfId="0" applyNumberFormat="1" applyFont="1" applyFill="1" applyBorder="1" applyAlignment="1" applyProtection="1">
      <alignment horizontal="center" vertical="center" wrapText="1"/>
    </xf>
    <xf numFmtId="1" fontId="17" fillId="0" borderId="111" xfId="0" applyNumberFormat="1" applyFont="1" applyFill="1" applyBorder="1" applyAlignment="1" applyProtection="1">
      <alignment horizontal="center" vertical="center" wrapText="1"/>
    </xf>
    <xf numFmtId="0" fontId="18" fillId="51" borderId="68" xfId="0" applyFont="1" applyFill="1" applyBorder="1" applyAlignment="1" applyProtection="1">
      <alignment horizontal="center"/>
    </xf>
    <xf numFmtId="0" fontId="18" fillId="51" borderId="180" xfId="0" applyFont="1" applyFill="1" applyBorder="1" applyAlignment="1" applyProtection="1">
      <alignment horizontal="center"/>
    </xf>
    <xf numFmtId="0" fontId="17" fillId="51" borderId="180" xfId="0" applyFont="1" applyFill="1" applyBorder="1" applyAlignment="1">
      <alignment horizontal="right"/>
    </xf>
    <xf numFmtId="0" fontId="18" fillId="51" borderId="180" xfId="0" applyFont="1" applyFill="1" applyBorder="1" applyAlignment="1" applyProtection="1">
      <alignment horizontal="left"/>
    </xf>
    <xf numFmtId="0" fontId="36" fillId="51" borderId="180" xfId="0" applyFont="1" applyFill="1" applyBorder="1" applyAlignment="1" applyProtection="1">
      <alignment horizontal="center"/>
    </xf>
    <xf numFmtId="0" fontId="18" fillId="51" borderId="180" xfId="0" applyFont="1" applyFill="1" applyBorder="1" applyAlignment="1" applyProtection="1">
      <alignment horizontal="center" vertical="center" wrapText="1"/>
    </xf>
    <xf numFmtId="0" fontId="17" fillId="51" borderId="148" xfId="0" applyFont="1" applyFill="1" applyBorder="1" applyAlignment="1" applyProtection="1">
      <alignment horizontal="center" vertical="center" wrapText="1"/>
    </xf>
    <xf numFmtId="1" fontId="17" fillId="51" borderId="148" xfId="0" applyNumberFormat="1" applyFont="1" applyFill="1" applyBorder="1" applyAlignment="1" applyProtection="1">
      <alignment horizontal="center" vertical="center" wrapText="1"/>
    </xf>
    <xf numFmtId="1" fontId="17" fillId="0" borderId="148" xfId="0" applyNumberFormat="1" applyFont="1" applyFill="1" applyBorder="1" applyAlignment="1" applyProtection="1">
      <alignment horizontal="center" vertical="center" wrapText="1"/>
    </xf>
    <xf numFmtId="0" fontId="18" fillId="51" borderId="73" xfId="0" applyFont="1" applyFill="1" applyBorder="1" applyAlignment="1" applyProtection="1">
      <alignment horizontal="center" vertical="center" wrapText="1"/>
    </xf>
    <xf numFmtId="0" fontId="18" fillId="51" borderId="73" xfId="0" applyFont="1" applyFill="1" applyBorder="1" applyAlignment="1" applyProtection="1">
      <alignment horizontal="center"/>
    </xf>
    <xf numFmtId="0" fontId="17" fillId="51" borderId="180" xfId="0" applyFont="1" applyFill="1" applyBorder="1" applyAlignment="1" applyProtection="1">
      <alignment horizontal="center"/>
    </xf>
    <xf numFmtId="0" fontId="0" fillId="0" borderId="0" xfId="0" applyBorder="1"/>
    <xf numFmtId="0" fontId="0" fillId="0" borderId="0" xfId="0" applyFill="1" applyBorder="1"/>
    <xf numFmtId="1" fontId="1" fillId="0" borderId="143" xfId="0" applyNumberFormat="1" applyFont="1" applyFill="1" applyBorder="1" applyAlignment="1" applyProtection="1">
      <alignment horizontal="center" vertical="center" wrapText="1"/>
    </xf>
    <xf numFmtId="16" fontId="1" fillId="27" borderId="164" xfId="0" applyNumberFormat="1" applyFont="1" applyFill="1" applyBorder="1" applyAlignment="1" applyProtection="1">
      <alignment horizontal="center" vertical="center" wrapText="1"/>
    </xf>
    <xf numFmtId="0" fontId="8" fillId="0" borderId="0" xfId="691" applyFont="1" applyFill="1" applyAlignment="1" applyProtection="1">
      <alignment horizontal="center" vertical="center" wrapText="1"/>
    </xf>
    <xf numFmtId="0" fontId="1" fillId="0" borderId="0" xfId="691" applyFill="1" applyProtection="1"/>
    <xf numFmtId="0" fontId="7" fillId="0" borderId="0" xfId="691" applyFont="1" applyFill="1" applyAlignment="1" applyProtection="1">
      <alignment horizontal="center" vertical="center" wrapText="1"/>
    </xf>
    <xf numFmtId="0" fontId="7" fillId="0" borderId="0" xfId="691" applyFont="1" applyFill="1" applyAlignment="1" applyProtection="1">
      <alignment vertical="center" wrapText="1"/>
    </xf>
    <xf numFmtId="1" fontId="9" fillId="27" borderId="108" xfId="691" applyNumberFormat="1" applyFont="1" applyFill="1" applyBorder="1" applyAlignment="1" applyProtection="1">
      <alignment horizontal="center" vertical="center" wrapText="1"/>
    </xf>
    <xf numFmtId="1" fontId="9" fillId="27" borderId="107" xfId="691" applyNumberFormat="1" applyFont="1" applyFill="1" applyBorder="1" applyAlignment="1" applyProtection="1">
      <alignment horizontal="center" vertical="center" wrapText="1"/>
    </xf>
    <xf numFmtId="1" fontId="9" fillId="27" borderId="106" xfId="691" applyNumberFormat="1" applyFont="1" applyFill="1" applyBorder="1" applyAlignment="1" applyProtection="1">
      <alignment horizontal="center" vertical="center" wrapText="1"/>
    </xf>
    <xf numFmtId="1" fontId="9" fillId="27" borderId="105" xfId="691" applyNumberFormat="1" applyFont="1" applyFill="1" applyBorder="1" applyAlignment="1" applyProtection="1">
      <alignment horizontal="center" vertical="center" wrapText="1"/>
    </xf>
    <xf numFmtId="1" fontId="9" fillId="27" borderId="104" xfId="691" applyNumberFormat="1" applyFont="1" applyFill="1" applyBorder="1" applyAlignment="1" applyProtection="1">
      <alignment horizontal="center" vertical="center" wrapText="1"/>
    </xf>
    <xf numFmtId="1" fontId="6" fillId="27" borderId="67" xfId="691" applyNumberFormat="1" applyFont="1" applyFill="1" applyBorder="1" applyAlignment="1" applyProtection="1">
      <alignment horizontal="center" vertical="center" wrapText="1"/>
    </xf>
    <xf numFmtId="1" fontId="9" fillId="27" borderId="96" xfId="691" applyNumberFormat="1" applyFont="1" applyFill="1" applyBorder="1" applyAlignment="1" applyProtection="1">
      <alignment horizontal="center" vertical="center" wrapText="1"/>
    </xf>
    <xf numFmtId="1" fontId="9" fillId="27" borderId="95" xfId="691" applyNumberFormat="1" applyFont="1" applyFill="1" applyBorder="1" applyAlignment="1" applyProtection="1">
      <alignment horizontal="center" vertical="center" wrapText="1"/>
    </xf>
    <xf numFmtId="1" fontId="9" fillId="27" borderId="94" xfId="691" applyNumberFormat="1" applyFont="1" applyFill="1" applyBorder="1" applyAlignment="1" applyProtection="1">
      <alignment horizontal="center" vertical="center" wrapText="1"/>
    </xf>
    <xf numFmtId="1" fontId="9" fillId="27" borderId="93" xfId="691" applyNumberFormat="1" applyFont="1" applyFill="1" applyBorder="1" applyAlignment="1" applyProtection="1">
      <alignment horizontal="center" vertical="center" wrapText="1"/>
    </xf>
    <xf numFmtId="1" fontId="9" fillId="27" borderId="92" xfId="691" applyNumberFormat="1" applyFont="1" applyFill="1" applyBorder="1" applyAlignment="1" applyProtection="1">
      <alignment horizontal="center" vertical="center" wrapText="1"/>
    </xf>
    <xf numFmtId="1" fontId="6" fillId="27" borderId="91" xfId="691" applyNumberFormat="1" applyFont="1" applyFill="1" applyBorder="1" applyAlignment="1" applyProtection="1">
      <alignment horizontal="center" vertical="center" wrapText="1"/>
    </xf>
    <xf numFmtId="49" fontId="9" fillId="27" borderId="101" xfId="691" applyNumberFormat="1" applyFont="1" applyFill="1" applyBorder="1" applyAlignment="1" applyProtection="1">
      <alignment horizontal="center" vertical="center" wrapText="1"/>
    </xf>
    <xf numFmtId="49" fontId="9" fillId="27" borderId="100" xfId="691" applyNumberFormat="1" applyFont="1" applyFill="1" applyBorder="1" applyAlignment="1" applyProtection="1">
      <alignment horizontal="center" vertical="center" wrapText="1"/>
    </xf>
    <xf numFmtId="49" fontId="9" fillId="27" borderId="99" xfId="691" applyNumberFormat="1" applyFont="1" applyFill="1" applyBorder="1" applyAlignment="1" applyProtection="1">
      <alignment horizontal="center" vertical="center" wrapText="1"/>
    </xf>
    <xf numFmtId="49" fontId="9" fillId="27" borderId="98" xfId="691" applyNumberFormat="1" applyFont="1" applyFill="1" applyBorder="1" applyAlignment="1" applyProtection="1">
      <alignment horizontal="center" vertical="center" wrapText="1"/>
    </xf>
    <xf numFmtId="49" fontId="9" fillId="27" borderId="97" xfId="691" applyNumberFormat="1" applyFont="1" applyFill="1" applyBorder="1" applyAlignment="1" applyProtection="1">
      <alignment horizontal="center" vertical="center" wrapText="1"/>
    </xf>
    <xf numFmtId="49" fontId="6" fillId="27" borderId="102" xfId="691" applyNumberFormat="1" applyFont="1" applyFill="1" applyBorder="1" applyAlignment="1" applyProtection="1">
      <alignment horizontal="center" vertical="center" wrapText="1"/>
    </xf>
    <xf numFmtId="49" fontId="9" fillId="0" borderId="30" xfId="691" applyNumberFormat="1" applyFont="1" applyFill="1" applyBorder="1" applyAlignment="1" applyProtection="1">
      <alignment horizontal="center" vertical="center" wrapText="1"/>
    </xf>
    <xf numFmtId="1" fontId="8" fillId="27" borderId="27" xfId="691" applyNumberFormat="1" applyFont="1" applyFill="1" applyBorder="1" applyAlignment="1" applyProtection="1">
      <alignment horizontal="center" vertical="center" wrapText="1"/>
    </xf>
    <xf numFmtId="1" fontId="8" fillId="0" borderId="27" xfId="691" applyNumberFormat="1" applyFont="1" applyFill="1" applyBorder="1" applyAlignment="1" applyProtection="1">
      <alignment horizontal="center" vertical="center" wrapText="1"/>
    </xf>
    <xf numFmtId="1" fontId="9" fillId="27" borderId="101" xfId="691" applyNumberFormat="1" applyFont="1" applyFill="1" applyBorder="1" applyAlignment="1" applyProtection="1">
      <alignment horizontal="center" vertical="center" wrapText="1"/>
    </xf>
    <xf numFmtId="1" fontId="9" fillId="27" borderId="100" xfId="691" applyNumberFormat="1" applyFont="1" applyFill="1" applyBorder="1" applyAlignment="1" applyProtection="1">
      <alignment horizontal="center" vertical="center" wrapText="1"/>
    </xf>
    <xf numFmtId="1" fontId="9" fillId="27" borderId="99" xfId="691" applyNumberFormat="1" applyFont="1" applyFill="1" applyBorder="1" applyAlignment="1" applyProtection="1">
      <alignment horizontal="center" vertical="center" wrapText="1"/>
    </xf>
    <xf numFmtId="1" fontId="9" fillId="27" borderId="98" xfId="691" applyNumberFormat="1" applyFont="1" applyFill="1" applyBorder="1" applyAlignment="1" applyProtection="1">
      <alignment horizontal="center" vertical="center" wrapText="1"/>
    </xf>
    <xf numFmtId="1" fontId="9" fillId="27" borderId="97" xfId="691" applyNumberFormat="1" applyFont="1" applyFill="1" applyBorder="1" applyAlignment="1" applyProtection="1">
      <alignment horizontal="center" vertical="center" wrapText="1"/>
    </xf>
    <xf numFmtId="1" fontId="9" fillId="27" borderId="102" xfId="691" applyNumberFormat="1" applyFont="1" applyFill="1" applyBorder="1" applyAlignment="1" applyProtection="1">
      <alignment horizontal="center" vertical="center" wrapText="1"/>
    </xf>
    <xf numFmtId="1" fontId="9" fillId="27" borderId="91" xfId="691" applyNumberFormat="1" applyFont="1" applyFill="1" applyBorder="1" applyAlignment="1" applyProtection="1">
      <alignment horizontal="center" vertical="center" wrapText="1"/>
    </xf>
    <xf numFmtId="49" fontId="9" fillId="27" borderId="102" xfId="691" applyNumberFormat="1" applyFont="1" applyFill="1" applyBorder="1" applyAlignment="1" applyProtection="1">
      <alignment horizontal="center" vertical="center" wrapText="1"/>
    </xf>
    <xf numFmtId="49" fontId="7" fillId="0" borderId="0" xfId="691" applyNumberFormat="1" applyFont="1" applyFill="1" applyAlignment="1" applyProtection="1">
      <alignment horizontal="center" vertical="center" wrapText="1"/>
    </xf>
    <xf numFmtId="169" fontId="9" fillId="27" borderId="26" xfId="691" applyNumberFormat="1" applyFont="1" applyFill="1" applyBorder="1" applyAlignment="1" applyProtection="1">
      <alignment horizontal="center" vertical="center" wrapText="1"/>
    </xf>
    <xf numFmtId="169" fontId="9" fillId="27" borderId="25" xfId="691" applyNumberFormat="1" applyFont="1" applyFill="1" applyBorder="1" applyAlignment="1" applyProtection="1">
      <alignment horizontal="center" vertical="center" wrapText="1"/>
    </xf>
    <xf numFmtId="169" fontId="9" fillId="27" borderId="23" xfId="691" applyNumberFormat="1" applyFont="1" applyFill="1" applyBorder="1" applyAlignment="1" applyProtection="1">
      <alignment horizontal="center" vertical="center" wrapText="1"/>
    </xf>
    <xf numFmtId="173" fontId="9" fillId="27" borderId="26" xfId="691" applyNumberFormat="1" applyFont="1" applyFill="1" applyBorder="1" applyAlignment="1" applyProtection="1">
      <alignment horizontal="center" vertical="center" wrapText="1"/>
    </xf>
    <xf numFmtId="172" fontId="13" fillId="0" borderId="23" xfId="691" applyNumberFormat="1" applyFont="1" applyFill="1" applyBorder="1" applyAlignment="1" applyProtection="1">
      <alignment vertical="center" wrapText="1"/>
    </xf>
    <xf numFmtId="49" fontId="9" fillId="27" borderId="90" xfId="691" applyNumberFormat="1" applyFont="1" applyFill="1" applyBorder="1" applyAlignment="1" applyProtection="1">
      <alignment horizontal="center" vertical="center" wrapText="1"/>
    </xf>
    <xf numFmtId="49" fontId="9" fillId="27" borderId="89" xfId="691" applyNumberFormat="1" applyFont="1" applyFill="1" applyBorder="1" applyAlignment="1" applyProtection="1">
      <alignment horizontal="center" vertical="center" wrapText="1"/>
    </xf>
    <xf numFmtId="49" fontId="9" fillId="27" borderId="88" xfId="691" applyNumberFormat="1" applyFont="1" applyFill="1" applyBorder="1" applyAlignment="1" applyProtection="1">
      <alignment horizontal="center" vertical="center" wrapText="1"/>
    </xf>
    <xf numFmtId="49" fontId="9" fillId="27" borderId="87" xfId="691" applyNumberFormat="1" applyFont="1" applyFill="1" applyBorder="1" applyAlignment="1" applyProtection="1">
      <alignment horizontal="center" vertical="center" wrapText="1"/>
    </xf>
    <xf numFmtId="49" fontId="9" fillId="27" borderId="86" xfId="691" applyNumberFormat="1" applyFont="1" applyFill="1" applyBorder="1" applyAlignment="1" applyProtection="1">
      <alignment horizontal="center" vertical="center" wrapText="1"/>
    </xf>
    <xf numFmtId="49" fontId="9" fillId="27" borderId="85" xfId="691" applyNumberFormat="1" applyFont="1" applyFill="1" applyBorder="1" applyAlignment="1" applyProtection="1">
      <alignment horizontal="center" vertical="center" wrapText="1"/>
    </xf>
    <xf numFmtId="0" fontId="7" fillId="0" borderId="0" xfId="691" applyNumberFormat="1" applyFont="1" applyFill="1" applyAlignment="1" applyProtection="1">
      <alignment horizontal="center" vertical="center" wrapText="1"/>
    </xf>
    <xf numFmtId="1" fontId="6" fillId="27" borderId="85" xfId="691" applyNumberFormat="1" applyFont="1" applyFill="1" applyBorder="1" applyAlignment="1" applyProtection="1">
      <alignment horizontal="center" vertical="center" wrapText="1"/>
    </xf>
    <xf numFmtId="0" fontId="6" fillId="0" borderId="30" xfId="691" applyFont="1" applyFill="1" applyBorder="1" applyAlignment="1" applyProtection="1">
      <alignment horizontal="center" vertical="center" wrapText="1"/>
    </xf>
    <xf numFmtId="167" fontId="6" fillId="27" borderId="85" xfId="691" applyNumberFormat="1" applyFont="1" applyFill="1" applyBorder="1" applyAlignment="1" applyProtection="1">
      <alignment horizontal="center" vertical="center" wrapText="1"/>
    </xf>
    <xf numFmtId="0" fontId="9" fillId="0" borderId="30" xfId="691" applyFont="1" applyFill="1" applyBorder="1" applyAlignment="1" applyProtection="1">
      <alignment horizontal="center" vertical="center" wrapText="1"/>
    </xf>
    <xf numFmtId="1" fontId="8" fillId="27" borderId="84" xfId="691" applyNumberFormat="1" applyFont="1" applyFill="1" applyBorder="1" applyAlignment="1" applyProtection="1">
      <alignment horizontal="center" vertical="center" wrapText="1"/>
    </xf>
    <xf numFmtId="0" fontId="7" fillId="0" borderId="42" xfId="691" applyFont="1" applyFill="1" applyBorder="1" applyAlignment="1" applyProtection="1">
      <alignment horizontal="center" vertical="center" wrapText="1"/>
    </xf>
    <xf numFmtId="167" fontId="9" fillId="27" borderId="85" xfId="691" applyNumberFormat="1" applyFont="1" applyFill="1" applyBorder="1" applyAlignment="1" applyProtection="1">
      <alignment horizontal="center" vertical="center" wrapText="1"/>
    </xf>
    <xf numFmtId="1" fontId="6" fillId="27" borderId="81" xfId="691" applyNumberFormat="1" applyFont="1" applyFill="1" applyBorder="1" applyAlignment="1" applyProtection="1">
      <alignment horizontal="center" vertical="center" wrapText="1"/>
    </xf>
    <xf numFmtId="0" fontId="6" fillId="0" borderId="81" xfId="691" applyFont="1" applyFill="1" applyBorder="1" applyAlignment="1" applyProtection="1">
      <alignment horizontal="center" vertical="center" wrapText="1"/>
    </xf>
    <xf numFmtId="1" fontId="6" fillId="27" borderId="109" xfId="691" applyNumberFormat="1" applyFont="1" applyFill="1" applyBorder="1" applyAlignment="1" applyProtection="1">
      <alignment horizontal="center" vertical="center" wrapText="1"/>
    </xf>
    <xf numFmtId="0" fontId="6" fillId="0" borderId="80" xfId="691" applyFont="1" applyFill="1" applyBorder="1" applyAlignment="1" applyProtection="1">
      <alignment horizontal="center" vertical="center" wrapText="1"/>
    </xf>
    <xf numFmtId="1" fontId="6" fillId="27" borderId="103" xfId="691" applyNumberFormat="1" applyFont="1" applyFill="1" applyBorder="1" applyAlignment="1" applyProtection="1">
      <alignment horizontal="center" vertical="center" wrapText="1"/>
    </xf>
    <xf numFmtId="1" fontId="9" fillId="27" borderId="103" xfId="691" applyNumberFormat="1" applyFont="1" applyFill="1" applyBorder="1" applyAlignment="1" applyProtection="1">
      <alignment horizontal="center" vertical="center" wrapText="1"/>
    </xf>
    <xf numFmtId="0" fontId="9" fillId="0" borderId="62" xfId="691" applyFont="1" applyFill="1" applyBorder="1" applyAlignment="1" applyProtection="1">
      <alignment horizontal="center" vertical="center" wrapText="1"/>
    </xf>
    <xf numFmtId="1" fontId="6" fillId="27" borderId="102" xfId="691" applyNumberFormat="1" applyFont="1" applyFill="1" applyBorder="1" applyAlignment="1" applyProtection="1">
      <alignment horizontal="center" vertical="center" wrapText="1"/>
    </xf>
    <xf numFmtId="1" fontId="6" fillId="27" borderId="101" xfId="691" applyNumberFormat="1" applyFont="1" applyFill="1" applyBorder="1" applyAlignment="1" applyProtection="1">
      <alignment horizontal="center" vertical="center" wrapText="1"/>
    </xf>
    <xf numFmtId="1" fontId="6" fillId="27" borderId="100" xfId="691" applyNumberFormat="1" applyFont="1" applyFill="1" applyBorder="1" applyAlignment="1" applyProtection="1">
      <alignment horizontal="center" vertical="center" wrapText="1"/>
    </xf>
    <xf numFmtId="1" fontId="6" fillId="27" borderId="99" xfId="691" applyNumberFormat="1" applyFont="1" applyFill="1" applyBorder="1" applyAlignment="1" applyProtection="1">
      <alignment horizontal="center" vertical="center" wrapText="1"/>
    </xf>
    <xf numFmtId="1" fontId="6" fillId="27" borderId="98" xfId="691" applyNumberFormat="1" applyFont="1" applyFill="1" applyBorder="1" applyAlignment="1" applyProtection="1">
      <alignment horizontal="center" vertical="center" wrapText="1"/>
    </xf>
    <xf numFmtId="1" fontId="6" fillId="27" borderId="97" xfId="691" applyNumberFormat="1" applyFont="1" applyFill="1" applyBorder="1" applyAlignment="1" applyProtection="1">
      <alignment horizontal="center" vertical="center" wrapText="1"/>
    </xf>
    <xf numFmtId="1" fontId="6" fillId="27" borderId="96" xfId="691" applyNumberFormat="1" applyFont="1" applyFill="1" applyBorder="1" applyAlignment="1" applyProtection="1">
      <alignment horizontal="center" vertical="center" wrapText="1"/>
    </xf>
    <xf numFmtId="1" fontId="6" fillId="27" borderId="95" xfId="691" applyNumberFormat="1" applyFont="1" applyFill="1" applyBorder="1" applyAlignment="1" applyProtection="1">
      <alignment horizontal="center" vertical="center" wrapText="1"/>
    </xf>
    <xf numFmtId="1" fontId="6" fillId="27" borderId="94" xfId="691" applyNumberFormat="1" applyFont="1" applyFill="1" applyBorder="1" applyAlignment="1" applyProtection="1">
      <alignment horizontal="center" vertical="center" wrapText="1"/>
    </xf>
    <xf numFmtId="1" fontId="6" fillId="27" borderId="93" xfId="691" applyNumberFormat="1" applyFont="1" applyFill="1" applyBorder="1" applyAlignment="1" applyProtection="1">
      <alignment horizontal="center" vertical="center" wrapText="1"/>
    </xf>
    <xf numFmtId="1" fontId="6" fillId="27" borderId="92" xfId="691" applyNumberFormat="1" applyFont="1" applyFill="1" applyBorder="1" applyAlignment="1" applyProtection="1">
      <alignment horizontal="center" vertical="center" wrapText="1"/>
    </xf>
    <xf numFmtId="49" fontId="6" fillId="27" borderId="90" xfId="691" applyNumberFormat="1" applyFont="1" applyFill="1" applyBorder="1" applyAlignment="1" applyProtection="1">
      <alignment horizontal="center" vertical="center" wrapText="1"/>
    </xf>
    <xf numFmtId="49" fontId="6" fillId="27" borderId="89" xfId="691" applyNumberFormat="1" applyFont="1" applyFill="1" applyBorder="1" applyAlignment="1" applyProtection="1">
      <alignment horizontal="center" vertical="center" wrapText="1"/>
    </xf>
    <xf numFmtId="49" fontId="6" fillId="27" borderId="88" xfId="691" applyNumberFormat="1" applyFont="1" applyFill="1" applyBorder="1" applyAlignment="1" applyProtection="1">
      <alignment horizontal="center" vertical="center" wrapText="1"/>
    </xf>
    <xf numFmtId="49" fontId="6" fillId="27" borderId="87" xfId="691" applyNumberFormat="1" applyFont="1" applyFill="1" applyBorder="1" applyAlignment="1" applyProtection="1">
      <alignment horizontal="center" vertical="center" wrapText="1"/>
    </xf>
    <xf numFmtId="49" fontId="6" fillId="27" borderId="86" xfId="691" applyNumberFormat="1" applyFont="1" applyFill="1" applyBorder="1" applyAlignment="1" applyProtection="1">
      <alignment horizontal="center" vertical="center" wrapText="1"/>
    </xf>
    <xf numFmtId="49" fontId="6" fillId="27" borderId="85" xfId="691" applyNumberFormat="1" applyFont="1" applyFill="1" applyBorder="1" applyAlignment="1" applyProtection="1">
      <alignment horizontal="center" vertical="center" wrapText="1"/>
    </xf>
    <xf numFmtId="169" fontId="9" fillId="0" borderId="26" xfId="691" applyNumberFormat="1" applyFont="1" applyFill="1" applyBorder="1" applyAlignment="1" applyProtection="1">
      <alignment horizontal="center" vertical="center" wrapText="1"/>
    </xf>
    <xf numFmtId="169" fontId="9" fillId="0" borderId="25" xfId="691" applyNumberFormat="1" applyFont="1" applyFill="1" applyBorder="1" applyAlignment="1" applyProtection="1">
      <alignment horizontal="center" vertical="center" wrapText="1"/>
    </xf>
    <xf numFmtId="169" fontId="9" fillId="0" borderId="23" xfId="691" applyNumberFormat="1" applyFont="1" applyFill="1" applyBorder="1" applyAlignment="1" applyProtection="1">
      <alignment horizontal="center" vertical="center" wrapText="1"/>
    </xf>
    <xf numFmtId="173" fontId="9" fillId="0" borderId="26" xfId="691" applyNumberFormat="1" applyFont="1" applyFill="1" applyBorder="1" applyAlignment="1" applyProtection="1">
      <alignment horizontal="center" vertical="center" wrapText="1"/>
    </xf>
    <xf numFmtId="173" fontId="33" fillId="0" borderId="83" xfId="691" applyNumberFormat="1" applyFont="1" applyFill="1" applyBorder="1" applyAlignment="1" applyProtection="1">
      <alignment horizontal="center" vertical="center" wrapText="1"/>
    </xf>
    <xf numFmtId="172" fontId="13" fillId="0" borderId="72" xfId="691" applyNumberFormat="1" applyFont="1" applyFill="1" applyBorder="1" applyAlignment="1" applyProtection="1">
      <alignment vertical="center" wrapText="1"/>
    </xf>
    <xf numFmtId="0" fontId="1" fillId="0" borderId="47" xfId="0" applyFont="1" applyFill="1" applyBorder="1" applyAlignment="1" applyProtection="1">
      <alignment horizontal="center" vertical="center" wrapText="1"/>
      <protection locked="0"/>
    </xf>
    <xf numFmtId="0" fontId="1" fillId="0" borderId="107" xfId="0" applyFont="1" applyBorder="1" applyAlignment="1" applyProtection="1">
      <alignment horizontal="center" vertical="center" wrapText="1"/>
      <protection locked="0"/>
    </xf>
    <xf numFmtId="0" fontId="18" fillId="25" borderId="133" xfId="0" applyFont="1" applyFill="1" applyBorder="1" applyAlignment="1" applyProtection="1">
      <alignment horizontal="center"/>
    </xf>
    <xf numFmtId="0" fontId="0" fillId="0" borderId="148" xfId="0" applyBorder="1"/>
    <xf numFmtId="0" fontId="0" fillId="0" borderId="63" xfId="0" applyBorder="1"/>
    <xf numFmtId="0" fontId="0" fillId="0" borderId="111" xfId="0" applyBorder="1"/>
    <xf numFmtId="0" fontId="0" fillId="0" borderId="74" xfId="0" applyFill="1" applyBorder="1"/>
    <xf numFmtId="0" fontId="0" fillId="0" borderId="181" xfId="0" applyBorder="1"/>
    <xf numFmtId="0" fontId="18" fillId="26" borderId="24" xfId="0" applyFont="1" applyFill="1" applyBorder="1" applyAlignment="1" applyProtection="1">
      <alignment horizontal="center" vertical="center" wrapText="1"/>
    </xf>
    <xf numFmtId="0" fontId="18" fillId="25" borderId="26" xfId="0" applyNumberFormat="1" applyFont="1" applyFill="1" applyBorder="1" applyAlignment="1" applyProtection="1">
      <alignment horizontal="center" vertical="center" wrapText="1"/>
    </xf>
    <xf numFmtId="1" fontId="18" fillId="25" borderId="24" xfId="0" applyNumberFormat="1" applyFont="1" applyFill="1" applyBorder="1" applyAlignment="1" applyProtection="1">
      <alignment horizontal="center" vertical="center" wrapText="1"/>
    </xf>
    <xf numFmtId="2" fontId="0" fillId="0" borderId="3" xfId="0" applyNumberFormat="1" applyBorder="1"/>
    <xf numFmtId="22" fontId="0" fillId="0" borderId="3" xfId="0" applyNumberFormat="1" applyBorder="1"/>
    <xf numFmtId="14" fontId="0" fillId="0" borderId="3" xfId="0" applyNumberFormat="1" applyBorder="1"/>
    <xf numFmtId="0" fontId="0" fillId="0" borderId="0" xfId="0" applyBorder="1" applyAlignment="1">
      <alignment horizontal="center"/>
    </xf>
    <xf numFmtId="0" fontId="21" fillId="44" borderId="83" xfId="0" applyFont="1" applyFill="1" applyBorder="1" applyAlignment="1">
      <alignment horizontal="center" vertical="center" wrapText="1"/>
    </xf>
    <xf numFmtId="0" fontId="21" fillId="44" borderId="67" xfId="0" applyFont="1" applyFill="1" applyBorder="1" applyAlignment="1">
      <alignment horizontal="center" vertical="center" wrapText="1"/>
    </xf>
    <xf numFmtId="171" fontId="22" fillId="0" borderId="83" xfId="0" applyNumberFormat="1" applyFont="1" applyBorder="1" applyAlignment="1">
      <alignment horizontal="center" vertical="center"/>
    </xf>
    <xf numFmtId="171" fontId="22" fillId="0" borderId="67" xfId="0" applyNumberFormat="1" applyFont="1" applyBorder="1" applyAlignment="1">
      <alignment horizontal="center" vertical="center"/>
    </xf>
    <xf numFmtId="0" fontId="25" fillId="0" borderId="0" xfId="0" applyFont="1" applyAlignment="1">
      <alignment horizontal="center" wrapText="1"/>
    </xf>
    <xf numFmtId="0" fontId="1" fillId="0" borderId="0" xfId="691" applyFill="1" applyProtection="1"/>
    <xf numFmtId="0" fontId="9" fillId="0" borderId="82" xfId="691" applyFont="1" applyFill="1" applyBorder="1" applyAlignment="1" applyProtection="1">
      <alignment horizontal="center" vertical="center" wrapText="1"/>
    </xf>
    <xf numFmtId="0" fontId="9" fillId="0" borderId="67" xfId="691" applyFont="1" applyFill="1" applyBorder="1" applyAlignment="1" applyProtection="1">
      <alignment horizontal="center" vertical="center" wrapText="1"/>
    </xf>
    <xf numFmtId="1" fontId="8" fillId="27" borderId="42" xfId="691" applyNumberFormat="1" applyFont="1" applyFill="1" applyBorder="1" applyAlignment="1" applyProtection="1">
      <alignment horizontal="center" vertical="center" wrapText="1"/>
    </xf>
    <xf numFmtId="1" fontId="8" fillId="27" borderId="34" xfId="691" applyNumberFormat="1" applyFont="1" applyFill="1" applyBorder="1" applyAlignment="1" applyProtection="1">
      <alignment horizontal="center" vertical="center" wrapText="1"/>
    </xf>
    <xf numFmtId="1" fontId="8" fillId="27" borderId="70" xfId="691" applyNumberFormat="1" applyFont="1" applyFill="1" applyBorder="1" applyAlignment="1" applyProtection="1">
      <alignment horizontal="center" vertical="center" wrapText="1"/>
    </xf>
    <xf numFmtId="0" fontId="9" fillId="0" borderId="133" xfId="691" applyFont="1" applyFill="1" applyBorder="1" applyAlignment="1" applyProtection="1">
      <alignment horizontal="center" vertical="center" wrapText="1"/>
    </xf>
    <xf numFmtId="1" fontId="6" fillId="27" borderId="182" xfId="691" applyNumberFormat="1" applyFont="1" applyFill="1" applyBorder="1" applyAlignment="1" applyProtection="1">
      <alignment horizontal="center" vertical="center" wrapText="1"/>
    </xf>
    <xf numFmtId="0" fontId="6" fillId="27" borderId="183" xfId="691" applyNumberFormat="1" applyFont="1" applyFill="1" applyBorder="1" applyAlignment="1" applyProtection="1">
      <alignment horizontal="center" vertical="center" wrapText="1"/>
    </xf>
    <xf numFmtId="0" fontId="6" fillId="27" borderId="184" xfId="691" applyNumberFormat="1" applyFont="1" applyFill="1" applyBorder="1" applyAlignment="1" applyProtection="1">
      <alignment horizontal="center" vertical="center" wrapText="1"/>
    </xf>
    <xf numFmtId="1" fontId="20" fillId="27" borderId="23" xfId="691" applyNumberFormat="1" applyFont="1" applyFill="1" applyBorder="1" applyAlignment="1" applyProtection="1">
      <alignment horizontal="center" vertical="center" wrapText="1"/>
    </xf>
    <xf numFmtId="1" fontId="20" fillId="27" borderId="25" xfId="691" applyNumberFormat="1" applyFont="1" applyFill="1" applyBorder="1" applyAlignment="1" applyProtection="1">
      <alignment horizontal="center" vertical="center" wrapText="1"/>
    </xf>
    <xf numFmtId="1" fontId="20" fillId="27" borderId="26" xfId="691" applyNumberFormat="1" applyFont="1" applyFill="1" applyBorder="1" applyAlignment="1" applyProtection="1">
      <alignment horizontal="center" vertical="center" wrapText="1"/>
    </xf>
    <xf numFmtId="167" fontId="6" fillId="27" borderId="182" xfId="691" applyNumberFormat="1" applyFont="1" applyFill="1" applyBorder="1" applyAlignment="1" applyProtection="1">
      <alignment horizontal="center" vertical="center" wrapText="1"/>
    </xf>
    <xf numFmtId="167" fontId="6" fillId="27" borderId="183" xfId="691" applyNumberFormat="1" applyFont="1" applyFill="1" applyBorder="1" applyAlignment="1" applyProtection="1">
      <alignment horizontal="center" vertical="center" wrapText="1"/>
    </xf>
    <xf numFmtId="167" fontId="6" fillId="27" borderId="184" xfId="691" applyNumberFormat="1" applyFont="1" applyFill="1" applyBorder="1" applyAlignment="1" applyProtection="1">
      <alignment horizontal="center" vertical="center" wrapText="1"/>
    </xf>
    <xf numFmtId="1" fontId="8" fillId="27" borderId="185" xfId="691" applyNumberFormat="1" applyFont="1" applyFill="1" applyBorder="1" applyAlignment="1" applyProtection="1">
      <alignment horizontal="center" vertical="center" wrapText="1"/>
    </xf>
    <xf numFmtId="1" fontId="8" fillId="27" borderId="186" xfId="691" applyNumberFormat="1" applyFont="1" applyFill="1" applyBorder="1" applyAlignment="1" applyProtection="1">
      <alignment horizontal="center" vertical="center" wrapText="1"/>
    </xf>
    <xf numFmtId="1" fontId="8" fillId="27" borderId="187" xfId="691" applyNumberFormat="1" applyFont="1" applyFill="1" applyBorder="1" applyAlignment="1" applyProtection="1">
      <alignment horizontal="center" vertical="center" wrapText="1"/>
    </xf>
    <xf numFmtId="1" fontId="8" fillId="27" borderId="188" xfId="691" applyNumberFormat="1" applyFont="1" applyFill="1" applyBorder="1" applyAlignment="1" applyProtection="1">
      <alignment horizontal="center" vertical="center" wrapText="1"/>
    </xf>
    <xf numFmtId="1" fontId="8" fillId="27" borderId="189" xfId="691" applyNumberFormat="1" applyFont="1" applyFill="1" applyBorder="1" applyAlignment="1" applyProtection="1">
      <alignment horizontal="center" vertical="center" wrapText="1"/>
    </xf>
    <xf numFmtId="167" fontId="9" fillId="27" borderId="86" xfId="691" applyNumberFormat="1" applyFont="1" applyFill="1" applyBorder="1" applyAlignment="1" applyProtection="1">
      <alignment horizontal="center" vertical="center" wrapText="1"/>
    </xf>
    <xf numFmtId="167" fontId="9" fillId="27" borderId="87" xfId="691" applyNumberFormat="1" applyFont="1" applyFill="1" applyBorder="1" applyAlignment="1" applyProtection="1">
      <alignment horizontal="center" vertical="center" wrapText="1"/>
    </xf>
    <xf numFmtId="167" fontId="9" fillId="27" borderId="88" xfId="691" applyNumberFormat="1" applyFont="1" applyFill="1" applyBorder="1" applyAlignment="1" applyProtection="1">
      <alignment horizontal="center" vertical="center" wrapText="1"/>
    </xf>
    <xf numFmtId="167" fontId="9" fillId="27" borderId="89" xfId="691" applyNumberFormat="1" applyFont="1" applyFill="1" applyBorder="1" applyAlignment="1" applyProtection="1">
      <alignment horizontal="center" vertical="center" wrapText="1"/>
    </xf>
    <xf numFmtId="167" fontId="9" fillId="27" borderId="90" xfId="691" applyNumberFormat="1" applyFont="1" applyFill="1" applyBorder="1" applyAlignment="1" applyProtection="1">
      <alignment horizontal="center" vertical="center" wrapText="1"/>
    </xf>
    <xf numFmtId="1" fontId="6" fillId="27" borderId="190" xfId="691" applyNumberFormat="1" applyFont="1" applyFill="1" applyBorder="1" applyAlignment="1" applyProtection="1">
      <alignment horizontal="center" vertical="center" wrapText="1"/>
    </xf>
    <xf numFmtId="1" fontId="6" fillId="27" borderId="191" xfId="691" applyNumberFormat="1" applyFont="1" applyFill="1" applyBorder="1" applyAlignment="1" applyProtection="1">
      <alignment horizontal="center" vertical="center" wrapText="1"/>
    </xf>
    <xf numFmtId="1" fontId="6" fillId="27" borderId="192" xfId="691" applyNumberFormat="1" applyFont="1" applyFill="1" applyBorder="1" applyAlignment="1" applyProtection="1">
      <alignment horizontal="center" vertical="center" wrapText="1"/>
    </xf>
    <xf numFmtId="1" fontId="8" fillId="27" borderId="193" xfId="691" applyNumberFormat="1" applyFont="1" applyFill="1" applyBorder="1" applyAlignment="1" applyProtection="1">
      <alignment horizontal="center" vertical="center" wrapText="1"/>
    </xf>
    <xf numFmtId="1" fontId="8" fillId="27" borderId="194" xfId="691" applyNumberFormat="1" applyFont="1" applyFill="1" applyBorder="1" applyAlignment="1" applyProtection="1">
      <alignment horizontal="center" vertical="center" wrapText="1"/>
    </xf>
    <xf numFmtId="1" fontId="8" fillId="27" borderId="195" xfId="691" applyNumberFormat="1" applyFont="1" applyFill="1" applyBorder="1" applyAlignment="1" applyProtection="1">
      <alignment horizontal="center" vertical="center" wrapText="1"/>
    </xf>
    <xf numFmtId="1" fontId="6" fillId="27" borderId="196" xfId="691" applyNumberFormat="1" applyFont="1" applyFill="1" applyBorder="1" applyAlignment="1" applyProtection="1">
      <alignment horizontal="center" vertical="center" wrapText="1"/>
    </xf>
    <xf numFmtId="1" fontId="6" fillId="27" borderId="197" xfId="691" applyNumberFormat="1" applyFont="1" applyFill="1" applyBorder="1" applyAlignment="1" applyProtection="1">
      <alignment horizontal="center" vertical="center" wrapText="1"/>
    </xf>
    <xf numFmtId="1" fontId="6" fillId="27" borderId="198" xfId="691" applyNumberFormat="1" applyFont="1" applyFill="1" applyBorder="1" applyAlignment="1" applyProtection="1">
      <alignment horizontal="center" vertical="center" wrapText="1"/>
    </xf>
    <xf numFmtId="1" fontId="6" fillId="27" borderId="109" xfId="691" applyNumberFormat="1" applyFont="1" applyFill="1" applyBorder="1" applyAlignment="1" applyProtection="1">
      <alignment horizontal="center" vertical="center" wrapText="1"/>
    </xf>
    <xf numFmtId="1" fontId="6" fillId="27" borderId="199" xfId="691" applyNumberFormat="1" applyFont="1" applyFill="1" applyBorder="1" applyAlignment="1" applyProtection="1">
      <alignment horizontal="center" vertical="center" wrapText="1"/>
    </xf>
    <xf numFmtId="1" fontId="6" fillId="27" borderId="200" xfId="691" applyNumberFormat="1" applyFont="1" applyFill="1" applyBorder="1" applyAlignment="1" applyProtection="1">
      <alignment horizontal="center" vertical="center" wrapText="1"/>
    </xf>
    <xf numFmtId="1" fontId="6" fillId="27" borderId="183" xfId="691" applyNumberFormat="1" applyFont="1" applyFill="1" applyBorder="1" applyAlignment="1" applyProtection="1">
      <alignment horizontal="center" vertical="center" wrapText="1"/>
    </xf>
    <xf numFmtId="1" fontId="6" fillId="27" borderId="88" xfId="691" applyNumberFormat="1" applyFont="1" applyFill="1" applyBorder="1" applyAlignment="1" applyProtection="1">
      <alignment horizontal="center" vertical="center" wrapText="1"/>
    </xf>
    <xf numFmtId="1" fontId="6" fillId="27" borderId="89" xfId="691" applyNumberFormat="1" applyFont="1" applyFill="1" applyBorder="1" applyAlignment="1" applyProtection="1">
      <alignment horizontal="center" vertical="center" wrapText="1"/>
    </xf>
    <xf numFmtId="1" fontId="6" fillId="27" borderId="90" xfId="691" applyNumberFormat="1" applyFont="1" applyFill="1" applyBorder="1" applyAlignment="1" applyProtection="1">
      <alignment horizontal="center" vertical="center" wrapText="1"/>
    </xf>
    <xf numFmtId="1" fontId="6" fillId="27" borderId="86" xfId="691" applyNumberFormat="1" applyFont="1" applyFill="1" applyBorder="1" applyAlignment="1" applyProtection="1">
      <alignment horizontal="center" vertical="center" wrapText="1"/>
    </xf>
    <xf numFmtId="1" fontId="6" fillId="27" borderId="87" xfId="691" applyNumberFormat="1" applyFont="1" applyFill="1" applyBorder="1" applyAlignment="1" applyProtection="1">
      <alignment horizontal="center" vertical="center" wrapText="1"/>
    </xf>
    <xf numFmtId="169" fontId="20" fillId="27" borderId="23" xfId="691" applyNumberFormat="1" applyFont="1" applyFill="1" applyBorder="1" applyAlignment="1" applyProtection="1">
      <alignment horizontal="center" vertical="center" wrapText="1"/>
    </xf>
    <xf numFmtId="169" fontId="20" fillId="27" borderId="25" xfId="691" applyNumberFormat="1" applyFont="1" applyFill="1" applyBorder="1" applyAlignment="1" applyProtection="1">
      <alignment horizontal="center" vertical="center" wrapText="1"/>
    </xf>
    <xf numFmtId="169" fontId="20" fillId="27" borderId="26" xfId="691" applyNumberFormat="1" applyFont="1" applyFill="1" applyBorder="1" applyAlignment="1" applyProtection="1">
      <alignment horizontal="center" vertical="center" wrapText="1"/>
    </xf>
    <xf numFmtId="1" fontId="9" fillId="27" borderId="196" xfId="691" applyNumberFormat="1" applyFont="1" applyFill="1" applyBorder="1" applyAlignment="1" applyProtection="1">
      <alignment horizontal="center" vertical="center" wrapText="1"/>
    </xf>
    <xf numFmtId="1" fontId="9" fillId="27" borderId="197" xfId="691" applyNumberFormat="1" applyFont="1" applyFill="1" applyBorder="1" applyAlignment="1" applyProtection="1">
      <alignment horizontal="center" vertical="center" wrapText="1"/>
    </xf>
    <xf numFmtId="1" fontId="9" fillId="27" borderId="198" xfId="691" applyNumberFormat="1" applyFont="1" applyFill="1" applyBorder="1" applyAlignment="1" applyProtection="1">
      <alignment horizontal="center" vertical="center" wrapText="1"/>
    </xf>
    <xf numFmtId="1" fontId="8" fillId="27" borderId="99" xfId="691" applyNumberFormat="1" applyFont="1" applyFill="1" applyBorder="1" applyAlignment="1" applyProtection="1">
      <alignment horizontal="center" vertical="center" wrapText="1"/>
    </xf>
    <xf numFmtId="1" fontId="8" fillId="27" borderId="100" xfId="691" applyNumberFormat="1" applyFont="1" applyFill="1" applyBorder="1" applyAlignment="1" applyProtection="1">
      <alignment horizontal="center" vertical="center" wrapText="1"/>
    </xf>
    <xf numFmtId="1" fontId="8" fillId="27" borderId="101" xfId="691" applyNumberFormat="1" applyFont="1" applyFill="1" applyBorder="1" applyAlignment="1" applyProtection="1">
      <alignment horizontal="center" vertical="center" wrapText="1"/>
    </xf>
    <xf numFmtId="1" fontId="8" fillId="27" borderId="97" xfId="691" applyNumberFormat="1" applyFont="1" applyFill="1" applyBorder="1" applyAlignment="1" applyProtection="1">
      <alignment horizontal="center" vertical="center" wrapText="1"/>
    </xf>
    <xf numFmtId="1" fontId="8" fillId="27" borderId="98" xfId="691" applyNumberFormat="1" applyFont="1" applyFill="1" applyBorder="1" applyAlignment="1" applyProtection="1">
      <alignment horizontal="center" vertical="center" wrapText="1"/>
    </xf>
    <xf numFmtId="167" fontId="6" fillId="27" borderId="86" xfId="691" applyNumberFormat="1" applyFont="1" applyFill="1" applyBorder="1" applyAlignment="1" applyProtection="1">
      <alignment horizontal="center" vertical="center" wrapText="1"/>
    </xf>
    <xf numFmtId="167" fontId="6" fillId="27" borderId="87" xfId="691" applyNumberFormat="1" applyFont="1" applyFill="1" applyBorder="1" applyAlignment="1" applyProtection="1">
      <alignment horizontal="center" vertical="center" wrapText="1"/>
    </xf>
    <xf numFmtId="167" fontId="6" fillId="27" borderId="88" xfId="691" applyNumberFormat="1" applyFont="1" applyFill="1" applyBorder="1" applyAlignment="1" applyProtection="1">
      <alignment horizontal="center" vertical="center" wrapText="1"/>
    </xf>
    <xf numFmtId="167" fontId="6" fillId="27" borderId="89" xfId="691" applyNumberFormat="1" applyFont="1" applyFill="1" applyBorder="1" applyAlignment="1" applyProtection="1">
      <alignment horizontal="center" vertical="center" wrapText="1"/>
    </xf>
    <xf numFmtId="167" fontId="6" fillId="27" borderId="90" xfId="691" applyNumberFormat="1" applyFont="1" applyFill="1" applyBorder="1" applyAlignment="1" applyProtection="1">
      <alignment horizontal="center" vertical="center" wrapText="1"/>
    </xf>
    <xf numFmtId="173" fontId="33" fillId="0" borderId="23" xfId="691" applyNumberFormat="1" applyFont="1" applyFill="1" applyBorder="1" applyAlignment="1" applyProtection="1">
      <alignment horizontal="center" vertical="center" wrapText="1"/>
    </xf>
    <xf numFmtId="173" fontId="33" fillId="0" borderId="26" xfId="691" applyNumberFormat="1" applyFont="1" applyFill="1" applyBorder="1" applyAlignment="1" applyProtection="1">
      <alignment horizontal="center" vertical="center" wrapText="1"/>
    </xf>
    <xf numFmtId="173" fontId="33" fillId="0" borderId="25" xfId="691" applyNumberFormat="1" applyFont="1" applyFill="1" applyBorder="1" applyAlignment="1" applyProtection="1">
      <alignment horizontal="center" vertical="center" wrapText="1"/>
    </xf>
    <xf numFmtId="169" fontId="20" fillId="0" borderId="23" xfId="691" applyNumberFormat="1" applyFont="1" applyFill="1" applyBorder="1" applyAlignment="1" applyProtection="1">
      <alignment horizontal="center" vertical="center" wrapText="1"/>
    </xf>
    <xf numFmtId="169" fontId="20" fillId="0" borderId="25" xfId="691" applyNumberFormat="1" applyFont="1" applyFill="1" applyBorder="1" applyAlignment="1" applyProtection="1">
      <alignment horizontal="center" vertical="center" wrapText="1"/>
    </xf>
    <xf numFmtId="169" fontId="20" fillId="0" borderId="26" xfId="691" applyNumberFormat="1" applyFont="1" applyFill="1" applyBorder="1" applyAlignment="1" applyProtection="1">
      <alignment horizontal="center" vertical="center" wrapText="1"/>
    </xf>
    <xf numFmtId="0" fontId="9" fillId="0" borderId="82" xfId="0" applyFont="1" applyFill="1" applyBorder="1" applyAlignment="1" applyProtection="1">
      <alignment horizontal="center" vertical="center" wrapText="1"/>
    </xf>
    <xf numFmtId="0" fontId="9" fillId="0" borderId="133" xfId="0" applyFont="1" applyFill="1" applyBorder="1" applyAlignment="1" applyProtection="1">
      <alignment horizontal="center" vertical="center" wrapText="1"/>
    </xf>
    <xf numFmtId="1" fontId="8" fillId="27" borderId="42" xfId="0" applyNumberFormat="1" applyFont="1" applyFill="1" applyBorder="1" applyAlignment="1" applyProtection="1">
      <alignment horizontal="center" vertical="center" wrapText="1"/>
    </xf>
    <xf numFmtId="1" fontId="8" fillId="27" borderId="34" xfId="0" applyNumberFormat="1" applyFont="1" applyFill="1" applyBorder="1" applyAlignment="1" applyProtection="1">
      <alignment horizontal="center" vertical="center" wrapText="1"/>
    </xf>
    <xf numFmtId="1" fontId="20" fillId="27" borderId="23" xfId="0" applyNumberFormat="1" applyFont="1" applyFill="1" applyBorder="1" applyAlignment="1" applyProtection="1">
      <alignment horizontal="center" vertical="center" wrapText="1"/>
    </xf>
    <xf numFmtId="1" fontId="20" fillId="27" borderId="25" xfId="0" applyNumberFormat="1" applyFont="1" applyFill="1" applyBorder="1" applyAlignment="1" applyProtection="1">
      <alignment horizontal="center" vertical="center" wrapText="1"/>
    </xf>
    <xf numFmtId="1" fontId="20" fillId="27" borderId="26" xfId="0" applyNumberFormat="1" applyFont="1" applyFill="1" applyBorder="1" applyAlignment="1" applyProtection="1">
      <alignment horizontal="center" vertical="center" wrapText="1"/>
    </xf>
    <xf numFmtId="1" fontId="8" fillId="27" borderId="70" xfId="0" applyNumberFormat="1" applyFont="1" applyFill="1" applyBorder="1" applyAlignment="1" applyProtection="1">
      <alignment horizontal="center" vertical="center" wrapText="1"/>
    </xf>
    <xf numFmtId="167" fontId="6" fillId="27" borderId="182" xfId="0" applyNumberFormat="1" applyFont="1" applyFill="1" applyBorder="1" applyAlignment="1" applyProtection="1">
      <alignment horizontal="center" vertical="center" wrapText="1"/>
    </xf>
    <xf numFmtId="167" fontId="6" fillId="27" borderId="183" xfId="0" applyNumberFormat="1" applyFont="1" applyFill="1" applyBorder="1" applyAlignment="1" applyProtection="1">
      <alignment horizontal="center" vertical="center" wrapText="1"/>
    </xf>
    <xf numFmtId="167" fontId="6" fillId="27" borderId="184" xfId="0" applyNumberFormat="1" applyFont="1" applyFill="1" applyBorder="1" applyAlignment="1" applyProtection="1">
      <alignment horizontal="center" vertical="center" wrapText="1"/>
    </xf>
    <xf numFmtId="1" fontId="8" fillId="27" borderId="185" xfId="0" applyNumberFormat="1" applyFont="1" applyFill="1" applyBorder="1" applyAlignment="1" applyProtection="1">
      <alignment horizontal="center" vertical="center" wrapText="1"/>
    </xf>
    <xf numFmtId="1" fontId="8" fillId="27" borderId="186" xfId="0" applyNumberFormat="1" applyFont="1" applyFill="1" applyBorder="1" applyAlignment="1" applyProtection="1">
      <alignment horizontal="center" vertical="center" wrapText="1"/>
    </xf>
    <xf numFmtId="1" fontId="8" fillId="27" borderId="187" xfId="0" applyNumberFormat="1" applyFont="1" applyFill="1" applyBorder="1" applyAlignment="1" applyProtection="1">
      <alignment horizontal="center" vertical="center" wrapText="1"/>
    </xf>
    <xf numFmtId="1" fontId="8" fillId="27" borderId="188" xfId="0" applyNumberFormat="1" applyFont="1" applyFill="1" applyBorder="1" applyAlignment="1" applyProtection="1">
      <alignment horizontal="center" vertical="center" wrapText="1"/>
    </xf>
    <xf numFmtId="1" fontId="8" fillId="27" borderId="189" xfId="0" applyNumberFormat="1" applyFont="1" applyFill="1" applyBorder="1" applyAlignment="1" applyProtection="1">
      <alignment horizontal="center" vertical="center" wrapText="1"/>
    </xf>
    <xf numFmtId="1" fontId="6" fillId="27" borderId="182" xfId="0" applyNumberFormat="1" applyFont="1" applyFill="1" applyBorder="1" applyAlignment="1" applyProtection="1">
      <alignment horizontal="center" vertical="center" wrapText="1"/>
    </xf>
    <xf numFmtId="0" fontId="6" fillId="27" borderId="184" xfId="0" applyNumberFormat="1" applyFont="1" applyFill="1" applyBorder="1" applyAlignment="1" applyProtection="1">
      <alignment horizontal="center" vertical="center" wrapText="1"/>
    </xf>
    <xf numFmtId="0" fontId="6" fillId="27" borderId="183" xfId="0" applyNumberFormat="1" applyFont="1" applyFill="1" applyBorder="1" applyAlignment="1" applyProtection="1">
      <alignment horizontal="center" vertical="center" wrapText="1"/>
    </xf>
    <xf numFmtId="1" fontId="9" fillId="27" borderId="196" xfId="0" applyNumberFormat="1" applyFont="1" applyFill="1" applyBorder="1" applyAlignment="1" applyProtection="1">
      <alignment horizontal="center" vertical="center" wrapText="1"/>
    </xf>
    <xf numFmtId="1" fontId="9" fillId="27" borderId="198" xfId="0" applyNumberFormat="1" applyFont="1" applyFill="1" applyBorder="1" applyAlignment="1" applyProtection="1">
      <alignment horizontal="center" vertical="center" wrapText="1"/>
    </xf>
    <xf numFmtId="1" fontId="9" fillId="27" borderId="197" xfId="0" applyNumberFormat="1" applyFont="1" applyFill="1" applyBorder="1" applyAlignment="1" applyProtection="1">
      <alignment horizontal="center" vertical="center" wrapText="1"/>
    </xf>
    <xf numFmtId="1" fontId="6" fillId="27" borderId="190" xfId="0" applyNumberFormat="1" applyFont="1" applyFill="1" applyBorder="1" applyAlignment="1" applyProtection="1">
      <alignment horizontal="center" vertical="center" wrapText="1"/>
    </xf>
    <xf numFmtId="1" fontId="6" fillId="27" borderId="192" xfId="0" applyNumberFormat="1" applyFont="1" applyFill="1" applyBorder="1" applyAlignment="1" applyProtection="1">
      <alignment horizontal="center" vertical="center" wrapText="1"/>
    </xf>
    <xf numFmtId="1" fontId="6" fillId="27" borderId="191" xfId="0" applyNumberFormat="1" applyFont="1" applyFill="1" applyBorder="1" applyAlignment="1" applyProtection="1">
      <alignment horizontal="center" vertical="center" wrapText="1"/>
    </xf>
    <xf numFmtId="1" fontId="6" fillId="27" borderId="183" xfId="0" applyNumberFormat="1" applyFont="1" applyFill="1" applyBorder="1" applyAlignment="1" applyProtection="1">
      <alignment horizontal="center" vertical="center" wrapText="1"/>
    </xf>
    <xf numFmtId="1" fontId="6" fillId="27" borderId="88" xfId="0" applyNumberFormat="1" applyFont="1" applyFill="1" applyBorder="1" applyAlignment="1" applyProtection="1">
      <alignment horizontal="center" vertical="center" wrapText="1"/>
    </xf>
    <xf numFmtId="1" fontId="6" fillId="27" borderId="89" xfId="0" applyNumberFormat="1" applyFont="1" applyFill="1" applyBorder="1" applyAlignment="1" applyProtection="1">
      <alignment horizontal="center" vertical="center" wrapText="1"/>
    </xf>
    <xf numFmtId="1" fontId="6" fillId="27" borderId="90" xfId="0" applyNumberFormat="1" applyFont="1" applyFill="1" applyBorder="1" applyAlignment="1" applyProtection="1">
      <alignment horizontal="center" vertical="center" wrapText="1"/>
    </xf>
    <xf numFmtId="1" fontId="6" fillId="27" borderId="109" xfId="0" applyNumberFormat="1" applyFont="1" applyFill="1" applyBorder="1" applyAlignment="1" applyProtection="1">
      <alignment horizontal="center" vertical="center" wrapText="1"/>
    </xf>
    <xf numFmtId="1" fontId="6" fillId="27" borderId="199" xfId="0" applyNumberFormat="1" applyFont="1" applyFill="1" applyBorder="1" applyAlignment="1" applyProtection="1">
      <alignment horizontal="center" vertical="center" wrapText="1"/>
    </xf>
    <xf numFmtId="1" fontId="6" fillId="27" borderId="200" xfId="0" applyNumberFormat="1" applyFont="1" applyFill="1" applyBorder="1" applyAlignment="1" applyProtection="1">
      <alignment horizontal="center" vertical="center" wrapText="1"/>
    </xf>
    <xf numFmtId="169" fontId="20" fillId="27" borderId="23" xfId="0" applyNumberFormat="1" applyFont="1" applyFill="1" applyBorder="1" applyAlignment="1" applyProtection="1">
      <alignment horizontal="center" vertical="center" wrapText="1"/>
    </xf>
    <xf numFmtId="169" fontId="20" fillId="27" borderId="25" xfId="0" applyNumberFormat="1" applyFont="1" applyFill="1" applyBorder="1" applyAlignment="1" applyProtection="1">
      <alignment horizontal="center" vertical="center" wrapText="1"/>
    </xf>
    <xf numFmtId="169" fontId="20" fillId="27" borderId="26" xfId="0" applyNumberFormat="1" applyFont="1" applyFill="1" applyBorder="1" applyAlignment="1" applyProtection="1">
      <alignment horizontal="center" vertical="center" wrapText="1"/>
    </xf>
    <xf numFmtId="167" fontId="9" fillId="27" borderId="86" xfId="0" applyNumberFormat="1" applyFont="1" applyFill="1" applyBorder="1" applyAlignment="1" applyProtection="1">
      <alignment horizontal="center" vertical="center" wrapText="1"/>
    </xf>
    <xf numFmtId="167" fontId="9" fillId="27" borderId="87" xfId="0" applyNumberFormat="1" applyFont="1" applyFill="1" applyBorder="1" applyAlignment="1" applyProtection="1">
      <alignment horizontal="center" vertical="center" wrapText="1"/>
    </xf>
    <xf numFmtId="167" fontId="9" fillId="27" borderId="88" xfId="0" applyNumberFormat="1" applyFont="1" applyFill="1" applyBorder="1" applyAlignment="1" applyProtection="1">
      <alignment horizontal="center" vertical="center" wrapText="1"/>
    </xf>
    <xf numFmtId="167" fontId="9" fillId="27" borderId="89" xfId="0" applyNumberFormat="1" applyFont="1" applyFill="1" applyBorder="1" applyAlignment="1" applyProtection="1">
      <alignment horizontal="center" vertical="center" wrapText="1"/>
    </xf>
    <xf numFmtId="167" fontId="9" fillId="27" borderId="90" xfId="0" applyNumberFormat="1" applyFont="1" applyFill="1" applyBorder="1" applyAlignment="1" applyProtection="1">
      <alignment horizontal="center" vertical="center" wrapText="1"/>
    </xf>
    <xf numFmtId="1" fontId="8" fillId="27" borderId="193" xfId="0" applyNumberFormat="1" applyFont="1" applyFill="1" applyBorder="1" applyAlignment="1" applyProtection="1">
      <alignment horizontal="center" vertical="center" wrapText="1"/>
    </xf>
    <xf numFmtId="1" fontId="8" fillId="27" borderId="195" xfId="0" applyNumberFormat="1" applyFont="1" applyFill="1" applyBorder="1" applyAlignment="1" applyProtection="1">
      <alignment horizontal="center" vertical="center" wrapText="1"/>
    </xf>
    <xf numFmtId="1" fontId="6" fillId="27" borderId="196" xfId="0" applyNumberFormat="1" applyFont="1" applyFill="1" applyBorder="1" applyAlignment="1" applyProtection="1">
      <alignment horizontal="center" vertical="center" wrapText="1"/>
    </xf>
    <xf numFmtId="1" fontId="6" fillId="27" borderId="197" xfId="0" applyNumberFormat="1" applyFont="1" applyFill="1" applyBorder="1" applyAlignment="1" applyProtection="1">
      <alignment horizontal="center" vertical="center" wrapText="1"/>
    </xf>
    <xf numFmtId="1" fontId="6" fillId="27" borderId="198" xfId="0" applyNumberFormat="1" applyFont="1" applyFill="1" applyBorder="1" applyAlignment="1" applyProtection="1">
      <alignment horizontal="center" vertical="center" wrapText="1"/>
    </xf>
    <xf numFmtId="167" fontId="6" fillId="27" borderId="86" xfId="0" applyNumberFormat="1" applyFont="1" applyFill="1" applyBorder="1" applyAlignment="1" applyProtection="1">
      <alignment horizontal="center" vertical="center" wrapText="1"/>
    </xf>
    <xf numFmtId="167" fontId="6" fillId="27" borderId="87" xfId="0" applyNumberFormat="1" applyFont="1" applyFill="1" applyBorder="1" applyAlignment="1" applyProtection="1">
      <alignment horizontal="center" vertical="center" wrapText="1"/>
    </xf>
    <xf numFmtId="167" fontId="6" fillId="27" borderId="88" xfId="0" applyNumberFormat="1" applyFont="1" applyFill="1" applyBorder="1" applyAlignment="1" applyProtection="1">
      <alignment horizontal="center" vertical="center" wrapText="1"/>
    </xf>
    <xf numFmtId="167" fontId="6" fillId="27" borderId="89" xfId="0" applyNumberFormat="1" applyFont="1" applyFill="1" applyBorder="1" applyAlignment="1" applyProtection="1">
      <alignment horizontal="center" vertical="center" wrapText="1"/>
    </xf>
    <xf numFmtId="167" fontId="6" fillId="27" borderId="90" xfId="0" applyNumberFormat="1" applyFont="1" applyFill="1" applyBorder="1" applyAlignment="1" applyProtection="1">
      <alignment horizontal="center" vertical="center" wrapText="1"/>
    </xf>
    <xf numFmtId="1" fontId="8" fillId="27" borderId="99" xfId="0" applyNumberFormat="1" applyFont="1" applyFill="1" applyBorder="1" applyAlignment="1" applyProtection="1">
      <alignment horizontal="center" vertical="center" wrapText="1"/>
    </xf>
    <xf numFmtId="1" fontId="8" fillId="27" borderId="100" xfId="0" applyNumberFormat="1" applyFont="1" applyFill="1" applyBorder="1" applyAlignment="1" applyProtection="1">
      <alignment horizontal="center" vertical="center" wrapText="1"/>
    </xf>
    <xf numFmtId="1" fontId="8" fillId="27" borderId="101" xfId="0" applyNumberFormat="1" applyFont="1" applyFill="1" applyBorder="1" applyAlignment="1" applyProtection="1">
      <alignment horizontal="center" vertical="center" wrapText="1"/>
    </xf>
    <xf numFmtId="1" fontId="6" fillId="27" borderId="86" xfId="0" applyNumberFormat="1" applyFont="1" applyFill="1" applyBorder="1" applyAlignment="1" applyProtection="1">
      <alignment horizontal="center" vertical="center" wrapText="1"/>
    </xf>
    <xf numFmtId="1" fontId="6" fillId="27" borderId="87" xfId="0" applyNumberFormat="1" applyFont="1" applyFill="1" applyBorder="1" applyAlignment="1" applyProtection="1">
      <alignment horizontal="center" vertical="center" wrapText="1"/>
    </xf>
    <xf numFmtId="1" fontId="8" fillId="27" borderId="97" xfId="0" applyNumberFormat="1" applyFont="1" applyFill="1" applyBorder="1" applyAlignment="1" applyProtection="1">
      <alignment horizontal="center" vertical="center" wrapText="1"/>
    </xf>
    <xf numFmtId="1" fontId="8" fillId="27" borderId="98" xfId="0" applyNumberFormat="1" applyFont="1" applyFill="1" applyBorder="1" applyAlignment="1" applyProtection="1">
      <alignment horizontal="center" vertical="center" wrapText="1"/>
    </xf>
    <xf numFmtId="1" fontId="8" fillId="27" borderId="194" xfId="0" applyNumberFormat="1" applyFont="1" applyFill="1" applyBorder="1" applyAlignment="1" applyProtection="1">
      <alignment horizontal="center" vertical="center" wrapText="1"/>
    </xf>
    <xf numFmtId="173" fontId="33" fillId="0" borderId="23" xfId="0" applyNumberFormat="1" applyFont="1" applyFill="1" applyBorder="1" applyAlignment="1" applyProtection="1">
      <alignment horizontal="center" vertical="center" wrapText="1"/>
    </xf>
    <xf numFmtId="173" fontId="33" fillId="0" borderId="25" xfId="0" applyNumberFormat="1" applyFont="1" applyFill="1" applyBorder="1" applyAlignment="1" applyProtection="1">
      <alignment horizontal="center" vertical="center" wrapText="1"/>
    </xf>
    <xf numFmtId="173" fontId="33" fillId="0" borderId="26" xfId="0" applyNumberFormat="1" applyFont="1" applyFill="1" applyBorder="1" applyAlignment="1" applyProtection="1">
      <alignment horizontal="center" vertical="center" wrapText="1"/>
    </xf>
    <xf numFmtId="169" fontId="20" fillId="0" borderId="23" xfId="0" applyNumberFormat="1" applyFont="1" applyFill="1" applyBorder="1" applyAlignment="1" applyProtection="1">
      <alignment horizontal="center" vertical="center" wrapText="1"/>
    </xf>
    <xf numFmtId="169" fontId="20" fillId="0" borderId="25" xfId="0" applyNumberFormat="1" applyFont="1" applyFill="1" applyBorder="1" applyAlignment="1" applyProtection="1">
      <alignment horizontal="center" vertical="center" wrapText="1"/>
    </xf>
    <xf numFmtId="169" fontId="20" fillId="0" borderId="26" xfId="0" applyNumberFormat="1" applyFont="1" applyFill="1" applyBorder="1" applyAlignment="1" applyProtection="1">
      <alignment horizontal="center" vertical="center" wrapText="1"/>
    </xf>
    <xf numFmtId="0" fontId="0" fillId="0" borderId="0" xfId="0" applyFill="1" applyProtection="1"/>
    <xf numFmtId="0" fontId="9" fillId="0" borderId="67" xfId="0" applyFont="1" applyFill="1" applyBorder="1" applyAlignment="1" applyProtection="1">
      <alignment horizontal="center" vertical="center" wrapText="1"/>
    </xf>
    <xf numFmtId="1" fontId="4" fillId="0" borderId="67" xfId="0" applyNumberFormat="1" applyFont="1" applyFill="1" applyBorder="1" applyAlignment="1" applyProtection="1">
      <alignment horizontal="center" vertical="center" wrapText="1"/>
      <protection locked="0"/>
    </xf>
    <xf numFmtId="1" fontId="4" fillId="0" borderId="181" xfId="0" applyNumberFormat="1" applyFont="1" applyFill="1" applyBorder="1" applyAlignment="1" applyProtection="1">
      <alignment horizontal="center" vertical="center" wrapText="1"/>
      <protection locked="0"/>
    </xf>
    <xf numFmtId="1" fontId="4" fillId="0" borderId="24" xfId="0" applyNumberFormat="1" applyFont="1" applyFill="1" applyBorder="1" applyAlignment="1" applyProtection="1">
      <alignment horizontal="center" vertical="center" wrapText="1"/>
      <protection locked="0"/>
    </xf>
    <xf numFmtId="1" fontId="4" fillId="0" borderId="23" xfId="0" applyNumberFormat="1" applyFont="1" applyFill="1" applyBorder="1" applyAlignment="1" applyProtection="1">
      <alignment horizontal="center" vertical="center" wrapText="1"/>
      <protection locked="0"/>
    </xf>
    <xf numFmtId="1" fontId="12" fillId="25" borderId="74" xfId="0" applyNumberFormat="1" applyFont="1" applyFill="1" applyBorder="1" applyAlignment="1" applyProtection="1">
      <alignment horizontal="center" vertical="center"/>
      <protection locked="0"/>
    </xf>
    <xf numFmtId="1" fontId="12" fillId="25" borderId="0" xfId="0" applyNumberFormat="1" applyFont="1" applyFill="1" applyBorder="1" applyAlignment="1" applyProtection="1">
      <alignment horizontal="center" vertical="center"/>
      <protection locked="0"/>
    </xf>
    <xf numFmtId="1" fontId="12" fillId="25" borderId="201" xfId="0" applyNumberFormat="1" applyFont="1" applyFill="1" applyBorder="1" applyAlignment="1" applyProtection="1">
      <alignment horizontal="center" vertical="center"/>
      <protection locked="0"/>
    </xf>
    <xf numFmtId="0" fontId="0" fillId="0" borderId="202" xfId="0" applyBorder="1"/>
    <xf numFmtId="168" fontId="17" fillId="0" borderId="63" xfId="0" applyNumberFormat="1" applyFont="1" applyFill="1" applyBorder="1" applyAlignment="1" applyProtection="1">
      <alignment horizontal="center"/>
    </xf>
    <xf numFmtId="168" fontId="17" fillId="0" borderId="203" xfId="0" applyNumberFormat="1" applyFont="1" applyFill="1" applyBorder="1" applyAlignment="1" applyProtection="1">
      <alignment horizontal="center"/>
    </xf>
    <xf numFmtId="1" fontId="1" fillId="0" borderId="63" xfId="0" applyNumberFormat="1" applyFont="1" applyFill="1" applyBorder="1" applyAlignment="1" applyProtection="1">
      <alignment horizontal="center" vertical="center" wrapText="1"/>
      <protection locked="0"/>
    </xf>
    <xf numFmtId="1" fontId="1" fillId="0" borderId="111" xfId="0" applyNumberFormat="1" applyFont="1" applyFill="1" applyBorder="1" applyAlignment="1" applyProtection="1">
      <alignment horizontal="center" vertical="center" wrapText="1"/>
      <protection locked="0"/>
    </xf>
    <xf numFmtId="1" fontId="12" fillId="25" borderId="63" xfId="0" applyNumberFormat="1" applyFont="1" applyFill="1" applyBorder="1" applyAlignment="1" applyProtection="1">
      <alignment horizontal="center" vertical="center"/>
      <protection locked="0"/>
    </xf>
    <xf numFmtId="1" fontId="12" fillId="25" borderId="111" xfId="0" applyNumberFormat="1" applyFont="1" applyFill="1" applyBorder="1" applyAlignment="1" applyProtection="1">
      <alignment horizontal="center" vertical="center"/>
      <protection locked="0"/>
    </xf>
    <xf numFmtId="1" fontId="12" fillId="25" borderId="204" xfId="0" applyNumberFormat="1" applyFont="1" applyFill="1" applyBorder="1" applyAlignment="1" applyProtection="1">
      <alignment horizontal="center" vertical="center"/>
      <protection locked="0"/>
    </xf>
    <xf numFmtId="1" fontId="12" fillId="25" borderId="43" xfId="0" applyNumberFormat="1" applyFont="1" applyFill="1" applyBorder="1" applyAlignment="1" applyProtection="1">
      <alignment horizontal="center" vertical="center"/>
      <protection locked="0"/>
    </xf>
    <xf numFmtId="1" fontId="12" fillId="25" borderId="202" xfId="0" applyNumberFormat="1" applyFont="1" applyFill="1" applyBorder="1" applyAlignment="1" applyProtection="1">
      <alignment horizontal="center" vertical="center"/>
      <protection locked="0"/>
    </xf>
  </cellXfs>
  <cellStyles count="1836">
    <cellStyle name="=C:\WINNT\SYSTEM32\COMMAND.COM" xfId="1"/>
    <cellStyle name="=C:\WINNT\SYSTEM32\COMMAND.COM 10" xfId="2"/>
    <cellStyle name="=C:\WINNT\SYSTEM32\COMMAND.COM 2" xfId="3"/>
    <cellStyle name="=C:\WINNT\SYSTEM32\COMMAND.COM 2 2" xfId="4"/>
    <cellStyle name="=C:\WINNT\SYSTEM32\COMMAND.COM 2 3" xfId="5"/>
    <cellStyle name="=C:\WINNT\SYSTEM32\COMMAND.COM 2 4" xfId="6"/>
    <cellStyle name="=C:\WINNT\SYSTEM32\COMMAND.COM 2_Sheet1" xfId="7"/>
    <cellStyle name="=C:\WINNT\SYSTEM32\COMMAND.COM 3" xfId="8"/>
    <cellStyle name="=C:\WINNT\SYSTEM32\COMMAND.COM 4" xfId="9"/>
    <cellStyle name="=C:\WINNT\SYSTEM32\COMMAND.COM 5" xfId="10"/>
    <cellStyle name="=C:\WINNT\SYSTEM32\COMMAND.COM 6" xfId="11"/>
    <cellStyle name="=C:\WINNT\SYSTEM32\COMMAND.COM 7" xfId="12"/>
    <cellStyle name="=C:\WINNT\SYSTEM32\COMMAND.COM 8" xfId="13"/>
    <cellStyle name="=C:\WINNT\SYSTEM32\COMMAND.COM 9" xfId="14"/>
    <cellStyle name="=C:\WINNT\SYSTEM32\COMMAND.COM_HY OS Order book 02.11.2011" xfId="15"/>
    <cellStyle name="20% - Accent1" xfId="16" builtinId="30" customBuiltin="1"/>
    <cellStyle name="20% - Accent1 10" xfId="17"/>
    <cellStyle name="20% - Accent1 11" xfId="18"/>
    <cellStyle name="20% - Accent1 12" xfId="19"/>
    <cellStyle name="20% - Accent1 2" xfId="20"/>
    <cellStyle name="20% - Accent1 2 2" xfId="21"/>
    <cellStyle name="20% - Accent1 2 3" xfId="22"/>
    <cellStyle name="20% - Accent1 2 4" xfId="23"/>
    <cellStyle name="20% - Accent1 2 5" xfId="24"/>
    <cellStyle name="20% - Accent1 2 6" xfId="25"/>
    <cellStyle name="20% - Accent1 2_Sheet1" xfId="26"/>
    <cellStyle name="20% - Accent1 3" xfId="27"/>
    <cellStyle name="20% - Accent1 3 2" xfId="28"/>
    <cellStyle name="20% - Accent1 4" xfId="29"/>
    <cellStyle name="20% - Accent1 5" xfId="30"/>
    <cellStyle name="20% - Accent1 6" xfId="31"/>
    <cellStyle name="20% - Accent1 7" xfId="32"/>
    <cellStyle name="20% - Accent1 8" xfId="33"/>
    <cellStyle name="20% - Accent1 9" xfId="34"/>
    <cellStyle name="20% - Accent2" xfId="35" builtinId="34" customBuiltin="1"/>
    <cellStyle name="20% - Accent2 10" xfId="36"/>
    <cellStyle name="20% - Accent2 11" xfId="37"/>
    <cellStyle name="20% - Accent2 12" xfId="38"/>
    <cellStyle name="20% - Accent2 2" xfId="39"/>
    <cellStyle name="20% - Accent2 2 2" xfId="40"/>
    <cellStyle name="20% - Accent2 2 3" xfId="41"/>
    <cellStyle name="20% - Accent2 2 4" xfId="42"/>
    <cellStyle name="20% - Accent2 2 5" xfId="43"/>
    <cellStyle name="20% - Accent2 2 6" xfId="44"/>
    <cellStyle name="20% - Accent2 2_Sheet1" xfId="45"/>
    <cellStyle name="20% - Accent2 3" xfId="46"/>
    <cellStyle name="20% - Accent2 3 2" xfId="47"/>
    <cellStyle name="20% - Accent2 4" xfId="48"/>
    <cellStyle name="20% - Accent2 5" xfId="49"/>
    <cellStyle name="20% - Accent2 6" xfId="50"/>
    <cellStyle name="20% - Accent2 7" xfId="51"/>
    <cellStyle name="20% - Accent2 8" xfId="52"/>
    <cellStyle name="20% - Accent2 9" xfId="53"/>
    <cellStyle name="20% - Accent3" xfId="54" builtinId="38" customBuiltin="1"/>
    <cellStyle name="20% - Accent3 10" xfId="55"/>
    <cellStyle name="20% - Accent3 11" xfId="56"/>
    <cellStyle name="20% - Accent3 12" xfId="57"/>
    <cellStyle name="20% - Accent3 2" xfId="58"/>
    <cellStyle name="20% - Accent3 2 2" xfId="59"/>
    <cellStyle name="20% - Accent3 2 3" xfId="60"/>
    <cellStyle name="20% - Accent3 2 4" xfId="61"/>
    <cellStyle name="20% - Accent3 2 5" xfId="62"/>
    <cellStyle name="20% - Accent3 2 6" xfId="63"/>
    <cellStyle name="20% - Accent3 2_Sheet1" xfId="64"/>
    <cellStyle name="20% - Accent3 3" xfId="65"/>
    <cellStyle name="20% - Accent3 3 2" xfId="66"/>
    <cellStyle name="20% - Accent3 4" xfId="67"/>
    <cellStyle name="20% - Accent3 5" xfId="68"/>
    <cellStyle name="20% - Accent3 6" xfId="69"/>
    <cellStyle name="20% - Accent3 7" xfId="70"/>
    <cellStyle name="20% - Accent3 8" xfId="71"/>
    <cellStyle name="20% - Accent3 9" xfId="72"/>
    <cellStyle name="20% - Accent4" xfId="73" builtinId="42" customBuiltin="1"/>
    <cellStyle name="20% - Accent4 10" xfId="74"/>
    <cellStyle name="20% - Accent4 11" xfId="75"/>
    <cellStyle name="20% - Accent4 12" xfId="76"/>
    <cellStyle name="20% - Accent4 2" xfId="77"/>
    <cellStyle name="20% - Accent4 2 2" xfId="78"/>
    <cellStyle name="20% - Accent4 2 3" xfId="79"/>
    <cellStyle name="20% - Accent4 2 4" xfId="80"/>
    <cellStyle name="20% - Accent4 2 5" xfId="81"/>
    <cellStyle name="20% - Accent4 2 6" xfId="82"/>
    <cellStyle name="20% - Accent4 2_Sheet1" xfId="83"/>
    <cellStyle name="20% - Accent4 3" xfId="84"/>
    <cellStyle name="20% - Accent4 3 2" xfId="85"/>
    <cellStyle name="20% - Accent4 4" xfId="86"/>
    <cellStyle name="20% - Accent4 5" xfId="87"/>
    <cellStyle name="20% - Accent4 6" xfId="88"/>
    <cellStyle name="20% - Accent4 7" xfId="89"/>
    <cellStyle name="20% - Accent4 8" xfId="90"/>
    <cellStyle name="20% - Accent4 9" xfId="91"/>
    <cellStyle name="20% - Accent5" xfId="92" builtinId="46" customBuiltin="1"/>
    <cellStyle name="20% - Accent5 10" xfId="93"/>
    <cellStyle name="20% - Accent5 11" xfId="94"/>
    <cellStyle name="20% - Accent5 12" xfId="95"/>
    <cellStyle name="20% - Accent5 2" xfId="96"/>
    <cellStyle name="20% - Accent5 2 2" xfId="97"/>
    <cellStyle name="20% - Accent5 2 3" xfId="98"/>
    <cellStyle name="20% - Accent5 2 4" xfId="99"/>
    <cellStyle name="20% - Accent5 2 5" xfId="100"/>
    <cellStyle name="20% - Accent5 2 6" xfId="101"/>
    <cellStyle name="20% - Accent5 2_Sheet1" xfId="102"/>
    <cellStyle name="20% - Accent5 3" xfId="103"/>
    <cellStyle name="20% - Accent5 3 2" xfId="104"/>
    <cellStyle name="20% - Accent5 4" xfId="105"/>
    <cellStyle name="20% - Accent5 5" xfId="106"/>
    <cellStyle name="20% - Accent5 6" xfId="107"/>
    <cellStyle name="20% - Accent5 7" xfId="108"/>
    <cellStyle name="20% - Accent5 8" xfId="109"/>
    <cellStyle name="20% - Accent5 9" xfId="110"/>
    <cellStyle name="20% - Accent6" xfId="111" builtinId="50" customBuiltin="1"/>
    <cellStyle name="20% - Accent6 10" xfId="112"/>
    <cellStyle name="20% - Accent6 11" xfId="113"/>
    <cellStyle name="20% - Accent6 12" xfId="114"/>
    <cellStyle name="20% - Accent6 2" xfId="115"/>
    <cellStyle name="20% - Accent6 2 2" xfId="116"/>
    <cellStyle name="20% - Accent6 2 3" xfId="117"/>
    <cellStyle name="20% - Accent6 2 4" xfId="118"/>
    <cellStyle name="20% - Accent6 2 5" xfId="119"/>
    <cellStyle name="20% - Accent6 2 6" xfId="120"/>
    <cellStyle name="20% - Accent6 2_Sheet1" xfId="121"/>
    <cellStyle name="20% - Accent6 3" xfId="122"/>
    <cellStyle name="20% - Accent6 3 2" xfId="123"/>
    <cellStyle name="20% - Accent6 4" xfId="124"/>
    <cellStyle name="20% - Accent6 5" xfId="125"/>
    <cellStyle name="20% - Accent6 6" xfId="126"/>
    <cellStyle name="20% - Accent6 7" xfId="127"/>
    <cellStyle name="20% - Accent6 8" xfId="128"/>
    <cellStyle name="20% - Accent6 9" xfId="129"/>
    <cellStyle name="40% - Accent1" xfId="130" builtinId="31" customBuiltin="1"/>
    <cellStyle name="40% - Accent1 10" xfId="131"/>
    <cellStyle name="40% - Accent1 11" xfId="132"/>
    <cellStyle name="40% - Accent1 12" xfId="133"/>
    <cellStyle name="40% - Accent1 2" xfId="134"/>
    <cellStyle name="40% - Accent1 2 2" xfId="135"/>
    <cellStyle name="40% - Accent1 2 3" xfId="136"/>
    <cellStyle name="40% - Accent1 2 4" xfId="137"/>
    <cellStyle name="40% - Accent1 2 5" xfId="138"/>
    <cellStyle name="40% - Accent1 2 6" xfId="139"/>
    <cellStyle name="40% - Accent1 2_Sheet1" xfId="140"/>
    <cellStyle name="40% - Accent1 3" xfId="141"/>
    <cellStyle name="40% - Accent1 3 2" xfId="142"/>
    <cellStyle name="40% - Accent1 4" xfId="143"/>
    <cellStyle name="40% - Accent1 5" xfId="144"/>
    <cellStyle name="40% - Accent1 6" xfId="145"/>
    <cellStyle name="40% - Accent1 7" xfId="146"/>
    <cellStyle name="40% - Accent1 8" xfId="147"/>
    <cellStyle name="40% - Accent1 9" xfId="148"/>
    <cellStyle name="40% - Accent2" xfId="149" builtinId="35" customBuiltin="1"/>
    <cellStyle name="40% - Accent2 10" xfId="150"/>
    <cellStyle name="40% - Accent2 11" xfId="151"/>
    <cellStyle name="40% - Accent2 12" xfId="152"/>
    <cellStyle name="40% - Accent2 2" xfId="153"/>
    <cellStyle name="40% - Accent2 2 2" xfId="154"/>
    <cellStyle name="40% - Accent2 2 3" xfId="155"/>
    <cellStyle name="40% - Accent2 2 4" xfId="156"/>
    <cellStyle name="40% - Accent2 2 5" xfId="157"/>
    <cellStyle name="40% - Accent2 2 6" xfId="158"/>
    <cellStyle name="40% - Accent2 2_Sheet1" xfId="159"/>
    <cellStyle name="40% - Accent2 3" xfId="160"/>
    <cellStyle name="40% - Accent2 3 2" xfId="161"/>
    <cellStyle name="40% - Accent2 4" xfId="162"/>
    <cellStyle name="40% - Accent2 5" xfId="163"/>
    <cellStyle name="40% - Accent2 6" xfId="164"/>
    <cellStyle name="40% - Accent2 7" xfId="165"/>
    <cellStyle name="40% - Accent2 8" xfId="166"/>
    <cellStyle name="40% - Accent2 9" xfId="167"/>
    <cellStyle name="40% - Accent3" xfId="168" builtinId="39" customBuiltin="1"/>
    <cellStyle name="40% - Accent3 10" xfId="169"/>
    <cellStyle name="40% - Accent3 11" xfId="170"/>
    <cellStyle name="40% - Accent3 12" xfId="171"/>
    <cellStyle name="40% - Accent3 2" xfId="172"/>
    <cellStyle name="40% - Accent3 2 2" xfId="173"/>
    <cellStyle name="40% - Accent3 2 3" xfId="174"/>
    <cellStyle name="40% - Accent3 2 4" xfId="175"/>
    <cellStyle name="40% - Accent3 2 5" xfId="176"/>
    <cellStyle name="40% - Accent3 2 6" xfId="177"/>
    <cellStyle name="40% - Accent3 2_Sheet1" xfId="178"/>
    <cellStyle name="40% - Accent3 3" xfId="179"/>
    <cellStyle name="40% - Accent3 3 2" xfId="180"/>
    <cellStyle name="40% - Accent3 4" xfId="181"/>
    <cellStyle name="40% - Accent3 5" xfId="182"/>
    <cellStyle name="40% - Accent3 6" xfId="183"/>
    <cellStyle name="40% - Accent3 7" xfId="184"/>
    <cellStyle name="40% - Accent3 8" xfId="185"/>
    <cellStyle name="40% - Accent3 9" xfId="186"/>
    <cellStyle name="40% - Accent4" xfId="187" builtinId="43" customBuiltin="1"/>
    <cellStyle name="40% - Accent4 10" xfId="188"/>
    <cellStyle name="40% - Accent4 11" xfId="189"/>
    <cellStyle name="40% - Accent4 12" xfId="190"/>
    <cellStyle name="40% - Accent4 2" xfId="191"/>
    <cellStyle name="40% - Accent4 2 2" xfId="192"/>
    <cellStyle name="40% - Accent4 2 3" xfId="193"/>
    <cellStyle name="40% - Accent4 2 4" xfId="194"/>
    <cellStyle name="40% - Accent4 2 5" xfId="195"/>
    <cellStyle name="40% - Accent4 2 6" xfId="196"/>
    <cellStyle name="40% - Accent4 2_Sheet1" xfId="197"/>
    <cellStyle name="40% - Accent4 3" xfId="198"/>
    <cellStyle name="40% - Accent4 3 2" xfId="199"/>
    <cellStyle name="40% - Accent4 4" xfId="200"/>
    <cellStyle name="40% - Accent4 5" xfId="201"/>
    <cellStyle name="40% - Accent4 6" xfId="202"/>
    <cellStyle name="40% - Accent4 7" xfId="203"/>
    <cellStyle name="40% - Accent4 8" xfId="204"/>
    <cellStyle name="40% - Accent4 9" xfId="205"/>
    <cellStyle name="40% - Accent5" xfId="206" builtinId="47" customBuiltin="1"/>
    <cellStyle name="40% - Accent5 10" xfId="207"/>
    <cellStyle name="40% - Accent5 11" xfId="208"/>
    <cellStyle name="40% - Accent5 12" xfId="209"/>
    <cellStyle name="40% - Accent5 2" xfId="210"/>
    <cellStyle name="40% - Accent5 2 2" xfId="211"/>
    <cellStyle name="40% - Accent5 2 3" xfId="212"/>
    <cellStyle name="40% - Accent5 2 4" xfId="213"/>
    <cellStyle name="40% - Accent5 2 5" xfId="214"/>
    <cellStyle name="40% - Accent5 2 6" xfId="215"/>
    <cellStyle name="40% - Accent5 2_Sheet1" xfId="216"/>
    <cellStyle name="40% - Accent5 3" xfId="217"/>
    <cellStyle name="40% - Accent5 3 2" xfId="218"/>
    <cellStyle name="40% - Accent5 4" xfId="219"/>
    <cellStyle name="40% - Accent5 5" xfId="220"/>
    <cellStyle name="40% - Accent5 6" xfId="221"/>
    <cellStyle name="40% - Accent5 7" xfId="222"/>
    <cellStyle name="40% - Accent5 8" xfId="223"/>
    <cellStyle name="40% - Accent5 9" xfId="224"/>
    <cellStyle name="40% - Accent6" xfId="225" builtinId="51" customBuiltin="1"/>
    <cellStyle name="40% - Accent6 10" xfId="226"/>
    <cellStyle name="40% - Accent6 11" xfId="227"/>
    <cellStyle name="40% - Accent6 12" xfId="228"/>
    <cellStyle name="40% - Accent6 2" xfId="229"/>
    <cellStyle name="40% - Accent6 2 2" xfId="230"/>
    <cellStyle name="40% - Accent6 2 3" xfId="231"/>
    <cellStyle name="40% - Accent6 2 4" xfId="232"/>
    <cellStyle name="40% - Accent6 2 5" xfId="233"/>
    <cellStyle name="40% - Accent6 2 6" xfId="234"/>
    <cellStyle name="40% - Accent6 2_Sheet1" xfId="235"/>
    <cellStyle name="40% - Accent6 3" xfId="236"/>
    <cellStyle name="40% - Accent6 3 2" xfId="237"/>
    <cellStyle name="40% - Accent6 4" xfId="238"/>
    <cellStyle name="40% - Accent6 5" xfId="239"/>
    <cellStyle name="40% - Accent6 6" xfId="240"/>
    <cellStyle name="40% - Accent6 7" xfId="241"/>
    <cellStyle name="40% - Accent6 8" xfId="242"/>
    <cellStyle name="40% - Accent6 9" xfId="243"/>
    <cellStyle name="60% - Accent1" xfId="244" builtinId="32" customBuiltin="1"/>
    <cellStyle name="60% - Accent1 10" xfId="245"/>
    <cellStyle name="60% - Accent1 11" xfId="246"/>
    <cellStyle name="60% - Accent1 12" xfId="247"/>
    <cellStyle name="60% - Accent1 2" xfId="248"/>
    <cellStyle name="60% - Accent1 3" xfId="249"/>
    <cellStyle name="60% - Accent1 3 2" xfId="250"/>
    <cellStyle name="60% - Accent1 4" xfId="251"/>
    <cellStyle name="60% - Accent1 5" xfId="252"/>
    <cellStyle name="60% - Accent1 6" xfId="253"/>
    <cellStyle name="60% - Accent1 7" xfId="254"/>
    <cellStyle name="60% - Accent1 8" xfId="255"/>
    <cellStyle name="60% - Accent1 9" xfId="256"/>
    <cellStyle name="60% - Accent2" xfId="257" builtinId="36" customBuiltin="1"/>
    <cellStyle name="60% - Accent2 10" xfId="258"/>
    <cellStyle name="60% - Accent2 11" xfId="259"/>
    <cellStyle name="60% - Accent2 12" xfId="260"/>
    <cellStyle name="60% - Accent2 2" xfId="261"/>
    <cellStyle name="60% - Accent2 3" xfId="262"/>
    <cellStyle name="60% - Accent2 3 2" xfId="263"/>
    <cellStyle name="60% - Accent2 4" xfId="264"/>
    <cellStyle name="60% - Accent2 5" xfId="265"/>
    <cellStyle name="60% - Accent2 6" xfId="266"/>
    <cellStyle name="60% - Accent2 7" xfId="267"/>
    <cellStyle name="60% - Accent2 8" xfId="268"/>
    <cellStyle name="60% - Accent2 9" xfId="269"/>
    <cellStyle name="60% - Accent3" xfId="270" builtinId="40" customBuiltin="1"/>
    <cellStyle name="60% - Accent3 10" xfId="271"/>
    <cellStyle name="60% - Accent3 11" xfId="272"/>
    <cellStyle name="60% - Accent3 12" xfId="273"/>
    <cellStyle name="60% - Accent3 2" xfId="274"/>
    <cellStyle name="60% - Accent3 3" xfId="275"/>
    <cellStyle name="60% - Accent3 3 2" xfId="276"/>
    <cellStyle name="60% - Accent3 4" xfId="277"/>
    <cellStyle name="60% - Accent3 5" xfId="278"/>
    <cellStyle name="60% - Accent3 6" xfId="279"/>
    <cellStyle name="60% - Accent3 7" xfId="280"/>
    <cellStyle name="60% - Accent3 8" xfId="281"/>
    <cellStyle name="60% - Accent3 9" xfId="282"/>
    <cellStyle name="60% - Accent4" xfId="283" builtinId="44" customBuiltin="1"/>
    <cellStyle name="60% - Accent4 10" xfId="284"/>
    <cellStyle name="60% - Accent4 11" xfId="285"/>
    <cellStyle name="60% - Accent4 12" xfId="286"/>
    <cellStyle name="60% - Accent4 2" xfId="287"/>
    <cellStyle name="60% - Accent4 3" xfId="288"/>
    <cellStyle name="60% - Accent4 3 2" xfId="289"/>
    <cellStyle name="60% - Accent4 4" xfId="290"/>
    <cellStyle name="60% - Accent4 5" xfId="291"/>
    <cellStyle name="60% - Accent4 6" xfId="292"/>
    <cellStyle name="60% - Accent4 7" xfId="293"/>
    <cellStyle name="60% - Accent4 8" xfId="294"/>
    <cellStyle name="60% - Accent4 9" xfId="295"/>
    <cellStyle name="60% - Accent5" xfId="296" builtinId="48" customBuiltin="1"/>
    <cellStyle name="60% - Accent5 10" xfId="297"/>
    <cellStyle name="60% - Accent5 11" xfId="298"/>
    <cellStyle name="60% - Accent5 12" xfId="299"/>
    <cellStyle name="60% - Accent5 2" xfId="300"/>
    <cellStyle name="60% - Accent5 3" xfId="301"/>
    <cellStyle name="60% - Accent5 3 2" xfId="302"/>
    <cellStyle name="60% - Accent5 4" xfId="303"/>
    <cellStyle name="60% - Accent5 5" xfId="304"/>
    <cellStyle name="60% - Accent5 6" xfId="305"/>
    <cellStyle name="60% - Accent5 7" xfId="306"/>
    <cellStyle name="60% - Accent5 8" xfId="307"/>
    <cellStyle name="60% - Accent5 9" xfId="308"/>
    <cellStyle name="60% - Accent6" xfId="309" builtinId="52" customBuiltin="1"/>
    <cellStyle name="60% - Accent6 10" xfId="310"/>
    <cellStyle name="60% - Accent6 11" xfId="311"/>
    <cellStyle name="60% - Accent6 12" xfId="312"/>
    <cellStyle name="60% - Accent6 2" xfId="313"/>
    <cellStyle name="60% - Accent6 3" xfId="314"/>
    <cellStyle name="60% - Accent6 3 2" xfId="315"/>
    <cellStyle name="60% - Accent6 4" xfId="316"/>
    <cellStyle name="60% - Accent6 5" xfId="317"/>
    <cellStyle name="60% - Accent6 6" xfId="318"/>
    <cellStyle name="60% - Accent6 7" xfId="319"/>
    <cellStyle name="60% - Accent6 8" xfId="320"/>
    <cellStyle name="60% - Accent6 9" xfId="321"/>
    <cellStyle name="Accent1" xfId="322" builtinId="29" customBuiltin="1"/>
    <cellStyle name="Accent1 10" xfId="323"/>
    <cellStyle name="Accent1 11" xfId="324"/>
    <cellStyle name="Accent1 12" xfId="325"/>
    <cellStyle name="Accent1 2" xfId="326"/>
    <cellStyle name="Accent1 3" xfId="327"/>
    <cellStyle name="Accent1 3 2" xfId="328"/>
    <cellStyle name="Accent1 4" xfId="329"/>
    <cellStyle name="Accent1 5" xfId="330"/>
    <cellStyle name="Accent1 6" xfId="331"/>
    <cellStyle name="Accent1 7" xfId="332"/>
    <cellStyle name="Accent1 8" xfId="333"/>
    <cellStyle name="Accent1 9" xfId="334"/>
    <cellStyle name="Accent2" xfId="335" builtinId="33" customBuiltin="1"/>
    <cellStyle name="Accent2 10" xfId="336"/>
    <cellStyle name="Accent2 11" xfId="337"/>
    <cellStyle name="Accent2 12" xfId="338"/>
    <cellStyle name="Accent2 2" xfId="339"/>
    <cellStyle name="Accent2 3" xfId="340"/>
    <cellStyle name="Accent2 3 2" xfId="341"/>
    <cellStyle name="Accent2 4" xfId="342"/>
    <cellStyle name="Accent2 5" xfId="343"/>
    <cellStyle name="Accent2 6" xfId="344"/>
    <cellStyle name="Accent2 7" xfId="345"/>
    <cellStyle name="Accent2 8" xfId="346"/>
    <cellStyle name="Accent2 9" xfId="347"/>
    <cellStyle name="Accent3" xfId="348" builtinId="37" customBuiltin="1"/>
    <cellStyle name="Accent3 10" xfId="349"/>
    <cellStyle name="Accent3 11" xfId="350"/>
    <cellStyle name="Accent3 12" xfId="351"/>
    <cellStyle name="Accent3 2" xfId="352"/>
    <cellStyle name="Accent3 3" xfId="353"/>
    <cellStyle name="Accent3 3 2" xfId="354"/>
    <cellStyle name="Accent3 4" xfId="355"/>
    <cellStyle name="Accent3 5" xfId="356"/>
    <cellStyle name="Accent3 6" xfId="357"/>
    <cellStyle name="Accent3 7" xfId="358"/>
    <cellStyle name="Accent3 8" xfId="359"/>
    <cellStyle name="Accent3 9" xfId="360"/>
    <cellStyle name="Accent4" xfId="361" builtinId="41" customBuiltin="1"/>
    <cellStyle name="Accent4 10" xfId="362"/>
    <cellStyle name="Accent4 11" xfId="363"/>
    <cellStyle name="Accent4 12" xfId="364"/>
    <cellStyle name="Accent4 2" xfId="365"/>
    <cellStyle name="Accent4 3" xfId="366"/>
    <cellStyle name="Accent4 3 2" xfId="367"/>
    <cellStyle name="Accent4 4" xfId="368"/>
    <cellStyle name="Accent4 5" xfId="369"/>
    <cellStyle name="Accent4 6" xfId="370"/>
    <cellStyle name="Accent4 7" xfId="371"/>
    <cellStyle name="Accent4 8" xfId="372"/>
    <cellStyle name="Accent4 9" xfId="373"/>
    <cellStyle name="Accent5" xfId="374" builtinId="45" customBuiltin="1"/>
    <cellStyle name="Accent5 10" xfId="375"/>
    <cellStyle name="Accent5 11" xfId="376"/>
    <cellStyle name="Accent5 12" xfId="377"/>
    <cellStyle name="Accent5 2" xfId="378"/>
    <cellStyle name="Accent5 3" xfId="379"/>
    <cellStyle name="Accent5 3 2" xfId="380"/>
    <cellStyle name="Accent5 4" xfId="381"/>
    <cellStyle name="Accent5 5" xfId="382"/>
    <cellStyle name="Accent5 6" xfId="383"/>
    <cellStyle name="Accent5 7" xfId="384"/>
    <cellStyle name="Accent5 8" xfId="385"/>
    <cellStyle name="Accent5 9" xfId="386"/>
    <cellStyle name="Accent6" xfId="387" builtinId="49" customBuiltin="1"/>
    <cellStyle name="Accent6 10" xfId="388"/>
    <cellStyle name="Accent6 11" xfId="389"/>
    <cellStyle name="Accent6 12" xfId="390"/>
    <cellStyle name="Accent6 2" xfId="391"/>
    <cellStyle name="Accent6 3" xfId="392"/>
    <cellStyle name="Accent6 3 2" xfId="393"/>
    <cellStyle name="Accent6 4" xfId="394"/>
    <cellStyle name="Accent6 5" xfId="395"/>
    <cellStyle name="Accent6 6" xfId="396"/>
    <cellStyle name="Accent6 7" xfId="397"/>
    <cellStyle name="Accent6 8" xfId="398"/>
    <cellStyle name="Accent6 9" xfId="399"/>
    <cellStyle name="Background" xfId="400"/>
    <cellStyle name="Background 2" xfId="401"/>
    <cellStyle name="Background 2 2" xfId="402"/>
    <cellStyle name="Background 2 3" xfId="403"/>
    <cellStyle name="Background 2 4" xfId="404"/>
    <cellStyle name="Background 2_Sheet1" xfId="405"/>
    <cellStyle name="Background 3" xfId="406"/>
    <cellStyle name="Background 4" xfId="407"/>
    <cellStyle name="Background 5" xfId="408"/>
    <cellStyle name="Background 6" xfId="409"/>
    <cellStyle name="Background 7" xfId="410"/>
    <cellStyle name="Background_HY OS Order book 02.11.2011" xfId="411"/>
    <cellStyle name="Bad" xfId="412" builtinId="27" customBuiltin="1"/>
    <cellStyle name="Bad 10" xfId="413"/>
    <cellStyle name="Bad 11" xfId="414"/>
    <cellStyle name="Bad 2" xfId="415"/>
    <cellStyle name="Bad 3" xfId="416"/>
    <cellStyle name="Bad 3 2" xfId="417"/>
    <cellStyle name="Bad 4" xfId="418"/>
    <cellStyle name="Bad 5" xfId="419"/>
    <cellStyle name="Bad 6" xfId="420"/>
    <cellStyle name="Bad 7" xfId="421"/>
    <cellStyle name="Bad 8" xfId="422"/>
    <cellStyle name="Bad 9" xfId="423"/>
    <cellStyle name="Besuchtɥr Hyperlink" xfId="424"/>
    <cellStyle name="Calc[0]" xfId="425"/>
    <cellStyle name="Calc[0] 2" xfId="426"/>
    <cellStyle name="Calc[0] 2 2" xfId="427"/>
    <cellStyle name="Calc[0] 2 3" xfId="428"/>
    <cellStyle name="Calc[0] 2 4" xfId="429"/>
    <cellStyle name="Calc[0] 2_Sheet1" xfId="430"/>
    <cellStyle name="Calc[0] 3" xfId="431"/>
    <cellStyle name="Calc[0] 4" xfId="432"/>
    <cellStyle name="Calc[0] 5" xfId="433"/>
    <cellStyle name="Calc[0] 6" xfId="434"/>
    <cellStyle name="Calc[0] 7" xfId="435"/>
    <cellStyle name="Calc[0]_HY OS Order book 02.11.2011" xfId="436"/>
    <cellStyle name="Calculation" xfId="437" builtinId="22" customBuiltin="1"/>
    <cellStyle name="Calculation 10" xfId="438"/>
    <cellStyle name="Calculation 11" xfId="439"/>
    <cellStyle name="Calculation 2" xfId="440"/>
    <cellStyle name="Calculation 3" xfId="441"/>
    <cellStyle name="Calculation 3 2" xfId="442"/>
    <cellStyle name="Calculation 3_Period Overview Stats" xfId="443"/>
    <cellStyle name="Calculation 4" xfId="444"/>
    <cellStyle name="Calculation 5" xfId="445"/>
    <cellStyle name="Calculation 6" xfId="446"/>
    <cellStyle name="Calculation 7" xfId="447"/>
    <cellStyle name="Calculation 8" xfId="448"/>
    <cellStyle name="Calculation 9" xfId="449"/>
    <cellStyle name="Check Cell" xfId="450" builtinId="23" customBuiltin="1"/>
    <cellStyle name="Check Cell 10" xfId="451"/>
    <cellStyle name="Check Cell 11" xfId="452"/>
    <cellStyle name="Check Cell 2" xfId="453"/>
    <cellStyle name="Check Cell 3" xfId="454"/>
    <cellStyle name="Check Cell 3 2" xfId="455"/>
    <cellStyle name="Check Cell 3_Period Overview Stats" xfId="456"/>
    <cellStyle name="Check Cell 4" xfId="457"/>
    <cellStyle name="Check Cell 5" xfId="458"/>
    <cellStyle name="Check Cell 6" xfId="459"/>
    <cellStyle name="Check Cell 7" xfId="460"/>
    <cellStyle name="Check Cell 8" xfId="461"/>
    <cellStyle name="Check Cell 9" xfId="462"/>
    <cellStyle name="Comma 2" xfId="463"/>
    <cellStyle name="Comma 2 2" xfId="464"/>
    <cellStyle name="Comma 2 2 2" xfId="465"/>
    <cellStyle name="Comma 2 2 3" xfId="466"/>
    <cellStyle name="Comma 2 2 4" xfId="467"/>
    <cellStyle name="Comma 2 3" xfId="468"/>
    <cellStyle name="Comma 2 3 2" xfId="469"/>
    <cellStyle name="Comma 2 3 3" xfId="470"/>
    <cellStyle name="Comma 2 3 4" xfId="471"/>
    <cellStyle name="Comma 2 4" xfId="472"/>
    <cellStyle name="Comma 2 4 2" xfId="473"/>
    <cellStyle name="Comma 2 4 3" xfId="474"/>
    <cellStyle name="Comma 2 4 4" xfId="475"/>
    <cellStyle name="Comma 2 5" xfId="476"/>
    <cellStyle name="Comma 2 5 2" xfId="477"/>
    <cellStyle name="Comma 2 5 3" xfId="478"/>
    <cellStyle name="Comma 2 5 4" xfId="479"/>
    <cellStyle name="Comma 2 6" xfId="480"/>
    <cellStyle name="Comma 2 7" xfId="481"/>
    <cellStyle name="Comma 2 8" xfId="482"/>
    <cellStyle name="Comma 3" xfId="483"/>
    <cellStyle name="Comma 3 2" xfId="484"/>
    <cellStyle name="Comma 3 2 2" xfId="485"/>
    <cellStyle name="Comma 3 2 3" xfId="486"/>
    <cellStyle name="Comma 3 2 4" xfId="487"/>
    <cellStyle name="Comma 3 3" xfId="488"/>
    <cellStyle name="Comma 3 3 2" xfId="489"/>
    <cellStyle name="Comma 3 3 3" xfId="490"/>
    <cellStyle name="Comma 3 3 4" xfId="491"/>
    <cellStyle name="Comma 3 4" xfId="492"/>
    <cellStyle name="Comma 3 4 2" xfId="493"/>
    <cellStyle name="Comma 3 4 3" xfId="494"/>
    <cellStyle name="Comma 3 4 4" xfId="495"/>
    <cellStyle name="Comma 3 5" xfId="496"/>
    <cellStyle name="Comma 3 5 2" xfId="497"/>
    <cellStyle name="Comma 3 5 3" xfId="498"/>
    <cellStyle name="Comma 3 5 4" xfId="499"/>
    <cellStyle name="Comma 3 6" xfId="500"/>
    <cellStyle name="Comma 3 7" xfId="501"/>
    <cellStyle name="Comma 3 8" xfId="502"/>
    <cellStyle name="Comma 4" xfId="503"/>
    <cellStyle name="Comma 4 2" xfId="504"/>
    <cellStyle name="Comma 4 2 2" xfId="505"/>
    <cellStyle name="Comma 4 2 3" xfId="506"/>
    <cellStyle name="Comma 4 2 4" xfId="507"/>
    <cellStyle name="Comma 4 3" xfId="508"/>
    <cellStyle name="Comma 4 3 2" xfId="509"/>
    <cellStyle name="Comma 4 3 3" xfId="510"/>
    <cellStyle name="Comma 4 3 4" xfId="511"/>
    <cellStyle name="Comma 4 4" xfId="512"/>
    <cellStyle name="Comma 4 4 2" xfId="513"/>
    <cellStyle name="Comma 4 4 3" xfId="514"/>
    <cellStyle name="Comma 4 4 4" xfId="515"/>
    <cellStyle name="Comma 4 5" xfId="516"/>
    <cellStyle name="Comma 4 5 2" xfId="517"/>
    <cellStyle name="Comma 4 5 3" xfId="518"/>
    <cellStyle name="Comma 4 5 4" xfId="519"/>
    <cellStyle name="Comma 4 6" xfId="520"/>
    <cellStyle name="Comma 4 7" xfId="521"/>
    <cellStyle name="Comma 4 8" xfId="522"/>
    <cellStyle name="Date" xfId="523"/>
    <cellStyle name="Date 2" xfId="524"/>
    <cellStyle name="Date 3" xfId="525"/>
    <cellStyle name="Date 4" xfId="526"/>
    <cellStyle name="Date 5" xfId="527"/>
    <cellStyle name="Date 6" xfId="528"/>
    <cellStyle name="Date 7" xfId="529"/>
    <cellStyle name="Date_Sheet1" xfId="530"/>
    <cellStyle name="Dezimal [0]_H052 maint cash flow 300 HU8 231101qtly" xfId="531"/>
    <cellStyle name="Dezimal_bb2000" xfId="532"/>
    <cellStyle name="Euro" xfId="533"/>
    <cellStyle name="Euro 2" xfId="534"/>
    <cellStyle name="Euro 2 2" xfId="535"/>
    <cellStyle name="Euro 2 3" xfId="536"/>
    <cellStyle name="Euro 2 4" xfId="537"/>
    <cellStyle name="Euro 3" xfId="538"/>
    <cellStyle name="Euro 4" xfId="539"/>
    <cellStyle name="Euro 5" xfId="540"/>
    <cellStyle name="Euro 6" xfId="541"/>
    <cellStyle name="Euro 7" xfId="542"/>
    <cellStyle name="Explanatory Text" xfId="543" builtinId="53" customBuiltin="1"/>
    <cellStyle name="Explanatory Text 10" xfId="544"/>
    <cellStyle name="Explanatory Text 11" xfId="545"/>
    <cellStyle name="Explanatory Text 2" xfId="546"/>
    <cellStyle name="Explanatory Text 3" xfId="547"/>
    <cellStyle name="Explanatory Text 3 2" xfId="548"/>
    <cellStyle name="Explanatory Text 4" xfId="549"/>
    <cellStyle name="Explanatory Text 5" xfId="550"/>
    <cellStyle name="Explanatory Text 6" xfId="551"/>
    <cellStyle name="Explanatory Text 7" xfId="552"/>
    <cellStyle name="Explanatory Text 8" xfId="553"/>
    <cellStyle name="Explanatory Text 9" xfId="554"/>
    <cellStyle name="Fleet" xfId="555"/>
    <cellStyle name="Good" xfId="556" builtinId="26" customBuiltin="1"/>
    <cellStyle name="Good 10" xfId="557"/>
    <cellStyle name="Good 11" xfId="558"/>
    <cellStyle name="Good 2" xfId="559"/>
    <cellStyle name="Good 3" xfId="560"/>
    <cellStyle name="Good 3 2" xfId="561"/>
    <cellStyle name="Good 4" xfId="562"/>
    <cellStyle name="Good 5" xfId="563"/>
    <cellStyle name="Good 6" xfId="564"/>
    <cellStyle name="Good 7" xfId="565"/>
    <cellStyle name="Good 8" xfId="566"/>
    <cellStyle name="Good 9" xfId="567"/>
    <cellStyle name="Heading 1" xfId="568" builtinId="16" customBuiltin="1"/>
    <cellStyle name="Heading 1 10" xfId="569"/>
    <cellStyle name="Heading 1 11" xfId="570"/>
    <cellStyle name="Heading 1 12" xfId="571"/>
    <cellStyle name="Heading 1 2" xfId="572"/>
    <cellStyle name="Heading 1 3" xfId="573"/>
    <cellStyle name="Heading 1 3 2" xfId="574"/>
    <cellStyle name="Heading 1 3_Period Overview Stats" xfId="575"/>
    <cellStyle name="Heading 1 4" xfId="576"/>
    <cellStyle name="Heading 1 5" xfId="577"/>
    <cellStyle name="Heading 1 6" xfId="578"/>
    <cellStyle name="Heading 1 7" xfId="579"/>
    <cellStyle name="Heading 1 8" xfId="580"/>
    <cellStyle name="Heading 1 9" xfId="581"/>
    <cellStyle name="Heading 2" xfId="582" builtinId="17" customBuiltin="1"/>
    <cellStyle name="Heading 2 10" xfId="583"/>
    <cellStyle name="Heading 2 11" xfId="584"/>
    <cellStyle name="Heading 2 12" xfId="585"/>
    <cellStyle name="Heading 2 2" xfId="586"/>
    <cellStyle name="Heading 2 3" xfId="587"/>
    <cellStyle name="Heading 2 3 2" xfId="588"/>
    <cellStyle name="Heading 2 4" xfId="589"/>
    <cellStyle name="Heading 2 5" xfId="590"/>
    <cellStyle name="Heading 2 6" xfId="591"/>
    <cellStyle name="Heading 2 7" xfId="592"/>
    <cellStyle name="Heading 2 8" xfId="593"/>
    <cellStyle name="Heading 2 9" xfId="594"/>
    <cellStyle name="Heading 3" xfId="595" builtinId="18" customBuiltin="1"/>
    <cellStyle name="Heading 3 10" xfId="596"/>
    <cellStyle name="Heading 3 11" xfId="597"/>
    <cellStyle name="Heading 3 12" xfId="598"/>
    <cellStyle name="Heading 3 2" xfId="599"/>
    <cellStyle name="Heading 3 3" xfId="600"/>
    <cellStyle name="Heading 3 3 2" xfId="601"/>
    <cellStyle name="Heading 3 3_Period Overview Stats" xfId="602"/>
    <cellStyle name="Heading 3 4" xfId="603"/>
    <cellStyle name="Heading 3 5" xfId="604"/>
    <cellStyle name="Heading 3 6" xfId="605"/>
    <cellStyle name="Heading 3 7" xfId="606"/>
    <cellStyle name="Heading 3 8" xfId="607"/>
    <cellStyle name="Heading 3 9" xfId="608"/>
    <cellStyle name="Heading 4" xfId="609" builtinId="19" customBuiltin="1"/>
    <cellStyle name="Heading 4 10" xfId="610"/>
    <cellStyle name="Heading 4 11" xfId="611"/>
    <cellStyle name="Heading 4 12" xfId="612"/>
    <cellStyle name="Heading 4 2" xfId="613"/>
    <cellStyle name="Heading 4 3" xfId="614"/>
    <cellStyle name="Heading 4 3 2" xfId="615"/>
    <cellStyle name="Heading 4 4" xfId="616"/>
    <cellStyle name="Heading 4 5" xfId="617"/>
    <cellStyle name="Heading 4 6" xfId="618"/>
    <cellStyle name="Heading 4 7" xfId="619"/>
    <cellStyle name="Heading 4 8" xfId="620"/>
    <cellStyle name="Heading 4 9" xfId="621"/>
    <cellStyle name="Hyperlink 8" xfId="622"/>
    <cellStyle name="Input" xfId="623" builtinId="20" customBuiltin="1"/>
    <cellStyle name="Input 10" xfId="624"/>
    <cellStyle name="Input 11" xfId="625"/>
    <cellStyle name="Input 2" xfId="626"/>
    <cellStyle name="Input 3" xfId="627"/>
    <cellStyle name="Input 3 2" xfId="628"/>
    <cellStyle name="Input 3_Period Overview Stats" xfId="629"/>
    <cellStyle name="Input 4" xfId="630"/>
    <cellStyle name="Input 5" xfId="631"/>
    <cellStyle name="Input 6" xfId="632"/>
    <cellStyle name="Input 7" xfId="633"/>
    <cellStyle name="Input 8" xfId="634"/>
    <cellStyle name="Input 9" xfId="635"/>
    <cellStyle name="Komma [0]_CM_DATA_TRAXIS" xfId="636"/>
    <cellStyle name="Komma_CM_DATA_TRAXIS" xfId="637"/>
    <cellStyle name="Lien hypertexte" xfId="638"/>
    <cellStyle name="Lien hypertexte 2" xfId="639"/>
    <cellStyle name="Lien hypertexte 2 2" xfId="640"/>
    <cellStyle name="Lien hypertexte 2 3" xfId="641"/>
    <cellStyle name="Lien hypertexte 2 4" xfId="642"/>
    <cellStyle name="Lien hypertexte 2_Sheet1" xfId="643"/>
    <cellStyle name="Lien hypertexte 3" xfId="644"/>
    <cellStyle name="Lien hypertexte 4" xfId="645"/>
    <cellStyle name="Lien hypertexte 5" xfId="646"/>
    <cellStyle name="Lien hypertexte 6" xfId="647"/>
    <cellStyle name="Lien hypertexte visité_000106 rev00 en" xfId="648"/>
    <cellStyle name="Lien hypertexte_000106 rev00 en" xfId="649"/>
    <cellStyle name="Linked Cell" xfId="650" builtinId="24" customBuiltin="1"/>
    <cellStyle name="Linked Cell 10" xfId="651"/>
    <cellStyle name="Linked Cell 11" xfId="652"/>
    <cellStyle name="Linked Cell 2" xfId="653"/>
    <cellStyle name="Linked Cell 3" xfId="654"/>
    <cellStyle name="Linked Cell 3 2" xfId="655"/>
    <cellStyle name="Linked Cell 3_Period Overview Stats" xfId="656"/>
    <cellStyle name="Linked Cell 4" xfId="657"/>
    <cellStyle name="Linked Cell 5" xfId="658"/>
    <cellStyle name="Linked Cell 6" xfId="659"/>
    <cellStyle name="Linked Cell 7" xfId="660"/>
    <cellStyle name="Linked Cell 8" xfId="661"/>
    <cellStyle name="Linked Cell 9" xfId="662"/>
    <cellStyle name="Macro" xfId="663"/>
    <cellStyle name="Macro 2" xfId="664"/>
    <cellStyle name="Macro 2 2" xfId="665"/>
    <cellStyle name="Macro 2 3" xfId="666"/>
    <cellStyle name="Macro 2 4" xfId="667"/>
    <cellStyle name="Macro 2_Sheet1" xfId="668"/>
    <cellStyle name="Macro 3" xfId="669"/>
    <cellStyle name="Macro 4" xfId="670"/>
    <cellStyle name="Macro 5" xfId="671"/>
    <cellStyle name="Macro 6" xfId="672"/>
    <cellStyle name="Macro 7" xfId="673"/>
    <cellStyle name="Macro_HY OS Order book 02.11.2011" xfId="674"/>
    <cellStyle name="Milliers [0]_~0032285" xfId="675"/>
    <cellStyle name="Milliers_~0032285" xfId="676"/>
    <cellStyle name="Monétaire [0]_~0032285" xfId="677"/>
    <cellStyle name="Monétaire_~0032285" xfId="678"/>
    <cellStyle name="Neutral" xfId="679" builtinId="28" customBuiltin="1"/>
    <cellStyle name="Neutral 10" xfId="680"/>
    <cellStyle name="Neutral 11" xfId="681"/>
    <cellStyle name="Neutral 2" xfId="682"/>
    <cellStyle name="Neutral 3" xfId="683"/>
    <cellStyle name="Neutral 3 2" xfId="684"/>
    <cellStyle name="Neutral 4" xfId="685"/>
    <cellStyle name="Neutral 5" xfId="686"/>
    <cellStyle name="Neutral 6" xfId="687"/>
    <cellStyle name="Neutral 7" xfId="688"/>
    <cellStyle name="Neutral 8" xfId="689"/>
    <cellStyle name="Neutral 9" xfId="690"/>
    <cellStyle name="Normal" xfId="0" builtinId="0"/>
    <cellStyle name="Normal 10" xfId="691"/>
    <cellStyle name="Normal 10 10" xfId="692"/>
    <cellStyle name="Normal 10 11" xfId="693"/>
    <cellStyle name="Normal 10 12" xfId="694"/>
    <cellStyle name="Normal 10 13" xfId="695"/>
    <cellStyle name="Normal 10 14" xfId="696"/>
    <cellStyle name="Normal 10 2" xfId="697"/>
    <cellStyle name="Normal 10 2 2" xfId="698"/>
    <cellStyle name="Normal 10 2 3" xfId="699"/>
    <cellStyle name="Normal 10 2 4" xfId="700"/>
    <cellStyle name="Normal 10 2 5" xfId="701"/>
    <cellStyle name="Normal 10 2_Sheet1" xfId="702"/>
    <cellStyle name="Normal 10 3" xfId="703"/>
    <cellStyle name="Normal 10 3 2" xfId="704"/>
    <cellStyle name="Normal 10 3 3" xfId="705"/>
    <cellStyle name="Normal 10 3 4" xfId="706"/>
    <cellStyle name="Normal 10 3 5" xfId="707"/>
    <cellStyle name="Normal 10 3_Sheet1" xfId="708"/>
    <cellStyle name="Normal 10 4" xfId="709"/>
    <cellStyle name="Normal 10 4 2" xfId="710"/>
    <cellStyle name="Normal 10 4 3" xfId="711"/>
    <cellStyle name="Normal 10 4 4" xfId="712"/>
    <cellStyle name="Normal 10 4 5" xfId="713"/>
    <cellStyle name="Normal 10 4_Sheet1" xfId="714"/>
    <cellStyle name="Normal 10 5" xfId="715"/>
    <cellStyle name="Normal 10 5 2" xfId="716"/>
    <cellStyle name="Normal 10 5 3" xfId="717"/>
    <cellStyle name="Normal 10 5 4" xfId="718"/>
    <cellStyle name="Normal 10 5 5" xfId="719"/>
    <cellStyle name="Normal 10 5_Sheet1" xfId="720"/>
    <cellStyle name="Normal 10 6" xfId="721"/>
    <cellStyle name="Normal 10 6 2" xfId="722"/>
    <cellStyle name="Normal 10 6 3" xfId="723"/>
    <cellStyle name="Normal 10 6 4" xfId="724"/>
    <cellStyle name="Normal 10 6 5" xfId="725"/>
    <cellStyle name="Normal 10 6_Sheet1" xfId="726"/>
    <cellStyle name="Normal 10 7" xfId="727"/>
    <cellStyle name="Normal 10 7 2" xfId="728"/>
    <cellStyle name="Normal 10 7 3" xfId="729"/>
    <cellStyle name="Normal 10 7 4" xfId="730"/>
    <cellStyle name="Normal 10 7 5" xfId="731"/>
    <cellStyle name="Normal 10 7_Sheet1" xfId="732"/>
    <cellStyle name="Normal 10 8" xfId="733"/>
    <cellStyle name="Normal 10 8 2" xfId="734"/>
    <cellStyle name="Normal 10 8 3" xfId="735"/>
    <cellStyle name="Normal 10 8 4" xfId="736"/>
    <cellStyle name="Normal 10 8 5" xfId="737"/>
    <cellStyle name="Normal 10 8_Sheet1" xfId="738"/>
    <cellStyle name="Normal 10 9" xfId="739"/>
    <cellStyle name="Normal 10 9 2" xfId="740"/>
    <cellStyle name="Normal 10 9 3" xfId="741"/>
    <cellStyle name="Normal 10 9 4" xfId="742"/>
    <cellStyle name="Normal 10 9_Sheet1" xfId="743"/>
    <cellStyle name="Normal 10_1st Pick root cause" xfId="744"/>
    <cellStyle name="Normal 11" xfId="745"/>
    <cellStyle name="Normal 11 10" xfId="746"/>
    <cellStyle name="Normal 11 11" xfId="747"/>
    <cellStyle name="Normal 11 12" xfId="748"/>
    <cellStyle name="Normal 11 13" xfId="749"/>
    <cellStyle name="Normal 11 14" xfId="750"/>
    <cellStyle name="Normal 11 2" xfId="751"/>
    <cellStyle name="Normal 11 2 2" xfId="752"/>
    <cellStyle name="Normal 11 2 3" xfId="753"/>
    <cellStyle name="Normal 11 2 4" xfId="754"/>
    <cellStyle name="Normal 11 2 5" xfId="755"/>
    <cellStyle name="Normal 11 2_Sheet1" xfId="756"/>
    <cellStyle name="Normal 11 3" xfId="757"/>
    <cellStyle name="Normal 11 3 2" xfId="758"/>
    <cellStyle name="Normal 11 3 3" xfId="759"/>
    <cellStyle name="Normal 11 3 4" xfId="760"/>
    <cellStyle name="Normal 11 3 5" xfId="761"/>
    <cellStyle name="Normal 11 3_Sheet1" xfId="762"/>
    <cellStyle name="Normal 11 4" xfId="763"/>
    <cellStyle name="Normal 11 4 2" xfId="764"/>
    <cellStyle name="Normal 11 4 3" xfId="765"/>
    <cellStyle name="Normal 11 4 4" xfId="766"/>
    <cellStyle name="Normal 11 4 5" xfId="767"/>
    <cellStyle name="Normal 11 4_Sheet1" xfId="768"/>
    <cellStyle name="Normal 11 5" xfId="769"/>
    <cellStyle name="Normal 11 5 2" xfId="770"/>
    <cellStyle name="Normal 11 5 3" xfId="771"/>
    <cellStyle name="Normal 11 5 4" xfId="772"/>
    <cellStyle name="Normal 11 5 5" xfId="773"/>
    <cellStyle name="Normal 11 5_Sheet1" xfId="774"/>
    <cellStyle name="Normal 11 6" xfId="775"/>
    <cellStyle name="Normal 11 6 2" xfId="776"/>
    <cellStyle name="Normal 11 6 3" xfId="777"/>
    <cellStyle name="Normal 11 6 4" xfId="778"/>
    <cellStyle name="Normal 11 6 5" xfId="779"/>
    <cellStyle name="Normal 11 6_Sheet1" xfId="780"/>
    <cellStyle name="Normal 11 7" xfId="781"/>
    <cellStyle name="Normal 11 7 2" xfId="782"/>
    <cellStyle name="Normal 11 7 3" xfId="783"/>
    <cellStyle name="Normal 11 7 4" xfId="784"/>
    <cellStyle name="Normal 11 7 5" xfId="785"/>
    <cellStyle name="Normal 11 7_Sheet1" xfId="786"/>
    <cellStyle name="Normal 11 8" xfId="787"/>
    <cellStyle name="Normal 11 8 2" xfId="788"/>
    <cellStyle name="Normal 11 8 3" xfId="789"/>
    <cellStyle name="Normal 11 8 4" xfId="790"/>
    <cellStyle name="Normal 11 8 5" xfId="791"/>
    <cellStyle name="Normal 11 8_Sheet1" xfId="792"/>
    <cellStyle name="Normal 11 9" xfId="793"/>
    <cellStyle name="Normal 11 9 2" xfId="794"/>
    <cellStyle name="Normal 11 9 3" xfId="795"/>
    <cellStyle name="Normal 11 9 4" xfId="796"/>
    <cellStyle name="Normal 11 9_Sheet1" xfId="797"/>
    <cellStyle name="Normal 11_1st Pick root cause" xfId="798"/>
    <cellStyle name="Normal 12" xfId="799"/>
    <cellStyle name="Normal 12 2" xfId="800"/>
    <cellStyle name="Normal 12 3" xfId="801"/>
    <cellStyle name="Normal 12 4" xfId="802"/>
    <cellStyle name="Normal 12 5" xfId="803"/>
    <cellStyle name="Normal 12_Sheet1" xfId="804"/>
    <cellStyle name="Normal 13" xfId="805"/>
    <cellStyle name="Normal 13 10" xfId="806"/>
    <cellStyle name="Normal 13 11" xfId="807"/>
    <cellStyle name="Normal 13 12" xfId="808"/>
    <cellStyle name="Normal 13 13" xfId="809"/>
    <cellStyle name="Normal 13 14" xfId="810"/>
    <cellStyle name="Normal 13 2" xfId="811"/>
    <cellStyle name="Normal 13 2 2" xfId="812"/>
    <cellStyle name="Normal 13 2 3" xfId="813"/>
    <cellStyle name="Normal 13 2 4" xfId="814"/>
    <cellStyle name="Normal 13 2 5" xfId="815"/>
    <cellStyle name="Normal 13 2_Sheet1" xfId="816"/>
    <cellStyle name="Normal 13 3" xfId="817"/>
    <cellStyle name="Normal 13 3 2" xfId="818"/>
    <cellStyle name="Normal 13 3 3" xfId="819"/>
    <cellStyle name="Normal 13 3 4" xfId="820"/>
    <cellStyle name="Normal 13 3 5" xfId="821"/>
    <cellStyle name="Normal 13 3_Sheet1" xfId="822"/>
    <cellStyle name="Normal 13 4" xfId="823"/>
    <cellStyle name="Normal 13 4 2" xfId="824"/>
    <cellStyle name="Normal 13 4 3" xfId="825"/>
    <cellStyle name="Normal 13 4 4" xfId="826"/>
    <cellStyle name="Normal 13 4 5" xfId="827"/>
    <cellStyle name="Normal 13 4_Sheet1" xfId="828"/>
    <cellStyle name="Normal 13 5" xfId="829"/>
    <cellStyle name="Normal 13 5 2" xfId="830"/>
    <cellStyle name="Normal 13 5 3" xfId="831"/>
    <cellStyle name="Normal 13 5 4" xfId="832"/>
    <cellStyle name="Normal 13 5 5" xfId="833"/>
    <cellStyle name="Normal 13 5_Sheet1" xfId="834"/>
    <cellStyle name="Normal 13 6" xfId="835"/>
    <cellStyle name="Normal 13 6 2" xfId="836"/>
    <cellStyle name="Normal 13 6 3" xfId="837"/>
    <cellStyle name="Normal 13 6 4" xfId="838"/>
    <cellStyle name="Normal 13 6 5" xfId="839"/>
    <cellStyle name="Normal 13 6_Sheet1" xfId="840"/>
    <cellStyle name="Normal 13 7" xfId="841"/>
    <cellStyle name="Normal 13 7 2" xfId="842"/>
    <cellStyle name="Normal 13 7 3" xfId="843"/>
    <cellStyle name="Normal 13 7 4" xfId="844"/>
    <cellStyle name="Normal 13 7 5" xfId="845"/>
    <cellStyle name="Normal 13 7_Sheet1" xfId="846"/>
    <cellStyle name="Normal 13 8" xfId="847"/>
    <cellStyle name="Normal 13 8 2" xfId="848"/>
    <cellStyle name="Normal 13 8 3" xfId="849"/>
    <cellStyle name="Normal 13 8 4" xfId="850"/>
    <cellStyle name="Normal 13 8 5" xfId="851"/>
    <cellStyle name="Normal 13 8_Sheet1" xfId="852"/>
    <cellStyle name="Normal 13 9" xfId="853"/>
    <cellStyle name="Normal 13 9 2" xfId="854"/>
    <cellStyle name="Normal 13 9 3" xfId="855"/>
    <cellStyle name="Normal 13 9 4" xfId="856"/>
    <cellStyle name="Normal 13 9_Sheet1" xfId="857"/>
    <cellStyle name="Normal 13_1st Pick root cause" xfId="858"/>
    <cellStyle name="Normal 14" xfId="859"/>
    <cellStyle name="Normal 14 10" xfId="860"/>
    <cellStyle name="Normal 14 11" xfId="861"/>
    <cellStyle name="Normal 14 12" xfId="862"/>
    <cellStyle name="Normal 14 13" xfId="863"/>
    <cellStyle name="Normal 14 14" xfId="864"/>
    <cellStyle name="Normal 14 2" xfId="865"/>
    <cellStyle name="Normal 14 2 2" xfId="866"/>
    <cellStyle name="Normal 14 2 3" xfId="867"/>
    <cellStyle name="Normal 14 2 4" xfId="868"/>
    <cellStyle name="Normal 14 2 5" xfId="869"/>
    <cellStyle name="Normal 14 2_Sheet1" xfId="870"/>
    <cellStyle name="Normal 14 3" xfId="871"/>
    <cellStyle name="Normal 14 3 2" xfId="872"/>
    <cellStyle name="Normal 14 3 3" xfId="873"/>
    <cellStyle name="Normal 14 3 4" xfId="874"/>
    <cellStyle name="Normal 14 3 5" xfId="875"/>
    <cellStyle name="Normal 14 3_Sheet1" xfId="876"/>
    <cellStyle name="Normal 14 4" xfId="877"/>
    <cellStyle name="Normal 14 4 2" xfId="878"/>
    <cellStyle name="Normal 14 4 3" xfId="879"/>
    <cellStyle name="Normal 14 4 4" xfId="880"/>
    <cellStyle name="Normal 14 4 5" xfId="881"/>
    <cellStyle name="Normal 14 4_Sheet1" xfId="882"/>
    <cellStyle name="Normal 14 5" xfId="883"/>
    <cellStyle name="Normal 14 5 2" xfId="884"/>
    <cellStyle name="Normal 14 5 3" xfId="885"/>
    <cellStyle name="Normal 14 5 4" xfId="886"/>
    <cellStyle name="Normal 14 5 5" xfId="887"/>
    <cellStyle name="Normal 14 5_Sheet1" xfId="888"/>
    <cellStyle name="Normal 14 6" xfId="889"/>
    <cellStyle name="Normal 14 6 2" xfId="890"/>
    <cellStyle name="Normal 14 6 3" xfId="891"/>
    <cellStyle name="Normal 14 6 4" xfId="892"/>
    <cellStyle name="Normal 14 6 5" xfId="893"/>
    <cellStyle name="Normal 14 6_Sheet1" xfId="894"/>
    <cellStyle name="Normal 14 7" xfId="895"/>
    <cellStyle name="Normal 14 7 2" xfId="896"/>
    <cellStyle name="Normal 14 7 3" xfId="897"/>
    <cellStyle name="Normal 14 7 4" xfId="898"/>
    <cellStyle name="Normal 14 7 5" xfId="899"/>
    <cellStyle name="Normal 14 7_Sheet1" xfId="900"/>
    <cellStyle name="Normal 14 8" xfId="901"/>
    <cellStyle name="Normal 14 8 2" xfId="902"/>
    <cellStyle name="Normal 14 8 3" xfId="903"/>
    <cellStyle name="Normal 14 8 4" xfId="904"/>
    <cellStyle name="Normal 14 8 5" xfId="905"/>
    <cellStyle name="Normal 14 8_Sheet1" xfId="906"/>
    <cellStyle name="Normal 14 9" xfId="907"/>
    <cellStyle name="Normal 14 9 2" xfId="908"/>
    <cellStyle name="Normal 14 9 3" xfId="909"/>
    <cellStyle name="Normal 14 9 4" xfId="910"/>
    <cellStyle name="Normal 14 9_Sheet1" xfId="911"/>
    <cellStyle name="Normal 14_1st Pick root cause" xfId="912"/>
    <cellStyle name="Normal 15" xfId="913"/>
    <cellStyle name="Normal 15 10" xfId="914"/>
    <cellStyle name="Normal 15 11" xfId="915"/>
    <cellStyle name="Normal 15 12" xfId="916"/>
    <cellStyle name="Normal 15 13" xfId="917"/>
    <cellStyle name="Normal 15 14" xfId="918"/>
    <cellStyle name="Normal 15 2" xfId="919"/>
    <cellStyle name="Normal 15 2 2" xfId="920"/>
    <cellStyle name="Normal 15 2 3" xfId="921"/>
    <cellStyle name="Normal 15 2 4" xfId="922"/>
    <cellStyle name="Normal 15 2 5" xfId="923"/>
    <cellStyle name="Normal 15 2_Sheet1" xfId="924"/>
    <cellStyle name="Normal 15 3" xfId="925"/>
    <cellStyle name="Normal 15 3 2" xfId="926"/>
    <cellStyle name="Normal 15 3 3" xfId="927"/>
    <cellStyle name="Normal 15 3 4" xfId="928"/>
    <cellStyle name="Normal 15 3 5" xfId="929"/>
    <cellStyle name="Normal 15 3_Sheet1" xfId="930"/>
    <cellStyle name="Normal 15 4" xfId="931"/>
    <cellStyle name="Normal 15 4 2" xfId="932"/>
    <cellStyle name="Normal 15 4 3" xfId="933"/>
    <cellStyle name="Normal 15 4 4" xfId="934"/>
    <cellStyle name="Normal 15 4 5" xfId="935"/>
    <cellStyle name="Normal 15 4_Sheet1" xfId="936"/>
    <cellStyle name="Normal 15 5" xfId="937"/>
    <cellStyle name="Normal 15 5 2" xfId="938"/>
    <cellStyle name="Normal 15 5 3" xfId="939"/>
    <cellStyle name="Normal 15 5 4" xfId="940"/>
    <cellStyle name="Normal 15 5 5" xfId="941"/>
    <cellStyle name="Normal 15 5_Sheet1" xfId="942"/>
    <cellStyle name="Normal 15 6" xfId="943"/>
    <cellStyle name="Normal 15 6 2" xfId="944"/>
    <cellStyle name="Normal 15 6 3" xfId="945"/>
    <cellStyle name="Normal 15 6 4" xfId="946"/>
    <cellStyle name="Normal 15 6 5" xfId="947"/>
    <cellStyle name="Normal 15 6_Sheet1" xfId="948"/>
    <cellStyle name="Normal 15 7" xfId="949"/>
    <cellStyle name="Normal 15 7 2" xfId="950"/>
    <cellStyle name="Normal 15 7 3" xfId="951"/>
    <cellStyle name="Normal 15 7 4" xfId="952"/>
    <cellStyle name="Normal 15 7 5" xfId="953"/>
    <cellStyle name="Normal 15 7_Sheet1" xfId="954"/>
    <cellStyle name="Normal 15 8" xfId="955"/>
    <cellStyle name="Normal 15 8 2" xfId="956"/>
    <cellStyle name="Normal 15 8 3" xfId="957"/>
    <cellStyle name="Normal 15 8 4" xfId="958"/>
    <cellStyle name="Normal 15 8 5" xfId="959"/>
    <cellStyle name="Normal 15 8_Sheet1" xfId="960"/>
    <cellStyle name="Normal 15 9" xfId="961"/>
    <cellStyle name="Normal 15 9 2" xfId="962"/>
    <cellStyle name="Normal 15 9 3" xfId="963"/>
    <cellStyle name="Normal 15 9 4" xfId="964"/>
    <cellStyle name="Normal 15 9_Sheet1" xfId="965"/>
    <cellStyle name="Normal 15_1st Pick root cause" xfId="966"/>
    <cellStyle name="Normal 16" xfId="967"/>
    <cellStyle name="Normal 16 2" xfId="968"/>
    <cellStyle name="Normal 16 3" xfId="969"/>
    <cellStyle name="Normal 16 4" xfId="970"/>
    <cellStyle name="Normal 16 5" xfId="971"/>
    <cellStyle name="Normal 16 6" xfId="972"/>
    <cellStyle name="Normal 16_Sheet1" xfId="973"/>
    <cellStyle name="Normal 17" xfId="974"/>
    <cellStyle name="Normal 17 2" xfId="975"/>
    <cellStyle name="Normal 18" xfId="976"/>
    <cellStyle name="Normal 19" xfId="977"/>
    <cellStyle name="Normal 2" xfId="978"/>
    <cellStyle name="Normal 2 10" xfId="979"/>
    <cellStyle name="Normal 2 11" xfId="980"/>
    <cellStyle name="Normal 2 2" xfId="981"/>
    <cellStyle name="Normal 2 2 2" xfId="982"/>
    <cellStyle name="Normal 2 2 3" xfId="983"/>
    <cellStyle name="Normal 2 2 4" xfId="984"/>
    <cellStyle name="Normal 2 2 5" xfId="985"/>
    <cellStyle name="Normal 2 2_Sheet1" xfId="986"/>
    <cellStyle name="Normal 2 3" xfId="987"/>
    <cellStyle name="Normal 2 3 2" xfId="988"/>
    <cellStyle name="Normal 2 3 3" xfId="989"/>
    <cellStyle name="Normal 2 3 4" xfId="990"/>
    <cellStyle name="Normal 2 3 5" xfId="991"/>
    <cellStyle name="Normal 2 3_Sheet1" xfId="992"/>
    <cellStyle name="Normal 2 4" xfId="993"/>
    <cellStyle name="Normal 2 4 2" xfId="994"/>
    <cellStyle name="Normal 2 4 3" xfId="995"/>
    <cellStyle name="Normal 2 4 4" xfId="996"/>
    <cellStyle name="Normal 2 4 5" xfId="997"/>
    <cellStyle name="Normal 2 4_Sheet1" xfId="998"/>
    <cellStyle name="Normal 2 5" xfId="999"/>
    <cellStyle name="Normal 2 5 10" xfId="1000"/>
    <cellStyle name="Normal 2 5 11" xfId="1001"/>
    <cellStyle name="Normal 2 5 12" xfId="1002"/>
    <cellStyle name="Normal 2 5 13" xfId="1003"/>
    <cellStyle name="Normal 2 5 14" xfId="1004"/>
    <cellStyle name="Normal 2 5 2" xfId="1005"/>
    <cellStyle name="Normal 2 5 2 2" xfId="1006"/>
    <cellStyle name="Normal 2 5 2 3" xfId="1007"/>
    <cellStyle name="Normal 2 5 2 4" xfId="1008"/>
    <cellStyle name="Normal 2 5 2 5" xfId="1009"/>
    <cellStyle name="Normal 2 5 2_Sheet1" xfId="1010"/>
    <cellStyle name="Normal 2 5 3" xfId="1011"/>
    <cellStyle name="Normal 2 5 3 2" xfId="1012"/>
    <cellStyle name="Normal 2 5 3 3" xfId="1013"/>
    <cellStyle name="Normal 2 5 3 4" xfId="1014"/>
    <cellStyle name="Normal 2 5 3 5" xfId="1015"/>
    <cellStyle name="Normal 2 5 3_Sheet1" xfId="1016"/>
    <cellStyle name="Normal 2 5 4" xfId="1017"/>
    <cellStyle name="Normal 2 5 4 2" xfId="1018"/>
    <cellStyle name="Normal 2 5 4 3" xfId="1019"/>
    <cellStyle name="Normal 2 5 4 4" xfId="1020"/>
    <cellStyle name="Normal 2 5 4 5" xfId="1021"/>
    <cellStyle name="Normal 2 5 4_Sheet1" xfId="1022"/>
    <cellStyle name="Normal 2 5 5" xfId="1023"/>
    <cellStyle name="Normal 2 5 5 2" xfId="1024"/>
    <cellStyle name="Normal 2 5 5 3" xfId="1025"/>
    <cellStyle name="Normal 2 5 5 4" xfId="1026"/>
    <cellStyle name="Normal 2 5 5 5" xfId="1027"/>
    <cellStyle name="Normal 2 5 5_Sheet1" xfId="1028"/>
    <cellStyle name="Normal 2 5 6" xfId="1029"/>
    <cellStyle name="Normal 2 5 6 2" xfId="1030"/>
    <cellStyle name="Normal 2 5 6 3" xfId="1031"/>
    <cellStyle name="Normal 2 5 6 4" xfId="1032"/>
    <cellStyle name="Normal 2 5 6 5" xfId="1033"/>
    <cellStyle name="Normal 2 5 6_Sheet1" xfId="1034"/>
    <cellStyle name="Normal 2 5 7" xfId="1035"/>
    <cellStyle name="Normal 2 5 7 2" xfId="1036"/>
    <cellStyle name="Normal 2 5 7 3" xfId="1037"/>
    <cellStyle name="Normal 2 5 7 4" xfId="1038"/>
    <cellStyle name="Normal 2 5 7 5" xfId="1039"/>
    <cellStyle name="Normal 2 5 7_Sheet1" xfId="1040"/>
    <cellStyle name="Normal 2 5 8" xfId="1041"/>
    <cellStyle name="Normal 2 5 8 2" xfId="1042"/>
    <cellStyle name="Normal 2 5 8 3" xfId="1043"/>
    <cellStyle name="Normal 2 5 8 4" xfId="1044"/>
    <cellStyle name="Normal 2 5 8 5" xfId="1045"/>
    <cellStyle name="Normal 2 5 8_Sheet1" xfId="1046"/>
    <cellStyle name="Normal 2 5 9" xfId="1047"/>
    <cellStyle name="Normal 2 5 9 2" xfId="1048"/>
    <cellStyle name="Normal 2 5 9 3" xfId="1049"/>
    <cellStyle name="Normal 2 5 9 4" xfId="1050"/>
    <cellStyle name="Normal 2 5 9_Sheet1" xfId="1051"/>
    <cellStyle name="Normal 2 5_1st Pick root cause" xfId="1052"/>
    <cellStyle name="Normal 2 6" xfId="1053"/>
    <cellStyle name="Normal 2 6 2" xfId="1054"/>
    <cellStyle name="Normal 2 6 3" xfId="1055"/>
    <cellStyle name="Normal 2 6 4" xfId="1056"/>
    <cellStyle name="Normal 2 6_Sheet1" xfId="1057"/>
    <cellStyle name="Normal 2 7" xfId="1058"/>
    <cellStyle name="Normal 2 8" xfId="1059"/>
    <cellStyle name="Normal 2 9" xfId="1060"/>
    <cellStyle name="Normal 2_1st Pick root cause" xfId="1061"/>
    <cellStyle name="Normal 20" xfId="1062"/>
    <cellStyle name="Normal 21" xfId="1063"/>
    <cellStyle name="Normal 21 2" xfId="1064"/>
    <cellStyle name="Normal 21 3" xfId="1065"/>
    <cellStyle name="Normal 21 4" xfId="1066"/>
    <cellStyle name="Normal 21 5" xfId="1067"/>
    <cellStyle name="Normal 21_Sheet1" xfId="1068"/>
    <cellStyle name="Normal 22" xfId="1069"/>
    <cellStyle name="Normal 23" xfId="1070"/>
    <cellStyle name="Normal 24" xfId="1071"/>
    <cellStyle name="Normal 25" xfId="1072"/>
    <cellStyle name="Normal 26" xfId="1073"/>
    <cellStyle name="Normal 27" xfId="1074"/>
    <cellStyle name="Normal 28" xfId="1075"/>
    <cellStyle name="Normal 29" xfId="1076"/>
    <cellStyle name="Normal 3" xfId="1077"/>
    <cellStyle name="Normal 3 10" xfId="1078"/>
    <cellStyle name="Normal 3 10 2" xfId="1079"/>
    <cellStyle name="Normal 3 10 3" xfId="1080"/>
    <cellStyle name="Normal 3 10 4" xfId="1081"/>
    <cellStyle name="Normal 3 10 5" xfId="1082"/>
    <cellStyle name="Normal 3 10_Sheet1" xfId="1083"/>
    <cellStyle name="Normal 3 11" xfId="1084"/>
    <cellStyle name="Normal 3 11 2" xfId="1085"/>
    <cellStyle name="Normal 3 11 3" xfId="1086"/>
    <cellStyle name="Normal 3 11 4" xfId="1087"/>
    <cellStyle name="Normal 3 11 5" xfId="1088"/>
    <cellStyle name="Normal 3 11_Sheet1" xfId="1089"/>
    <cellStyle name="Normal 3 12" xfId="1090"/>
    <cellStyle name="Normal 3 12 2" xfId="1091"/>
    <cellStyle name="Normal 3 12 3" xfId="1092"/>
    <cellStyle name="Normal 3 12 4" xfId="1093"/>
    <cellStyle name="Normal 3 12_Sheet1" xfId="1094"/>
    <cellStyle name="Normal 3 13" xfId="1095"/>
    <cellStyle name="Normal 3 14" xfId="1096"/>
    <cellStyle name="Normal 3 15" xfId="1097"/>
    <cellStyle name="Normal 3 16" xfId="1098"/>
    <cellStyle name="Normal 3 17" xfId="1099"/>
    <cellStyle name="Normal 3 18" xfId="1100"/>
    <cellStyle name="Normal 3 2" xfId="1101"/>
    <cellStyle name="Normal 3 2 2" xfId="1102"/>
    <cellStyle name="Normal 3 2 3" xfId="1103"/>
    <cellStyle name="Normal 3 2 4" xfId="1104"/>
    <cellStyle name="Normal 3 2 5" xfId="1105"/>
    <cellStyle name="Normal 3 2_Sheet1" xfId="1106"/>
    <cellStyle name="Normal 3 3" xfId="1107"/>
    <cellStyle name="Normal 3 3 2" xfId="1108"/>
    <cellStyle name="Normal 3 3 3" xfId="1109"/>
    <cellStyle name="Normal 3 3 4" xfId="1110"/>
    <cellStyle name="Normal 3 3 5" xfId="1111"/>
    <cellStyle name="Normal 3 3_Sheet1" xfId="1112"/>
    <cellStyle name="Normal 3 4" xfId="1113"/>
    <cellStyle name="Normal 3 4 10" xfId="1114"/>
    <cellStyle name="Normal 3 4 11" xfId="1115"/>
    <cellStyle name="Normal 3 4 12" xfId="1116"/>
    <cellStyle name="Normal 3 4 13" xfId="1117"/>
    <cellStyle name="Normal 3 4 14" xfId="1118"/>
    <cellStyle name="Normal 3 4 2" xfId="1119"/>
    <cellStyle name="Normal 3 4 2 2" xfId="1120"/>
    <cellStyle name="Normal 3 4 2 3" xfId="1121"/>
    <cellStyle name="Normal 3 4 2 4" xfId="1122"/>
    <cellStyle name="Normal 3 4 2 5" xfId="1123"/>
    <cellStyle name="Normal 3 4 2_Sheet1" xfId="1124"/>
    <cellStyle name="Normal 3 4 3" xfId="1125"/>
    <cellStyle name="Normal 3 4 3 2" xfId="1126"/>
    <cellStyle name="Normal 3 4 3 3" xfId="1127"/>
    <cellStyle name="Normal 3 4 3 4" xfId="1128"/>
    <cellStyle name="Normal 3 4 3 5" xfId="1129"/>
    <cellStyle name="Normal 3 4 3_Sheet1" xfId="1130"/>
    <cellStyle name="Normal 3 4 4" xfId="1131"/>
    <cellStyle name="Normal 3 4 4 2" xfId="1132"/>
    <cellStyle name="Normal 3 4 4 3" xfId="1133"/>
    <cellStyle name="Normal 3 4 4 4" xfId="1134"/>
    <cellStyle name="Normal 3 4 4 5" xfId="1135"/>
    <cellStyle name="Normal 3 4 4_Sheet1" xfId="1136"/>
    <cellStyle name="Normal 3 4 5" xfId="1137"/>
    <cellStyle name="Normal 3 4 5 2" xfId="1138"/>
    <cellStyle name="Normal 3 4 5 3" xfId="1139"/>
    <cellStyle name="Normal 3 4 5 4" xfId="1140"/>
    <cellStyle name="Normal 3 4 5 5" xfId="1141"/>
    <cellStyle name="Normal 3 4 5_Sheet1" xfId="1142"/>
    <cellStyle name="Normal 3 4 6" xfId="1143"/>
    <cellStyle name="Normal 3 4 6 2" xfId="1144"/>
    <cellStyle name="Normal 3 4 6 3" xfId="1145"/>
    <cellStyle name="Normal 3 4 6 4" xfId="1146"/>
    <cellStyle name="Normal 3 4 6 5" xfId="1147"/>
    <cellStyle name="Normal 3 4 6_Sheet1" xfId="1148"/>
    <cellStyle name="Normal 3 4 7" xfId="1149"/>
    <cellStyle name="Normal 3 4 7 2" xfId="1150"/>
    <cellStyle name="Normal 3 4 7 3" xfId="1151"/>
    <cellStyle name="Normal 3 4 7 4" xfId="1152"/>
    <cellStyle name="Normal 3 4 7 5" xfId="1153"/>
    <cellStyle name="Normal 3 4 7_Sheet1" xfId="1154"/>
    <cellStyle name="Normal 3 4 8" xfId="1155"/>
    <cellStyle name="Normal 3 4 8 2" xfId="1156"/>
    <cellStyle name="Normal 3 4 8 3" xfId="1157"/>
    <cellStyle name="Normal 3 4 8 4" xfId="1158"/>
    <cellStyle name="Normal 3 4 8 5" xfId="1159"/>
    <cellStyle name="Normal 3 4 8_Sheet1" xfId="1160"/>
    <cellStyle name="Normal 3 4 9" xfId="1161"/>
    <cellStyle name="Normal 3 4 9 2" xfId="1162"/>
    <cellStyle name="Normal 3 4 9 3" xfId="1163"/>
    <cellStyle name="Normal 3 4 9 4" xfId="1164"/>
    <cellStyle name="Normal 3 4 9_Sheet1" xfId="1165"/>
    <cellStyle name="Normal 3 4_1st Pick root cause" xfId="1166"/>
    <cellStyle name="Normal 3 5" xfId="1167"/>
    <cellStyle name="Normal 3 5 2" xfId="1168"/>
    <cellStyle name="Normal 3 5 3" xfId="1169"/>
    <cellStyle name="Normal 3 5 4" xfId="1170"/>
    <cellStyle name="Normal 3 5 5" xfId="1171"/>
    <cellStyle name="Normal 3 5_Sheet1" xfId="1172"/>
    <cellStyle name="Normal 3 6" xfId="1173"/>
    <cellStyle name="Normal 3 6 2" xfId="1174"/>
    <cellStyle name="Normal 3 6 3" xfId="1175"/>
    <cellStyle name="Normal 3 6 4" xfId="1176"/>
    <cellStyle name="Normal 3 6 5" xfId="1177"/>
    <cellStyle name="Normal 3 6_Sheet1" xfId="1178"/>
    <cellStyle name="Normal 3 7" xfId="1179"/>
    <cellStyle name="Normal 3 7 2" xfId="1180"/>
    <cellStyle name="Normal 3 7 3" xfId="1181"/>
    <cellStyle name="Normal 3 7 4" xfId="1182"/>
    <cellStyle name="Normal 3 7 5" xfId="1183"/>
    <cellStyle name="Normal 3 7_Sheet1" xfId="1184"/>
    <cellStyle name="Normal 3 8" xfId="1185"/>
    <cellStyle name="Normal 3 8 2" xfId="1186"/>
    <cellStyle name="Normal 3 8 3" xfId="1187"/>
    <cellStyle name="Normal 3 8 4" xfId="1188"/>
    <cellStyle name="Normal 3 8 5" xfId="1189"/>
    <cellStyle name="Normal 3 8_Sheet1" xfId="1190"/>
    <cellStyle name="Normal 3 9" xfId="1191"/>
    <cellStyle name="Normal 3 9 2" xfId="1192"/>
    <cellStyle name="Normal 3 9 3" xfId="1193"/>
    <cellStyle name="Normal 3 9 4" xfId="1194"/>
    <cellStyle name="Normal 3 9 5" xfId="1195"/>
    <cellStyle name="Normal 3 9_Sheet1" xfId="1196"/>
    <cellStyle name="Normal 3_1st Pick root cause" xfId="1197"/>
    <cellStyle name="Normal 30" xfId="1198"/>
    <cellStyle name="Normal 31" xfId="1199"/>
    <cellStyle name="Normal 32" xfId="1200"/>
    <cellStyle name="Normal 33" xfId="1201"/>
    <cellStyle name="Normal 34" xfId="1202"/>
    <cellStyle name="Normal 35" xfId="1203"/>
    <cellStyle name="Normal 36" xfId="1204"/>
    <cellStyle name="Normal 37" xfId="1205"/>
    <cellStyle name="Normal 38" xfId="1206"/>
    <cellStyle name="Normal 39" xfId="1207"/>
    <cellStyle name="Normal 4" xfId="1208"/>
    <cellStyle name="Normal 4 2" xfId="1209"/>
    <cellStyle name="Normal 4 2 10" xfId="1210"/>
    <cellStyle name="Normal 4 2 10 2" xfId="1211"/>
    <cellStyle name="Normal 4 2 10 3" xfId="1212"/>
    <cellStyle name="Normal 4 2 10 4" xfId="1213"/>
    <cellStyle name="Normal 4 2 10_Sheet1" xfId="1214"/>
    <cellStyle name="Normal 4 2 11" xfId="1215"/>
    <cellStyle name="Normal 4 2 12" xfId="1216"/>
    <cellStyle name="Normal 4 2 13" xfId="1217"/>
    <cellStyle name="Normal 4 2 14" xfId="1218"/>
    <cellStyle name="Normal 4 2 15" xfId="1219"/>
    <cellStyle name="Normal 4 2 2" xfId="1220"/>
    <cellStyle name="Normal 4 2 2 2" xfId="1221"/>
    <cellStyle name="Normal 4 2 2 3" xfId="1222"/>
    <cellStyle name="Normal 4 2 2 4" xfId="1223"/>
    <cellStyle name="Normal 4 2 2 5" xfId="1224"/>
    <cellStyle name="Normal 4 2 2_Sheet1" xfId="1225"/>
    <cellStyle name="Normal 4 2 3" xfId="1226"/>
    <cellStyle name="Normal 4 2 3 2" xfId="1227"/>
    <cellStyle name="Normal 4 2 3 3" xfId="1228"/>
    <cellStyle name="Normal 4 2 3 4" xfId="1229"/>
    <cellStyle name="Normal 4 2 3 5" xfId="1230"/>
    <cellStyle name="Normal 4 2 3_Sheet1" xfId="1231"/>
    <cellStyle name="Normal 4 2 4" xfId="1232"/>
    <cellStyle name="Normal 4 2 4 2" xfId="1233"/>
    <cellStyle name="Normal 4 2 4 3" xfId="1234"/>
    <cellStyle name="Normal 4 2 4 4" xfId="1235"/>
    <cellStyle name="Normal 4 2 4 5" xfId="1236"/>
    <cellStyle name="Normal 4 2 4_Sheet1" xfId="1237"/>
    <cellStyle name="Normal 4 2 5" xfId="1238"/>
    <cellStyle name="Normal 4 2 5 2" xfId="1239"/>
    <cellStyle name="Normal 4 2 5 3" xfId="1240"/>
    <cellStyle name="Normal 4 2 5 4" xfId="1241"/>
    <cellStyle name="Normal 4 2 5 5" xfId="1242"/>
    <cellStyle name="Normal 4 2 5_Sheet1" xfId="1243"/>
    <cellStyle name="Normal 4 2 6" xfId="1244"/>
    <cellStyle name="Normal 4 2 6 2" xfId="1245"/>
    <cellStyle name="Normal 4 2 6 3" xfId="1246"/>
    <cellStyle name="Normal 4 2 6 4" xfId="1247"/>
    <cellStyle name="Normal 4 2 6 5" xfId="1248"/>
    <cellStyle name="Normal 4 2 6_Sheet1" xfId="1249"/>
    <cellStyle name="Normal 4 2 7" xfId="1250"/>
    <cellStyle name="Normal 4 2 7 2" xfId="1251"/>
    <cellStyle name="Normal 4 2 7 3" xfId="1252"/>
    <cellStyle name="Normal 4 2 7 4" xfId="1253"/>
    <cellStyle name="Normal 4 2 7 5" xfId="1254"/>
    <cellStyle name="Normal 4 2 7_Sheet1" xfId="1255"/>
    <cellStyle name="Normal 4 2 8" xfId="1256"/>
    <cellStyle name="Normal 4 2 8 2" xfId="1257"/>
    <cellStyle name="Normal 4 2 8 3" xfId="1258"/>
    <cellStyle name="Normal 4 2 8 4" xfId="1259"/>
    <cellStyle name="Normal 4 2 8 5" xfId="1260"/>
    <cellStyle name="Normal 4 2 8_Sheet1" xfId="1261"/>
    <cellStyle name="Normal 4 2 9" xfId="1262"/>
    <cellStyle name="Normal 4 2 9 2" xfId="1263"/>
    <cellStyle name="Normal 4 2 9 3" xfId="1264"/>
    <cellStyle name="Normal 4 2 9 4" xfId="1265"/>
    <cellStyle name="Normal 4 2 9 5" xfId="1266"/>
    <cellStyle name="Normal 4 2 9_Sheet1" xfId="1267"/>
    <cellStyle name="Normal 4 2_1st Pick root cause" xfId="1268"/>
    <cellStyle name="Normal 4 3" xfId="1269"/>
    <cellStyle name="Normal 4 4" xfId="1270"/>
    <cellStyle name="Normal 4 5" xfId="1271"/>
    <cellStyle name="Normal 4 6" xfId="1272"/>
    <cellStyle name="Normal 4_Sheet1" xfId="1273"/>
    <cellStyle name="Normal 40" xfId="1274"/>
    <cellStyle name="Normal 41" xfId="1275"/>
    <cellStyle name="Normal 42" xfId="1276"/>
    <cellStyle name="Normal 43" xfId="1277"/>
    <cellStyle name="Normal 44" xfId="1278"/>
    <cellStyle name="Normal 45" xfId="1279"/>
    <cellStyle name="Normal 46" xfId="1280"/>
    <cellStyle name="Normal 47" xfId="1281"/>
    <cellStyle name="Normal 48" xfId="1282"/>
    <cellStyle name="Normal 49" xfId="1283"/>
    <cellStyle name="Normal 5" xfId="1284"/>
    <cellStyle name="Normal 5 10" xfId="1285"/>
    <cellStyle name="Normal 5 11" xfId="1286"/>
    <cellStyle name="Normal 5 12" xfId="1287"/>
    <cellStyle name="Normal 5 13" xfId="1288"/>
    <cellStyle name="Normal 5 2" xfId="1289"/>
    <cellStyle name="Normal 5 2 2" xfId="1290"/>
    <cellStyle name="Normal 5 2 2 2" xfId="1291"/>
    <cellStyle name="Normal 5 2 2 3" xfId="1292"/>
    <cellStyle name="Normal 5 2 2 4" xfId="1293"/>
    <cellStyle name="Normal 5 2 2_Sheet1" xfId="1294"/>
    <cellStyle name="Normal 5 2 3" xfId="1295"/>
    <cellStyle name="Normal 5 2 4" xfId="1296"/>
    <cellStyle name="Normal 5 2 5" xfId="1297"/>
    <cellStyle name="Normal 5 2 6" xfId="1298"/>
    <cellStyle name="Normal 5 2 7" xfId="1299"/>
    <cellStyle name="Normal 5 2_HY OS Order book 02.11.2011" xfId="1300"/>
    <cellStyle name="Normal 5 3" xfId="1301"/>
    <cellStyle name="Normal 5 3 2" xfId="1302"/>
    <cellStyle name="Normal 5 3 3" xfId="1303"/>
    <cellStyle name="Normal 5 3 4" xfId="1304"/>
    <cellStyle name="Normal 5 3 5" xfId="1305"/>
    <cellStyle name="Normal 5 3_Sheet1" xfId="1306"/>
    <cellStyle name="Normal 5 4" xfId="1307"/>
    <cellStyle name="Normal 5 4 2" xfId="1308"/>
    <cellStyle name="Normal 5 4 3" xfId="1309"/>
    <cellStyle name="Normal 5 4 4" xfId="1310"/>
    <cellStyle name="Normal 5 4 5" xfId="1311"/>
    <cellStyle name="Normal 5 4_Sheet1" xfId="1312"/>
    <cellStyle name="Normal 5 5" xfId="1313"/>
    <cellStyle name="Normal 5 5 2" xfId="1314"/>
    <cellStyle name="Normal 5 5 3" xfId="1315"/>
    <cellStyle name="Normal 5 5 4" xfId="1316"/>
    <cellStyle name="Normal 5 5 5" xfId="1317"/>
    <cellStyle name="Normal 5 5_Sheet1" xfId="1318"/>
    <cellStyle name="Normal 5 6" xfId="1319"/>
    <cellStyle name="Normal 5 6 2" xfId="1320"/>
    <cellStyle name="Normal 5 6 3" xfId="1321"/>
    <cellStyle name="Normal 5 6 4" xfId="1322"/>
    <cellStyle name="Normal 5 6 5" xfId="1323"/>
    <cellStyle name="Normal 5 6_Sheet1" xfId="1324"/>
    <cellStyle name="Normal 5 7" xfId="1325"/>
    <cellStyle name="Normal 5 7 2" xfId="1326"/>
    <cellStyle name="Normal 5 7 3" xfId="1327"/>
    <cellStyle name="Normal 5 7 4" xfId="1328"/>
    <cellStyle name="Normal 5 7 5" xfId="1329"/>
    <cellStyle name="Normal 5 7_Sheet1" xfId="1330"/>
    <cellStyle name="Normal 5 8" xfId="1331"/>
    <cellStyle name="Normal 5 8 2" xfId="1332"/>
    <cellStyle name="Normal 5 8 3" xfId="1333"/>
    <cellStyle name="Normal 5 8 4" xfId="1334"/>
    <cellStyle name="Normal 5 8 5" xfId="1335"/>
    <cellStyle name="Normal 5 8_Sheet1" xfId="1336"/>
    <cellStyle name="Normal 5 9" xfId="1337"/>
    <cellStyle name="Normal 5 9 2" xfId="1338"/>
    <cellStyle name="Normal 5 9 3" xfId="1339"/>
    <cellStyle name="Normal 5 9 4" xfId="1340"/>
    <cellStyle name="Normal 5 9 5" xfId="1341"/>
    <cellStyle name="Normal 5 9_Sheet1" xfId="1342"/>
    <cellStyle name="Normal 5_Sheet1" xfId="1343"/>
    <cellStyle name="Normal 50" xfId="1344"/>
    <cellStyle name="Normal 51" xfId="1345"/>
    <cellStyle name="Normal 52" xfId="1346"/>
    <cellStyle name="Normal 53" xfId="1347"/>
    <cellStyle name="Normal 6" xfId="1348"/>
    <cellStyle name="Normal 6 10" xfId="1349"/>
    <cellStyle name="Normal 6 11" xfId="1350"/>
    <cellStyle name="Normal 6 12" xfId="1351"/>
    <cellStyle name="Normal 6 13" xfId="1352"/>
    <cellStyle name="Normal 6 14" xfId="1353"/>
    <cellStyle name="Normal 6 15" xfId="1354"/>
    <cellStyle name="Normal 6 2" xfId="1355"/>
    <cellStyle name="Normal 6 2 2" xfId="1356"/>
    <cellStyle name="Normal 6 2 3" xfId="1357"/>
    <cellStyle name="Normal 6 2 4" xfId="1358"/>
    <cellStyle name="Normal 6 2 5" xfId="1359"/>
    <cellStyle name="Normal 6 2_Sheet1" xfId="1360"/>
    <cellStyle name="Normal 6 3" xfId="1361"/>
    <cellStyle name="Normal 6 3 2" xfId="1362"/>
    <cellStyle name="Normal 6 3 3" xfId="1363"/>
    <cellStyle name="Normal 6 3 4" xfId="1364"/>
    <cellStyle name="Normal 6 3 5" xfId="1365"/>
    <cellStyle name="Normal 6 3_Sheet1" xfId="1366"/>
    <cellStyle name="Normal 6 4" xfId="1367"/>
    <cellStyle name="Normal 6 4 2" xfId="1368"/>
    <cellStyle name="Normal 6 4 3" xfId="1369"/>
    <cellStyle name="Normal 6 4 4" xfId="1370"/>
    <cellStyle name="Normal 6 4 5" xfId="1371"/>
    <cellStyle name="Normal 6 4_Sheet1" xfId="1372"/>
    <cellStyle name="Normal 6 5" xfId="1373"/>
    <cellStyle name="Normal 6 5 2" xfId="1374"/>
    <cellStyle name="Normal 6 5 3" xfId="1375"/>
    <cellStyle name="Normal 6 5 4" xfId="1376"/>
    <cellStyle name="Normal 6 5 5" xfId="1377"/>
    <cellStyle name="Normal 6 5_Sheet1" xfId="1378"/>
    <cellStyle name="Normal 6 6" xfId="1379"/>
    <cellStyle name="Normal 6 6 2" xfId="1380"/>
    <cellStyle name="Normal 6 6 3" xfId="1381"/>
    <cellStyle name="Normal 6 6 4" xfId="1382"/>
    <cellStyle name="Normal 6 6 5" xfId="1383"/>
    <cellStyle name="Normal 6 6_Sheet1" xfId="1384"/>
    <cellStyle name="Normal 6 7" xfId="1385"/>
    <cellStyle name="Normal 6 7 2" xfId="1386"/>
    <cellStyle name="Normal 6 7 3" xfId="1387"/>
    <cellStyle name="Normal 6 7 4" xfId="1388"/>
    <cellStyle name="Normal 6 7 5" xfId="1389"/>
    <cellStyle name="Normal 6 7_Sheet1" xfId="1390"/>
    <cellStyle name="Normal 6 8" xfId="1391"/>
    <cellStyle name="Normal 6 8 2" xfId="1392"/>
    <cellStyle name="Normal 6 8 3" xfId="1393"/>
    <cellStyle name="Normal 6 8 4" xfId="1394"/>
    <cellStyle name="Normal 6 8 5" xfId="1395"/>
    <cellStyle name="Normal 6 8_Sheet1" xfId="1396"/>
    <cellStyle name="Normal 6 9" xfId="1397"/>
    <cellStyle name="Normal 6 9 2" xfId="1398"/>
    <cellStyle name="Normal 6 9 3" xfId="1399"/>
    <cellStyle name="Normal 6 9 4" xfId="1400"/>
    <cellStyle name="Normal 6 9_Sheet1" xfId="1401"/>
    <cellStyle name="Normal 6_1st Pick root cause" xfId="1402"/>
    <cellStyle name="Normal 7" xfId="1403"/>
    <cellStyle name="Normal 7 2" xfId="1404"/>
    <cellStyle name="Normal 7 2 10" xfId="1405"/>
    <cellStyle name="Normal 7 2 10 2" xfId="1406"/>
    <cellStyle name="Normal 7 2 10 3" xfId="1407"/>
    <cellStyle name="Normal 7 2 10 4" xfId="1408"/>
    <cellStyle name="Normal 7 2 10_Sheet1" xfId="1409"/>
    <cellStyle name="Normal 7 2 11" xfId="1410"/>
    <cellStyle name="Normal 7 2 12" xfId="1411"/>
    <cellStyle name="Normal 7 2 13" xfId="1412"/>
    <cellStyle name="Normal 7 2 14" xfId="1413"/>
    <cellStyle name="Normal 7 2 15" xfId="1414"/>
    <cellStyle name="Normal 7 2 16" xfId="1415"/>
    <cellStyle name="Normal 7 2 2" xfId="1416"/>
    <cellStyle name="Normal 7 2 2 2" xfId="1417"/>
    <cellStyle name="Normal 7 2 2 3" xfId="1418"/>
    <cellStyle name="Normal 7 2 2 4" xfId="1419"/>
    <cellStyle name="Normal 7 2 2 5" xfId="1420"/>
    <cellStyle name="Normal 7 2 2_Sheet1" xfId="1421"/>
    <cellStyle name="Normal 7 2 3" xfId="1422"/>
    <cellStyle name="Normal 7 2 3 2" xfId="1423"/>
    <cellStyle name="Normal 7 2 3 3" xfId="1424"/>
    <cellStyle name="Normal 7 2 3 4" xfId="1425"/>
    <cellStyle name="Normal 7 2 3 5" xfId="1426"/>
    <cellStyle name="Normal 7 2 3_Sheet1" xfId="1427"/>
    <cellStyle name="Normal 7 2 4" xfId="1428"/>
    <cellStyle name="Normal 7 2 4 2" xfId="1429"/>
    <cellStyle name="Normal 7 2 4 3" xfId="1430"/>
    <cellStyle name="Normal 7 2 4 4" xfId="1431"/>
    <cellStyle name="Normal 7 2 4 5" xfId="1432"/>
    <cellStyle name="Normal 7 2 4_Sheet1" xfId="1433"/>
    <cellStyle name="Normal 7 2 5" xfId="1434"/>
    <cellStyle name="Normal 7 2 5 2" xfId="1435"/>
    <cellStyle name="Normal 7 2 5 3" xfId="1436"/>
    <cellStyle name="Normal 7 2 5 4" xfId="1437"/>
    <cellStyle name="Normal 7 2 5 5" xfId="1438"/>
    <cellStyle name="Normal 7 2 5_Sheet1" xfId="1439"/>
    <cellStyle name="Normal 7 2 6" xfId="1440"/>
    <cellStyle name="Normal 7 2 6 2" xfId="1441"/>
    <cellStyle name="Normal 7 2 6 3" xfId="1442"/>
    <cellStyle name="Normal 7 2 6 4" xfId="1443"/>
    <cellStyle name="Normal 7 2 6 5" xfId="1444"/>
    <cellStyle name="Normal 7 2 6_Sheet1" xfId="1445"/>
    <cellStyle name="Normal 7 2 7" xfId="1446"/>
    <cellStyle name="Normal 7 2 7 2" xfId="1447"/>
    <cellStyle name="Normal 7 2 7 3" xfId="1448"/>
    <cellStyle name="Normal 7 2 7 4" xfId="1449"/>
    <cellStyle name="Normal 7 2 7 5" xfId="1450"/>
    <cellStyle name="Normal 7 2 7_Sheet1" xfId="1451"/>
    <cellStyle name="Normal 7 2 8" xfId="1452"/>
    <cellStyle name="Normal 7 2 8 2" xfId="1453"/>
    <cellStyle name="Normal 7 2 8 3" xfId="1454"/>
    <cellStyle name="Normal 7 2 8 4" xfId="1455"/>
    <cellStyle name="Normal 7 2 8 5" xfId="1456"/>
    <cellStyle name="Normal 7 2 8_Sheet1" xfId="1457"/>
    <cellStyle name="Normal 7 2 9" xfId="1458"/>
    <cellStyle name="Normal 7 2 9 2" xfId="1459"/>
    <cellStyle name="Normal 7 2 9 3" xfId="1460"/>
    <cellStyle name="Normal 7 2 9 4" xfId="1461"/>
    <cellStyle name="Normal 7 2 9 5" xfId="1462"/>
    <cellStyle name="Normal 7 2 9_Sheet1" xfId="1463"/>
    <cellStyle name="Normal 7 2_1st Pick root cause" xfId="1464"/>
    <cellStyle name="Normal 7 3" xfId="1465"/>
    <cellStyle name="Normal 7 4" xfId="1466"/>
    <cellStyle name="Normal 7 5" xfId="1467"/>
    <cellStyle name="Normal 7 6" xfId="1468"/>
    <cellStyle name="Normal 7_Sheet1" xfId="1469"/>
    <cellStyle name="Normal 8" xfId="1470"/>
    <cellStyle name="Normal 8 10" xfId="1471"/>
    <cellStyle name="Normal 8 11" xfId="1472"/>
    <cellStyle name="Normal 8 12" xfId="1473"/>
    <cellStyle name="Normal 8 13" xfId="1474"/>
    <cellStyle name="Normal 8 14" xfId="1475"/>
    <cellStyle name="Normal 8 15" xfId="1476"/>
    <cellStyle name="Normal 8 2" xfId="1477"/>
    <cellStyle name="Normal 8 2 2" xfId="1478"/>
    <cellStyle name="Normal 8 2 3" xfId="1479"/>
    <cellStyle name="Normal 8 2 4" xfId="1480"/>
    <cellStyle name="Normal 8 2 5" xfId="1481"/>
    <cellStyle name="Normal 8 2_Sheet1" xfId="1482"/>
    <cellStyle name="Normal 8 3" xfId="1483"/>
    <cellStyle name="Normal 8 3 2" xfId="1484"/>
    <cellStyle name="Normal 8 3 3" xfId="1485"/>
    <cellStyle name="Normal 8 3 4" xfId="1486"/>
    <cellStyle name="Normal 8 3 5" xfId="1487"/>
    <cellStyle name="Normal 8 3_Sheet1" xfId="1488"/>
    <cellStyle name="Normal 8 4" xfId="1489"/>
    <cellStyle name="Normal 8 4 2" xfId="1490"/>
    <cellStyle name="Normal 8 4 3" xfId="1491"/>
    <cellStyle name="Normal 8 4 4" xfId="1492"/>
    <cellStyle name="Normal 8 4 5" xfId="1493"/>
    <cellStyle name="Normal 8 4_Sheet1" xfId="1494"/>
    <cellStyle name="Normal 8 5" xfId="1495"/>
    <cellStyle name="Normal 8 5 2" xfId="1496"/>
    <cellStyle name="Normal 8 5 3" xfId="1497"/>
    <cellStyle name="Normal 8 5 4" xfId="1498"/>
    <cellStyle name="Normal 8 5 5" xfId="1499"/>
    <cellStyle name="Normal 8 5_Sheet1" xfId="1500"/>
    <cellStyle name="Normal 8 6" xfId="1501"/>
    <cellStyle name="Normal 8 6 2" xfId="1502"/>
    <cellStyle name="Normal 8 6 3" xfId="1503"/>
    <cellStyle name="Normal 8 6 4" xfId="1504"/>
    <cellStyle name="Normal 8 6 5" xfId="1505"/>
    <cellStyle name="Normal 8 6_Sheet1" xfId="1506"/>
    <cellStyle name="Normal 8 7" xfId="1507"/>
    <cellStyle name="Normal 8 7 2" xfId="1508"/>
    <cellStyle name="Normal 8 7 3" xfId="1509"/>
    <cellStyle name="Normal 8 7 4" xfId="1510"/>
    <cellStyle name="Normal 8 7 5" xfId="1511"/>
    <cellStyle name="Normal 8 7_Sheet1" xfId="1512"/>
    <cellStyle name="Normal 8 8" xfId="1513"/>
    <cellStyle name="Normal 8 8 2" xfId="1514"/>
    <cellStyle name="Normal 8 8 3" xfId="1515"/>
    <cellStyle name="Normal 8 8 4" xfId="1516"/>
    <cellStyle name="Normal 8 8 5" xfId="1517"/>
    <cellStyle name="Normal 8 8_Sheet1" xfId="1518"/>
    <cellStyle name="Normal 8 9" xfId="1519"/>
    <cellStyle name="Normal 8 9 2" xfId="1520"/>
    <cellStyle name="Normal 8 9 3" xfId="1521"/>
    <cellStyle name="Normal 8 9 4" xfId="1522"/>
    <cellStyle name="Normal 8 9_Sheet1" xfId="1523"/>
    <cellStyle name="Normal 8_1st Pick root cause" xfId="1524"/>
    <cellStyle name="Normal 9" xfId="1525"/>
    <cellStyle name="Normal 9 2" xfId="1526"/>
    <cellStyle name="Normal 9 2 10" xfId="1527"/>
    <cellStyle name="Normal 9 2 10 2" xfId="1528"/>
    <cellStyle name="Normal 9 2 10 3" xfId="1529"/>
    <cellStyle name="Normal 9 2 10 4" xfId="1530"/>
    <cellStyle name="Normal 9 2 10_Sheet1" xfId="1531"/>
    <cellStyle name="Normal 9 2 11" xfId="1532"/>
    <cellStyle name="Normal 9 2 12" xfId="1533"/>
    <cellStyle name="Normal 9 2 13" xfId="1534"/>
    <cellStyle name="Normal 9 2 14" xfId="1535"/>
    <cellStyle name="Normal 9 2 15" xfId="1536"/>
    <cellStyle name="Normal 9 2 2" xfId="1537"/>
    <cellStyle name="Normal 9 2 2 2" xfId="1538"/>
    <cellStyle name="Normal 9 2 2 3" xfId="1539"/>
    <cellStyle name="Normal 9 2 2 4" xfId="1540"/>
    <cellStyle name="Normal 9 2 2 5" xfId="1541"/>
    <cellStyle name="Normal 9 2 2_Sheet1" xfId="1542"/>
    <cellStyle name="Normal 9 2 3" xfId="1543"/>
    <cellStyle name="Normal 9 2 3 2" xfId="1544"/>
    <cellStyle name="Normal 9 2 3 3" xfId="1545"/>
    <cellStyle name="Normal 9 2 3 4" xfId="1546"/>
    <cellStyle name="Normal 9 2 3 5" xfId="1547"/>
    <cellStyle name="Normal 9 2 3_Sheet1" xfId="1548"/>
    <cellStyle name="Normal 9 2 4" xfId="1549"/>
    <cellStyle name="Normal 9 2 4 2" xfId="1550"/>
    <cellStyle name="Normal 9 2 4 3" xfId="1551"/>
    <cellStyle name="Normal 9 2 4 4" xfId="1552"/>
    <cellStyle name="Normal 9 2 4 5" xfId="1553"/>
    <cellStyle name="Normal 9 2 4_Sheet1" xfId="1554"/>
    <cellStyle name="Normal 9 2 5" xfId="1555"/>
    <cellStyle name="Normal 9 2 5 2" xfId="1556"/>
    <cellStyle name="Normal 9 2 5 3" xfId="1557"/>
    <cellStyle name="Normal 9 2 5 4" xfId="1558"/>
    <cellStyle name="Normal 9 2 5 5" xfId="1559"/>
    <cellStyle name="Normal 9 2 5_Sheet1" xfId="1560"/>
    <cellStyle name="Normal 9 2 6" xfId="1561"/>
    <cellStyle name="Normal 9 2 6 2" xfId="1562"/>
    <cellStyle name="Normal 9 2 6 3" xfId="1563"/>
    <cellStyle name="Normal 9 2 6 4" xfId="1564"/>
    <cellStyle name="Normal 9 2 6 5" xfId="1565"/>
    <cellStyle name="Normal 9 2 6_Sheet1" xfId="1566"/>
    <cellStyle name="Normal 9 2 7" xfId="1567"/>
    <cellStyle name="Normal 9 2 7 2" xfId="1568"/>
    <cellStyle name="Normal 9 2 7 3" xfId="1569"/>
    <cellStyle name="Normal 9 2 7 4" xfId="1570"/>
    <cellStyle name="Normal 9 2 7 5" xfId="1571"/>
    <cellStyle name="Normal 9 2 7_Sheet1" xfId="1572"/>
    <cellStyle name="Normal 9 2 8" xfId="1573"/>
    <cellStyle name="Normal 9 2 8 2" xfId="1574"/>
    <cellStyle name="Normal 9 2 8 3" xfId="1575"/>
    <cellStyle name="Normal 9 2 8 4" xfId="1576"/>
    <cellStyle name="Normal 9 2 8 5" xfId="1577"/>
    <cellStyle name="Normal 9 2 8_Sheet1" xfId="1578"/>
    <cellStyle name="Normal 9 2 9" xfId="1579"/>
    <cellStyle name="Normal 9 2 9 2" xfId="1580"/>
    <cellStyle name="Normal 9 2 9 3" xfId="1581"/>
    <cellStyle name="Normal 9 2 9 4" xfId="1582"/>
    <cellStyle name="Normal 9 2 9 5" xfId="1583"/>
    <cellStyle name="Normal 9 2 9_Sheet1" xfId="1584"/>
    <cellStyle name="Normal 9 2_1st Pick root cause" xfId="1585"/>
    <cellStyle name="Normal 9 3" xfId="1586"/>
    <cellStyle name="Normal 9 4" xfId="1587"/>
    <cellStyle name="Normal 9 5" xfId="1588"/>
    <cellStyle name="Normal 9_Sheet1" xfId="1589"/>
    <cellStyle name="Note 10" xfId="1590"/>
    <cellStyle name="Note 11" xfId="1591"/>
    <cellStyle name="Note 12" xfId="1592"/>
    <cellStyle name="Note 2" xfId="1593"/>
    <cellStyle name="Note 2 2" xfId="1594"/>
    <cellStyle name="Note 2 3" xfId="1595"/>
    <cellStyle name="Note 2 4" xfId="1596"/>
    <cellStyle name="Note 2 5" xfId="1597"/>
    <cellStyle name="Note 2 6" xfId="1598"/>
    <cellStyle name="Note 2_Forecast material list " xfId="1599"/>
    <cellStyle name="Note 3" xfId="1600"/>
    <cellStyle name="Note 3 2" xfId="1601"/>
    <cellStyle name="Note 3 3" xfId="1602"/>
    <cellStyle name="Note 3 4" xfId="1603"/>
    <cellStyle name="Note 3_Period Overview Stats" xfId="1604"/>
    <cellStyle name="Note 4" xfId="1605"/>
    <cellStyle name="Note 5" xfId="1606"/>
    <cellStyle name="Note 6" xfId="1607"/>
    <cellStyle name="Note 7" xfId="1608"/>
    <cellStyle name="Note 8" xfId="1609"/>
    <cellStyle name="Note 9" xfId="1610"/>
    <cellStyle name="Output" xfId="1611" builtinId="21" customBuiltin="1"/>
    <cellStyle name="Output 10" xfId="1612"/>
    <cellStyle name="Output 11" xfId="1613"/>
    <cellStyle name="Output 2" xfId="1614"/>
    <cellStyle name="Output 3" xfId="1615"/>
    <cellStyle name="Output 3 2" xfId="1616"/>
    <cellStyle name="Output 3_Period Overview Stats" xfId="1617"/>
    <cellStyle name="Output 4" xfId="1618"/>
    <cellStyle name="Output 5" xfId="1619"/>
    <cellStyle name="Output 6" xfId="1620"/>
    <cellStyle name="Output 7" xfId="1621"/>
    <cellStyle name="Output 8" xfId="1622"/>
    <cellStyle name="Output 9" xfId="1623"/>
    <cellStyle name="SAPBEXaggData" xfId="1624"/>
    <cellStyle name="SAPBEXaggDataEmph" xfId="1625"/>
    <cellStyle name="SAPBEXaggItem" xfId="1626"/>
    <cellStyle name="SAPBEXaggItemX" xfId="1627"/>
    <cellStyle name="SAPBEXchaText" xfId="1628"/>
    <cellStyle name="SAPBEXexcBad7" xfId="1629"/>
    <cellStyle name="SAPBEXexcBad8" xfId="1630"/>
    <cellStyle name="SAPBEXexcBad9" xfId="1631"/>
    <cellStyle name="SAPBEXexcCritical4" xfId="1632"/>
    <cellStyle name="SAPBEXexcCritical5" xfId="1633"/>
    <cellStyle name="SAPBEXexcCritical6" xfId="1634"/>
    <cellStyle name="SAPBEXexcGood1" xfId="1635"/>
    <cellStyle name="SAPBEXexcGood2" xfId="1636"/>
    <cellStyle name="SAPBEXexcGood3" xfId="1637"/>
    <cellStyle name="SAPBEXfilterDrill" xfId="1638"/>
    <cellStyle name="SAPBEXfilterItem" xfId="1639"/>
    <cellStyle name="SAPBEXfilterText" xfId="1640"/>
    <cellStyle name="SAPBEXfilterText 2" xfId="1641"/>
    <cellStyle name="SAPBEXfilterText 2 2" xfId="1642"/>
    <cellStyle name="SAPBEXfilterText 2 3" xfId="1643"/>
    <cellStyle name="SAPBEXfilterText 2 4" xfId="1644"/>
    <cellStyle name="SAPBEXfilterText 2_Sheet1" xfId="1645"/>
    <cellStyle name="SAPBEXfilterText 3" xfId="1646"/>
    <cellStyle name="SAPBEXfilterText 4" xfId="1647"/>
    <cellStyle name="SAPBEXfilterText 5" xfId="1648"/>
    <cellStyle name="SAPBEXfilterText 6" xfId="1649"/>
    <cellStyle name="SAPBEXfilterText_HY OS Order book 02.11.2011" xfId="1650"/>
    <cellStyle name="SAPBEXformats" xfId="1651"/>
    <cellStyle name="SAPBEXheaderItem" xfId="1652"/>
    <cellStyle name="SAPBEXheaderItem 10" xfId="1653"/>
    <cellStyle name="SAPBEXheaderItem 2" xfId="1654"/>
    <cellStyle name="SAPBEXheaderItem 3" xfId="1655"/>
    <cellStyle name="SAPBEXheaderItem 4" xfId="1656"/>
    <cellStyle name="SAPBEXheaderItem 5" xfId="1657"/>
    <cellStyle name="SAPBEXheaderItem 6" xfId="1658"/>
    <cellStyle name="SAPBEXheaderItem 7" xfId="1659"/>
    <cellStyle name="SAPBEXheaderItem 8" xfId="1660"/>
    <cellStyle name="SAPBEXheaderItem 9" xfId="1661"/>
    <cellStyle name="SAPBEXheaderItem_HY OS Order book 02.11.2011" xfId="1662"/>
    <cellStyle name="SAPBEXheaderText" xfId="1663"/>
    <cellStyle name="SAPBEXheaderText 10" xfId="1664"/>
    <cellStyle name="SAPBEXheaderText 2" xfId="1665"/>
    <cellStyle name="SAPBEXheaderText 3" xfId="1666"/>
    <cellStyle name="SAPBEXheaderText 4" xfId="1667"/>
    <cellStyle name="SAPBEXheaderText 5" xfId="1668"/>
    <cellStyle name="SAPBEXheaderText 6" xfId="1669"/>
    <cellStyle name="SAPBEXheaderText 7" xfId="1670"/>
    <cellStyle name="SAPBEXheaderText 8" xfId="1671"/>
    <cellStyle name="SAPBEXheaderText 9" xfId="1672"/>
    <cellStyle name="SAPBEXheaderText_HY OS Order book 02.11.2011" xfId="1673"/>
    <cellStyle name="SAPBEXHLevel0" xfId="1674"/>
    <cellStyle name="SAPBEXHLevel0 2" xfId="1675"/>
    <cellStyle name="SAPBEXHLevel0 2 2" xfId="1676"/>
    <cellStyle name="SAPBEXHLevel0 2 3" xfId="1677"/>
    <cellStyle name="SAPBEXHLevel0 2 4" xfId="1678"/>
    <cellStyle name="SAPBEXHLevel0 2_Period Overview Stats" xfId="1679"/>
    <cellStyle name="SAPBEXHLevel0 3" xfId="1680"/>
    <cellStyle name="SAPBEXHLevel0 4" xfId="1681"/>
    <cellStyle name="SAPBEXHLevel0 5" xfId="1682"/>
    <cellStyle name="SAPBEXHLevel0 6" xfId="1683"/>
    <cellStyle name="SAPBEXHLevel0 7" xfId="1684"/>
    <cellStyle name="SAPBEXHLevel0_Forecast material list " xfId="1685"/>
    <cellStyle name="SAPBEXHLevel0X" xfId="1686"/>
    <cellStyle name="SAPBEXHLevel0X 2" xfId="1687"/>
    <cellStyle name="SAPBEXHLevel0X 2 2" xfId="1688"/>
    <cellStyle name="SAPBEXHLevel0X 2 3" xfId="1689"/>
    <cellStyle name="SAPBEXHLevel0X 2 4" xfId="1690"/>
    <cellStyle name="SAPBEXHLevel0X 2_Period Overview Stats" xfId="1691"/>
    <cellStyle name="SAPBEXHLevel0X 3" xfId="1692"/>
    <cellStyle name="SAPBEXHLevel0X 4" xfId="1693"/>
    <cellStyle name="SAPBEXHLevel0X 5" xfId="1694"/>
    <cellStyle name="SAPBEXHLevel0X 6" xfId="1695"/>
    <cellStyle name="SAPBEXHLevel0X 7" xfId="1696"/>
    <cellStyle name="SAPBEXHLevel0X_Forecast material list " xfId="1697"/>
    <cellStyle name="SAPBEXHLevel1" xfId="1698"/>
    <cellStyle name="SAPBEXHLevel1 2" xfId="1699"/>
    <cellStyle name="SAPBEXHLevel1 2 2" xfId="1700"/>
    <cellStyle name="SAPBEXHLevel1 2 3" xfId="1701"/>
    <cellStyle name="SAPBEXHLevel1 2 4" xfId="1702"/>
    <cellStyle name="SAPBEXHLevel1 2_Period Overview Stats" xfId="1703"/>
    <cellStyle name="SAPBEXHLevel1 3" xfId="1704"/>
    <cellStyle name="SAPBEXHLevel1 4" xfId="1705"/>
    <cellStyle name="SAPBEXHLevel1 5" xfId="1706"/>
    <cellStyle name="SAPBEXHLevel1 6" xfId="1707"/>
    <cellStyle name="SAPBEXHLevel1 7" xfId="1708"/>
    <cellStyle name="SAPBEXHLevel1_Forecast material list " xfId="1709"/>
    <cellStyle name="SAPBEXHLevel1X" xfId="1710"/>
    <cellStyle name="SAPBEXHLevel1X 2" xfId="1711"/>
    <cellStyle name="SAPBEXHLevel1X 2 2" xfId="1712"/>
    <cellStyle name="SAPBEXHLevel1X 2 3" xfId="1713"/>
    <cellStyle name="SAPBEXHLevel1X 2 4" xfId="1714"/>
    <cellStyle name="SAPBEXHLevel1X 2_Period Overview Stats" xfId="1715"/>
    <cellStyle name="SAPBEXHLevel1X 3" xfId="1716"/>
    <cellStyle name="SAPBEXHLevel1X 4" xfId="1717"/>
    <cellStyle name="SAPBEXHLevel1X 5" xfId="1718"/>
    <cellStyle name="SAPBEXHLevel1X 6" xfId="1719"/>
    <cellStyle name="SAPBEXHLevel1X 7" xfId="1720"/>
    <cellStyle name="SAPBEXHLevel1X_Forecast material list " xfId="1721"/>
    <cellStyle name="SAPBEXHLevel2" xfId="1722"/>
    <cellStyle name="SAPBEXHLevel2 2" xfId="1723"/>
    <cellStyle name="SAPBEXHLevel2 2 2" xfId="1724"/>
    <cellStyle name="SAPBEXHLevel2 2 3" xfId="1725"/>
    <cellStyle name="SAPBEXHLevel2 2 4" xfId="1726"/>
    <cellStyle name="SAPBEXHLevel2 2_Period Overview Stats" xfId="1727"/>
    <cellStyle name="SAPBEXHLevel2 3" xfId="1728"/>
    <cellStyle name="SAPBEXHLevel2 4" xfId="1729"/>
    <cellStyle name="SAPBEXHLevel2 5" xfId="1730"/>
    <cellStyle name="SAPBEXHLevel2 6" xfId="1731"/>
    <cellStyle name="SAPBEXHLevel2 7" xfId="1732"/>
    <cellStyle name="SAPBEXHLevel2_Forecast material list " xfId="1733"/>
    <cellStyle name="SAPBEXHLevel2X" xfId="1734"/>
    <cellStyle name="SAPBEXHLevel2X 2" xfId="1735"/>
    <cellStyle name="SAPBEXHLevel2X 2 2" xfId="1736"/>
    <cellStyle name="SAPBEXHLevel2X 2 3" xfId="1737"/>
    <cellStyle name="SAPBEXHLevel2X 2 4" xfId="1738"/>
    <cellStyle name="SAPBEXHLevel2X 2_Period Overview Stats" xfId="1739"/>
    <cellStyle name="SAPBEXHLevel2X 3" xfId="1740"/>
    <cellStyle name="SAPBEXHLevel2X 4" xfId="1741"/>
    <cellStyle name="SAPBEXHLevel2X 5" xfId="1742"/>
    <cellStyle name="SAPBEXHLevel2X 6" xfId="1743"/>
    <cellStyle name="SAPBEXHLevel2X 7" xfId="1744"/>
    <cellStyle name="SAPBEXHLevel2X_Forecast material list " xfId="1745"/>
    <cellStyle name="SAPBEXHLevel3" xfId="1746"/>
    <cellStyle name="SAPBEXHLevel3 2" xfId="1747"/>
    <cellStyle name="SAPBEXHLevel3 2 2" xfId="1748"/>
    <cellStyle name="SAPBEXHLevel3 2 3" xfId="1749"/>
    <cellStyle name="SAPBEXHLevel3 2 4" xfId="1750"/>
    <cellStyle name="SAPBEXHLevel3 2_Period Overview Stats" xfId="1751"/>
    <cellStyle name="SAPBEXHLevel3 3" xfId="1752"/>
    <cellStyle name="SAPBEXHLevel3 4" xfId="1753"/>
    <cellStyle name="SAPBEXHLevel3 5" xfId="1754"/>
    <cellStyle name="SAPBEXHLevel3 6" xfId="1755"/>
    <cellStyle name="SAPBEXHLevel3 7" xfId="1756"/>
    <cellStyle name="SAPBEXHLevel3_Forecast material list " xfId="1757"/>
    <cellStyle name="SAPBEXHLevel3X" xfId="1758"/>
    <cellStyle name="SAPBEXHLevel3X 2" xfId="1759"/>
    <cellStyle name="SAPBEXHLevel3X 2 2" xfId="1760"/>
    <cellStyle name="SAPBEXHLevel3X 2 3" xfId="1761"/>
    <cellStyle name="SAPBEXHLevel3X 2 4" xfId="1762"/>
    <cellStyle name="SAPBEXHLevel3X 2_Period Overview Stats" xfId="1763"/>
    <cellStyle name="SAPBEXHLevel3X 3" xfId="1764"/>
    <cellStyle name="SAPBEXHLevel3X 4" xfId="1765"/>
    <cellStyle name="SAPBEXHLevel3X 5" xfId="1766"/>
    <cellStyle name="SAPBEXHLevel3X 6" xfId="1767"/>
    <cellStyle name="SAPBEXHLevel3X 7" xfId="1768"/>
    <cellStyle name="SAPBEXHLevel3X_Forecast material list " xfId="1769"/>
    <cellStyle name="SAPBEXresData" xfId="1770"/>
    <cellStyle name="SAPBEXresDataEmph" xfId="1771"/>
    <cellStyle name="SAPBEXresItem" xfId="1772"/>
    <cellStyle name="SAPBEXresItemX" xfId="1773"/>
    <cellStyle name="SAPBEXstdData" xfId="1774"/>
    <cellStyle name="SAPBEXstdDataEmph" xfId="1775"/>
    <cellStyle name="SAPBEXstdItem" xfId="1776"/>
    <cellStyle name="SAPBEXstdItemX" xfId="1777"/>
    <cellStyle name="SAPBEXtitle" xfId="1778"/>
    <cellStyle name="SAPBEXtitle 2" xfId="1779"/>
    <cellStyle name="SAPBEXtitle 2 2" xfId="1780"/>
    <cellStyle name="SAPBEXtitle 2 3" xfId="1781"/>
    <cellStyle name="SAPBEXtitle 2 4" xfId="1782"/>
    <cellStyle name="SAPBEXtitle 2_Sheet1" xfId="1783"/>
    <cellStyle name="SAPBEXtitle 3" xfId="1784"/>
    <cellStyle name="SAPBEXtitle 4" xfId="1785"/>
    <cellStyle name="SAPBEXtitle 5" xfId="1786"/>
    <cellStyle name="SAPBEXtitle 6" xfId="1787"/>
    <cellStyle name="SAPBEXtitle_HY OS Order book 02.11.2011" xfId="1788"/>
    <cellStyle name="SAPBEXundefined" xfId="1789"/>
    <cellStyle name="SHItems" xfId="1790"/>
    <cellStyle name="SHQuadro" xfId="1791"/>
    <cellStyle name="Standaard_B_1_2.XLS" xfId="1792"/>
    <cellStyle name="Standard_8311" xfId="1793"/>
    <cellStyle name="Title" xfId="1794" builtinId="15" customBuiltin="1"/>
    <cellStyle name="Title 10" xfId="1795"/>
    <cellStyle name="Title 11" xfId="1796"/>
    <cellStyle name="Title 12" xfId="1797"/>
    <cellStyle name="Title 2" xfId="1798"/>
    <cellStyle name="Title 3" xfId="1799"/>
    <cellStyle name="Title 4" xfId="1800"/>
    <cellStyle name="Title 5" xfId="1801"/>
    <cellStyle name="Title 6" xfId="1802"/>
    <cellStyle name="Title 7" xfId="1803"/>
    <cellStyle name="Title 8" xfId="1804"/>
    <cellStyle name="Title 9" xfId="1805"/>
    <cellStyle name="Total" xfId="1806" builtinId="25" customBuiltin="1"/>
    <cellStyle name="Total 10" xfId="1807"/>
    <cellStyle name="Total 11" xfId="1808"/>
    <cellStyle name="Total 12" xfId="1809"/>
    <cellStyle name="Total 2" xfId="1810"/>
    <cellStyle name="Total 3" xfId="1811"/>
    <cellStyle name="Total 3 2" xfId="1812"/>
    <cellStyle name="Total 3_Period Overview Stats" xfId="1813"/>
    <cellStyle name="Total 4" xfId="1814"/>
    <cellStyle name="Total 5" xfId="1815"/>
    <cellStyle name="Total 6" xfId="1816"/>
    <cellStyle name="Total 7" xfId="1817"/>
    <cellStyle name="Total 8" xfId="1818"/>
    <cellStyle name="Total 9" xfId="1819"/>
    <cellStyle name="Valuta [0]_CM_DATA_TRAXIS" xfId="1820"/>
    <cellStyle name="Valuta_CM_DATA_TRAXIS" xfId="1821"/>
    <cellStyle name="Währung [0]_H052 maint cash flow 300 HU8 231101qtly" xfId="1822"/>
    <cellStyle name="Währung_H052 maint cash flow 300 HU8 231101qtly" xfId="1823"/>
    <cellStyle name="Warning Text" xfId="1824" builtinId="11" customBuiltin="1"/>
    <cellStyle name="Warning Text 10" xfId="1825"/>
    <cellStyle name="Warning Text 11" xfId="1826"/>
    <cellStyle name="Warning Text 2" xfId="1827"/>
    <cellStyle name="Warning Text 3" xfId="1828"/>
    <cellStyle name="Warning Text 3 2" xfId="1829"/>
    <cellStyle name="Warning Text 4" xfId="1830"/>
    <cellStyle name="Warning Text 5" xfId="1831"/>
    <cellStyle name="Warning Text 6" xfId="1832"/>
    <cellStyle name="Warning Text 7" xfId="1833"/>
    <cellStyle name="Warning Text 8" xfId="1834"/>
    <cellStyle name="Warning Text 9" xfId="1835"/>
  </cellStyles>
  <dxfs count="9969">
    <dxf>
      <font>
        <b/>
        <i val="0"/>
        <color auto="1"/>
      </font>
      <fill>
        <gradientFill type="path" left="1" right="1" top="1" bottom="1">
          <stop position="0">
            <color theme="0"/>
          </stop>
          <stop position="1">
            <color rgb="FFFF0000"/>
          </stop>
        </gradientFill>
      </fill>
      <border>
        <left style="thin">
          <color indexed="64"/>
        </left>
        <right style="thin">
          <color indexed="64"/>
        </right>
        <top style="thin">
          <color indexed="64"/>
        </top>
        <bottom style="thin">
          <color indexed="64"/>
        </bottom>
      </border>
    </dxf>
    <dxf>
      <font>
        <b/>
        <i val="0"/>
        <color auto="1"/>
      </font>
      <fill>
        <gradientFill type="path" left="1" right="1" top="1" bottom="1">
          <stop position="0">
            <color theme="0"/>
          </stop>
          <stop position="1">
            <color rgb="FFFF0000"/>
          </stop>
        </gradient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gradientFill type="path" left="1" right="1" top="1" bottom="1">
          <stop position="0">
            <color theme="0"/>
          </stop>
          <stop position="1">
            <color rgb="FFFF0000"/>
          </stop>
        </gradientFill>
      </fill>
      <border>
        <left style="thin">
          <color indexed="64"/>
        </left>
        <right style="thin">
          <color indexed="64"/>
        </right>
        <top style="thin">
          <color indexed="64"/>
        </top>
        <bottom style="thin">
          <color indexed="64"/>
        </bottom>
      </border>
    </dxf>
    <dxf>
      <font>
        <b/>
        <i val="0"/>
      </font>
      <fill>
        <patternFill>
          <bgColor rgb="FFFF0000"/>
        </patternFill>
      </fill>
    </dxf>
    <dxf>
      <font>
        <b/>
        <i val="0"/>
      </font>
      <fill>
        <patternFill>
          <bgColor rgb="FF92D050"/>
        </patternFill>
      </fill>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86" formatCode="m/d/yyyy"/>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textRotation="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numFmt numFmtId="1" formatCode="0"/>
      <alignment horizontal="center" vertical="bottom" textRotation="0" wrapText="0" indent="0" justifyLastLine="0" shrinkToFit="0" readingOrder="0"/>
    </dxf>
    <dxf>
      <numFmt numFmtId="186" formatCode="m/d/yyyy"/>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86" formatCode="m/d/yyyy"/>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textRotation="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numFmt numFmtId="1" formatCode="0"/>
      <alignment horizontal="center" vertical="bottom" textRotation="0" wrapText="0" indent="0" justifyLastLine="0" shrinkToFit="0" readingOrder="0"/>
    </dxf>
    <dxf>
      <numFmt numFmtId="186" formatCode="m/d/yyyy"/>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textRotation="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numFmt numFmtId="186" formatCode="m/d/yyyy"/>
      <alignment horizontal="center" vertical="bottom" textRotation="0" wrapText="0" indent="0" justifyLastLine="0" shrinkToFit="0" readingOrder="0"/>
    </dxf>
    <dxf>
      <font>
        <b val="0"/>
        <i val="0"/>
        <strike val="0"/>
        <condense val="0"/>
        <extend val="0"/>
        <outline val="0"/>
        <shadow val="0"/>
        <u val="none"/>
        <vertAlign val="baseline"/>
        <sz val="9"/>
        <color auto="1"/>
        <name val="Arial"/>
        <scheme val="none"/>
      </font>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scheme val="none"/>
      </font>
      <alignment horizontal="center" vertical="center" textRotation="0" wrapText="0" indent="0" justifyLastLine="0" shrinkToFit="0" readingOrder="0"/>
      <protection locked="1" hidden="0"/>
    </dxf>
    <dxf>
      <alignment horizontal="center" textRotation="0" indent="0" justifyLastLine="0" shrinkToFit="0" readingOrder="0"/>
    </dxf>
    <dxf>
      <alignment horizontal="center" vertical="center" textRotation="0" wrapText="1" indent="0" justifyLastLine="0" shrinkToFit="0" readingOrder="0"/>
    </dxf>
    <dxf>
      <font>
        <b/>
        <i val="0"/>
        <condense val="0"/>
        <extend val="0"/>
        <color indexed="12"/>
      </font>
    </dxf>
    <dxf>
      <font>
        <b/>
        <i val="0"/>
        <condense val="0"/>
        <extend val="0"/>
        <color indexed="10"/>
      </font>
    </dxf>
    <dxf>
      <font>
        <b/>
        <i val="0"/>
        <condense val="0"/>
        <extend val="0"/>
        <color indexed="20"/>
      </font>
    </dxf>
    <dxf>
      <font>
        <b/>
        <i val="0"/>
        <condense val="0"/>
        <extend val="0"/>
        <color indexed="10"/>
      </font>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lor theme="0"/>
        <name val="Cambria"/>
        <scheme val="none"/>
      </font>
      <fill>
        <patternFill>
          <bgColor rgb="FFFF0000"/>
        </patternFill>
      </fill>
    </dxf>
    <dxf>
      <font>
        <b/>
        <i val="0"/>
        <color theme="1"/>
      </font>
      <fill>
        <patternFill>
          <bgColor rgb="FF92D050"/>
        </patternFill>
      </fill>
    </dxf>
    <dxf>
      <font>
        <b/>
        <i val="0"/>
        <color theme="0"/>
        <name val="Cambria"/>
        <scheme val="none"/>
      </font>
      <fill>
        <patternFill>
          <bgColor rgb="FFFF0000"/>
        </patternFill>
      </fill>
    </dxf>
    <dxf>
      <font>
        <b/>
        <i val="0"/>
        <color theme="1"/>
      </font>
      <fill>
        <patternFill>
          <bgColor rgb="FF92D050"/>
        </patternFill>
      </fill>
    </dxf>
    <dxf>
      <font>
        <b/>
        <i val="0"/>
        <color theme="0"/>
        <name val="Cambria"/>
        <scheme val="none"/>
      </font>
      <fill>
        <patternFill>
          <bgColor rgb="FFFF0000"/>
        </patternFill>
      </fill>
    </dxf>
    <dxf>
      <font>
        <b/>
        <i val="0"/>
        <color theme="1"/>
      </font>
      <fill>
        <patternFill>
          <bgColor rgb="FF92D050"/>
        </patternFill>
      </fill>
    </dxf>
    <dxf>
      <font>
        <b/>
        <i val="0"/>
        <color theme="0"/>
        <name val="Cambria"/>
        <scheme val="none"/>
      </font>
      <fill>
        <patternFill>
          <bgColor rgb="FFFF0000"/>
        </patternFill>
      </fill>
    </dxf>
    <dxf>
      <font>
        <b/>
        <i val="0"/>
        <color theme="1"/>
      </font>
      <fill>
        <patternFill>
          <bgColor rgb="FF92D050"/>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color auto="1"/>
      </font>
      <fill>
        <patternFill>
          <bgColor indexed="10"/>
        </patternFill>
      </fill>
    </dxf>
    <dxf>
      <font>
        <b/>
        <i val="0"/>
      </font>
      <fill>
        <patternFill>
          <bgColor rgb="FFFF0000"/>
        </patternFill>
      </fill>
    </dxf>
    <dxf>
      <font>
        <b/>
        <i val="0"/>
        <condense val="0"/>
        <extend val="0"/>
        <color auto="1"/>
      </font>
      <fill>
        <patternFill>
          <bgColor indexed="10"/>
        </patternFill>
      </fill>
    </dxf>
    <dxf>
      <font>
        <b/>
        <i val="0"/>
      </font>
      <fill>
        <patternFill>
          <bgColor rgb="FFFF0000"/>
        </patternFill>
      </fill>
    </dxf>
    <dxf>
      <font>
        <b/>
        <i val="0"/>
        <condense val="0"/>
        <extend val="0"/>
        <color auto="1"/>
      </font>
      <fill>
        <patternFill>
          <bgColor indexed="10"/>
        </patternFill>
      </fill>
    </dxf>
    <dxf>
      <font>
        <b/>
        <i val="0"/>
      </font>
      <fill>
        <patternFill>
          <bgColor rgb="FFFF0000"/>
        </patternFill>
      </fill>
    </dxf>
    <dxf>
      <font>
        <b/>
        <i val="0"/>
        <condense val="0"/>
        <extend val="0"/>
        <color auto="1"/>
      </font>
      <fill>
        <patternFill>
          <bgColor indexed="10"/>
        </patternFill>
      </fill>
    </dxf>
    <dxf>
      <font>
        <b/>
        <i val="0"/>
      </font>
      <fill>
        <patternFill>
          <bgColor rgb="FFFF0000"/>
        </patternFill>
      </fill>
    </dxf>
    <dxf>
      <font>
        <b/>
        <i val="0"/>
        <condense val="0"/>
        <extend val="0"/>
        <color auto="1"/>
      </font>
      <fill>
        <patternFill>
          <bgColor indexed="10"/>
        </patternFill>
      </fill>
    </dxf>
    <dxf>
      <font>
        <b/>
        <i val="0"/>
        <condense val="0"/>
        <extend val="0"/>
        <color auto="1"/>
      </font>
      <fill>
        <patternFill>
          <bgColor indexed="10"/>
        </patternFill>
      </fill>
    </dxf>
    <dxf>
      <font>
        <b/>
        <i val="0"/>
        <condense val="0"/>
        <extend val="0"/>
        <color auto="1"/>
      </font>
      <fill>
        <patternFill>
          <bgColor indexed="10"/>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lor theme="0"/>
        <name val="Cambria"/>
        <scheme val="none"/>
      </font>
      <fill>
        <patternFill>
          <bgColor rgb="FFFF0000"/>
        </patternFill>
      </fill>
    </dxf>
    <dxf>
      <font>
        <b/>
        <i val="0"/>
        <color theme="1"/>
      </font>
      <fill>
        <patternFill>
          <bgColor rgb="FF92D050"/>
        </patternFill>
      </fill>
    </dxf>
    <dxf>
      <font>
        <b/>
        <i val="0"/>
      </font>
      <fill>
        <patternFill>
          <bgColor rgb="FFFF0000"/>
        </patternFill>
      </fill>
    </dxf>
    <dxf>
      <font>
        <b/>
        <i val="0"/>
        <condense val="0"/>
        <extend val="0"/>
        <color auto="1"/>
      </font>
      <fill>
        <patternFill>
          <bgColor indexed="10"/>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lor theme="0"/>
        <name val="Cambria"/>
        <scheme val="none"/>
      </font>
      <fill>
        <patternFill>
          <bgColor rgb="FFFF0000"/>
        </patternFill>
      </fill>
    </dxf>
    <dxf>
      <font>
        <b/>
        <i val="0"/>
        <color theme="1"/>
      </font>
      <fill>
        <patternFill>
          <bgColor rgb="FF92D050"/>
        </patternFill>
      </fill>
    </dxf>
    <dxf>
      <font>
        <b/>
        <i val="0"/>
        <color theme="0"/>
        <name val="Cambria"/>
        <scheme val="none"/>
      </font>
      <fill>
        <patternFill>
          <bgColor rgb="FFFF0000"/>
        </patternFill>
      </fill>
    </dxf>
    <dxf>
      <font>
        <b/>
        <i val="0"/>
        <color theme="1"/>
      </font>
      <fill>
        <patternFill>
          <bgColor rgb="FF92D050"/>
        </patternFill>
      </fill>
    </dxf>
    <dxf>
      <font>
        <b/>
        <i val="0"/>
        <color theme="0"/>
        <name val="Cambria"/>
        <scheme val="none"/>
      </font>
      <fill>
        <patternFill>
          <bgColor rgb="FFFF0000"/>
        </patternFill>
      </fill>
    </dxf>
    <dxf>
      <font>
        <b/>
        <i val="0"/>
        <color theme="1"/>
      </font>
      <fill>
        <patternFill>
          <bgColor rgb="FF92D050"/>
        </patternFill>
      </fill>
    </dxf>
    <dxf>
      <font>
        <b/>
        <i val="0"/>
        <color theme="0"/>
        <name val="Cambria"/>
        <scheme val="none"/>
      </font>
      <fill>
        <patternFill>
          <bgColor rgb="FFFF0000"/>
        </patternFill>
      </fill>
    </dxf>
    <dxf>
      <font>
        <b/>
        <i val="0"/>
        <color theme="1"/>
      </font>
      <fill>
        <patternFill>
          <bgColor rgb="FF92D050"/>
        </patternFill>
      </fill>
    </dxf>
    <dxf>
      <font>
        <b/>
        <i val="0"/>
        <color theme="0"/>
        <name val="Cambria"/>
        <scheme val="none"/>
      </font>
      <fill>
        <patternFill>
          <bgColor rgb="FFFF0000"/>
        </patternFill>
      </fill>
    </dxf>
    <dxf>
      <font>
        <b/>
        <i val="0"/>
        <color theme="1"/>
      </font>
      <fill>
        <patternFill>
          <bgColor rgb="FF92D050"/>
        </patternFill>
      </fill>
    </dxf>
    <dxf>
      <font>
        <b/>
        <i val="0"/>
        <color theme="0"/>
        <name val="Cambria"/>
        <scheme val="none"/>
      </font>
      <fill>
        <patternFill>
          <bgColor rgb="FFFF0000"/>
        </patternFill>
      </fill>
    </dxf>
    <dxf>
      <font>
        <b/>
        <i val="0"/>
        <color theme="1"/>
      </font>
      <fill>
        <patternFill>
          <bgColor rgb="FF92D050"/>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lor theme="0"/>
        <name val="Cambria"/>
        <scheme val="none"/>
      </font>
      <fill>
        <patternFill>
          <bgColor rgb="FFFF0000"/>
        </patternFill>
      </fill>
    </dxf>
    <dxf>
      <font>
        <b/>
        <i val="0"/>
        <color theme="1"/>
      </font>
      <fill>
        <patternFill>
          <bgColor rgb="FF92D050"/>
        </patternFill>
      </fill>
    </dxf>
    <dxf>
      <font>
        <b/>
        <i val="0"/>
        <color theme="0"/>
        <name val="Cambria"/>
        <scheme val="none"/>
      </font>
      <fill>
        <patternFill>
          <bgColor rgb="FFFF0000"/>
        </patternFill>
      </fill>
    </dxf>
    <dxf>
      <font>
        <b/>
        <i val="0"/>
        <color theme="1"/>
      </font>
      <fill>
        <patternFill>
          <bgColor rgb="FF92D050"/>
        </patternFill>
      </fill>
    </dxf>
    <dxf>
      <font>
        <b/>
        <i val="0"/>
        <color theme="0"/>
        <name val="Cambria"/>
        <scheme val="none"/>
      </font>
      <fill>
        <patternFill>
          <bgColor rgb="FFFF0000"/>
        </patternFill>
      </fill>
    </dxf>
    <dxf>
      <font>
        <b/>
        <i val="0"/>
        <color theme="1"/>
      </font>
      <fill>
        <patternFill>
          <bgColor rgb="FF92D05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condense val="0"/>
        <extend val="0"/>
        <color auto="1"/>
      </font>
      <fill>
        <patternFill>
          <bgColor indexed="10"/>
        </patternFill>
      </fill>
    </dxf>
    <dxf>
      <font>
        <b/>
        <i val="0"/>
      </font>
      <fill>
        <patternFill>
          <bgColor rgb="FFFF0000"/>
        </patternFill>
      </fill>
    </dxf>
    <dxf>
      <font>
        <b/>
        <i val="0"/>
        <condense val="0"/>
        <extend val="0"/>
        <color auto="1"/>
      </font>
      <fill>
        <patternFill>
          <bgColor indexed="10"/>
        </patternFill>
      </fill>
    </dxf>
    <dxf>
      <font>
        <b/>
        <i val="0"/>
        <condense val="0"/>
        <extend val="0"/>
        <color auto="1"/>
      </font>
      <fill>
        <patternFill>
          <bgColor indexed="10"/>
        </patternFill>
      </fill>
    </dxf>
    <dxf>
      <font>
        <b/>
        <i val="0"/>
      </font>
      <fill>
        <patternFill>
          <bgColor rgb="FFFF0000"/>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color auto="1"/>
      </font>
      <fill>
        <patternFill>
          <bgColor indexed="10"/>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52"/>
        </patternFill>
      </fill>
    </dxf>
    <dxf>
      <font>
        <b/>
        <i val="0"/>
        <condense val="0"/>
        <extend val="0"/>
      </font>
      <fill>
        <patternFill>
          <bgColor indexed="52"/>
        </patternFill>
      </fill>
    </dxf>
    <dxf>
      <font>
        <b/>
        <i val="0"/>
        <color rgb="FFFF0000"/>
      </font>
    </dxf>
    <dxf>
      <font>
        <b/>
        <i val="0"/>
        <color rgb="FFFF0000"/>
      </font>
    </dxf>
    <dxf>
      <font>
        <b/>
        <i val="0"/>
        <condense val="0"/>
        <extend val="0"/>
      </font>
      <fill>
        <patternFill>
          <bgColor indexed="22"/>
        </patternFill>
      </fill>
    </dxf>
    <dxf>
      <font>
        <b/>
        <i val="0"/>
        <condense val="0"/>
        <extend val="0"/>
      </font>
      <fill>
        <patternFill>
          <bgColor indexed="44"/>
        </patternFill>
      </fill>
    </dxf>
    <dxf>
      <font>
        <b/>
        <i val="0"/>
        <condense val="0"/>
        <extend val="0"/>
      </font>
      <fill>
        <patternFill>
          <bgColor indexed="52"/>
        </patternFill>
      </fill>
    </dxf>
    <dxf>
      <font>
        <b/>
        <i val="0"/>
        <condense val="0"/>
        <extend val="0"/>
      </font>
      <fill>
        <patternFill>
          <bgColor indexed="52"/>
        </patternFill>
      </fill>
    </dxf>
    <dxf>
      <font>
        <b/>
        <i val="0"/>
        <condense val="0"/>
        <extend val="0"/>
        <color auto="1"/>
      </font>
      <fill>
        <patternFill>
          <bgColor indexed="10"/>
        </patternFill>
      </fill>
    </dxf>
    <dxf>
      <font>
        <b/>
        <i val="0"/>
        <color rgb="FFC00000"/>
      </font>
      <fill>
        <patternFill>
          <bgColor rgb="FFFFFFCC"/>
        </patternFill>
      </fill>
    </dxf>
    <dxf>
      <font>
        <b/>
        <i val="0"/>
        <color rgb="FFC00000"/>
      </font>
      <fill>
        <patternFill>
          <bgColor rgb="FFFFFFCC"/>
        </patternFill>
      </fill>
    </dxf>
    <dxf>
      <font>
        <b/>
        <i val="0"/>
        <color theme="5" tint="-0.24994659260841701"/>
      </font>
      <fill>
        <patternFill>
          <bgColor rgb="FFFFFFCC"/>
        </patternFill>
      </fill>
    </dxf>
    <dxf>
      <font>
        <b/>
        <i val="0"/>
        <color theme="5" tint="-0.24994659260841701"/>
      </font>
      <fill>
        <patternFill>
          <bgColor rgb="FFFFFFCC"/>
        </patternFill>
      </fill>
    </dxf>
    <dxf>
      <font>
        <b/>
        <i val="0"/>
        <color rgb="FFC00000"/>
      </font>
      <fill>
        <patternFill>
          <bgColor rgb="FFFFFFCC"/>
        </patternFill>
      </fill>
    </dxf>
    <dxf>
      <font>
        <b/>
        <i val="0"/>
        <color rgb="FFC00000"/>
      </font>
      <fill>
        <patternFill>
          <bgColor rgb="FFFFFFCC"/>
        </patternFill>
      </fill>
    </dxf>
    <dxf>
      <font>
        <b/>
        <i val="0"/>
        <color rgb="FFC00000"/>
      </font>
      <fill>
        <patternFill>
          <bgColor rgb="FFFFFFCC"/>
        </patternFill>
      </fill>
    </dxf>
    <dxf>
      <font>
        <b/>
        <i val="0"/>
        <condense val="0"/>
        <extend val="0"/>
        <color indexed="9"/>
      </font>
      <fill>
        <patternFill>
          <bgColor indexed="8"/>
        </patternFill>
      </fill>
    </dxf>
    <dxf>
      <font>
        <b/>
        <i val="0"/>
        <condense val="0"/>
        <extend val="0"/>
        <color indexed="52"/>
      </font>
    </dxf>
    <dxf>
      <font>
        <b/>
        <i val="0"/>
        <condense val="0"/>
        <extend val="0"/>
        <color indexed="9"/>
      </font>
      <fill>
        <patternFill>
          <bgColor indexed="8"/>
        </patternFill>
      </fill>
    </dxf>
    <dxf>
      <font>
        <b/>
        <i val="0"/>
        <condense val="0"/>
        <extend val="0"/>
        <color indexed="52"/>
      </font>
    </dxf>
    <dxf>
      <font>
        <b/>
        <i val="0"/>
        <condense val="0"/>
        <extend val="0"/>
        <color indexed="9"/>
      </font>
      <fill>
        <patternFill>
          <bgColor indexed="8"/>
        </patternFill>
      </fill>
    </dxf>
    <dxf>
      <font>
        <b/>
        <i val="0"/>
        <condense val="0"/>
        <extend val="0"/>
        <color indexed="52"/>
      </font>
    </dxf>
    <dxf>
      <font>
        <b/>
        <i val="0"/>
        <condense val="0"/>
        <extend val="0"/>
        <color indexed="52"/>
      </font>
    </dxf>
    <dxf>
      <font>
        <b/>
        <i val="0"/>
        <color rgb="FFC00000"/>
      </font>
      <fill>
        <patternFill>
          <bgColor rgb="FFFFFFCC"/>
        </patternFill>
      </fill>
    </dxf>
    <dxf>
      <font>
        <b/>
        <i val="0"/>
        <color rgb="FFC00000"/>
      </font>
      <fill>
        <patternFill>
          <bgColor rgb="FFFFFFCC"/>
        </patternFill>
      </fill>
    </dxf>
    <dxf>
      <font>
        <b/>
        <i val="0"/>
        <color theme="5" tint="-0.24994659260841701"/>
      </font>
      <fill>
        <patternFill>
          <bgColor rgb="FFFFFFCC"/>
        </patternFill>
      </fill>
    </dxf>
    <dxf>
      <font>
        <b/>
        <i val="0"/>
        <color theme="5" tint="-0.24994659260841701"/>
      </font>
      <fill>
        <patternFill>
          <bgColor rgb="FFFFFFCC"/>
        </patternFill>
      </fill>
    </dxf>
    <dxf>
      <font>
        <b/>
        <i val="0"/>
        <color rgb="FFC00000"/>
      </font>
      <fill>
        <patternFill>
          <bgColor rgb="FFFFFFCC"/>
        </patternFill>
      </fill>
    </dxf>
    <dxf>
      <font>
        <b/>
        <i val="0"/>
        <color rgb="FFC00000"/>
      </font>
      <fill>
        <patternFill>
          <bgColor rgb="FFFFFFCC"/>
        </patternFill>
      </fill>
    </dxf>
    <dxf>
      <font>
        <b/>
        <i val="0"/>
        <color rgb="FFC00000"/>
      </font>
      <fill>
        <patternFill>
          <bgColor rgb="FFFFFFCC"/>
        </patternFill>
      </fill>
    </dxf>
    <dxf>
      <font>
        <b/>
        <i val="0"/>
        <condense val="0"/>
        <extend val="0"/>
        <color indexed="9"/>
      </font>
      <fill>
        <patternFill>
          <bgColor indexed="8"/>
        </patternFill>
      </fill>
    </dxf>
    <dxf>
      <font>
        <b/>
        <i val="0"/>
        <condense val="0"/>
        <extend val="0"/>
        <color indexed="52"/>
      </font>
    </dxf>
    <dxf>
      <font>
        <b/>
        <i val="0"/>
        <condense val="0"/>
        <extend val="0"/>
        <color indexed="9"/>
      </font>
      <fill>
        <patternFill>
          <bgColor indexed="8"/>
        </patternFill>
      </fill>
    </dxf>
    <dxf>
      <font>
        <b/>
        <i val="0"/>
        <condense val="0"/>
        <extend val="0"/>
        <color indexed="52"/>
      </font>
    </dxf>
    <dxf>
      <font>
        <b/>
        <i val="0"/>
        <condense val="0"/>
        <extend val="0"/>
        <color indexed="9"/>
      </font>
      <fill>
        <patternFill>
          <bgColor indexed="8"/>
        </patternFill>
      </fill>
    </dxf>
    <dxf>
      <font>
        <b/>
        <i val="0"/>
        <condense val="0"/>
        <extend val="0"/>
        <color indexed="52"/>
      </font>
    </dxf>
    <dxf>
      <font>
        <b/>
        <i val="0"/>
        <condense val="0"/>
        <extend val="0"/>
        <color indexed="52"/>
      </font>
    </dxf>
    <dxf>
      <font>
        <b/>
        <i val="0"/>
        <color auto="1"/>
      </font>
      <fill>
        <patternFill>
          <bgColor rgb="FFFF0000"/>
        </patternFill>
      </fill>
    </dxf>
    <dxf>
      <font>
        <b/>
        <i val="0"/>
        <color auto="1"/>
      </font>
      <fill>
        <patternFill>
          <bgColor rgb="FFFF0000"/>
        </patternFill>
      </fill>
    </dxf>
    <dxf>
      <font>
        <b/>
        <i val="0"/>
        <condense val="0"/>
        <extend val="0"/>
      </font>
      <fill>
        <patternFill>
          <bgColor indexed="13"/>
        </patternFill>
      </fill>
    </dxf>
    <dxf>
      <font>
        <b/>
        <i val="0"/>
      </font>
      <fill>
        <patternFill>
          <bgColor rgb="FFFFFF99"/>
        </patternFill>
      </fill>
    </dxf>
    <dxf>
      <font>
        <condense val="0"/>
        <extend val="0"/>
        <color indexed="9"/>
      </font>
    </dxf>
    <dxf>
      <font>
        <b/>
        <i val="0"/>
        <condense val="0"/>
        <extend val="0"/>
      </font>
      <fill>
        <patternFill>
          <bgColor indexed="10"/>
        </patternFill>
      </fill>
    </dxf>
    <dxf>
      <font>
        <b/>
        <i val="0"/>
        <condense val="0"/>
        <extend val="0"/>
      </font>
      <fill>
        <patternFill>
          <bgColor indexed="1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266700</xdr:colOff>
      <xdr:row>40</xdr:row>
      <xdr:rowOff>57150</xdr:rowOff>
    </xdr:from>
    <xdr:to>
      <xdr:col>5</xdr:col>
      <xdr:colOff>533400</xdr:colOff>
      <xdr:row>65</xdr:row>
      <xdr:rowOff>0</xdr:rowOff>
    </xdr:to>
    <xdr:pic>
      <xdr:nvPicPr>
        <xdr:cNvPr id="7777" name="Picture 6">
          <a:extLst>
            <a:ext uri="{FF2B5EF4-FFF2-40B4-BE49-F238E27FC236}">
              <a16:creationId xmlns:a16="http://schemas.microsoft.com/office/drawing/2014/main" id="{00000000-0008-0000-0000-0000611E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6700" y="10915650"/>
          <a:ext cx="6762750" cy="3990975"/>
        </a:xfrm>
        <a:prstGeom prst="rect">
          <a:avLst/>
        </a:prstGeom>
        <a:noFill/>
        <a:ln w="317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752475</xdr:colOff>
      <xdr:row>35</xdr:row>
      <xdr:rowOff>133350</xdr:rowOff>
    </xdr:from>
    <xdr:to>
      <xdr:col>11</xdr:col>
      <xdr:colOff>180975</xdr:colOff>
      <xdr:row>68</xdr:row>
      <xdr:rowOff>66675</xdr:rowOff>
    </xdr:to>
    <xdr:pic>
      <xdr:nvPicPr>
        <xdr:cNvPr id="7778" name="Picture 7">
          <a:extLst>
            <a:ext uri="{FF2B5EF4-FFF2-40B4-BE49-F238E27FC236}">
              <a16:creationId xmlns:a16="http://schemas.microsoft.com/office/drawing/2014/main" id="{00000000-0008-0000-0000-0000621E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248525" y="10182225"/>
          <a:ext cx="6762750" cy="5276850"/>
        </a:xfrm>
        <a:prstGeom prst="rect">
          <a:avLst/>
        </a:prstGeom>
        <a:noFill/>
        <a:ln w="317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9</xdr:col>
      <xdr:colOff>28575</xdr:colOff>
      <xdr:row>2</xdr:row>
      <xdr:rowOff>142875</xdr:rowOff>
    </xdr:from>
    <xdr:to>
      <xdr:col>10</xdr:col>
      <xdr:colOff>0</xdr:colOff>
      <xdr:row>2</xdr:row>
      <xdr:rowOff>142875</xdr:rowOff>
    </xdr:to>
    <xdr:sp macro="" textlink="">
      <xdr:nvSpPr>
        <xdr:cNvPr id="7779" name="Line 10">
          <a:extLst>
            <a:ext uri="{FF2B5EF4-FFF2-40B4-BE49-F238E27FC236}">
              <a16:creationId xmlns:a16="http://schemas.microsoft.com/office/drawing/2014/main" id="{00000000-0008-0000-0000-0000631E0000}"/>
            </a:ext>
          </a:extLst>
        </xdr:cNvPr>
        <xdr:cNvSpPr>
          <a:spLocks noChangeShapeType="1"/>
        </xdr:cNvSpPr>
      </xdr:nvSpPr>
      <xdr:spPr bwMode="auto">
        <a:xfrm flipH="1">
          <a:off x="12049125" y="466725"/>
          <a:ext cx="571500" cy="0"/>
        </a:xfrm>
        <a:prstGeom prst="line">
          <a:avLst/>
        </a:prstGeom>
        <a:noFill/>
        <a:ln w="38100">
          <a:solidFill>
            <a:srgbClr val="FF99CC"/>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581025</xdr:colOff>
      <xdr:row>26</xdr:row>
      <xdr:rowOff>38100</xdr:rowOff>
    </xdr:from>
    <xdr:to>
      <xdr:col>15</xdr:col>
      <xdr:colOff>581025</xdr:colOff>
      <xdr:row>26</xdr:row>
      <xdr:rowOff>38100</xdr:rowOff>
    </xdr:to>
    <xdr:sp macro="" textlink="">
      <xdr:nvSpPr>
        <xdr:cNvPr id="7780" name="Line 12">
          <a:extLst>
            <a:ext uri="{FF2B5EF4-FFF2-40B4-BE49-F238E27FC236}">
              <a16:creationId xmlns:a16="http://schemas.microsoft.com/office/drawing/2014/main" id="{00000000-0008-0000-0000-0000641E0000}"/>
            </a:ext>
          </a:extLst>
        </xdr:cNvPr>
        <xdr:cNvSpPr>
          <a:spLocks noChangeShapeType="1"/>
        </xdr:cNvSpPr>
      </xdr:nvSpPr>
      <xdr:spPr bwMode="auto">
        <a:xfrm>
          <a:off x="18507075" y="8629650"/>
          <a:ext cx="60960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542925</xdr:colOff>
      <xdr:row>26</xdr:row>
      <xdr:rowOff>19050</xdr:rowOff>
    </xdr:from>
    <xdr:to>
      <xdr:col>15</xdr:col>
      <xdr:colOff>542925</xdr:colOff>
      <xdr:row>26</xdr:row>
      <xdr:rowOff>19050</xdr:rowOff>
    </xdr:to>
    <xdr:sp macro="" textlink="">
      <xdr:nvSpPr>
        <xdr:cNvPr id="7781" name="Line 13">
          <a:extLst>
            <a:ext uri="{FF2B5EF4-FFF2-40B4-BE49-F238E27FC236}">
              <a16:creationId xmlns:a16="http://schemas.microsoft.com/office/drawing/2014/main" id="{00000000-0008-0000-0000-0000651E0000}"/>
            </a:ext>
          </a:extLst>
        </xdr:cNvPr>
        <xdr:cNvSpPr>
          <a:spLocks noChangeShapeType="1"/>
        </xdr:cNvSpPr>
      </xdr:nvSpPr>
      <xdr:spPr bwMode="auto">
        <a:xfrm>
          <a:off x="18468975" y="8610600"/>
          <a:ext cx="60960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361950</xdr:colOff>
      <xdr:row>6</xdr:row>
      <xdr:rowOff>209550</xdr:rowOff>
    </xdr:from>
    <xdr:to>
      <xdr:col>5</xdr:col>
      <xdr:colOff>981075</xdr:colOff>
      <xdr:row>6</xdr:row>
      <xdr:rowOff>209550</xdr:rowOff>
    </xdr:to>
    <xdr:sp macro="" textlink="">
      <xdr:nvSpPr>
        <xdr:cNvPr id="7782" name="Line 14">
          <a:extLst>
            <a:ext uri="{FF2B5EF4-FFF2-40B4-BE49-F238E27FC236}">
              <a16:creationId xmlns:a16="http://schemas.microsoft.com/office/drawing/2014/main" id="{00000000-0008-0000-0000-0000661E0000}"/>
            </a:ext>
          </a:extLst>
        </xdr:cNvPr>
        <xdr:cNvSpPr>
          <a:spLocks noChangeShapeType="1"/>
        </xdr:cNvSpPr>
      </xdr:nvSpPr>
      <xdr:spPr bwMode="auto">
        <a:xfrm>
          <a:off x="6858000" y="3105150"/>
          <a:ext cx="619125" cy="0"/>
        </a:xfrm>
        <a:prstGeom prst="line">
          <a:avLst/>
        </a:prstGeom>
        <a:noFill/>
        <a:ln w="38100">
          <a:solidFill>
            <a:srgbClr val="FF99CC"/>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1066800</xdr:colOff>
      <xdr:row>2</xdr:row>
      <xdr:rowOff>171450</xdr:rowOff>
    </xdr:from>
    <xdr:to>
      <xdr:col>8</xdr:col>
      <xdr:colOff>304800</xdr:colOff>
      <xdr:row>2</xdr:row>
      <xdr:rowOff>171450</xdr:rowOff>
    </xdr:to>
    <xdr:sp macro="" textlink="">
      <xdr:nvSpPr>
        <xdr:cNvPr id="7783" name="Line 14">
          <a:extLst>
            <a:ext uri="{FF2B5EF4-FFF2-40B4-BE49-F238E27FC236}">
              <a16:creationId xmlns:a16="http://schemas.microsoft.com/office/drawing/2014/main" id="{00000000-0008-0000-0000-0000671E0000}"/>
            </a:ext>
          </a:extLst>
        </xdr:cNvPr>
        <xdr:cNvSpPr>
          <a:spLocks noChangeShapeType="1"/>
        </xdr:cNvSpPr>
      </xdr:nvSpPr>
      <xdr:spPr bwMode="auto">
        <a:xfrm>
          <a:off x="10325100" y="495300"/>
          <a:ext cx="619125" cy="0"/>
        </a:xfrm>
        <a:prstGeom prst="line">
          <a:avLst/>
        </a:prstGeom>
        <a:noFill/>
        <a:ln w="38100">
          <a:solidFill>
            <a:srgbClr val="FF99CC"/>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1</xdr:row>
          <xdr:rowOff>0</xdr:rowOff>
        </xdr:from>
        <xdr:to>
          <xdr:col>8</xdr:col>
          <xdr:colOff>0</xdr:colOff>
          <xdr:row>2</xdr:row>
          <xdr:rowOff>0</xdr:rowOff>
        </xdr:to>
        <xdr:sp macro="" textlink="">
          <xdr:nvSpPr>
            <xdr:cNvPr id="392205" name="Button 13" hidden="1">
              <a:extLst>
                <a:ext uri="{63B3BB69-23CF-44E3-9099-C40C66FF867C}">
                  <a14:compatExt spid="_x0000_s392205"/>
                </a:ext>
                <a:ext uri="{FF2B5EF4-FFF2-40B4-BE49-F238E27FC236}">
                  <a16:creationId xmlns:a16="http://schemas.microsoft.com/office/drawing/2014/main" id="{00000000-0008-0000-0100-00000DFC0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Days In Traffic</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762000</xdr:colOff>
      <xdr:row>51</xdr:row>
      <xdr:rowOff>0</xdr:rowOff>
    </xdr:from>
    <xdr:to>
      <xdr:col>1</xdr:col>
      <xdr:colOff>923925</xdr:colOff>
      <xdr:row>51</xdr:row>
      <xdr:rowOff>0</xdr:rowOff>
    </xdr:to>
    <xdr:sp macro="" textlink="">
      <xdr:nvSpPr>
        <xdr:cNvPr id="393346" name="AutoShape 17">
          <a:extLst>
            <a:ext uri="{FF2B5EF4-FFF2-40B4-BE49-F238E27FC236}">
              <a16:creationId xmlns:a16="http://schemas.microsoft.com/office/drawing/2014/main" id="{00000000-0008-0000-0400-000082000600}"/>
            </a:ext>
          </a:extLst>
        </xdr:cNvPr>
        <xdr:cNvSpPr>
          <a:spLocks noChangeArrowheads="1"/>
        </xdr:cNvSpPr>
      </xdr:nvSpPr>
      <xdr:spPr bwMode="auto">
        <a:xfrm flipV="1">
          <a:off x="1743075" y="12915900"/>
          <a:ext cx="161925" cy="0"/>
        </a:xfrm>
        <a:prstGeom prst="upArrow">
          <a:avLst>
            <a:gd name="adj1" fmla="val 50000"/>
            <a:gd name="adj2" fmla="val -2147483648"/>
          </a:avLst>
        </a:prstGeom>
        <a:solidFill>
          <a:srgbClr val="C0C0C0"/>
        </a:solidFill>
        <a:ln w="9525">
          <a:solidFill>
            <a:srgbClr val="000000"/>
          </a:solidFill>
          <a:miter lim="800000"/>
          <a:headEnd/>
          <a:tailEnd/>
        </a:ln>
      </xdr:spPr>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1</xdr:col>
          <xdr:colOff>0</xdr:colOff>
          <xdr:row>1</xdr:row>
          <xdr:rowOff>0</xdr:rowOff>
        </xdr:to>
        <xdr:sp macro="" textlink="">
          <xdr:nvSpPr>
            <xdr:cNvPr id="1280" name="Button 256" hidden="1">
              <a:extLst>
                <a:ext uri="{63B3BB69-23CF-44E3-9099-C40C66FF867C}">
                  <a14:compatExt spid="_x0000_s1280"/>
                </a:ext>
                <a:ext uri="{FF2B5EF4-FFF2-40B4-BE49-F238E27FC236}">
                  <a16:creationId xmlns:a16="http://schemas.microsoft.com/office/drawing/2014/main" id="{00000000-0008-0000-0500-00000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Days In Traffic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0</xdr:row>
          <xdr:rowOff>19050</xdr:rowOff>
        </xdr:from>
        <xdr:to>
          <xdr:col>2</xdr:col>
          <xdr:colOff>495300</xdr:colOff>
          <xdr:row>0</xdr:row>
          <xdr:rowOff>447675</xdr:rowOff>
        </xdr:to>
        <xdr:sp macro="" textlink="">
          <xdr:nvSpPr>
            <xdr:cNvPr id="1281" name="Button 257" hidden="1">
              <a:extLst>
                <a:ext uri="{63B3BB69-23CF-44E3-9099-C40C66FF867C}">
                  <a14:compatExt spid="_x0000_s1281"/>
                </a:ext>
                <a:ext uri="{FF2B5EF4-FFF2-40B4-BE49-F238E27FC236}">
                  <a16:creationId xmlns:a16="http://schemas.microsoft.com/office/drawing/2014/main" id="{00000000-0008-0000-0500-00000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Refresh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TLESS0007\Dept$\Department\Wheel%20Set%20Records\Wheelset%20records\Wheelset%20Records%20Class%20221\221%20Wheelset%20Records%20Data.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tle.bombardier.com\data\UK\CZ\Heavy%20Maintenance%20Planning\2014%20Planning%20Archive\10%20Oct%2014\Exam%20Plan%2014%2010%2001.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Atle.bombardier.com\data\UK\CZ\Heavy%20Maintenance%20Planning\2014%20Planning%20Archive\09%20Sept%2014\Exam%20Plan%2014%2009%202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HEELCODES"/>
      <sheetName val="Vehicle Lookup"/>
      <sheetName val="Unit Km Lookup"/>
      <sheetName val="Wheelset Records by SNo."/>
    </sheetNames>
    <sheetDataSet>
      <sheetData sheetId="0" refreshError="1"/>
      <sheetData sheetId="1">
        <row r="2">
          <cell r="A2">
            <v>60351</v>
          </cell>
          <cell r="B2">
            <v>15</v>
          </cell>
          <cell r="C2" t="str">
            <v>T1</v>
          </cell>
          <cell r="D2">
            <v>221101</v>
          </cell>
        </row>
        <row r="3">
          <cell r="A3">
            <v>60751</v>
          </cell>
          <cell r="B3">
            <v>14</v>
          </cell>
          <cell r="C3" t="str">
            <v>T2</v>
          </cell>
          <cell r="D3">
            <v>221101</v>
          </cell>
        </row>
        <row r="4">
          <cell r="A4">
            <v>60951</v>
          </cell>
          <cell r="B4">
            <v>13</v>
          </cell>
          <cell r="C4" t="str">
            <v>T3</v>
          </cell>
          <cell r="D4">
            <v>221101</v>
          </cell>
        </row>
        <row r="5">
          <cell r="A5">
            <v>60851</v>
          </cell>
          <cell r="B5">
            <v>17</v>
          </cell>
          <cell r="C5" t="str">
            <v>T3</v>
          </cell>
          <cell r="D5">
            <v>221101</v>
          </cell>
        </row>
        <row r="6">
          <cell r="A6">
            <v>60451</v>
          </cell>
          <cell r="B6">
            <v>16</v>
          </cell>
          <cell r="C6" t="str">
            <v>T4</v>
          </cell>
          <cell r="D6">
            <v>221101</v>
          </cell>
        </row>
        <row r="7">
          <cell r="A7">
            <v>60352</v>
          </cell>
          <cell r="B7">
            <v>142</v>
          </cell>
          <cell r="C7" t="str">
            <v>T1</v>
          </cell>
          <cell r="D7">
            <v>221102</v>
          </cell>
        </row>
        <row r="8">
          <cell r="A8">
            <v>60752</v>
          </cell>
          <cell r="B8">
            <v>143</v>
          </cell>
          <cell r="C8" t="str">
            <v>T2</v>
          </cell>
          <cell r="D8">
            <v>221102</v>
          </cell>
        </row>
        <row r="9">
          <cell r="A9">
            <v>60952</v>
          </cell>
          <cell r="B9">
            <v>145</v>
          </cell>
          <cell r="C9" t="str">
            <v>T3</v>
          </cell>
          <cell r="D9">
            <v>221102</v>
          </cell>
        </row>
        <row r="10">
          <cell r="A10">
            <v>60452</v>
          </cell>
          <cell r="B10">
            <v>144</v>
          </cell>
          <cell r="C10" t="str">
            <v>T4</v>
          </cell>
          <cell r="D10">
            <v>221102</v>
          </cell>
        </row>
        <row r="11">
          <cell r="A11">
            <v>60353</v>
          </cell>
          <cell r="B11">
            <v>154</v>
          </cell>
          <cell r="C11" t="str">
            <v>T1</v>
          </cell>
          <cell r="D11">
            <v>221103</v>
          </cell>
        </row>
        <row r="12">
          <cell r="A12">
            <v>60753</v>
          </cell>
          <cell r="B12">
            <v>155</v>
          </cell>
          <cell r="C12" t="str">
            <v>T2</v>
          </cell>
          <cell r="D12">
            <v>221103</v>
          </cell>
        </row>
        <row r="13">
          <cell r="A13">
            <v>60953</v>
          </cell>
          <cell r="B13">
            <v>157</v>
          </cell>
          <cell r="C13" t="str">
            <v>T3</v>
          </cell>
          <cell r="D13">
            <v>221103</v>
          </cell>
        </row>
        <row r="14">
          <cell r="A14">
            <v>60453</v>
          </cell>
          <cell r="B14">
            <v>156</v>
          </cell>
          <cell r="C14" t="str">
            <v>T4</v>
          </cell>
          <cell r="D14">
            <v>221103</v>
          </cell>
        </row>
        <row r="15">
          <cell r="A15">
            <v>60354</v>
          </cell>
          <cell r="B15">
            <v>162</v>
          </cell>
          <cell r="C15" t="str">
            <v>T1</v>
          </cell>
          <cell r="D15">
            <v>221104</v>
          </cell>
        </row>
        <row r="16">
          <cell r="A16">
            <v>60754</v>
          </cell>
          <cell r="B16">
            <v>163</v>
          </cell>
          <cell r="C16" t="str">
            <v>T2</v>
          </cell>
          <cell r="D16">
            <v>221104</v>
          </cell>
        </row>
        <row r="17">
          <cell r="A17">
            <v>60954</v>
          </cell>
          <cell r="B17">
            <v>165</v>
          </cell>
          <cell r="C17" t="str">
            <v>T3</v>
          </cell>
          <cell r="D17">
            <v>221104</v>
          </cell>
        </row>
        <row r="18">
          <cell r="A18">
            <v>60454</v>
          </cell>
          <cell r="B18">
            <v>164</v>
          </cell>
          <cell r="C18" t="str">
            <v>T4</v>
          </cell>
          <cell r="D18">
            <v>221104</v>
          </cell>
        </row>
        <row r="19">
          <cell r="A19">
            <v>60355</v>
          </cell>
          <cell r="B19">
            <v>182</v>
          </cell>
          <cell r="C19" t="str">
            <v>T1</v>
          </cell>
          <cell r="D19">
            <v>221105</v>
          </cell>
        </row>
        <row r="20">
          <cell r="A20">
            <v>60755</v>
          </cell>
          <cell r="B20">
            <v>183</v>
          </cell>
          <cell r="C20" t="str">
            <v>T2</v>
          </cell>
          <cell r="D20">
            <v>221105</v>
          </cell>
        </row>
        <row r="21">
          <cell r="A21">
            <v>60955</v>
          </cell>
          <cell r="B21">
            <v>185</v>
          </cell>
          <cell r="C21" t="str">
            <v>T3</v>
          </cell>
          <cell r="D21">
            <v>221105</v>
          </cell>
        </row>
        <row r="22">
          <cell r="A22">
            <v>60455</v>
          </cell>
          <cell r="B22">
            <v>184</v>
          </cell>
          <cell r="C22" t="str">
            <v>T4</v>
          </cell>
          <cell r="D22">
            <v>221105</v>
          </cell>
        </row>
        <row r="23">
          <cell r="A23">
            <v>60356</v>
          </cell>
          <cell r="B23">
            <v>190</v>
          </cell>
          <cell r="C23" t="str">
            <v>T1</v>
          </cell>
          <cell r="D23">
            <v>221106</v>
          </cell>
        </row>
        <row r="24">
          <cell r="A24">
            <v>60756</v>
          </cell>
          <cell r="B24">
            <v>191</v>
          </cell>
          <cell r="C24" t="str">
            <v>T2</v>
          </cell>
          <cell r="D24">
            <v>221106</v>
          </cell>
        </row>
        <row r="25">
          <cell r="A25">
            <v>60956</v>
          </cell>
          <cell r="B25">
            <v>193</v>
          </cell>
          <cell r="C25" t="str">
            <v>T3</v>
          </cell>
          <cell r="D25">
            <v>221106</v>
          </cell>
        </row>
        <row r="26">
          <cell r="A26">
            <v>60456</v>
          </cell>
          <cell r="B26">
            <v>192</v>
          </cell>
          <cell r="C26" t="str">
            <v>T4</v>
          </cell>
          <cell r="D26">
            <v>221106</v>
          </cell>
        </row>
        <row r="27">
          <cell r="A27">
            <v>60357</v>
          </cell>
          <cell r="B27">
            <v>206</v>
          </cell>
          <cell r="C27" t="str">
            <v>T1</v>
          </cell>
          <cell r="D27">
            <v>221107</v>
          </cell>
        </row>
        <row r="28">
          <cell r="A28">
            <v>60757</v>
          </cell>
          <cell r="B28">
            <v>207</v>
          </cell>
          <cell r="C28" t="str">
            <v>T2</v>
          </cell>
          <cell r="D28">
            <v>221107</v>
          </cell>
        </row>
        <row r="29">
          <cell r="A29">
            <v>60957</v>
          </cell>
          <cell r="B29">
            <v>209</v>
          </cell>
          <cell r="C29" t="str">
            <v>T3</v>
          </cell>
          <cell r="D29">
            <v>221107</v>
          </cell>
        </row>
        <row r="30">
          <cell r="A30">
            <v>60457</v>
          </cell>
          <cell r="B30">
            <v>208</v>
          </cell>
          <cell r="C30" t="str">
            <v>T4</v>
          </cell>
          <cell r="D30">
            <v>221107</v>
          </cell>
        </row>
        <row r="31">
          <cell r="A31">
            <v>60358</v>
          </cell>
          <cell r="B31">
            <v>214</v>
          </cell>
          <cell r="C31" t="str">
            <v>T1</v>
          </cell>
          <cell r="D31">
            <v>221108</v>
          </cell>
        </row>
        <row r="32">
          <cell r="A32">
            <v>60758</v>
          </cell>
          <cell r="B32">
            <v>215</v>
          </cell>
          <cell r="C32" t="str">
            <v>T2</v>
          </cell>
          <cell r="D32">
            <v>221108</v>
          </cell>
        </row>
        <row r="33">
          <cell r="A33">
            <v>60958</v>
          </cell>
          <cell r="B33">
            <v>217</v>
          </cell>
          <cell r="C33" t="str">
            <v>T3</v>
          </cell>
          <cell r="D33">
            <v>221108</v>
          </cell>
        </row>
        <row r="34">
          <cell r="A34">
            <v>60458</v>
          </cell>
          <cell r="B34">
            <v>216</v>
          </cell>
          <cell r="C34" t="str">
            <v>T4</v>
          </cell>
          <cell r="D34">
            <v>221108</v>
          </cell>
        </row>
        <row r="35">
          <cell r="A35">
            <v>60359</v>
          </cell>
          <cell r="B35">
            <v>150</v>
          </cell>
          <cell r="C35" t="str">
            <v>T1</v>
          </cell>
          <cell r="D35">
            <v>221109</v>
          </cell>
        </row>
        <row r="36">
          <cell r="A36">
            <v>60759</v>
          </cell>
          <cell r="B36">
            <v>151</v>
          </cell>
          <cell r="C36" t="str">
            <v>T2</v>
          </cell>
          <cell r="D36">
            <v>221109</v>
          </cell>
        </row>
        <row r="37">
          <cell r="A37">
            <v>60959</v>
          </cell>
          <cell r="B37">
            <v>153</v>
          </cell>
          <cell r="C37" t="str">
            <v>T3</v>
          </cell>
          <cell r="D37">
            <v>221109</v>
          </cell>
        </row>
        <row r="38">
          <cell r="A38">
            <v>60459</v>
          </cell>
          <cell r="B38">
            <v>152</v>
          </cell>
          <cell r="C38" t="str">
            <v>T4</v>
          </cell>
          <cell r="D38">
            <v>221109</v>
          </cell>
        </row>
        <row r="39">
          <cell r="A39">
            <v>60360</v>
          </cell>
          <cell r="B39">
            <v>158</v>
          </cell>
          <cell r="C39" t="str">
            <v>T1</v>
          </cell>
          <cell r="D39">
            <v>221110</v>
          </cell>
        </row>
        <row r="40">
          <cell r="A40">
            <v>60760</v>
          </cell>
          <cell r="B40">
            <v>159</v>
          </cell>
          <cell r="C40" t="str">
            <v>T2</v>
          </cell>
          <cell r="D40">
            <v>221110</v>
          </cell>
        </row>
        <row r="41">
          <cell r="A41">
            <v>60960</v>
          </cell>
          <cell r="B41">
            <v>161</v>
          </cell>
          <cell r="C41" t="str">
            <v>T3</v>
          </cell>
          <cell r="D41">
            <v>221110</v>
          </cell>
        </row>
        <row r="42">
          <cell r="A42">
            <v>60460</v>
          </cell>
          <cell r="B42">
            <v>160</v>
          </cell>
          <cell r="C42" t="str">
            <v>T4</v>
          </cell>
          <cell r="D42">
            <v>221110</v>
          </cell>
        </row>
        <row r="43">
          <cell r="A43">
            <v>60361</v>
          </cell>
          <cell r="B43">
            <v>166</v>
          </cell>
          <cell r="C43" t="str">
            <v>T1</v>
          </cell>
          <cell r="D43">
            <v>221111</v>
          </cell>
        </row>
        <row r="44">
          <cell r="A44">
            <v>60761</v>
          </cell>
          <cell r="B44">
            <v>167</v>
          </cell>
          <cell r="C44" t="str">
            <v>T2</v>
          </cell>
          <cell r="D44">
            <v>221111</v>
          </cell>
        </row>
        <row r="45">
          <cell r="A45">
            <v>60461</v>
          </cell>
          <cell r="B45">
            <v>168</v>
          </cell>
          <cell r="C45" t="str">
            <v>T4</v>
          </cell>
          <cell r="D45">
            <v>221111</v>
          </cell>
        </row>
        <row r="46">
          <cell r="A46">
            <v>60961</v>
          </cell>
          <cell r="B46">
            <v>169</v>
          </cell>
          <cell r="C46" t="str">
            <v>T3</v>
          </cell>
          <cell r="D46">
            <v>221111</v>
          </cell>
        </row>
        <row r="47">
          <cell r="A47">
            <v>60362</v>
          </cell>
          <cell r="B47">
            <v>170</v>
          </cell>
          <cell r="C47" t="str">
            <v>T1</v>
          </cell>
          <cell r="D47">
            <v>221112</v>
          </cell>
        </row>
        <row r="48">
          <cell r="A48">
            <v>60762</v>
          </cell>
          <cell r="B48">
            <v>171</v>
          </cell>
          <cell r="C48" t="str">
            <v>T2</v>
          </cell>
          <cell r="D48">
            <v>221112</v>
          </cell>
        </row>
        <row r="49">
          <cell r="A49">
            <v>60462</v>
          </cell>
          <cell r="B49">
            <v>172</v>
          </cell>
          <cell r="C49" t="str">
            <v>T4</v>
          </cell>
          <cell r="D49">
            <v>221112</v>
          </cell>
        </row>
        <row r="50">
          <cell r="A50">
            <v>60962</v>
          </cell>
          <cell r="B50">
            <v>173</v>
          </cell>
          <cell r="C50" t="str">
            <v>T3</v>
          </cell>
          <cell r="D50">
            <v>221112</v>
          </cell>
        </row>
        <row r="51">
          <cell r="A51">
            <v>60363</v>
          </cell>
          <cell r="B51">
            <v>146</v>
          </cell>
          <cell r="C51" t="str">
            <v>T1</v>
          </cell>
          <cell r="D51">
            <v>221113</v>
          </cell>
        </row>
        <row r="52">
          <cell r="A52">
            <v>60763</v>
          </cell>
          <cell r="B52">
            <v>147</v>
          </cell>
          <cell r="C52" t="str">
            <v>T2</v>
          </cell>
          <cell r="D52">
            <v>221113</v>
          </cell>
        </row>
        <row r="53">
          <cell r="A53">
            <v>60463</v>
          </cell>
          <cell r="B53">
            <v>148</v>
          </cell>
          <cell r="C53" t="str">
            <v>T4</v>
          </cell>
          <cell r="D53">
            <v>221113</v>
          </cell>
        </row>
        <row r="54">
          <cell r="A54">
            <v>60963</v>
          </cell>
          <cell r="B54">
            <v>149</v>
          </cell>
          <cell r="C54" t="str">
            <v>T3</v>
          </cell>
          <cell r="D54">
            <v>221113</v>
          </cell>
        </row>
        <row r="55">
          <cell r="A55">
            <v>60364</v>
          </cell>
          <cell r="B55">
            <v>178</v>
          </cell>
          <cell r="C55" t="str">
            <v>T1</v>
          </cell>
          <cell r="D55">
            <v>221114</v>
          </cell>
        </row>
        <row r="56">
          <cell r="A56">
            <v>60764</v>
          </cell>
          <cell r="B56">
            <v>179</v>
          </cell>
          <cell r="C56" t="str">
            <v>T2</v>
          </cell>
          <cell r="D56">
            <v>221114</v>
          </cell>
        </row>
        <row r="57">
          <cell r="A57">
            <v>60464</v>
          </cell>
          <cell r="B57">
            <v>180</v>
          </cell>
          <cell r="C57" t="str">
            <v>T4</v>
          </cell>
          <cell r="D57">
            <v>221114</v>
          </cell>
        </row>
        <row r="58">
          <cell r="A58">
            <v>60964</v>
          </cell>
          <cell r="B58">
            <v>181</v>
          </cell>
          <cell r="C58" t="str">
            <v>T3</v>
          </cell>
          <cell r="D58">
            <v>221114</v>
          </cell>
        </row>
        <row r="59">
          <cell r="A59">
            <v>60365</v>
          </cell>
          <cell r="B59">
            <v>186</v>
          </cell>
          <cell r="C59" t="str">
            <v>T1</v>
          </cell>
          <cell r="D59">
            <v>221115</v>
          </cell>
        </row>
        <row r="60">
          <cell r="A60">
            <v>60765</v>
          </cell>
          <cell r="B60">
            <v>187</v>
          </cell>
          <cell r="C60" t="str">
            <v>T2</v>
          </cell>
          <cell r="D60">
            <v>221115</v>
          </cell>
        </row>
        <row r="61">
          <cell r="A61">
            <v>60465</v>
          </cell>
          <cell r="B61">
            <v>188</v>
          </cell>
          <cell r="C61" t="str">
            <v>T4</v>
          </cell>
          <cell r="D61">
            <v>221115</v>
          </cell>
        </row>
        <row r="62">
          <cell r="A62">
            <v>60965</v>
          </cell>
          <cell r="B62">
            <v>189</v>
          </cell>
          <cell r="C62" t="str">
            <v>T3</v>
          </cell>
          <cell r="D62">
            <v>221115</v>
          </cell>
        </row>
        <row r="63">
          <cell r="A63">
            <v>60366</v>
          </cell>
          <cell r="B63">
            <v>174</v>
          </cell>
          <cell r="C63" t="str">
            <v>T1</v>
          </cell>
          <cell r="D63">
            <v>221116</v>
          </cell>
        </row>
        <row r="64">
          <cell r="A64">
            <v>60766</v>
          </cell>
          <cell r="B64">
            <v>175</v>
          </cell>
          <cell r="C64" t="str">
            <v>T2</v>
          </cell>
          <cell r="D64">
            <v>221116</v>
          </cell>
        </row>
        <row r="65">
          <cell r="A65">
            <v>60466</v>
          </cell>
          <cell r="B65">
            <v>176</v>
          </cell>
          <cell r="C65" t="str">
            <v>T4</v>
          </cell>
          <cell r="D65">
            <v>221116</v>
          </cell>
        </row>
        <row r="66">
          <cell r="A66">
            <v>60966</v>
          </cell>
          <cell r="B66">
            <v>177</v>
          </cell>
          <cell r="C66" t="str">
            <v>T3</v>
          </cell>
          <cell r="D66">
            <v>221116</v>
          </cell>
        </row>
        <row r="67">
          <cell r="A67">
            <v>60367</v>
          </cell>
          <cell r="B67">
            <v>194</v>
          </cell>
          <cell r="C67" t="str">
            <v>T1</v>
          </cell>
          <cell r="D67">
            <v>221117</v>
          </cell>
        </row>
        <row r="68">
          <cell r="A68">
            <v>60767</v>
          </cell>
          <cell r="B68">
            <v>195</v>
          </cell>
          <cell r="C68" t="str">
            <v>T2</v>
          </cell>
          <cell r="D68">
            <v>221117</v>
          </cell>
        </row>
        <row r="69">
          <cell r="A69">
            <v>60467</v>
          </cell>
          <cell r="B69">
            <v>196</v>
          </cell>
          <cell r="C69" t="str">
            <v>T4</v>
          </cell>
          <cell r="D69">
            <v>221117</v>
          </cell>
        </row>
        <row r="70">
          <cell r="A70">
            <v>60967</v>
          </cell>
          <cell r="B70">
            <v>197</v>
          </cell>
          <cell r="C70" t="str">
            <v>T3</v>
          </cell>
          <cell r="D70">
            <v>221117</v>
          </cell>
        </row>
        <row r="71">
          <cell r="A71">
            <v>60368</v>
          </cell>
          <cell r="B71">
            <v>198</v>
          </cell>
          <cell r="C71" t="str">
            <v>T1</v>
          </cell>
          <cell r="D71">
            <v>221118</v>
          </cell>
        </row>
        <row r="72">
          <cell r="A72">
            <v>60768</v>
          </cell>
          <cell r="B72">
            <v>199</v>
          </cell>
          <cell r="C72" t="str">
            <v>T2</v>
          </cell>
          <cell r="D72">
            <v>221118</v>
          </cell>
        </row>
        <row r="73">
          <cell r="A73">
            <v>60468</v>
          </cell>
          <cell r="B73">
            <v>200</v>
          </cell>
          <cell r="C73" t="str">
            <v>T4</v>
          </cell>
          <cell r="D73">
            <v>221118</v>
          </cell>
        </row>
        <row r="74">
          <cell r="A74">
            <v>60968</v>
          </cell>
          <cell r="B74">
            <v>201</v>
          </cell>
          <cell r="C74" t="str">
            <v>T3</v>
          </cell>
          <cell r="D74">
            <v>221118</v>
          </cell>
        </row>
        <row r="75">
          <cell r="A75">
            <v>60369</v>
          </cell>
          <cell r="B75">
            <v>202</v>
          </cell>
          <cell r="C75" t="str">
            <v>T1</v>
          </cell>
          <cell r="D75">
            <v>221119</v>
          </cell>
        </row>
        <row r="76">
          <cell r="A76">
            <v>60769</v>
          </cell>
          <cell r="B76">
            <v>203</v>
          </cell>
          <cell r="C76" t="str">
            <v>T2</v>
          </cell>
          <cell r="D76">
            <v>221119</v>
          </cell>
        </row>
        <row r="77">
          <cell r="A77">
            <v>60469</v>
          </cell>
          <cell r="B77">
            <v>204</v>
          </cell>
          <cell r="C77" t="str">
            <v>T4</v>
          </cell>
          <cell r="D77">
            <v>221119</v>
          </cell>
        </row>
        <row r="78">
          <cell r="A78">
            <v>60969</v>
          </cell>
          <cell r="B78">
            <v>205</v>
          </cell>
          <cell r="C78" t="str">
            <v>T3</v>
          </cell>
          <cell r="D78">
            <v>221119</v>
          </cell>
        </row>
        <row r="79">
          <cell r="A79">
            <v>60370</v>
          </cell>
          <cell r="B79">
            <v>210</v>
          </cell>
          <cell r="C79" t="str">
            <v>T1</v>
          </cell>
          <cell r="D79">
            <v>221120</v>
          </cell>
        </row>
        <row r="80">
          <cell r="A80">
            <v>60770</v>
          </cell>
          <cell r="B80">
            <v>211</v>
          </cell>
          <cell r="C80" t="str">
            <v>T2</v>
          </cell>
          <cell r="D80">
            <v>221120</v>
          </cell>
        </row>
        <row r="81">
          <cell r="A81">
            <v>60470</v>
          </cell>
          <cell r="B81">
            <v>212</v>
          </cell>
          <cell r="C81" t="str">
            <v>T4</v>
          </cell>
          <cell r="D81">
            <v>221120</v>
          </cell>
        </row>
        <row r="82">
          <cell r="A82">
            <v>60970</v>
          </cell>
          <cell r="B82">
            <v>213</v>
          </cell>
          <cell r="C82" t="str">
            <v>T3</v>
          </cell>
          <cell r="D82">
            <v>221120</v>
          </cell>
        </row>
        <row r="83">
          <cell r="A83">
            <v>60371</v>
          </cell>
          <cell r="B83">
            <v>222</v>
          </cell>
          <cell r="C83" t="str">
            <v>T1</v>
          </cell>
          <cell r="D83">
            <v>221121</v>
          </cell>
        </row>
        <row r="84">
          <cell r="A84">
            <v>60771</v>
          </cell>
          <cell r="B84">
            <v>223</v>
          </cell>
          <cell r="C84" t="str">
            <v>T2</v>
          </cell>
          <cell r="D84">
            <v>221121</v>
          </cell>
        </row>
        <row r="85">
          <cell r="A85">
            <v>60471</v>
          </cell>
          <cell r="B85">
            <v>224</v>
          </cell>
          <cell r="C85" t="str">
            <v>T4</v>
          </cell>
          <cell r="D85">
            <v>221121</v>
          </cell>
        </row>
        <row r="86">
          <cell r="A86">
            <v>60971</v>
          </cell>
          <cell r="B86">
            <v>225</v>
          </cell>
          <cell r="C86" t="str">
            <v>T3</v>
          </cell>
          <cell r="D86">
            <v>221121</v>
          </cell>
        </row>
        <row r="87">
          <cell r="A87">
            <v>60372</v>
          </cell>
          <cell r="B87">
            <v>218</v>
          </cell>
          <cell r="C87" t="str">
            <v>T1</v>
          </cell>
          <cell r="D87">
            <v>221122</v>
          </cell>
        </row>
        <row r="88">
          <cell r="A88">
            <v>60772</v>
          </cell>
          <cell r="B88">
            <v>219</v>
          </cell>
          <cell r="C88" t="str">
            <v>T2</v>
          </cell>
          <cell r="D88">
            <v>221122</v>
          </cell>
        </row>
        <row r="89">
          <cell r="A89">
            <v>60472</v>
          </cell>
          <cell r="B89">
            <v>220</v>
          </cell>
          <cell r="C89" t="str">
            <v>T4</v>
          </cell>
          <cell r="D89">
            <v>221122</v>
          </cell>
        </row>
        <row r="90">
          <cell r="A90">
            <v>60972</v>
          </cell>
          <cell r="B90">
            <v>221</v>
          </cell>
          <cell r="C90" t="str">
            <v>T3</v>
          </cell>
          <cell r="D90">
            <v>221122</v>
          </cell>
        </row>
        <row r="91">
          <cell r="A91">
            <v>60373</v>
          </cell>
          <cell r="B91">
            <v>226</v>
          </cell>
          <cell r="C91" t="str">
            <v>T1</v>
          </cell>
          <cell r="D91">
            <v>221123</v>
          </cell>
        </row>
        <row r="92">
          <cell r="A92">
            <v>60773</v>
          </cell>
          <cell r="B92">
            <v>227</v>
          </cell>
          <cell r="C92" t="str">
            <v>T2</v>
          </cell>
          <cell r="D92">
            <v>221123</v>
          </cell>
        </row>
        <row r="93">
          <cell r="A93">
            <v>60473</v>
          </cell>
          <cell r="B93">
            <v>228</v>
          </cell>
          <cell r="C93" t="str">
            <v>T4</v>
          </cell>
          <cell r="D93">
            <v>221123</v>
          </cell>
        </row>
        <row r="94">
          <cell r="A94">
            <v>60973</v>
          </cell>
          <cell r="B94">
            <v>229</v>
          </cell>
          <cell r="C94" t="str">
            <v>T3</v>
          </cell>
          <cell r="D94">
            <v>221123</v>
          </cell>
        </row>
        <row r="95">
          <cell r="A95">
            <v>60374</v>
          </cell>
          <cell r="B95">
            <v>230</v>
          </cell>
          <cell r="C95" t="str">
            <v>T1</v>
          </cell>
          <cell r="D95">
            <v>221124</v>
          </cell>
        </row>
        <row r="96">
          <cell r="A96">
            <v>60774</v>
          </cell>
          <cell r="B96">
            <v>231</v>
          </cell>
          <cell r="C96" t="str">
            <v>T2</v>
          </cell>
          <cell r="D96">
            <v>221124</v>
          </cell>
        </row>
        <row r="97">
          <cell r="A97">
            <v>60474</v>
          </cell>
          <cell r="B97">
            <v>232</v>
          </cell>
          <cell r="C97" t="str">
            <v>T4</v>
          </cell>
          <cell r="D97">
            <v>221124</v>
          </cell>
        </row>
        <row r="98">
          <cell r="A98">
            <v>60974</v>
          </cell>
          <cell r="B98">
            <v>233</v>
          </cell>
          <cell r="C98" t="str">
            <v>T3</v>
          </cell>
          <cell r="D98">
            <v>221124</v>
          </cell>
        </row>
        <row r="99">
          <cell r="A99">
            <v>60375</v>
          </cell>
          <cell r="B99">
            <v>234</v>
          </cell>
          <cell r="C99" t="str">
            <v>T1</v>
          </cell>
          <cell r="D99">
            <v>221125</v>
          </cell>
        </row>
        <row r="100">
          <cell r="A100">
            <v>60775</v>
          </cell>
          <cell r="B100">
            <v>235</v>
          </cell>
          <cell r="C100" t="str">
            <v>T2</v>
          </cell>
          <cell r="D100">
            <v>221125</v>
          </cell>
        </row>
        <row r="101">
          <cell r="A101">
            <v>60475</v>
          </cell>
          <cell r="B101">
            <v>236</v>
          </cell>
          <cell r="C101" t="str">
            <v>T4</v>
          </cell>
          <cell r="D101">
            <v>221125</v>
          </cell>
        </row>
        <row r="102">
          <cell r="A102">
            <v>60975</v>
          </cell>
          <cell r="B102">
            <v>237</v>
          </cell>
          <cell r="C102" t="str">
            <v>T3</v>
          </cell>
          <cell r="D102">
            <v>221125</v>
          </cell>
        </row>
        <row r="103">
          <cell r="A103">
            <v>60875</v>
          </cell>
          <cell r="B103">
            <v>238</v>
          </cell>
          <cell r="C103" t="str">
            <v>T3</v>
          </cell>
          <cell r="D103">
            <v>221125</v>
          </cell>
        </row>
        <row r="104">
          <cell r="A104">
            <v>60376</v>
          </cell>
          <cell r="B104">
            <v>239</v>
          </cell>
          <cell r="C104" t="str">
            <v>T1</v>
          </cell>
          <cell r="D104">
            <v>221126</v>
          </cell>
        </row>
        <row r="105">
          <cell r="A105">
            <v>60776</v>
          </cell>
          <cell r="B105">
            <v>240</v>
          </cell>
          <cell r="C105" t="str">
            <v>T2</v>
          </cell>
          <cell r="D105">
            <v>221126</v>
          </cell>
        </row>
        <row r="106">
          <cell r="A106">
            <v>60976</v>
          </cell>
          <cell r="B106">
            <v>241</v>
          </cell>
          <cell r="C106" t="str">
            <v>T3</v>
          </cell>
          <cell r="D106">
            <v>221126</v>
          </cell>
        </row>
        <row r="107">
          <cell r="A107">
            <v>60476</v>
          </cell>
          <cell r="B107">
            <v>242</v>
          </cell>
          <cell r="C107" t="str">
            <v>T4</v>
          </cell>
          <cell r="D107">
            <v>221126</v>
          </cell>
        </row>
        <row r="108">
          <cell r="A108">
            <v>60876</v>
          </cell>
          <cell r="B108">
            <v>243</v>
          </cell>
          <cell r="C108" t="str">
            <v>T3</v>
          </cell>
          <cell r="D108">
            <v>221126</v>
          </cell>
        </row>
        <row r="109">
          <cell r="A109">
            <v>60854</v>
          </cell>
          <cell r="B109">
            <v>244</v>
          </cell>
          <cell r="C109" t="str">
            <v>T3</v>
          </cell>
          <cell r="D109">
            <v>221104</v>
          </cell>
        </row>
        <row r="110">
          <cell r="A110">
            <v>60377</v>
          </cell>
          <cell r="B110">
            <v>245</v>
          </cell>
          <cell r="C110" t="str">
            <v>T1</v>
          </cell>
          <cell r="D110">
            <v>221127</v>
          </cell>
        </row>
        <row r="111">
          <cell r="A111">
            <v>60777</v>
          </cell>
          <cell r="B111">
            <v>246</v>
          </cell>
          <cell r="C111" t="str">
            <v>T2</v>
          </cell>
          <cell r="D111">
            <v>221127</v>
          </cell>
        </row>
        <row r="112">
          <cell r="A112">
            <v>60977</v>
          </cell>
          <cell r="B112">
            <v>247</v>
          </cell>
          <cell r="C112" t="str">
            <v>T3</v>
          </cell>
          <cell r="D112">
            <v>221127</v>
          </cell>
        </row>
        <row r="113">
          <cell r="A113">
            <v>60477</v>
          </cell>
          <cell r="B113">
            <v>248</v>
          </cell>
          <cell r="C113" t="str">
            <v>T4</v>
          </cell>
          <cell r="D113">
            <v>221127</v>
          </cell>
        </row>
        <row r="114">
          <cell r="A114">
            <v>60877</v>
          </cell>
          <cell r="B114">
            <v>249</v>
          </cell>
          <cell r="C114" t="str">
            <v>T3</v>
          </cell>
          <cell r="D114">
            <v>221127</v>
          </cell>
        </row>
        <row r="115">
          <cell r="A115">
            <v>60856</v>
          </cell>
          <cell r="B115">
            <v>250</v>
          </cell>
          <cell r="C115" t="str">
            <v>T3</v>
          </cell>
          <cell r="D115">
            <v>221106</v>
          </cell>
        </row>
        <row r="116">
          <cell r="A116">
            <v>60378</v>
          </cell>
          <cell r="B116">
            <v>257</v>
          </cell>
          <cell r="C116" t="str">
            <v>T1</v>
          </cell>
          <cell r="D116">
            <v>221128</v>
          </cell>
        </row>
        <row r="117">
          <cell r="A117">
            <v>60778</v>
          </cell>
          <cell r="B117">
            <v>258</v>
          </cell>
          <cell r="C117" t="str">
            <v>T2</v>
          </cell>
          <cell r="D117">
            <v>221128</v>
          </cell>
        </row>
        <row r="118">
          <cell r="A118">
            <v>60978</v>
          </cell>
          <cell r="B118">
            <v>259</v>
          </cell>
          <cell r="C118" t="str">
            <v>T3</v>
          </cell>
          <cell r="D118">
            <v>221128</v>
          </cell>
        </row>
        <row r="119">
          <cell r="A119">
            <v>60478</v>
          </cell>
          <cell r="B119">
            <v>260</v>
          </cell>
          <cell r="C119" t="str">
            <v>T4</v>
          </cell>
          <cell r="D119">
            <v>221128</v>
          </cell>
        </row>
        <row r="120">
          <cell r="A120">
            <v>60878</v>
          </cell>
          <cell r="B120">
            <v>261</v>
          </cell>
          <cell r="C120" t="str">
            <v>T3</v>
          </cell>
          <cell r="D120">
            <v>221128</v>
          </cell>
        </row>
        <row r="121">
          <cell r="A121">
            <v>60860</v>
          </cell>
          <cell r="B121">
            <v>262</v>
          </cell>
          <cell r="C121" t="str">
            <v>T3</v>
          </cell>
          <cell r="D121">
            <v>221110</v>
          </cell>
        </row>
        <row r="122">
          <cell r="A122">
            <v>60379</v>
          </cell>
          <cell r="B122">
            <v>251</v>
          </cell>
          <cell r="C122" t="str">
            <v>T1</v>
          </cell>
          <cell r="D122">
            <v>221129</v>
          </cell>
        </row>
        <row r="123">
          <cell r="A123">
            <v>60779</v>
          </cell>
          <cell r="B123">
            <v>252</v>
          </cell>
          <cell r="C123" t="str">
            <v>T2</v>
          </cell>
          <cell r="D123">
            <v>221129</v>
          </cell>
        </row>
        <row r="124">
          <cell r="A124">
            <v>60979</v>
          </cell>
          <cell r="B124">
            <v>253</v>
          </cell>
          <cell r="C124" t="str">
            <v>T3</v>
          </cell>
          <cell r="D124">
            <v>221129</v>
          </cell>
        </row>
        <row r="125">
          <cell r="A125">
            <v>60479</v>
          </cell>
          <cell r="B125">
            <v>254</v>
          </cell>
          <cell r="C125" t="str">
            <v>T4</v>
          </cell>
          <cell r="D125">
            <v>221129</v>
          </cell>
        </row>
        <row r="126">
          <cell r="A126">
            <v>60879</v>
          </cell>
          <cell r="B126">
            <v>255</v>
          </cell>
          <cell r="C126" t="str">
            <v>T3</v>
          </cell>
          <cell r="D126">
            <v>221129</v>
          </cell>
        </row>
        <row r="127">
          <cell r="A127">
            <v>60858</v>
          </cell>
          <cell r="B127">
            <v>256</v>
          </cell>
          <cell r="C127" t="str">
            <v>T3</v>
          </cell>
          <cell r="D127">
            <v>221108</v>
          </cell>
        </row>
        <row r="128">
          <cell r="A128">
            <v>60380</v>
          </cell>
          <cell r="B128">
            <v>269</v>
          </cell>
          <cell r="C128" t="str">
            <v>T1</v>
          </cell>
          <cell r="D128">
            <v>221130</v>
          </cell>
        </row>
        <row r="129">
          <cell r="A129">
            <v>60780</v>
          </cell>
          <cell r="B129">
            <v>270</v>
          </cell>
          <cell r="C129" t="str">
            <v>T2</v>
          </cell>
          <cell r="D129">
            <v>221130</v>
          </cell>
        </row>
        <row r="130">
          <cell r="A130">
            <v>60980</v>
          </cell>
          <cell r="B130">
            <v>271</v>
          </cell>
          <cell r="C130" t="str">
            <v>T3</v>
          </cell>
          <cell r="D130">
            <v>221130</v>
          </cell>
        </row>
        <row r="131">
          <cell r="A131">
            <v>60480</v>
          </cell>
          <cell r="B131">
            <v>272</v>
          </cell>
          <cell r="C131" t="str">
            <v>T4</v>
          </cell>
          <cell r="D131">
            <v>221130</v>
          </cell>
        </row>
        <row r="132">
          <cell r="A132">
            <v>60880</v>
          </cell>
          <cell r="B132">
            <v>273</v>
          </cell>
          <cell r="C132" t="str">
            <v>T3</v>
          </cell>
          <cell r="D132">
            <v>221130</v>
          </cell>
        </row>
        <row r="133">
          <cell r="A133">
            <v>60864</v>
          </cell>
          <cell r="B133">
            <v>274</v>
          </cell>
          <cell r="C133" t="str">
            <v>T3</v>
          </cell>
          <cell r="D133">
            <v>221114</v>
          </cell>
        </row>
        <row r="134">
          <cell r="A134">
            <v>60381</v>
          </cell>
          <cell r="B134">
            <v>263</v>
          </cell>
          <cell r="C134" t="str">
            <v>T1</v>
          </cell>
          <cell r="D134">
            <v>221131</v>
          </cell>
        </row>
        <row r="135">
          <cell r="A135">
            <v>60781</v>
          </cell>
          <cell r="B135">
            <v>264</v>
          </cell>
          <cell r="C135" t="str">
            <v>T2</v>
          </cell>
          <cell r="D135">
            <v>221131</v>
          </cell>
        </row>
        <row r="136">
          <cell r="A136">
            <v>60981</v>
          </cell>
          <cell r="B136">
            <v>265</v>
          </cell>
          <cell r="C136" t="str">
            <v>T3</v>
          </cell>
          <cell r="D136">
            <v>221131</v>
          </cell>
        </row>
        <row r="137">
          <cell r="A137">
            <v>60481</v>
          </cell>
          <cell r="B137">
            <v>266</v>
          </cell>
          <cell r="C137" t="str">
            <v>T4</v>
          </cell>
          <cell r="D137">
            <v>221131</v>
          </cell>
        </row>
        <row r="138">
          <cell r="A138">
            <v>60881</v>
          </cell>
          <cell r="B138">
            <v>267</v>
          </cell>
          <cell r="C138" t="str">
            <v>T3</v>
          </cell>
          <cell r="D138">
            <v>221131</v>
          </cell>
        </row>
        <row r="139">
          <cell r="A139">
            <v>60862</v>
          </cell>
          <cell r="B139">
            <v>268</v>
          </cell>
          <cell r="C139" t="str">
            <v>T3</v>
          </cell>
          <cell r="D139">
            <v>221112</v>
          </cell>
        </row>
        <row r="140">
          <cell r="A140">
            <v>60382</v>
          </cell>
          <cell r="B140">
            <v>281</v>
          </cell>
          <cell r="C140" t="str">
            <v>T1</v>
          </cell>
          <cell r="D140">
            <v>221132</v>
          </cell>
        </row>
        <row r="141">
          <cell r="A141">
            <v>60782</v>
          </cell>
          <cell r="B141">
            <v>282</v>
          </cell>
          <cell r="C141" t="str">
            <v>T2</v>
          </cell>
          <cell r="D141">
            <v>221132</v>
          </cell>
        </row>
        <row r="142">
          <cell r="A142">
            <v>60982</v>
          </cell>
          <cell r="B142">
            <v>283</v>
          </cell>
          <cell r="C142" t="str">
            <v>T3</v>
          </cell>
          <cell r="D142">
            <v>221132</v>
          </cell>
        </row>
        <row r="143">
          <cell r="A143">
            <v>60482</v>
          </cell>
          <cell r="B143">
            <v>284</v>
          </cell>
          <cell r="C143" t="str">
            <v>T4</v>
          </cell>
          <cell r="D143">
            <v>221132</v>
          </cell>
        </row>
        <row r="144">
          <cell r="A144">
            <v>60882</v>
          </cell>
          <cell r="B144">
            <v>285</v>
          </cell>
          <cell r="C144" t="str">
            <v>T3</v>
          </cell>
          <cell r="D144">
            <v>221132</v>
          </cell>
        </row>
        <row r="145">
          <cell r="A145">
            <v>60868</v>
          </cell>
          <cell r="B145">
            <v>286</v>
          </cell>
          <cell r="C145" t="str">
            <v>T3</v>
          </cell>
          <cell r="D145">
            <v>221118</v>
          </cell>
        </row>
        <row r="146">
          <cell r="A146">
            <v>60383</v>
          </cell>
          <cell r="B146">
            <v>275</v>
          </cell>
          <cell r="C146" t="str">
            <v>T1</v>
          </cell>
          <cell r="D146">
            <v>221133</v>
          </cell>
        </row>
        <row r="147">
          <cell r="A147">
            <v>60783</v>
          </cell>
          <cell r="B147">
            <v>276</v>
          </cell>
          <cell r="C147" t="str">
            <v>T2</v>
          </cell>
          <cell r="D147">
            <v>221133</v>
          </cell>
        </row>
        <row r="148">
          <cell r="A148">
            <v>60983</v>
          </cell>
          <cell r="B148">
            <v>277</v>
          </cell>
          <cell r="C148" t="str">
            <v>T3</v>
          </cell>
          <cell r="D148">
            <v>221133</v>
          </cell>
        </row>
        <row r="149">
          <cell r="A149">
            <v>60483</v>
          </cell>
          <cell r="B149">
            <v>278</v>
          </cell>
          <cell r="C149" t="str">
            <v>T4</v>
          </cell>
          <cell r="D149">
            <v>221133</v>
          </cell>
        </row>
        <row r="150">
          <cell r="A150">
            <v>60883</v>
          </cell>
          <cell r="B150">
            <v>279</v>
          </cell>
          <cell r="C150" t="str">
            <v>T3</v>
          </cell>
          <cell r="D150">
            <v>221133</v>
          </cell>
        </row>
        <row r="151">
          <cell r="A151">
            <v>60866</v>
          </cell>
          <cell r="B151">
            <v>280</v>
          </cell>
          <cell r="C151" t="str">
            <v>T3</v>
          </cell>
          <cell r="D151">
            <v>221116</v>
          </cell>
        </row>
        <row r="152">
          <cell r="A152">
            <v>60384</v>
          </cell>
          <cell r="B152">
            <v>293</v>
          </cell>
          <cell r="C152" t="str">
            <v>T1</v>
          </cell>
          <cell r="D152">
            <v>221134</v>
          </cell>
        </row>
        <row r="153">
          <cell r="A153">
            <v>60784</v>
          </cell>
          <cell r="B153">
            <v>294</v>
          </cell>
          <cell r="C153" t="str">
            <v>T2</v>
          </cell>
          <cell r="D153">
            <v>221134</v>
          </cell>
        </row>
        <row r="154">
          <cell r="A154">
            <v>60984</v>
          </cell>
          <cell r="B154">
            <v>295</v>
          </cell>
          <cell r="C154" t="str">
            <v>T3</v>
          </cell>
          <cell r="D154">
            <v>221134</v>
          </cell>
        </row>
        <row r="155">
          <cell r="A155">
            <v>60484</v>
          </cell>
          <cell r="B155">
            <v>296</v>
          </cell>
          <cell r="C155" t="str">
            <v>T4</v>
          </cell>
          <cell r="D155">
            <v>221134</v>
          </cell>
        </row>
        <row r="156">
          <cell r="A156">
            <v>60884</v>
          </cell>
          <cell r="B156">
            <v>297</v>
          </cell>
          <cell r="C156" t="str">
            <v>T3</v>
          </cell>
          <cell r="D156">
            <v>221134</v>
          </cell>
        </row>
        <row r="157">
          <cell r="A157">
            <v>60872</v>
          </cell>
          <cell r="B157">
            <v>298</v>
          </cell>
          <cell r="C157" t="str">
            <v>T3</v>
          </cell>
          <cell r="D157">
            <v>221122</v>
          </cell>
        </row>
        <row r="158">
          <cell r="A158">
            <v>60385</v>
          </cell>
          <cell r="B158">
            <v>287</v>
          </cell>
          <cell r="C158" t="str">
            <v>T1</v>
          </cell>
          <cell r="D158">
            <v>221135</v>
          </cell>
        </row>
        <row r="159">
          <cell r="A159">
            <v>60785</v>
          </cell>
          <cell r="B159">
            <v>288</v>
          </cell>
          <cell r="C159" t="str">
            <v>T2</v>
          </cell>
          <cell r="D159">
            <v>221135</v>
          </cell>
        </row>
        <row r="160">
          <cell r="A160">
            <v>60985</v>
          </cell>
          <cell r="B160">
            <v>289</v>
          </cell>
          <cell r="C160" t="str">
            <v>T3</v>
          </cell>
          <cell r="D160">
            <v>221135</v>
          </cell>
        </row>
        <row r="161">
          <cell r="A161">
            <v>60485</v>
          </cell>
          <cell r="B161">
            <v>290</v>
          </cell>
          <cell r="C161" t="str">
            <v>T4</v>
          </cell>
          <cell r="D161">
            <v>221135</v>
          </cell>
        </row>
        <row r="162">
          <cell r="A162">
            <v>60885</v>
          </cell>
          <cell r="B162">
            <v>291</v>
          </cell>
          <cell r="C162" t="str">
            <v>T3</v>
          </cell>
          <cell r="D162">
            <v>221135</v>
          </cell>
        </row>
        <row r="163">
          <cell r="A163">
            <v>60870</v>
          </cell>
          <cell r="B163">
            <v>292</v>
          </cell>
          <cell r="C163" t="str">
            <v>T3</v>
          </cell>
          <cell r="D163">
            <v>221120</v>
          </cell>
        </row>
        <row r="164">
          <cell r="A164">
            <v>60386</v>
          </cell>
          <cell r="B164">
            <v>305</v>
          </cell>
          <cell r="C164" t="str">
            <v>T1</v>
          </cell>
          <cell r="D164">
            <v>221136</v>
          </cell>
        </row>
        <row r="165">
          <cell r="A165">
            <v>60786</v>
          </cell>
          <cell r="B165">
            <v>306</v>
          </cell>
          <cell r="C165" t="str">
            <v>T2</v>
          </cell>
          <cell r="D165">
            <v>221136</v>
          </cell>
        </row>
        <row r="166">
          <cell r="A166">
            <v>60986</v>
          </cell>
          <cell r="B166">
            <v>307</v>
          </cell>
          <cell r="C166" t="str">
            <v>T3</v>
          </cell>
          <cell r="D166">
            <v>221136</v>
          </cell>
        </row>
        <row r="167">
          <cell r="A167">
            <v>60486</v>
          </cell>
          <cell r="B167">
            <v>308</v>
          </cell>
          <cell r="C167" t="str">
            <v>T4</v>
          </cell>
          <cell r="D167">
            <v>221136</v>
          </cell>
        </row>
        <row r="168">
          <cell r="A168">
            <v>60886</v>
          </cell>
          <cell r="B168">
            <v>309</v>
          </cell>
          <cell r="C168" t="str">
            <v>T3</v>
          </cell>
          <cell r="D168">
            <v>221136</v>
          </cell>
        </row>
        <row r="169">
          <cell r="A169">
            <v>60852</v>
          </cell>
          <cell r="B169">
            <v>310</v>
          </cell>
          <cell r="C169" t="str">
            <v>T3</v>
          </cell>
          <cell r="D169">
            <v>221102</v>
          </cell>
        </row>
        <row r="170">
          <cell r="A170">
            <v>60387</v>
          </cell>
          <cell r="B170">
            <v>299</v>
          </cell>
          <cell r="C170" t="str">
            <v>T1</v>
          </cell>
          <cell r="D170">
            <v>221137</v>
          </cell>
        </row>
        <row r="171">
          <cell r="A171">
            <v>60787</v>
          </cell>
          <cell r="B171">
            <v>300</v>
          </cell>
          <cell r="C171" t="str">
            <v>T2</v>
          </cell>
          <cell r="D171">
            <v>221137</v>
          </cell>
        </row>
        <row r="172">
          <cell r="A172">
            <v>60987</v>
          </cell>
          <cell r="B172">
            <v>301</v>
          </cell>
          <cell r="C172" t="str">
            <v>T3</v>
          </cell>
          <cell r="D172">
            <v>221137</v>
          </cell>
        </row>
        <row r="173">
          <cell r="A173">
            <v>60487</v>
          </cell>
          <cell r="B173">
            <v>302</v>
          </cell>
          <cell r="C173" t="str">
            <v>T4</v>
          </cell>
          <cell r="D173">
            <v>221137</v>
          </cell>
        </row>
        <row r="174">
          <cell r="A174">
            <v>60887</v>
          </cell>
          <cell r="B174">
            <v>303</v>
          </cell>
          <cell r="C174" t="str">
            <v>T3</v>
          </cell>
          <cell r="D174">
            <v>221137</v>
          </cell>
        </row>
        <row r="175">
          <cell r="A175">
            <v>60874</v>
          </cell>
          <cell r="B175">
            <v>304</v>
          </cell>
          <cell r="C175" t="str">
            <v>T3</v>
          </cell>
          <cell r="D175">
            <v>221124</v>
          </cell>
        </row>
        <row r="176">
          <cell r="A176">
            <v>60388</v>
          </cell>
          <cell r="B176">
            <v>317</v>
          </cell>
          <cell r="C176" t="str">
            <v>T1</v>
          </cell>
          <cell r="D176">
            <v>221138</v>
          </cell>
        </row>
        <row r="177">
          <cell r="A177">
            <v>60788</v>
          </cell>
          <cell r="B177">
            <v>318</v>
          </cell>
          <cell r="C177" t="str">
            <v>T2</v>
          </cell>
          <cell r="D177">
            <v>221138</v>
          </cell>
        </row>
        <row r="178">
          <cell r="A178">
            <v>60988</v>
          </cell>
          <cell r="B178">
            <v>319</v>
          </cell>
          <cell r="C178" t="str">
            <v>T3</v>
          </cell>
          <cell r="D178">
            <v>221138</v>
          </cell>
        </row>
        <row r="179">
          <cell r="A179">
            <v>60488</v>
          </cell>
          <cell r="B179">
            <v>320</v>
          </cell>
          <cell r="C179" t="str">
            <v>T4</v>
          </cell>
          <cell r="D179">
            <v>221138</v>
          </cell>
        </row>
        <row r="180">
          <cell r="A180">
            <v>60888</v>
          </cell>
          <cell r="B180">
            <v>321</v>
          </cell>
          <cell r="C180" t="str">
            <v>T3</v>
          </cell>
          <cell r="D180">
            <v>221138</v>
          </cell>
        </row>
        <row r="181">
          <cell r="A181">
            <v>60853</v>
          </cell>
          <cell r="B181">
            <v>322</v>
          </cell>
          <cell r="C181" t="str">
            <v>T3</v>
          </cell>
          <cell r="D181">
            <v>221103</v>
          </cell>
        </row>
        <row r="182">
          <cell r="A182">
            <v>60389</v>
          </cell>
          <cell r="B182">
            <v>311</v>
          </cell>
          <cell r="C182" t="str">
            <v>T1</v>
          </cell>
          <cell r="D182">
            <v>221139</v>
          </cell>
        </row>
        <row r="183">
          <cell r="A183">
            <v>60789</v>
          </cell>
          <cell r="B183">
            <v>312</v>
          </cell>
          <cell r="C183" t="str">
            <v>T2</v>
          </cell>
          <cell r="D183">
            <v>221139</v>
          </cell>
        </row>
        <row r="184">
          <cell r="A184">
            <v>60989</v>
          </cell>
          <cell r="B184">
            <v>313</v>
          </cell>
          <cell r="C184" t="str">
            <v>T3</v>
          </cell>
          <cell r="D184">
            <v>221139</v>
          </cell>
        </row>
        <row r="185">
          <cell r="A185">
            <v>60489</v>
          </cell>
          <cell r="B185">
            <v>314</v>
          </cell>
          <cell r="C185" t="str">
            <v>T4</v>
          </cell>
          <cell r="D185">
            <v>221139</v>
          </cell>
        </row>
        <row r="186">
          <cell r="A186">
            <v>60889</v>
          </cell>
          <cell r="B186">
            <v>315</v>
          </cell>
          <cell r="C186" t="str">
            <v>T3</v>
          </cell>
          <cell r="D186">
            <v>221139</v>
          </cell>
        </row>
        <row r="187">
          <cell r="A187">
            <v>60855</v>
          </cell>
          <cell r="B187">
            <v>316</v>
          </cell>
          <cell r="C187" t="str">
            <v>T3</v>
          </cell>
          <cell r="D187">
            <v>221105</v>
          </cell>
        </row>
        <row r="188">
          <cell r="A188">
            <v>60390</v>
          </cell>
          <cell r="B188">
            <v>329</v>
          </cell>
          <cell r="C188" t="str">
            <v>T1</v>
          </cell>
          <cell r="D188">
            <v>221140</v>
          </cell>
        </row>
        <row r="189">
          <cell r="A189">
            <v>60790</v>
          </cell>
          <cell r="B189">
            <v>330</v>
          </cell>
          <cell r="C189" t="str">
            <v>T2</v>
          </cell>
          <cell r="D189">
            <v>221140</v>
          </cell>
        </row>
        <row r="190">
          <cell r="A190">
            <v>60990</v>
          </cell>
          <cell r="B190">
            <v>331</v>
          </cell>
          <cell r="C190" t="str">
            <v>T3</v>
          </cell>
          <cell r="D190">
            <v>221140</v>
          </cell>
        </row>
        <row r="191">
          <cell r="A191">
            <v>60490</v>
          </cell>
          <cell r="B191">
            <v>332</v>
          </cell>
          <cell r="C191" t="str">
            <v>T4</v>
          </cell>
          <cell r="D191">
            <v>221140</v>
          </cell>
        </row>
        <row r="192">
          <cell r="A192">
            <v>60890</v>
          </cell>
          <cell r="B192">
            <v>333</v>
          </cell>
          <cell r="C192" t="str">
            <v>T3</v>
          </cell>
          <cell r="D192">
            <v>221140</v>
          </cell>
        </row>
        <row r="193">
          <cell r="A193">
            <v>60857</v>
          </cell>
          <cell r="B193">
            <v>334</v>
          </cell>
          <cell r="C193" t="str">
            <v>T3</v>
          </cell>
          <cell r="D193">
            <v>221107</v>
          </cell>
        </row>
        <row r="194">
          <cell r="A194">
            <v>60391</v>
          </cell>
          <cell r="B194">
            <v>323</v>
          </cell>
          <cell r="C194" t="str">
            <v>T1</v>
          </cell>
          <cell r="D194">
            <v>221141</v>
          </cell>
        </row>
        <row r="195">
          <cell r="A195">
            <v>60791</v>
          </cell>
          <cell r="B195">
            <v>324</v>
          </cell>
          <cell r="C195" t="str">
            <v>T2</v>
          </cell>
          <cell r="D195">
            <v>221141</v>
          </cell>
        </row>
        <row r="196">
          <cell r="A196">
            <v>60991</v>
          </cell>
          <cell r="B196">
            <v>325</v>
          </cell>
          <cell r="C196" t="str">
            <v>T3</v>
          </cell>
          <cell r="D196">
            <v>221141</v>
          </cell>
        </row>
        <row r="197">
          <cell r="A197">
            <v>60491</v>
          </cell>
          <cell r="B197">
            <v>326</v>
          </cell>
          <cell r="C197" t="str">
            <v>T4</v>
          </cell>
          <cell r="D197">
            <v>221141</v>
          </cell>
        </row>
        <row r="198">
          <cell r="A198">
            <v>60859</v>
          </cell>
          <cell r="B198">
            <v>327</v>
          </cell>
          <cell r="C198" t="str">
            <v>T3</v>
          </cell>
          <cell r="D198">
            <v>221109</v>
          </cell>
        </row>
        <row r="199">
          <cell r="A199">
            <v>60861</v>
          </cell>
          <cell r="B199">
            <v>328</v>
          </cell>
          <cell r="C199" t="str">
            <v>T3</v>
          </cell>
          <cell r="D199">
            <v>221111</v>
          </cell>
        </row>
        <row r="200">
          <cell r="A200">
            <v>60392</v>
          </cell>
          <cell r="B200">
            <v>341</v>
          </cell>
          <cell r="C200" t="str">
            <v>T1</v>
          </cell>
          <cell r="D200">
            <v>221142</v>
          </cell>
        </row>
        <row r="201">
          <cell r="A201">
            <v>60792</v>
          </cell>
          <cell r="B201">
            <v>342</v>
          </cell>
          <cell r="C201" t="str">
            <v>T2</v>
          </cell>
          <cell r="D201">
            <v>221142</v>
          </cell>
        </row>
        <row r="202">
          <cell r="A202">
            <v>60992</v>
          </cell>
          <cell r="B202">
            <v>343</v>
          </cell>
          <cell r="C202" t="str">
            <v>T3</v>
          </cell>
          <cell r="D202">
            <v>221142</v>
          </cell>
        </row>
        <row r="203">
          <cell r="A203">
            <v>60492</v>
          </cell>
          <cell r="B203">
            <v>344</v>
          </cell>
          <cell r="C203" t="str">
            <v>T4</v>
          </cell>
          <cell r="D203">
            <v>221142</v>
          </cell>
        </row>
        <row r="204">
          <cell r="A204">
            <v>60863</v>
          </cell>
          <cell r="B204">
            <v>345</v>
          </cell>
          <cell r="C204" t="str">
            <v>T3</v>
          </cell>
          <cell r="D204">
            <v>221113</v>
          </cell>
        </row>
        <row r="205">
          <cell r="A205">
            <v>60865</v>
          </cell>
          <cell r="B205">
            <v>346</v>
          </cell>
          <cell r="C205" t="str">
            <v>T3</v>
          </cell>
          <cell r="D205">
            <v>221115</v>
          </cell>
        </row>
        <row r="206">
          <cell r="A206">
            <v>60393</v>
          </cell>
          <cell r="B206">
            <v>335</v>
          </cell>
          <cell r="C206" t="str">
            <v>T1</v>
          </cell>
          <cell r="D206">
            <v>221143</v>
          </cell>
        </row>
        <row r="207">
          <cell r="A207">
            <v>60793</v>
          </cell>
          <cell r="B207">
            <v>336</v>
          </cell>
          <cell r="C207" t="str">
            <v>T2</v>
          </cell>
          <cell r="D207">
            <v>221143</v>
          </cell>
        </row>
        <row r="208">
          <cell r="A208">
            <v>60993</v>
          </cell>
          <cell r="B208">
            <v>337</v>
          </cell>
          <cell r="C208" t="str">
            <v>T3</v>
          </cell>
          <cell r="D208">
            <v>221143</v>
          </cell>
        </row>
        <row r="209">
          <cell r="A209">
            <v>60493</v>
          </cell>
          <cell r="B209">
            <v>338</v>
          </cell>
          <cell r="C209" t="str">
            <v>T4</v>
          </cell>
          <cell r="D209">
            <v>221143</v>
          </cell>
        </row>
        <row r="210">
          <cell r="A210">
            <v>60867</v>
          </cell>
          <cell r="B210">
            <v>339</v>
          </cell>
          <cell r="C210" t="str">
            <v>T3</v>
          </cell>
          <cell r="D210">
            <v>221117</v>
          </cell>
        </row>
        <row r="211">
          <cell r="A211">
            <v>60869</v>
          </cell>
          <cell r="B211">
            <v>340</v>
          </cell>
          <cell r="C211" t="str">
            <v>T3</v>
          </cell>
          <cell r="D211">
            <v>221119</v>
          </cell>
        </row>
        <row r="212">
          <cell r="A212">
            <v>60394</v>
          </cell>
          <cell r="B212">
            <v>347</v>
          </cell>
          <cell r="C212" t="str">
            <v>T1</v>
          </cell>
          <cell r="D212">
            <v>221144</v>
          </cell>
        </row>
        <row r="213">
          <cell r="A213">
            <v>60794</v>
          </cell>
          <cell r="B213">
            <v>348</v>
          </cell>
          <cell r="C213" t="str">
            <v>T2</v>
          </cell>
          <cell r="D213">
            <v>221144</v>
          </cell>
        </row>
        <row r="214">
          <cell r="A214">
            <v>60994</v>
          </cell>
          <cell r="B214">
            <v>349</v>
          </cell>
          <cell r="C214" t="str">
            <v>T3</v>
          </cell>
          <cell r="D214">
            <v>221144</v>
          </cell>
        </row>
        <row r="215">
          <cell r="A215">
            <v>60494</v>
          </cell>
          <cell r="B215">
            <v>350</v>
          </cell>
          <cell r="C215" t="str">
            <v>T4</v>
          </cell>
          <cell r="D215">
            <v>221144</v>
          </cell>
        </row>
        <row r="216">
          <cell r="A216">
            <v>60871</v>
          </cell>
          <cell r="B216">
            <v>351</v>
          </cell>
          <cell r="C216" t="str">
            <v>T3</v>
          </cell>
          <cell r="D216">
            <v>221121</v>
          </cell>
        </row>
        <row r="217">
          <cell r="A217">
            <v>60873</v>
          </cell>
          <cell r="B217">
            <v>352</v>
          </cell>
          <cell r="C217" t="str">
            <v>T3</v>
          </cell>
          <cell r="D217">
            <v>221123</v>
          </cell>
        </row>
      </sheetData>
      <sheetData sheetId="2" refreshError="1"/>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ning Slots and Rules"/>
      <sheetName val="Mileages EOD"/>
      <sheetName val="Plan"/>
      <sheetName val="Long Term Planning"/>
      <sheetName val="220"/>
      <sheetName val="Planning Sheet"/>
      <sheetName val="Night Shift Update"/>
      <sheetName val="Night Shift Update 2"/>
      <sheetName val="Sheet1"/>
      <sheetName val="Exam Plan 14 10 01"/>
    </sheetNames>
    <definedNames>
      <definedName name="CountDays"/>
    </definedNames>
    <sheetDataSet>
      <sheetData sheetId="0"/>
      <sheetData sheetId="1"/>
      <sheetData sheetId="2"/>
      <sheetData sheetId="3"/>
      <sheetData sheetId="4"/>
      <sheetData sheetId="5"/>
      <sheetData sheetId="6"/>
      <sheetData sheetId="7"/>
      <sheetData sheetId="8"/>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ning Slots and Rules"/>
      <sheetName val="Mileages EOD"/>
      <sheetName val="Plan"/>
      <sheetName val="Long Term Planning"/>
      <sheetName val="220"/>
      <sheetName val="Planning Sheet"/>
      <sheetName val="Night Shift Update"/>
      <sheetName val="Night Shift Update 2"/>
      <sheetName val="Sheet1"/>
    </sheetNames>
    <sheetDataSet>
      <sheetData sheetId="0"/>
      <sheetData sheetId="1"/>
      <sheetData sheetId="2">
        <row r="45">
          <cell r="O45" t="str">
            <v/>
          </cell>
          <cell r="P45" t="str">
            <v/>
          </cell>
          <cell r="Q45" t="str">
            <v/>
          </cell>
          <cell r="S45" t="str">
            <v/>
          </cell>
          <cell r="T45" t="str">
            <v/>
          </cell>
          <cell r="U45" t="str">
            <v/>
          </cell>
          <cell r="V45" t="str">
            <v/>
          </cell>
        </row>
      </sheetData>
      <sheetData sheetId="3"/>
      <sheetData sheetId="4"/>
      <sheetData sheetId="5"/>
      <sheetData sheetId="6"/>
      <sheetData sheetId="7"/>
      <sheetData sheetId="8"/>
    </sheetDataSet>
  </externalBook>
</externalLink>
</file>

<file path=xl/queryTables/queryTable1.xml><?xml version="1.0" encoding="utf-8"?>
<queryTable xmlns="http://schemas.openxmlformats.org/spreadsheetml/2006/main" name="Query from MS Access Database" connectionId="4" autoFormatId="16" applyNumberFormats="0" applyBorderFormats="0" applyFontFormats="0" applyPatternFormats="0" applyAlignmentFormats="0" applyWidthHeightFormats="0">
  <queryTableRefresh nextId="6" unboundColumnsRight="1">
    <queryTableFields count="5">
      <queryTableField id="1" name="Unit No" tableColumnId="1"/>
      <queryTableField id="2" name="LastOfExam" tableColumnId="2"/>
      <queryTableField id="3" name="LastOfRelease Date" tableColumnId="3"/>
      <queryTableField id="4" name="LastOfOdo Reading (Miles)" tableColumnId="4"/>
      <queryTableField id="5" dataBound="0" tableColumnId="5"/>
    </queryTableFields>
  </queryTableRefresh>
</queryTable>
</file>

<file path=xl/queryTables/queryTable2.xml><?xml version="1.0" encoding="utf-8"?>
<queryTable xmlns="http://schemas.openxmlformats.org/spreadsheetml/2006/main" name="Query from MS Access Database_4" connectionId="5" autoFormatId="16" applyNumberFormats="0" applyBorderFormats="0" applyFontFormats="0" applyPatternFormats="0" applyAlignmentFormats="0" applyWidthHeightFormats="0">
  <queryTableRefresh nextId="5">
    <queryTableFields count="4">
      <queryTableField id="1" name="Unit No" tableColumnId="1"/>
      <queryTableField id="2" name="LastOfExam" tableColumnId="2"/>
      <queryTableField id="3" name="LastOfRelease Date" tableColumnId="3"/>
      <queryTableField id="4" name="LastOfOdo Reading (Miles)" tableColumnId="4"/>
    </queryTableFields>
  </queryTableRefresh>
</queryTable>
</file>

<file path=xl/queryTables/queryTable3.xml><?xml version="1.0" encoding="utf-8"?>
<queryTable xmlns="http://schemas.openxmlformats.org/spreadsheetml/2006/main" name="Query from MS Access Database_5" connectionId="6" autoFormatId="16" applyNumberFormats="0" applyBorderFormats="0" applyFontFormats="0" applyPatternFormats="0" applyAlignmentFormats="0" applyWidthHeightFormats="0">
  <queryTableRefresh nextId="7" unboundColumnsRight="2">
    <queryTableFields count="5">
      <queryTableField id="1" name="Unit No" tableColumnId="1"/>
      <queryTableField id="2" name="FirstOfPlanned Date" tableColumnId="2"/>
      <queryTableField id="3" name="FirstOfExam" tableColumnId="3"/>
      <queryTableField id="5" dataBound="0" tableColumnId="5"/>
      <queryTableField id="6" dataBound="0" tableColumnId="6"/>
    </queryTableFields>
    <queryTableDeletedFields count="1">
      <deletedField name="Customer"/>
    </queryTableDeletedFields>
  </queryTableRefresh>
</queryTable>
</file>

<file path=xl/queryTables/queryTable4.xml><?xml version="1.0" encoding="utf-8"?>
<queryTable xmlns="http://schemas.openxmlformats.org/spreadsheetml/2006/main" name="Query from MS Access Database_6" connectionId="7" autoFormatId="16" applyNumberFormats="0" applyBorderFormats="0" applyFontFormats="0" applyPatternFormats="0" applyAlignmentFormats="0" applyWidthHeightFormats="0">
  <queryTableRefresh nextId="5">
    <queryTableFields count="4">
      <queryTableField id="1" name="Unit No" tableColumnId="1"/>
      <queryTableField id="2" name="LastOfExam" tableColumnId="2"/>
      <queryTableField id="3" name="LastOfRelease Date" tableColumnId="3"/>
      <queryTableField id="4" name="LastOfOdo Reading (Miles)" tableColumnId="4"/>
    </queryTableFields>
  </queryTableRefresh>
</queryTable>
</file>

<file path=xl/queryTables/queryTable5.xml><?xml version="1.0" encoding="utf-8"?>
<queryTable xmlns="http://schemas.openxmlformats.org/spreadsheetml/2006/main" name="Query from MS Access Database_7" connectionId="8" autoFormatId="16" applyNumberFormats="0" applyBorderFormats="0" applyFontFormats="0" applyPatternFormats="0" applyAlignmentFormats="0" applyWidthHeightFormats="0">
  <queryTableRefresh nextId="6" unboundColumnsRight="2">
    <queryTableFields count="5">
      <queryTableField id="1" name="Unit No" tableColumnId="1"/>
      <queryTableField id="2" name="FirstOfPlanned Date" tableColumnId="2"/>
      <queryTableField id="3" name="FirstOfExam" tableColumnId="3"/>
      <queryTableField id="4" dataBound="0" tableColumnId="4"/>
      <queryTableField id="5" dataBound="0" tableColumnId="5"/>
    </queryTableFields>
  </queryTableRefresh>
</queryTable>
</file>

<file path=xl/queryTables/queryTable6.xml><?xml version="1.0" encoding="utf-8"?>
<queryTable xmlns="http://schemas.openxmlformats.org/spreadsheetml/2006/main" name="Query from MS Access Database_1" headers="0" refreshOnLoad="1" connectionId="3" autoFormatId="16" applyNumberFormats="0" applyBorderFormats="0" applyFontFormats="1" applyPatternFormats="1" applyAlignmentFormats="0" applyWidthHeightFormats="0">
  <queryTableRefresh headersInLastRefresh="0" nextId="3">
    <queryTableFields count="2">
      <queryTableField id="1" name="LastOfRelease Date"/>
      <queryTableField id="2" name="LastOfOdo Reading (Miles)"/>
    </queryTableFields>
  </queryTableRefresh>
</queryTable>
</file>

<file path=xl/queryTables/queryTable7.xml><?xml version="1.0" encoding="utf-8"?>
<queryTable xmlns="http://schemas.openxmlformats.org/spreadsheetml/2006/main" name="Query from MS Access Database_3" connectionId="1" autoFormatId="16" applyNumberFormats="0" applyBorderFormats="0" applyFontFormats="1" applyPatternFormats="1" applyAlignmentFormats="0" applyWidthHeightFormats="0">
  <queryTableRefresh nextId="8">
    <queryTableFields count="3">
      <queryTableField id="1" name="Unit No"/>
      <queryTableField id="6" name="Next Service Due"/>
      <queryTableField id="7" name="Next Service Exam"/>
    </queryTableFields>
  </queryTableRefresh>
</queryTable>
</file>

<file path=xl/queryTables/queryTable8.xml><?xml version="1.0" encoding="utf-8"?>
<queryTable xmlns="http://schemas.openxmlformats.org/spreadsheetml/2006/main" name="Query from MS Access Database_2" headers="0" refreshOnLoad="1" connectionId="2" autoFormatId="16" applyNumberFormats="0" applyBorderFormats="0" applyFontFormats="1" applyPatternFormats="1" applyAlignmentFormats="0" applyWidthHeightFormats="0">
  <queryTableRefresh headersInLastRefresh="0" nextId="3">
    <queryTableFields count="2">
      <queryTableField id="1" name="FirstOfPlanned Date"/>
      <queryTableField id="2" name="FirstOfExam"/>
    </queryTableFields>
  </queryTableRefresh>
</queryTable>
</file>

<file path=xl/queryTables/queryTable9.xml><?xml version="1.0" encoding="utf-8"?>
<queryTable xmlns="http://schemas.openxmlformats.org/spreadsheetml/2006/main" name="ExternalData_14" headers="0" growShrinkType="overwriteClear" adjustColumnWidth="0" connectionId="9" autoFormatId="16" applyNumberFormats="0" applyBorderFormats="0" applyFontFormats="1" applyPatternFormats="1" applyAlignmentFormats="0" applyWidthHeightFormats="0">
  <queryTableRefresh headersInLastRefresh="0" nextId="46">
    <queryTableFields count="17">
      <queryTableField id="16" name="Location"/>
      <queryTableField id="20" name="Status"/>
      <queryTableField id="25" name="BTPROJECT"/>
      <queryTableField id="26" name="BTTLA"/>
      <queryTableField id="27" name="WORKLOCATION"/>
      <queryTableField id="28" name="WONUM"/>
      <queryTableField id="30" name="REPORTDATE"/>
      <queryTableField id="33" name="BTASERIALNUM"/>
      <queryTableField id="36" name="WOPRIORITY"/>
      <queryTableField id="37" name="CFC Description"/>
      <queryTableField id="39" name="Sched Finish"/>
      <queryTableField id="40" name="Serial No"/>
      <queryTableField id="41" name="Position"/>
      <queryTableField id="42" name="Work Group"/>
      <queryTableField id="43" name="Job Plan"/>
      <queryTableField id="44" name="PARENT"/>
      <queryTableField id="45" name="SUBSTR(W.DESCRIPTION||DECODE(W.HASLD,0,NULL,'-'||SUBSTR((SELECTLDTEXTFROMMAXIMO.BTV_LONGDESCRIPTIONWHERELDKEY=W.WORKORDERIDANDLD"/>
    </queryTableFields>
    <queryTableDeletedFields count="3">
      <deletedField name="BTDIAGNOSTIC"/>
      <deletedField name="Sched Start"/>
      <deletedField name="BTCUSTFAILCODE"/>
    </queryTableDeletedFields>
    <sortState ref="A2:Q31">
      <sortCondition descending="1" ref="A2"/>
    </sortState>
  </queryTableRefresh>
</queryTable>
</file>

<file path=xl/queryTables/queryTable10.xml><?xml version="1.0" encoding="utf-8"?>
<queryTable xmlns="http://schemas.openxmlformats.org/spreadsheetml/2006/main" name="ExternalData_14" headers="0" growShrinkType="overwriteClear" adjustColumnWidth="0" connectionId="10" autoFormatId="16" applyNumberFormats="0" applyBorderFormats="0" applyFontFormats="1" applyPatternFormats="1" applyAlignmentFormats="0" applyWidthHeightFormats="0">
  <queryTableRefresh headersInLastRefresh="0" nextId="47">
    <queryTableFields count="17">
      <queryTableField id="16" name="Location"/>
      <queryTableField id="20" name="Status"/>
      <queryTableField id="25" name="BTPROJECT"/>
      <queryTableField id="26" name="BTTLA"/>
      <queryTableField id="27" name="WORKLOCATION"/>
      <queryTableField id="28" name="WONUM"/>
      <queryTableField id="45" name="SUBSTR(W.DESCRIPTION||DECODE(W.HASLD,0,NULL,'-'||SUBSTR((SELECTLDTEXTFROMMAXIMO.BTV_LONGDESCRIPTIONWHERELDKEY=W.WORKORDERIDANDLD"/>
      <queryTableField id="30" name="REPORTDATE"/>
      <queryTableField id="32" name="BTCUSTFAILCODE"/>
      <queryTableField id="33" name="BTASERIALNUM"/>
      <queryTableField id="36" name="WOPRIORITY"/>
      <queryTableField id="37" name="CFC Description"/>
      <queryTableField id="39" name="Sched Finish"/>
      <queryTableField id="40" name="Serial No"/>
      <queryTableField id="41" name="Position"/>
      <queryTableField id="42" name="Work Group"/>
      <queryTableField id="43" name="Job Plan"/>
    </queryTableFields>
    <queryTableDeletedFields count="3">
      <deletedField name="BTDIAGNOSTIC"/>
      <deletedField name="Sched Start"/>
      <deletedField name="PARENT"/>
    </queryTableDeletedFields>
    <sortState ref="A2:Q310">
      <sortCondition descending="1" ref="A2"/>
    </sortState>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id="1" name="Table_Query_from_MS_Access_Database" displayName="Table_Query_from_MS_Access_Database" ref="S1:W79" tableType="queryTable" totalsRowShown="0" headerRowDxfId="38" dataDxfId="37">
  <autoFilter ref="S1:W79"/>
  <tableColumns count="5">
    <tableColumn id="1" uniqueName="1" name="Unit No" queryTableFieldId="1" dataDxfId="36"/>
    <tableColumn id="2" uniqueName="2" name="LastOfExam" queryTableFieldId="2" dataDxfId="35"/>
    <tableColumn id="3" uniqueName="3" name="LastOfRelease Date" queryTableFieldId="3" dataDxfId="34"/>
    <tableColumn id="4" uniqueName="4" name="LastOfOdo Reading (Miles)" queryTableFieldId="4" dataDxfId="33"/>
    <tableColumn id="5" uniqueName="5" name="Days Since Last Service" queryTableFieldId="5" dataDxfId="32"/>
  </tableColumns>
  <tableStyleInfo name="TableStyleMedium1" showFirstColumn="0" showLastColumn="0" showRowStripes="1" showColumnStripes="0"/>
</table>
</file>

<file path=xl/tables/table2.xml><?xml version="1.0" encoding="utf-8"?>
<table xmlns="http://schemas.openxmlformats.org/spreadsheetml/2006/main" id="2" name="Table_Query_from_MS_Access_Database_4" displayName="Table_Query_from_MS_Access_Database_4" ref="X1:AA79" tableType="queryTable" totalsRowShown="0" headerRowDxfId="31" dataDxfId="30">
  <autoFilter ref="X1:AA79"/>
  <tableColumns count="4">
    <tableColumn id="1" uniqueName="1" name="Unit No" queryTableFieldId="1" dataDxfId="29"/>
    <tableColumn id="2" uniqueName="2" name="LastOfExam" queryTableFieldId="2" dataDxfId="28"/>
    <tableColumn id="3" uniqueName="3" name="LastOfRelease Date" queryTableFieldId="3" dataDxfId="27"/>
    <tableColumn id="4" uniqueName="4" name="LastOfOdo Reading (Miles)" queryTableFieldId="4" dataDxfId="26"/>
  </tableColumns>
  <tableStyleInfo name="TableStyleMedium10" showFirstColumn="0" showLastColumn="0" showRowStripes="1" showColumnStripes="0"/>
</table>
</file>

<file path=xl/tables/table3.xml><?xml version="1.0" encoding="utf-8"?>
<table xmlns="http://schemas.openxmlformats.org/spreadsheetml/2006/main" id="3" name="Table_Query_from_MS_Access_Database_5" displayName="Table_Query_from_MS_Access_Database_5" ref="AB1:AF78" tableType="queryTable" totalsRowShown="0" headerRowDxfId="25" dataDxfId="24">
  <autoFilter ref="AB1:AF78"/>
  <tableColumns count="5">
    <tableColumn id="1" uniqueName="1" name="Unit No" queryTableFieldId="1" dataDxfId="23"/>
    <tableColumn id="2" uniqueName="2" name="FirstOfPlanned Date" queryTableFieldId="2" dataDxfId="22"/>
    <tableColumn id="3" uniqueName="3" name="FirstOfExam" queryTableFieldId="3" dataDxfId="21"/>
    <tableColumn id="5" uniqueName="5" name="Miles Since Last Core" queryTableFieldId="5" dataDxfId="20"/>
    <tableColumn id="6" uniqueName="6" name="Days Since Last Core" queryTableFieldId="6" dataDxfId="19"/>
  </tableColumns>
  <tableStyleInfo name="TableStyleMedium10" showFirstColumn="0" showLastColumn="0" showRowStripes="1" showColumnStripes="0"/>
</table>
</file>

<file path=xl/tables/table4.xml><?xml version="1.0" encoding="utf-8"?>
<table xmlns="http://schemas.openxmlformats.org/spreadsheetml/2006/main" id="4" name="Table_Query_from_MS_Access_Database_6" displayName="Table_Query_from_MS_Access_Database_6" ref="AG1:AJ78" tableType="queryTable" totalsRowShown="0" headerRowDxfId="18" dataDxfId="17">
  <autoFilter ref="AG1:AJ78"/>
  <tableColumns count="4">
    <tableColumn id="1" uniqueName="1" name="Unit No" queryTableFieldId="1" dataDxfId="16"/>
    <tableColumn id="2" uniqueName="2" name="LastOfExam" queryTableFieldId="2" dataDxfId="15"/>
    <tableColumn id="3" uniqueName="3" name="LastOfRelease Date" queryTableFieldId="3" dataDxfId="14"/>
    <tableColumn id="4" uniqueName="4" name="LastOfOdo Reading (Miles)" queryTableFieldId="4" dataDxfId="13"/>
  </tableColumns>
  <tableStyleInfo name="TableStyleMedium2" showFirstColumn="0" showLastColumn="0" showRowStripes="1" showColumnStripes="0"/>
</table>
</file>

<file path=xl/tables/table5.xml><?xml version="1.0" encoding="utf-8"?>
<table xmlns="http://schemas.openxmlformats.org/spreadsheetml/2006/main" id="5" name="Table_Query_from_MS_Access_Database_7" displayName="Table_Query_from_MS_Access_Database_7" ref="AK1:AO78" tableType="queryTable" totalsRowShown="0" headerRowDxfId="12" dataDxfId="11">
  <autoFilter ref="AK1:AO78"/>
  <tableColumns count="5">
    <tableColumn id="1" uniqueName="1" name="Unit No" queryTableFieldId="1" dataDxfId="10"/>
    <tableColumn id="2" uniqueName="2" name="FirstOfPlanned Date" queryTableFieldId="2" dataDxfId="9"/>
    <tableColumn id="3" uniqueName="3" name="FirstOfExam" queryTableFieldId="3" dataDxfId="8"/>
    <tableColumn id="4" uniqueName="4" name="Miles Since Last MV" queryTableFieldId="4" dataDxfId="7"/>
    <tableColumn id="5" uniqueName="5" name="Days Since Last MV" queryTableFieldId="5" dataDxfId="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printerSettings" Target="../printerSettings/printerSettings7.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table" Target="../tables/table5.xml"/><Relationship Id="rId3" Type="http://schemas.openxmlformats.org/officeDocument/2006/relationships/printerSettings" Target="../printerSettings/printerSettings11.bin"/><Relationship Id="rId7" Type="http://schemas.openxmlformats.org/officeDocument/2006/relationships/ctrlProp" Target="../ctrlProps/ctrlProp2.xml"/><Relationship Id="rId12" Type="http://schemas.openxmlformats.org/officeDocument/2006/relationships/table" Target="../tables/table4.xml"/><Relationship Id="rId2" Type="http://schemas.openxmlformats.org/officeDocument/2006/relationships/printerSettings" Target="../printerSettings/printerSettings10.bin"/><Relationship Id="rId16" Type="http://schemas.openxmlformats.org/officeDocument/2006/relationships/queryTable" Target="../queryTables/queryTable8.xml"/><Relationship Id="rId1" Type="http://schemas.openxmlformats.org/officeDocument/2006/relationships/printerSettings" Target="../printerSettings/printerSettings9.bin"/><Relationship Id="rId6" Type="http://schemas.openxmlformats.org/officeDocument/2006/relationships/vmlDrawing" Target="../drawings/vmlDrawing3.vml"/><Relationship Id="rId11" Type="http://schemas.openxmlformats.org/officeDocument/2006/relationships/table" Target="../tables/table3.xml"/><Relationship Id="rId5" Type="http://schemas.openxmlformats.org/officeDocument/2006/relationships/drawing" Target="../drawings/drawing4.xml"/><Relationship Id="rId15" Type="http://schemas.openxmlformats.org/officeDocument/2006/relationships/queryTable" Target="../queryTables/queryTable7.xml"/><Relationship Id="rId10" Type="http://schemas.openxmlformats.org/officeDocument/2006/relationships/table" Target="../tables/table2.xml"/><Relationship Id="rId4" Type="http://schemas.openxmlformats.org/officeDocument/2006/relationships/printerSettings" Target="../printerSettings/printerSettings12.bin"/><Relationship Id="rId9" Type="http://schemas.openxmlformats.org/officeDocument/2006/relationships/table" Target="../tables/table1.xml"/><Relationship Id="rId14" Type="http://schemas.openxmlformats.org/officeDocument/2006/relationships/queryTable" Target="../queryTables/queryTable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0.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3:S81"/>
  <sheetViews>
    <sheetView showGridLines="0" topLeftCell="A17" zoomScale="75" zoomScaleNormal="75" workbookViewId="0">
      <selection activeCell="B70" sqref="B70"/>
    </sheetView>
  </sheetViews>
  <sheetFormatPr defaultRowHeight="12.75"/>
  <cols>
    <col min="1" max="1" width="18" customWidth="1"/>
    <col min="2" max="2" width="15.42578125" bestFit="1" customWidth="1"/>
    <col min="3" max="4" width="20.7109375" style="117" customWidth="1"/>
    <col min="5" max="5" width="22.5703125" style="117" customWidth="1"/>
    <col min="6" max="9" width="20.7109375" style="117" customWidth="1"/>
    <col min="10" max="10" width="9" customWidth="1"/>
    <col min="11" max="11" width="18.140625" customWidth="1"/>
    <col min="12" max="12" width="19.7109375" customWidth="1"/>
    <col min="13" max="13" width="19.140625" customWidth="1"/>
    <col min="14" max="14" width="22.5703125" customWidth="1"/>
    <col min="19" max="19" width="11.28515625" customWidth="1"/>
  </cols>
  <sheetData>
    <row r="3" spans="1:19" ht="33.75" customHeight="1">
      <c r="H3"/>
      <c r="I3" s="427" t="s">
        <v>214</v>
      </c>
    </row>
    <row r="4" spans="1:19" ht="34.5" customHeight="1" thickBot="1">
      <c r="H4"/>
    </row>
    <row r="5" spans="1:19" ht="70.5" thickBot="1">
      <c r="A5" s="118" t="s">
        <v>68</v>
      </c>
      <c r="B5" s="118" t="s">
        <v>28</v>
      </c>
      <c r="C5" s="118" t="s">
        <v>29</v>
      </c>
      <c r="D5" s="118" t="s">
        <v>30</v>
      </c>
      <c r="E5" s="118" t="s">
        <v>31</v>
      </c>
      <c r="F5" s="118" t="s">
        <v>32</v>
      </c>
      <c r="G5" s="118" t="s">
        <v>33</v>
      </c>
      <c r="H5" s="118" t="s">
        <v>34</v>
      </c>
      <c r="I5" s="118" t="s">
        <v>35</v>
      </c>
      <c r="K5" s="119" t="s">
        <v>36</v>
      </c>
      <c r="L5" s="119" t="s">
        <v>37</v>
      </c>
      <c r="M5" s="118" t="s">
        <v>38</v>
      </c>
      <c r="N5" s="118" t="s">
        <v>39</v>
      </c>
      <c r="R5" t="s">
        <v>40</v>
      </c>
      <c r="S5" t="s">
        <v>41</v>
      </c>
    </row>
    <row r="6" spans="1:19" ht="63.75" customHeight="1" thickBot="1">
      <c r="A6" s="130" t="s">
        <v>42</v>
      </c>
      <c r="B6" s="130" t="s">
        <v>43</v>
      </c>
      <c r="C6" s="141" t="s">
        <v>44</v>
      </c>
      <c r="D6" s="141" t="s">
        <v>44</v>
      </c>
      <c r="E6" s="141" t="s">
        <v>44</v>
      </c>
      <c r="F6" s="141" t="s">
        <v>44</v>
      </c>
      <c r="G6" s="131" t="s">
        <v>66</v>
      </c>
      <c r="H6" s="146" t="s">
        <v>66</v>
      </c>
      <c r="I6" s="131" t="s">
        <v>66</v>
      </c>
      <c r="K6" s="145" t="s">
        <v>887</v>
      </c>
      <c r="L6" s="145" t="s">
        <v>46</v>
      </c>
      <c r="M6" s="120">
        <f>((57/30)*7)*(5/6)</f>
        <v>11.083333333333332</v>
      </c>
      <c r="N6" s="120">
        <v>12</v>
      </c>
      <c r="R6">
        <f>175/30</f>
        <v>5.833333333333333</v>
      </c>
      <c r="S6">
        <v>175</v>
      </c>
    </row>
    <row r="7" spans="1:19" ht="63.75" customHeight="1" thickTop="1" thickBot="1">
      <c r="A7" s="130" t="s">
        <v>47</v>
      </c>
      <c r="B7" s="130" t="s">
        <v>48</v>
      </c>
      <c r="C7" s="132" t="s">
        <v>49</v>
      </c>
      <c r="D7" s="132" t="s">
        <v>49</v>
      </c>
      <c r="E7" s="132" t="s">
        <v>49</v>
      </c>
      <c r="F7" s="133" t="s">
        <v>49</v>
      </c>
      <c r="G7" s="148" t="s">
        <v>67</v>
      </c>
      <c r="H7" s="151" t="s">
        <v>66</v>
      </c>
      <c r="I7" s="134"/>
      <c r="K7" s="128" t="s">
        <v>51</v>
      </c>
      <c r="L7" s="128" t="s">
        <v>52</v>
      </c>
      <c r="M7" s="120">
        <f>((57/35)*7)*(4/5)</f>
        <v>9.120000000000001</v>
      </c>
      <c r="N7" s="120">
        <v>9</v>
      </c>
      <c r="R7">
        <f>175/35</f>
        <v>5</v>
      </c>
      <c r="S7">
        <v>175</v>
      </c>
    </row>
    <row r="8" spans="1:19" ht="63.75" customHeight="1" thickTop="1" thickBot="1">
      <c r="A8" s="130" t="s">
        <v>53</v>
      </c>
      <c r="B8" s="130" t="s">
        <v>48</v>
      </c>
      <c r="C8" s="132" t="s">
        <v>49</v>
      </c>
      <c r="D8" s="132" t="s">
        <v>49</v>
      </c>
      <c r="E8" s="132" t="s">
        <v>49</v>
      </c>
      <c r="F8" s="133" t="s">
        <v>49</v>
      </c>
      <c r="G8" s="149" t="s">
        <v>49</v>
      </c>
      <c r="H8" s="147" t="s">
        <v>67</v>
      </c>
      <c r="I8" s="135" t="s">
        <v>49</v>
      </c>
      <c r="K8" s="129" t="s">
        <v>50</v>
      </c>
      <c r="L8" s="668" t="s">
        <v>54</v>
      </c>
      <c r="M8" s="670">
        <f>((21/28)*7)*(5/6)</f>
        <v>4.375</v>
      </c>
      <c r="N8" s="670">
        <v>5</v>
      </c>
      <c r="R8">
        <f>168/28</f>
        <v>6</v>
      </c>
      <c r="S8">
        <v>168</v>
      </c>
    </row>
    <row r="9" spans="1:19" ht="63.75" customHeight="1" thickBot="1">
      <c r="A9" s="130" t="s">
        <v>55</v>
      </c>
      <c r="B9" s="130" t="s">
        <v>43</v>
      </c>
      <c r="C9" s="141" t="s">
        <v>44</v>
      </c>
      <c r="D9" s="141" t="s">
        <v>44</v>
      </c>
      <c r="E9" s="141" t="s">
        <v>44</v>
      </c>
      <c r="F9" s="142" t="s">
        <v>44</v>
      </c>
      <c r="G9" s="150" t="s">
        <v>44</v>
      </c>
      <c r="H9" s="147" t="s">
        <v>67</v>
      </c>
      <c r="I9" s="144" t="s">
        <v>44</v>
      </c>
      <c r="K9" s="129" t="s">
        <v>45</v>
      </c>
      <c r="L9" s="669"/>
      <c r="M9" s="671"/>
      <c r="N9" s="671">
        <v>5</v>
      </c>
      <c r="R9">
        <f>168/28</f>
        <v>6</v>
      </c>
      <c r="S9">
        <v>168</v>
      </c>
    </row>
    <row r="10" spans="1:19" ht="63.75" customHeight="1" thickBot="1">
      <c r="A10" s="130" t="s">
        <v>69</v>
      </c>
      <c r="B10" s="130" t="s">
        <v>56</v>
      </c>
      <c r="C10" s="152" t="s">
        <v>71</v>
      </c>
      <c r="D10" s="141" t="s">
        <v>44</v>
      </c>
      <c r="E10" s="152" t="s">
        <v>71</v>
      </c>
      <c r="F10" s="141" t="s">
        <v>44</v>
      </c>
      <c r="G10" s="153" t="s">
        <v>71</v>
      </c>
      <c r="H10" s="143" t="s">
        <v>44</v>
      </c>
      <c r="I10" s="154" t="s">
        <v>72</v>
      </c>
      <c r="K10" s="129" t="s">
        <v>58</v>
      </c>
      <c r="L10" s="136" t="s">
        <v>59</v>
      </c>
      <c r="M10" s="120">
        <f>((21/28)*7)*(1/6)</f>
        <v>0.875</v>
      </c>
      <c r="N10" s="120">
        <v>1</v>
      </c>
    </row>
    <row r="11" spans="1:19" ht="60" customHeight="1" thickBot="1">
      <c r="B11" s="138" t="s">
        <v>70</v>
      </c>
      <c r="C11" s="139" t="s">
        <v>73</v>
      </c>
      <c r="D11" s="139" t="s">
        <v>65</v>
      </c>
      <c r="E11" s="139" t="s">
        <v>73</v>
      </c>
      <c r="F11" s="139" t="s">
        <v>65</v>
      </c>
      <c r="G11" s="139" t="s">
        <v>73</v>
      </c>
      <c r="H11" s="139" t="s">
        <v>65</v>
      </c>
      <c r="I11" s="140" t="s">
        <v>73</v>
      </c>
      <c r="K11" s="128" t="s">
        <v>57</v>
      </c>
      <c r="L11" s="137" t="s">
        <v>59</v>
      </c>
      <c r="M11" s="120">
        <f>((57/35)*7)*(1/5)</f>
        <v>2.2800000000000002</v>
      </c>
      <c r="N11" s="120">
        <v>3</v>
      </c>
    </row>
    <row r="12" spans="1:19" hidden="1">
      <c r="H12"/>
    </row>
    <row r="13" spans="1:19" hidden="1">
      <c r="B13" s="121"/>
      <c r="C13" s="117">
        <v>6</v>
      </c>
      <c r="D13" s="117">
        <v>6</v>
      </c>
      <c r="E13" s="117">
        <v>6</v>
      </c>
      <c r="F13" s="117">
        <v>6</v>
      </c>
      <c r="G13" s="117">
        <v>6</v>
      </c>
      <c r="H13" s="121"/>
      <c r="I13" s="117">
        <v>6</v>
      </c>
    </row>
    <row r="14" spans="1:19" hidden="1">
      <c r="B14" s="121"/>
      <c r="C14" s="117">
        <v>6</v>
      </c>
      <c r="D14" s="117">
        <v>6</v>
      </c>
      <c r="E14" s="117">
        <v>6</v>
      </c>
      <c r="F14" s="117">
        <v>6</v>
      </c>
      <c r="G14" s="117">
        <v>6</v>
      </c>
      <c r="H14" s="121"/>
      <c r="I14" s="117">
        <v>6</v>
      </c>
    </row>
    <row r="15" spans="1:19" hidden="1">
      <c r="B15" s="121"/>
      <c r="C15" s="117">
        <v>5</v>
      </c>
      <c r="D15" s="117">
        <v>5</v>
      </c>
      <c r="E15" s="117">
        <v>5</v>
      </c>
      <c r="F15" s="117">
        <v>5</v>
      </c>
      <c r="G15" s="117">
        <v>9</v>
      </c>
      <c r="H15" s="121"/>
      <c r="I15" s="117">
        <v>8</v>
      </c>
    </row>
    <row r="16" spans="1:19" hidden="1">
      <c r="B16" s="121"/>
      <c r="C16" s="117">
        <v>4</v>
      </c>
      <c r="D16" s="117">
        <v>4</v>
      </c>
      <c r="E16" s="117">
        <v>4</v>
      </c>
      <c r="F16" s="117">
        <v>4</v>
      </c>
      <c r="G16" s="117">
        <v>7</v>
      </c>
      <c r="H16" s="121"/>
      <c r="I16" s="117">
        <v>7</v>
      </c>
    </row>
    <row r="17" spans="2:8">
      <c r="H17"/>
    </row>
    <row r="18" spans="2:8">
      <c r="H18"/>
    </row>
    <row r="19" spans="2:8">
      <c r="H19"/>
    </row>
    <row r="20" spans="2:8">
      <c r="H20"/>
    </row>
    <row r="21" spans="2:8" ht="18.75" customHeight="1">
      <c r="B21" s="672" t="s">
        <v>60</v>
      </c>
      <c r="C21" s="672"/>
      <c r="D21" s="672"/>
      <c r="E21" s="672"/>
      <c r="F21" s="672"/>
      <c r="G21" s="672"/>
      <c r="H21" s="672"/>
    </row>
    <row r="22" spans="2:8" ht="12.75" customHeight="1">
      <c r="B22" s="672"/>
      <c r="C22" s="672"/>
      <c r="D22" s="672"/>
      <c r="E22" s="672"/>
      <c r="F22" s="672"/>
      <c r="G22" s="672"/>
      <c r="H22" s="672"/>
    </row>
    <row r="23" spans="2:8" ht="12.75" customHeight="1">
      <c r="B23" s="672"/>
      <c r="C23" s="672"/>
      <c r="D23" s="672"/>
      <c r="E23" s="672"/>
      <c r="F23" s="672"/>
      <c r="G23" s="672"/>
      <c r="H23" s="672"/>
    </row>
    <row r="24" spans="2:8" ht="12.75" customHeight="1">
      <c r="B24" s="672"/>
      <c r="C24" s="672"/>
      <c r="D24" s="672"/>
      <c r="E24" s="672"/>
      <c r="F24" s="672"/>
      <c r="G24" s="672"/>
      <c r="H24" s="672"/>
    </row>
    <row r="25" spans="2:8" ht="12.75" customHeight="1">
      <c r="B25" s="672"/>
      <c r="C25" s="672"/>
      <c r="D25" s="672"/>
      <c r="E25" s="672"/>
      <c r="F25" s="672"/>
      <c r="G25" s="672"/>
      <c r="H25" s="672"/>
    </row>
    <row r="26" spans="2:8" ht="12.75" customHeight="1">
      <c r="B26" s="672"/>
      <c r="C26" s="672"/>
      <c r="D26" s="672"/>
      <c r="E26" s="672"/>
      <c r="F26" s="672"/>
      <c r="G26" s="672"/>
      <c r="H26" s="672"/>
    </row>
    <row r="27" spans="2:8" ht="12.75" customHeight="1">
      <c r="B27" s="672"/>
      <c r="C27" s="672"/>
      <c r="D27" s="672"/>
      <c r="E27" s="672"/>
      <c r="F27" s="672"/>
      <c r="G27" s="672"/>
      <c r="H27" s="672"/>
    </row>
    <row r="28" spans="2:8" ht="12.75" customHeight="1">
      <c r="B28" s="672"/>
      <c r="C28" s="672"/>
      <c r="D28" s="672"/>
      <c r="E28" s="672"/>
      <c r="F28" s="672"/>
      <c r="G28" s="672"/>
      <c r="H28" s="672"/>
    </row>
    <row r="29" spans="2:8" ht="12.75" customHeight="1">
      <c r="B29" s="672"/>
      <c r="C29" s="672"/>
      <c r="D29" s="672"/>
      <c r="E29" s="672"/>
      <c r="F29" s="672"/>
      <c r="G29" s="672"/>
      <c r="H29" s="672"/>
    </row>
    <row r="30" spans="2:8" ht="12.75" customHeight="1">
      <c r="B30" s="672"/>
      <c r="C30" s="672"/>
      <c r="D30" s="672"/>
      <c r="E30" s="672"/>
      <c r="F30" s="672"/>
      <c r="G30" s="672"/>
      <c r="H30" s="672"/>
    </row>
    <row r="31" spans="2:8">
      <c r="B31" s="672"/>
      <c r="C31" s="672"/>
      <c r="D31" s="672"/>
      <c r="E31" s="672"/>
      <c r="F31" s="672"/>
      <c r="G31" s="672"/>
      <c r="H31" s="672"/>
    </row>
    <row r="32" spans="2:8">
      <c r="B32" s="672"/>
      <c r="C32" s="672"/>
      <c r="D32" s="672"/>
      <c r="E32" s="672"/>
      <c r="F32" s="672"/>
      <c r="G32" s="672"/>
      <c r="H32" s="672"/>
    </row>
    <row r="33" spans="2:8">
      <c r="B33" s="672"/>
      <c r="C33" s="672"/>
      <c r="D33" s="672"/>
      <c r="E33" s="672"/>
      <c r="F33" s="672"/>
      <c r="G33" s="672"/>
      <c r="H33" s="672"/>
    </row>
    <row r="34" spans="2:8">
      <c r="H34"/>
    </row>
    <row r="35" spans="2:8">
      <c r="H35"/>
    </row>
    <row r="36" spans="2:8">
      <c r="H36"/>
    </row>
    <row r="37" spans="2:8">
      <c r="H37"/>
    </row>
    <row r="38" spans="2:8">
      <c r="H38"/>
    </row>
    <row r="39" spans="2:8">
      <c r="H39"/>
    </row>
    <row r="40" spans="2:8">
      <c r="H40"/>
    </row>
    <row r="41" spans="2:8">
      <c r="H41"/>
    </row>
    <row r="42" spans="2:8">
      <c r="H42"/>
    </row>
    <row r="43" spans="2:8">
      <c r="H43"/>
    </row>
    <row r="44" spans="2:8">
      <c r="H44"/>
    </row>
    <row r="45" spans="2:8">
      <c r="H45"/>
    </row>
    <row r="46" spans="2:8">
      <c r="H46"/>
    </row>
    <row r="47" spans="2:8">
      <c r="H47"/>
    </row>
    <row r="48" spans="2:8">
      <c r="H48"/>
    </row>
    <row r="49" spans="8:8">
      <c r="H49"/>
    </row>
    <row r="50" spans="8:8">
      <c r="H50"/>
    </row>
    <row r="51" spans="8:8">
      <c r="H51"/>
    </row>
    <row r="52" spans="8:8">
      <c r="H52"/>
    </row>
    <row r="53" spans="8:8">
      <c r="H53"/>
    </row>
    <row r="54" spans="8:8">
      <c r="H54"/>
    </row>
    <row r="55" spans="8:8">
      <c r="H55"/>
    </row>
    <row r="56" spans="8:8">
      <c r="H56"/>
    </row>
    <row r="57" spans="8:8">
      <c r="H57"/>
    </row>
    <row r="58" spans="8:8">
      <c r="H58"/>
    </row>
    <row r="59" spans="8:8">
      <c r="H59"/>
    </row>
    <row r="60" spans="8:8">
      <c r="H60"/>
    </row>
    <row r="61" spans="8:8">
      <c r="H61"/>
    </row>
    <row r="62" spans="8:8">
      <c r="H62"/>
    </row>
    <row r="63" spans="8:8">
      <c r="H63"/>
    </row>
    <row r="64" spans="8:8">
      <c r="H64"/>
    </row>
    <row r="65" spans="8:8">
      <c r="H65"/>
    </row>
    <row r="66" spans="8:8">
      <c r="H66"/>
    </row>
    <row r="67" spans="8:8">
      <c r="H67"/>
    </row>
    <row r="68" spans="8:8">
      <c r="H68"/>
    </row>
    <row r="69" spans="8:8">
      <c r="H69"/>
    </row>
    <row r="70" spans="8:8">
      <c r="H70"/>
    </row>
    <row r="71" spans="8:8">
      <c r="H71"/>
    </row>
    <row r="72" spans="8:8">
      <c r="H72"/>
    </row>
    <row r="73" spans="8:8">
      <c r="H73"/>
    </row>
    <row r="74" spans="8:8">
      <c r="H74"/>
    </row>
    <row r="75" spans="8:8">
      <c r="H75"/>
    </row>
    <row r="76" spans="8:8">
      <c r="H76"/>
    </row>
    <row r="77" spans="8:8">
      <c r="H77"/>
    </row>
    <row r="78" spans="8:8">
      <c r="H78"/>
    </row>
    <row r="79" spans="8:8">
      <c r="H79"/>
    </row>
    <row r="80" spans="8:8">
      <c r="H80"/>
    </row>
    <row r="81" spans="8:8">
      <c r="H81"/>
    </row>
  </sheetData>
  <mergeCells count="4">
    <mergeCell ref="L8:L9"/>
    <mergeCell ref="M8:M9"/>
    <mergeCell ref="N8:N9"/>
    <mergeCell ref="B21:H33"/>
  </mergeCells>
  <phoneticPr fontId="10" type="noConversion"/>
  <printOptions horizontalCentered="1"/>
  <pageMargins left="0.43307086614173229" right="0.31496062992125984" top="0.51181102362204722" bottom="0.19685039370078741" header="0.23622047244094491" footer="0.19685039370078741"/>
  <pageSetup paperSize="9" scale="67" fitToHeight="2" orientation="landscape" cellComments="asDisplayed" r:id="rId1"/>
  <headerFooter alignWithMargins="0">
    <oddHeader>&amp;L&amp;"Arial,Bold"&amp;16Ax Exam split for Xc, Service and Core exam. West cost Ax moved to weekends</oddHead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T80"/>
  <sheetViews>
    <sheetView workbookViewId="0">
      <pane ySplit="2" topLeftCell="A36" activePane="bottomLeft" state="frozen"/>
      <selection pane="bottomLeft" activeCell="B54" sqref="B54"/>
    </sheetView>
  </sheetViews>
  <sheetFormatPr defaultRowHeight="12"/>
  <cols>
    <col min="1" max="1" width="9.85546875" style="307" bestFit="1" customWidth="1"/>
    <col min="2" max="2" width="12.42578125" style="307" bestFit="1" customWidth="1"/>
    <col min="3" max="3" width="14.140625" style="308" bestFit="1" customWidth="1"/>
    <col min="4" max="4" width="15" style="307" hidden="1" customWidth="1"/>
    <col min="5" max="7" width="9.140625" style="307"/>
    <col min="8" max="8" width="22.7109375" style="307" customWidth="1"/>
    <col min="9" max="9" width="19.42578125" style="307" customWidth="1"/>
    <col min="10" max="16384" width="9.140625" style="307"/>
  </cols>
  <sheetData>
    <row r="1" spans="1:18" s="316" customFormat="1" ht="12.75" thickBot="1">
      <c r="A1" s="315">
        <v>42933</v>
      </c>
      <c r="C1" s="317"/>
    </row>
    <row r="2" spans="1:18" s="319" customFormat="1" ht="48.75" thickBot="1">
      <c r="A2" s="318" t="s">
        <v>17</v>
      </c>
      <c r="B2" s="661" t="s">
        <v>21</v>
      </c>
      <c r="C2" s="661" t="s">
        <v>92</v>
      </c>
      <c r="D2" s="662" t="s">
        <v>165</v>
      </c>
      <c r="E2" s="318" t="s">
        <v>166</v>
      </c>
      <c r="F2" s="318" t="s">
        <v>167</v>
      </c>
      <c r="G2" s="663" t="s">
        <v>168</v>
      </c>
      <c r="H2" s="318" t="s">
        <v>169</v>
      </c>
      <c r="I2" s="318"/>
      <c r="K2" s="407"/>
      <c r="L2" s="409"/>
      <c r="M2" s="407"/>
      <c r="N2" s="407"/>
      <c r="O2" s="407"/>
      <c r="P2" s="407"/>
    </row>
    <row r="3" spans="1:18" s="319" customFormat="1" ht="12.75">
      <c r="A3" s="655">
        <v>220001</v>
      </c>
      <c r="B3" s="566">
        <v>3808271</v>
      </c>
      <c r="C3" s="566">
        <v>25638</v>
      </c>
      <c r="D3" s="372"/>
      <c r="E3" s="373">
        <f>'220'!G2</f>
        <v>25640</v>
      </c>
      <c r="F3" s="373">
        <f t="shared" ref="F3:F66" si="0">B3-30330+C3</f>
        <v>3803579</v>
      </c>
      <c r="G3" s="550">
        <f t="shared" ref="G3:G66" si="1">IF(C3=E3,0,E3-C3)</f>
        <v>2</v>
      </c>
      <c r="H3" s="566">
        <v>3808163</v>
      </c>
      <c r="I3" s="555"/>
      <c r="J3" s="319">
        <f>B3-H3</f>
        <v>108</v>
      </c>
      <c r="K3" s="406"/>
      <c r="L3" s="381"/>
      <c r="M3" s="381"/>
      <c r="N3" s="381"/>
      <c r="O3" s="381"/>
      <c r="P3" s="381"/>
      <c r="Q3" s="381"/>
      <c r="R3" s="381"/>
    </row>
    <row r="4" spans="1:18" s="319" customFormat="1" ht="12.75">
      <c r="A4" s="320">
        <v>220002</v>
      </c>
      <c r="B4" s="566">
        <v>3852987</v>
      </c>
      <c r="C4" s="566">
        <v>18470</v>
      </c>
      <c r="D4" s="372"/>
      <c r="E4" s="373">
        <f>'220'!G3</f>
        <v>18468</v>
      </c>
      <c r="F4" s="373">
        <f t="shared" si="0"/>
        <v>3841127</v>
      </c>
      <c r="G4" s="550">
        <f t="shared" si="1"/>
        <v>-2</v>
      </c>
      <c r="H4" s="566">
        <v>3851989</v>
      </c>
      <c r="I4" s="555"/>
      <c r="J4" s="319">
        <f t="shared" ref="J4:J67" si="2">B4-H4</f>
        <v>998</v>
      </c>
      <c r="K4" s="406"/>
      <c r="L4" s="316"/>
      <c r="M4" s="316"/>
      <c r="N4" s="316"/>
      <c r="O4" s="316"/>
      <c r="P4" s="316"/>
    </row>
    <row r="5" spans="1:18" s="319" customFormat="1" ht="12.75">
      <c r="A5" s="320">
        <v>220003</v>
      </c>
      <c r="B5" s="566">
        <v>3944791</v>
      </c>
      <c r="C5" s="566">
        <v>27590</v>
      </c>
      <c r="D5" s="372"/>
      <c r="E5" s="373">
        <f>'220'!G4</f>
        <v>27592</v>
      </c>
      <c r="F5" s="373">
        <f t="shared" si="0"/>
        <v>3942051</v>
      </c>
      <c r="G5" s="550">
        <f t="shared" si="1"/>
        <v>2</v>
      </c>
      <c r="H5" s="566">
        <v>3943800</v>
      </c>
      <c r="I5" s="555"/>
      <c r="J5" s="319">
        <f>B5-H5</f>
        <v>991</v>
      </c>
      <c r="K5" s="406"/>
      <c r="L5" s="316"/>
      <c r="M5" s="316"/>
      <c r="N5" s="316"/>
      <c r="O5" s="316"/>
      <c r="P5" s="316"/>
    </row>
    <row r="6" spans="1:18" s="319" customFormat="1" ht="12.75">
      <c r="A6" s="320">
        <v>220004</v>
      </c>
      <c r="B6" s="567">
        <v>3894750</v>
      </c>
      <c r="C6" s="566">
        <v>21000</v>
      </c>
      <c r="D6" s="372"/>
      <c r="E6" s="373">
        <f>'220'!G5</f>
        <v>21004</v>
      </c>
      <c r="F6" s="373">
        <f t="shared" si="0"/>
        <v>3885420</v>
      </c>
      <c r="G6" s="550">
        <f t="shared" si="1"/>
        <v>4</v>
      </c>
      <c r="H6" s="567">
        <v>3893692</v>
      </c>
      <c r="I6" s="555"/>
      <c r="J6" s="319">
        <f t="shared" si="2"/>
        <v>1058</v>
      </c>
      <c r="K6" s="406"/>
      <c r="L6" s="420"/>
      <c r="M6" s="421"/>
      <c r="N6" s="421"/>
      <c r="O6" s="421"/>
      <c r="P6" s="421"/>
      <c r="Q6" s="381"/>
    </row>
    <row r="7" spans="1:18" s="319" customFormat="1" ht="12.75">
      <c r="A7" s="320">
        <v>220005</v>
      </c>
      <c r="B7" s="567">
        <v>3920420</v>
      </c>
      <c r="C7" s="566">
        <v>28805</v>
      </c>
      <c r="D7" s="372"/>
      <c r="E7" s="373">
        <f>'220'!G6</f>
        <v>28805</v>
      </c>
      <c r="F7" s="373">
        <f t="shared" si="0"/>
        <v>3918895</v>
      </c>
      <c r="G7" s="550">
        <f t="shared" si="1"/>
        <v>0</v>
      </c>
      <c r="H7" s="567">
        <v>3919449</v>
      </c>
      <c r="I7" s="555"/>
      <c r="J7" s="319">
        <f t="shared" si="2"/>
        <v>971</v>
      </c>
      <c r="K7" s="405"/>
      <c r="L7" s="316"/>
      <c r="M7" s="316"/>
      <c r="N7" s="316"/>
      <c r="O7" s="316"/>
      <c r="P7" s="316"/>
      <c r="Q7" s="381"/>
    </row>
    <row r="8" spans="1:18" s="319" customFormat="1" ht="12.75">
      <c r="A8" s="320">
        <v>220006</v>
      </c>
      <c r="B8" s="567">
        <v>3936129</v>
      </c>
      <c r="C8" s="566">
        <v>3056</v>
      </c>
      <c r="D8" s="372"/>
      <c r="E8" s="373">
        <f>'220'!G7</f>
        <v>2952</v>
      </c>
      <c r="F8" s="373">
        <f t="shared" si="0"/>
        <v>3908855</v>
      </c>
      <c r="G8" s="550">
        <f t="shared" si="1"/>
        <v>-104</v>
      </c>
      <c r="H8" s="567">
        <v>3935378</v>
      </c>
      <c r="I8" s="556"/>
      <c r="J8" s="319">
        <f t="shared" si="2"/>
        <v>751</v>
      </c>
      <c r="K8" s="406"/>
      <c r="L8" s="316"/>
      <c r="M8" s="316"/>
      <c r="N8" s="316"/>
      <c r="O8" s="316"/>
      <c r="P8" s="316"/>
      <c r="Q8" s="381"/>
    </row>
    <row r="9" spans="1:18" s="319" customFormat="1" ht="12.75">
      <c r="A9" s="320">
        <v>220007</v>
      </c>
      <c r="B9" s="567">
        <v>3785607</v>
      </c>
      <c r="C9" s="566">
        <v>21091</v>
      </c>
      <c r="D9" s="372"/>
      <c r="E9" s="373">
        <f>'220'!G8</f>
        <v>21095</v>
      </c>
      <c r="F9" s="373">
        <f t="shared" si="0"/>
        <v>3776368</v>
      </c>
      <c r="G9" s="550">
        <f t="shared" si="1"/>
        <v>4</v>
      </c>
      <c r="H9" s="567">
        <v>3784755</v>
      </c>
      <c r="I9" s="555"/>
      <c r="J9" s="319">
        <f t="shared" si="2"/>
        <v>852</v>
      </c>
      <c r="K9" s="406"/>
      <c r="L9" s="316"/>
      <c r="M9" s="316"/>
      <c r="N9" s="316"/>
      <c r="O9" s="316"/>
      <c r="P9" s="316"/>
      <c r="Q9" s="381"/>
    </row>
    <row r="10" spans="1:18" s="319" customFormat="1" ht="12.75">
      <c r="A10" s="320">
        <v>220008</v>
      </c>
      <c r="B10" s="567">
        <v>3922881</v>
      </c>
      <c r="C10" s="566">
        <v>25148</v>
      </c>
      <c r="D10" s="372"/>
      <c r="E10" s="373">
        <f>'220'!G9</f>
        <v>25149</v>
      </c>
      <c r="F10" s="373">
        <f t="shared" si="0"/>
        <v>3917699</v>
      </c>
      <c r="G10" s="550">
        <f t="shared" si="1"/>
        <v>1</v>
      </c>
      <c r="H10" s="567">
        <v>3922012</v>
      </c>
      <c r="I10" s="555"/>
      <c r="J10" s="319">
        <f t="shared" si="2"/>
        <v>869</v>
      </c>
      <c r="K10" s="406"/>
      <c r="L10" s="316"/>
      <c r="M10" s="316"/>
      <c r="N10" s="316"/>
      <c r="O10" s="316"/>
      <c r="P10" s="316"/>
    </row>
    <row r="11" spans="1:18" s="319" customFormat="1" ht="12.75">
      <c r="A11" s="320">
        <v>220009</v>
      </c>
      <c r="B11" s="567">
        <v>3864046</v>
      </c>
      <c r="C11" s="566">
        <v>15397</v>
      </c>
      <c r="D11" s="372"/>
      <c r="E11" s="373">
        <f>'220'!G10</f>
        <v>15369</v>
      </c>
      <c r="F11" s="373">
        <f t="shared" si="0"/>
        <v>3849113</v>
      </c>
      <c r="G11" s="550">
        <f t="shared" si="1"/>
        <v>-28</v>
      </c>
      <c r="H11" s="567">
        <v>3863212</v>
      </c>
      <c r="I11" s="557"/>
      <c r="J11" s="319">
        <f>B11-H11</f>
        <v>834</v>
      </c>
      <c r="K11" s="406"/>
      <c r="L11" s="316"/>
      <c r="M11" s="316"/>
      <c r="N11" s="316"/>
      <c r="O11" s="316"/>
      <c r="P11" s="316"/>
    </row>
    <row r="12" spans="1:18" s="319" customFormat="1" ht="12.75">
      <c r="A12" s="320">
        <v>220010</v>
      </c>
      <c r="B12" s="567">
        <v>3884316</v>
      </c>
      <c r="C12" s="566">
        <v>7871</v>
      </c>
      <c r="D12" s="372"/>
      <c r="E12" s="373">
        <f>'220'!G11</f>
        <v>7876</v>
      </c>
      <c r="F12" s="373">
        <f t="shared" si="0"/>
        <v>3861857</v>
      </c>
      <c r="G12" s="550">
        <f t="shared" si="1"/>
        <v>5</v>
      </c>
      <c r="H12" s="567">
        <v>3883363</v>
      </c>
      <c r="I12" s="555"/>
      <c r="J12" s="319">
        <f t="shared" si="2"/>
        <v>953</v>
      </c>
      <c r="K12" s="406"/>
      <c r="L12" s="316"/>
      <c r="M12" s="316"/>
      <c r="N12" s="316"/>
      <c r="O12" s="316"/>
      <c r="P12" s="316"/>
    </row>
    <row r="13" spans="1:18" s="319" customFormat="1" ht="12.75">
      <c r="A13" s="320">
        <v>220011</v>
      </c>
      <c r="B13" s="567">
        <v>3901498</v>
      </c>
      <c r="C13" s="566">
        <v>28108</v>
      </c>
      <c r="D13" s="372"/>
      <c r="E13" s="373">
        <f>'220'!G12</f>
        <v>28110</v>
      </c>
      <c r="F13" s="373">
        <f t="shared" si="0"/>
        <v>3899276</v>
      </c>
      <c r="G13" s="550">
        <f t="shared" si="1"/>
        <v>2</v>
      </c>
      <c r="H13" s="567">
        <v>3900068</v>
      </c>
      <c r="I13" s="555"/>
      <c r="J13" s="319">
        <f t="shared" si="2"/>
        <v>1430</v>
      </c>
      <c r="K13" s="406"/>
      <c r="L13" s="316"/>
      <c r="M13" s="316"/>
      <c r="N13" s="316"/>
      <c r="O13" s="316"/>
      <c r="P13" s="316"/>
    </row>
    <row r="14" spans="1:18" s="319" customFormat="1" ht="12.75">
      <c r="A14" s="320">
        <v>220012</v>
      </c>
      <c r="B14" s="567">
        <v>3863626</v>
      </c>
      <c r="C14" s="566">
        <v>14804</v>
      </c>
      <c r="D14" s="372"/>
      <c r="E14" s="373">
        <f>'220'!G13</f>
        <v>14810</v>
      </c>
      <c r="F14" s="373">
        <f t="shared" si="0"/>
        <v>3848100</v>
      </c>
      <c r="G14" s="550">
        <f t="shared" si="1"/>
        <v>6</v>
      </c>
      <c r="H14" s="567">
        <v>3862809</v>
      </c>
      <c r="I14" s="555"/>
      <c r="J14" s="319">
        <f t="shared" si="2"/>
        <v>817</v>
      </c>
      <c r="K14" s="406"/>
      <c r="L14" s="408"/>
      <c r="M14" s="316"/>
      <c r="N14" s="316"/>
      <c r="O14" s="316"/>
      <c r="P14" s="316"/>
    </row>
    <row r="15" spans="1:18" s="319" customFormat="1" ht="12.75">
      <c r="A15" s="320">
        <v>220013</v>
      </c>
      <c r="B15" s="567">
        <v>3862749</v>
      </c>
      <c r="C15" s="566">
        <v>10009</v>
      </c>
      <c r="D15" s="372"/>
      <c r="E15" s="373">
        <f>'220'!G14</f>
        <v>9963</v>
      </c>
      <c r="F15" s="373">
        <f t="shared" si="0"/>
        <v>3842428</v>
      </c>
      <c r="G15" s="550">
        <f t="shared" si="1"/>
        <v>-46</v>
      </c>
      <c r="H15" s="567">
        <v>3861858</v>
      </c>
      <c r="I15" s="555"/>
      <c r="J15" s="319">
        <f t="shared" si="2"/>
        <v>891</v>
      </c>
      <c r="K15" s="406"/>
      <c r="L15" s="316"/>
      <c r="M15" s="316"/>
      <c r="N15" s="316"/>
      <c r="O15" s="316"/>
      <c r="P15" s="316"/>
    </row>
    <row r="16" spans="1:18" s="319" customFormat="1" ht="12.75">
      <c r="A16" s="320">
        <v>220014</v>
      </c>
      <c r="B16" s="567">
        <v>3935901</v>
      </c>
      <c r="C16" s="566">
        <v>5815</v>
      </c>
      <c r="D16" s="372"/>
      <c r="E16" s="373">
        <f>'220'!G15</f>
        <v>23472</v>
      </c>
      <c r="F16" s="373">
        <f t="shared" si="0"/>
        <v>3911386</v>
      </c>
      <c r="G16" s="550">
        <f t="shared" si="1"/>
        <v>17657</v>
      </c>
      <c r="H16" s="567">
        <v>3934921</v>
      </c>
      <c r="I16" s="555"/>
      <c r="J16" s="319">
        <f t="shared" si="2"/>
        <v>980</v>
      </c>
      <c r="K16" s="406"/>
      <c r="L16" s="567">
        <v>3864540</v>
      </c>
      <c r="M16" s="316"/>
      <c r="N16" s="316"/>
      <c r="O16" s="316"/>
      <c r="P16" s="316"/>
    </row>
    <row r="17" spans="1:18" s="316" customFormat="1" ht="12.75">
      <c r="A17" s="320">
        <v>220015</v>
      </c>
      <c r="B17" s="567">
        <v>3930808</v>
      </c>
      <c r="C17" s="566">
        <v>24225</v>
      </c>
      <c r="D17" s="372"/>
      <c r="E17" s="373">
        <f>'220'!G16</f>
        <v>24225</v>
      </c>
      <c r="F17" s="373">
        <f t="shared" si="0"/>
        <v>3924703</v>
      </c>
      <c r="G17" s="550">
        <f t="shared" si="1"/>
        <v>0</v>
      </c>
      <c r="H17" s="567">
        <v>3929791</v>
      </c>
      <c r="I17" s="555"/>
      <c r="J17" s="319">
        <f t="shared" si="2"/>
        <v>1017</v>
      </c>
      <c r="K17" s="406"/>
      <c r="L17" s="531">
        <v>3865972</v>
      </c>
    </row>
    <row r="18" spans="1:18" s="316" customFormat="1" ht="12.75">
      <c r="A18" s="320">
        <v>220016</v>
      </c>
      <c r="B18" s="567">
        <v>3836128</v>
      </c>
      <c r="C18" s="566">
        <v>16782</v>
      </c>
      <c r="D18" s="372"/>
      <c r="E18" s="373">
        <f>'220'!G17</f>
        <v>16783</v>
      </c>
      <c r="F18" s="373">
        <f t="shared" si="0"/>
        <v>3822580</v>
      </c>
      <c r="G18" s="550">
        <f t="shared" si="1"/>
        <v>1</v>
      </c>
      <c r="H18" s="567">
        <v>3835095</v>
      </c>
      <c r="I18" s="555"/>
      <c r="J18" s="319">
        <f t="shared" si="2"/>
        <v>1033</v>
      </c>
      <c r="K18" s="406"/>
      <c r="L18" s="408"/>
    </row>
    <row r="19" spans="1:18" s="316" customFormat="1" ht="12.75">
      <c r="A19" s="320">
        <v>220017</v>
      </c>
      <c r="B19" s="567">
        <v>3895268</v>
      </c>
      <c r="C19" s="566">
        <v>23840</v>
      </c>
      <c r="D19" s="372"/>
      <c r="E19" s="373">
        <f>'220'!G18</f>
        <v>23840</v>
      </c>
      <c r="F19" s="373">
        <f t="shared" si="0"/>
        <v>3888778</v>
      </c>
      <c r="G19" s="550">
        <f t="shared" si="1"/>
        <v>0</v>
      </c>
      <c r="H19" s="567">
        <v>3894370</v>
      </c>
      <c r="I19" s="555"/>
      <c r="J19" s="319">
        <f t="shared" si="2"/>
        <v>898</v>
      </c>
      <c r="K19" s="406"/>
      <c r="L19" s="316" t="s">
        <v>593</v>
      </c>
    </row>
    <row r="20" spans="1:18" s="316" customFormat="1" ht="12.75">
      <c r="A20" s="320">
        <v>220018</v>
      </c>
      <c r="B20" s="567">
        <v>3947074</v>
      </c>
      <c r="C20" s="566">
        <v>8807</v>
      </c>
      <c r="D20" s="372"/>
      <c r="E20" s="373">
        <f>'220'!G19</f>
        <v>8815</v>
      </c>
      <c r="F20" s="373">
        <f t="shared" si="0"/>
        <v>3925551</v>
      </c>
      <c r="G20" s="550">
        <f t="shared" si="1"/>
        <v>8</v>
      </c>
      <c r="H20" s="567">
        <v>3946230</v>
      </c>
      <c r="I20" s="555"/>
      <c r="J20" s="319">
        <f t="shared" si="2"/>
        <v>844</v>
      </c>
      <c r="K20" s="406"/>
    </row>
    <row r="21" spans="1:18" s="316" customFormat="1" ht="14.25" customHeight="1">
      <c r="A21" s="320">
        <v>220019</v>
      </c>
      <c r="B21" s="567">
        <v>3652043</v>
      </c>
      <c r="C21" s="566">
        <v>1187</v>
      </c>
      <c r="D21" s="372"/>
      <c r="E21" s="373">
        <f>'220'!G20</f>
        <v>1193</v>
      </c>
      <c r="F21" s="373">
        <f t="shared" si="0"/>
        <v>3622900</v>
      </c>
      <c r="G21" s="550">
        <f t="shared" si="1"/>
        <v>6</v>
      </c>
      <c r="H21" s="567">
        <v>3651148</v>
      </c>
      <c r="I21" s="555"/>
      <c r="J21" s="319">
        <f t="shared" si="2"/>
        <v>895</v>
      </c>
      <c r="K21" s="406"/>
    </row>
    <row r="22" spans="1:18" s="316" customFormat="1" ht="12.75">
      <c r="A22" s="320">
        <v>220020</v>
      </c>
      <c r="B22" s="567">
        <v>3903034</v>
      </c>
      <c r="C22" s="566">
        <v>689</v>
      </c>
      <c r="D22" s="372"/>
      <c r="E22" s="373">
        <f>'220'!G21</f>
        <v>687</v>
      </c>
      <c r="F22" s="373">
        <f t="shared" si="0"/>
        <v>3873393</v>
      </c>
      <c r="G22" s="550">
        <f t="shared" si="1"/>
        <v>-2</v>
      </c>
      <c r="H22" s="567">
        <v>3903034</v>
      </c>
      <c r="I22" s="555"/>
      <c r="J22" s="319">
        <f t="shared" si="2"/>
        <v>0</v>
      </c>
      <c r="K22" s="406"/>
    </row>
    <row r="23" spans="1:18" s="316" customFormat="1" ht="12.75">
      <c r="A23" s="320">
        <v>220021</v>
      </c>
      <c r="B23" s="567">
        <v>3897882</v>
      </c>
      <c r="C23" s="566">
        <v>24809</v>
      </c>
      <c r="D23" s="372"/>
      <c r="E23" s="373">
        <f>'220'!G22</f>
        <v>24812</v>
      </c>
      <c r="F23" s="373">
        <f t="shared" si="0"/>
        <v>3892361</v>
      </c>
      <c r="G23" s="550">
        <f t="shared" si="1"/>
        <v>3</v>
      </c>
      <c r="H23" s="567">
        <v>3896883</v>
      </c>
      <c r="I23" s="558"/>
      <c r="J23" s="319">
        <f t="shared" si="2"/>
        <v>999</v>
      </c>
      <c r="K23" s="406"/>
    </row>
    <row r="24" spans="1:18" s="316" customFormat="1" ht="13.5" customHeight="1">
      <c r="A24" s="320">
        <v>220022</v>
      </c>
      <c r="B24" s="567">
        <v>3870792</v>
      </c>
      <c r="C24" s="566">
        <v>16012</v>
      </c>
      <c r="D24" s="372"/>
      <c r="E24" s="373">
        <f>'220'!G23</f>
        <v>16013</v>
      </c>
      <c r="F24" s="373">
        <f>B24-30330+C24</f>
        <v>3856474</v>
      </c>
      <c r="G24" s="550">
        <f t="shared" si="1"/>
        <v>1</v>
      </c>
      <c r="H24" s="567">
        <v>3869835</v>
      </c>
      <c r="I24" s="555"/>
      <c r="J24" s="319">
        <f t="shared" si="2"/>
        <v>957</v>
      </c>
      <c r="K24" s="406"/>
    </row>
    <row r="25" spans="1:18" s="316" customFormat="1" ht="13.5" customHeight="1">
      <c r="A25" s="320">
        <v>220023</v>
      </c>
      <c r="B25" s="567">
        <v>3902982</v>
      </c>
      <c r="C25" s="566">
        <v>8350</v>
      </c>
      <c r="D25" s="372"/>
      <c r="E25" s="373">
        <f>'220'!G24</f>
        <v>8353</v>
      </c>
      <c r="F25" s="373">
        <f t="shared" si="0"/>
        <v>3881002</v>
      </c>
      <c r="G25" s="550">
        <f t="shared" si="1"/>
        <v>3</v>
      </c>
      <c r="H25" s="567">
        <v>3902112</v>
      </c>
      <c r="I25" s="555"/>
      <c r="J25" s="319">
        <f t="shared" si="2"/>
        <v>870</v>
      </c>
      <c r="K25" s="406"/>
    </row>
    <row r="26" spans="1:18" s="316" customFormat="1" ht="12.75">
      <c r="A26" s="320">
        <v>220024</v>
      </c>
      <c r="B26" s="567">
        <v>3884363</v>
      </c>
      <c r="C26" s="566">
        <v>17069</v>
      </c>
      <c r="D26" s="372"/>
      <c r="E26" s="373">
        <f>'220'!G25</f>
        <v>17078</v>
      </c>
      <c r="F26" s="373">
        <f t="shared" si="0"/>
        <v>3871102</v>
      </c>
      <c r="G26" s="550">
        <f t="shared" si="1"/>
        <v>9</v>
      </c>
      <c r="H26" s="567">
        <v>3883500</v>
      </c>
      <c r="I26" s="559"/>
      <c r="J26" s="319">
        <f t="shared" si="2"/>
        <v>863</v>
      </c>
      <c r="K26" s="406"/>
    </row>
    <row r="27" spans="1:18" s="316" customFormat="1" ht="12.75">
      <c r="A27" s="320">
        <v>220025</v>
      </c>
      <c r="B27" s="567">
        <v>3898989</v>
      </c>
      <c r="C27" s="566">
        <v>21116</v>
      </c>
      <c r="D27" s="372"/>
      <c r="E27" s="373">
        <f>'220'!G26</f>
        <v>21111</v>
      </c>
      <c r="F27" s="373">
        <f t="shared" si="0"/>
        <v>3889775</v>
      </c>
      <c r="G27" s="550">
        <f t="shared" si="1"/>
        <v>-5</v>
      </c>
      <c r="H27" s="567">
        <v>3898022</v>
      </c>
      <c r="I27" s="555"/>
      <c r="J27" s="319">
        <f t="shared" si="2"/>
        <v>967</v>
      </c>
      <c r="K27" s="406"/>
      <c r="Q27" s="407"/>
      <c r="R27" s="407"/>
    </row>
    <row r="28" spans="1:18" s="316" customFormat="1" ht="12.75">
      <c r="A28" s="320">
        <v>220026</v>
      </c>
      <c r="B28" s="567">
        <v>3913319</v>
      </c>
      <c r="C28" s="566">
        <v>27176</v>
      </c>
      <c r="D28" s="372"/>
      <c r="E28" s="373">
        <f>'220'!G27</f>
        <v>27179</v>
      </c>
      <c r="F28" s="373">
        <f t="shared" si="0"/>
        <v>3910165</v>
      </c>
      <c r="G28" s="550">
        <f t="shared" si="1"/>
        <v>3</v>
      </c>
      <c r="H28" s="567">
        <v>3912562</v>
      </c>
      <c r="I28" s="555"/>
      <c r="J28" s="319">
        <f>B28-H28</f>
        <v>757</v>
      </c>
      <c r="K28" s="406"/>
      <c r="L28" s="408"/>
      <c r="Q28" s="407"/>
      <c r="R28" s="407"/>
    </row>
    <row r="29" spans="1:18" s="316" customFormat="1" ht="15">
      <c r="A29" s="320">
        <v>220027</v>
      </c>
      <c r="B29" s="567">
        <v>3898724</v>
      </c>
      <c r="C29" s="566">
        <v>27797</v>
      </c>
      <c r="D29" s="372"/>
      <c r="E29" s="373">
        <f>'220'!G28</f>
        <v>27798</v>
      </c>
      <c r="F29" s="373">
        <f t="shared" si="0"/>
        <v>3896191</v>
      </c>
      <c r="G29" s="550">
        <f t="shared" si="1"/>
        <v>1</v>
      </c>
      <c r="H29" s="567">
        <v>3897784</v>
      </c>
      <c r="I29" s="559"/>
      <c r="J29" s="319">
        <f>B29-H29</f>
        <v>940</v>
      </c>
      <c r="K29" s="406"/>
      <c r="L29" s="540"/>
      <c r="M29" s="531"/>
      <c r="Q29" s="407"/>
      <c r="R29" s="407"/>
    </row>
    <row r="30" spans="1:18" s="316" customFormat="1" ht="12.75">
      <c r="A30" s="320">
        <v>220028</v>
      </c>
      <c r="B30" s="567">
        <v>3824453</v>
      </c>
      <c r="C30" s="566">
        <v>6041</v>
      </c>
      <c r="D30" s="372"/>
      <c r="E30" s="373">
        <f>'220'!G29</f>
        <v>5992</v>
      </c>
      <c r="F30" s="373">
        <f t="shared" si="0"/>
        <v>3800164</v>
      </c>
      <c r="G30" s="550">
        <f t="shared" si="1"/>
        <v>-49</v>
      </c>
      <c r="H30" s="567">
        <v>3823631</v>
      </c>
      <c r="I30" s="555"/>
      <c r="J30" s="319">
        <f t="shared" si="2"/>
        <v>822</v>
      </c>
      <c r="K30" s="406"/>
      <c r="Q30" s="407"/>
      <c r="R30" s="407"/>
    </row>
    <row r="31" spans="1:18" s="316" customFormat="1" ht="12.75">
      <c r="A31" s="320">
        <v>220029</v>
      </c>
      <c r="B31" s="567">
        <v>3905278</v>
      </c>
      <c r="C31" s="566">
        <v>8079</v>
      </c>
      <c r="D31" s="372"/>
      <c r="E31" s="373">
        <f>'220'!G30</f>
        <v>8087</v>
      </c>
      <c r="F31" s="373">
        <f t="shared" si="0"/>
        <v>3883027</v>
      </c>
      <c r="G31" s="550">
        <f t="shared" si="1"/>
        <v>8</v>
      </c>
      <c r="H31" s="567">
        <v>3904296</v>
      </c>
      <c r="I31" s="555"/>
      <c r="J31" s="319">
        <f t="shared" si="2"/>
        <v>982</v>
      </c>
      <c r="K31" s="406"/>
      <c r="Q31" s="407"/>
      <c r="R31" s="407"/>
    </row>
    <row r="32" spans="1:18" s="316" customFormat="1" ht="12.75">
      <c r="A32" s="320">
        <v>220030</v>
      </c>
      <c r="B32" s="567">
        <v>3820474</v>
      </c>
      <c r="C32" s="566">
        <v>16970</v>
      </c>
      <c r="D32" s="372"/>
      <c r="E32" s="373">
        <f>'220'!G31</f>
        <v>16968</v>
      </c>
      <c r="F32" s="373">
        <f t="shared" si="0"/>
        <v>3807114</v>
      </c>
      <c r="G32" s="550">
        <f t="shared" si="1"/>
        <v>-2</v>
      </c>
      <c r="H32" s="567">
        <v>3819625</v>
      </c>
      <c r="I32" s="555"/>
      <c r="J32" s="319">
        <f t="shared" si="2"/>
        <v>849</v>
      </c>
      <c r="K32" s="406"/>
      <c r="Q32" s="407"/>
      <c r="R32" s="407"/>
    </row>
    <row r="33" spans="1:20" s="316" customFormat="1" ht="12.75">
      <c r="A33" s="320">
        <v>220031</v>
      </c>
      <c r="B33" s="567">
        <v>3880322</v>
      </c>
      <c r="C33" s="566">
        <v>2267</v>
      </c>
      <c r="D33" s="372"/>
      <c r="E33" s="373">
        <f>'220'!G32</f>
        <v>2273</v>
      </c>
      <c r="F33" s="373">
        <f t="shared" si="0"/>
        <v>3852259</v>
      </c>
      <c r="G33" s="550">
        <f t="shared" si="1"/>
        <v>6</v>
      </c>
      <c r="H33" s="567">
        <v>3879639</v>
      </c>
      <c r="I33" s="555"/>
      <c r="J33" s="319">
        <f t="shared" si="2"/>
        <v>683</v>
      </c>
      <c r="K33" s="406"/>
      <c r="Q33" s="407"/>
      <c r="R33" s="407"/>
    </row>
    <row r="34" spans="1:20" s="316" customFormat="1" ht="12.75">
      <c r="A34" s="320">
        <v>220032</v>
      </c>
      <c r="B34" s="567">
        <v>3939155</v>
      </c>
      <c r="C34" s="566">
        <v>11531</v>
      </c>
      <c r="D34" s="372"/>
      <c r="E34" s="373">
        <f>'220'!G33</f>
        <v>11483</v>
      </c>
      <c r="F34" s="373">
        <f t="shared" si="0"/>
        <v>3920356</v>
      </c>
      <c r="G34" s="550">
        <f t="shared" si="1"/>
        <v>-48</v>
      </c>
      <c r="H34" s="567">
        <v>3938385</v>
      </c>
      <c r="I34" s="555"/>
      <c r="J34" s="319">
        <f t="shared" si="2"/>
        <v>770</v>
      </c>
      <c r="K34" s="406"/>
      <c r="L34" s="420"/>
      <c r="M34" s="421"/>
      <c r="N34" s="421"/>
      <c r="O34" s="421"/>
      <c r="P34" s="421"/>
      <c r="Q34" s="422"/>
      <c r="R34" s="422"/>
      <c r="S34" s="421"/>
      <c r="T34" s="421"/>
    </row>
    <row r="35" spans="1:20" s="316" customFormat="1" ht="12.75">
      <c r="A35" s="320">
        <v>220033</v>
      </c>
      <c r="B35" s="567">
        <v>3921179</v>
      </c>
      <c r="C35" s="566">
        <v>26096</v>
      </c>
      <c r="D35" s="372"/>
      <c r="E35" s="373">
        <f>'220'!G34</f>
        <v>26098</v>
      </c>
      <c r="F35" s="373">
        <f t="shared" si="0"/>
        <v>3916945</v>
      </c>
      <c r="G35" s="550">
        <f t="shared" si="1"/>
        <v>2</v>
      </c>
      <c r="H35" s="567">
        <v>3920206</v>
      </c>
      <c r="I35" s="555"/>
      <c r="J35" s="319">
        <f t="shared" si="2"/>
        <v>973</v>
      </c>
      <c r="K35" s="406"/>
      <c r="Q35" s="407"/>
      <c r="R35" s="407"/>
    </row>
    <row r="36" spans="1:20" s="316" customFormat="1" ht="14.25" customHeight="1" thickBot="1">
      <c r="A36" s="321">
        <v>220034</v>
      </c>
      <c r="B36" s="656">
        <v>3893354</v>
      </c>
      <c r="C36" s="656">
        <v>12773</v>
      </c>
      <c r="D36" s="560"/>
      <c r="E36" s="561">
        <f>'220'!G35</f>
        <v>12750</v>
      </c>
      <c r="F36" s="561">
        <f t="shared" si="0"/>
        <v>3875797</v>
      </c>
      <c r="G36" s="562">
        <f t="shared" si="1"/>
        <v>-23</v>
      </c>
      <c r="H36" s="656">
        <v>3892621</v>
      </c>
      <c r="I36" s="563"/>
      <c r="J36" s="319">
        <f t="shared" si="2"/>
        <v>733</v>
      </c>
      <c r="K36" s="406"/>
      <c r="Q36" s="407"/>
      <c r="R36" s="407"/>
    </row>
    <row r="37" spans="1:20" s="316" customFormat="1" ht="12.75">
      <c r="A37" s="655">
        <v>221101</v>
      </c>
      <c r="B37" s="657">
        <v>3865146</v>
      </c>
      <c r="C37" s="658">
        <v>30330</v>
      </c>
      <c r="D37" s="551"/>
      <c r="E37" s="552">
        <f>'220'!G36</f>
        <v>11437</v>
      </c>
      <c r="F37" s="552">
        <f t="shared" si="0"/>
        <v>3865146</v>
      </c>
      <c r="G37" s="553">
        <f t="shared" si="1"/>
        <v>-18893</v>
      </c>
      <c r="H37" s="657">
        <v>3865146</v>
      </c>
      <c r="I37" s="554" t="s">
        <v>170</v>
      </c>
      <c r="J37" s="319">
        <f t="shared" si="2"/>
        <v>0</v>
      </c>
      <c r="K37" s="406"/>
      <c r="L37" s="420"/>
      <c r="M37" s="421"/>
      <c r="N37" s="421"/>
      <c r="O37" s="421"/>
      <c r="P37" s="421"/>
      <c r="Q37" s="381"/>
      <c r="R37" s="407"/>
    </row>
    <row r="38" spans="1:20" s="316" customFormat="1" ht="12.75">
      <c r="A38" s="320">
        <v>221102</v>
      </c>
      <c r="B38" s="659">
        <v>4038539</v>
      </c>
      <c r="C38" s="566">
        <v>16394</v>
      </c>
      <c r="D38" s="372"/>
      <c r="E38" s="373">
        <f>'220'!G37</f>
        <v>16394</v>
      </c>
      <c r="F38" s="373">
        <f t="shared" si="0"/>
        <v>4024603</v>
      </c>
      <c r="G38" s="550">
        <f t="shared" si="1"/>
        <v>0</v>
      </c>
      <c r="H38" s="659">
        <v>4037752</v>
      </c>
      <c r="I38" s="555" t="s">
        <v>170</v>
      </c>
      <c r="J38" s="319">
        <f>B38-H38</f>
        <v>787</v>
      </c>
      <c r="K38" s="406"/>
      <c r="Q38" s="407"/>
      <c r="R38" s="407"/>
    </row>
    <row r="39" spans="1:20" s="316" customFormat="1" ht="12.75">
      <c r="A39" s="320">
        <v>221103</v>
      </c>
      <c r="B39" s="659">
        <v>4026325</v>
      </c>
      <c r="C39" s="566">
        <v>21645</v>
      </c>
      <c r="D39" s="372"/>
      <c r="E39" s="373">
        <f>'220'!G38</f>
        <v>21645</v>
      </c>
      <c r="F39" s="373">
        <f t="shared" si="0"/>
        <v>4017640</v>
      </c>
      <c r="G39" s="550">
        <f>IF(C39=E39,0,E39-C39)</f>
        <v>0</v>
      </c>
      <c r="H39" s="659">
        <v>4025180</v>
      </c>
      <c r="I39" s="555" t="s">
        <v>170</v>
      </c>
      <c r="J39" s="319">
        <f>B39-H39</f>
        <v>1145</v>
      </c>
      <c r="K39" s="406"/>
      <c r="Q39" s="407"/>
      <c r="R39" s="407"/>
    </row>
    <row r="40" spans="1:20" s="316" customFormat="1" ht="12.75">
      <c r="A40" s="320">
        <v>221104</v>
      </c>
      <c r="B40" s="659">
        <v>4090947</v>
      </c>
      <c r="C40" s="566">
        <v>26992</v>
      </c>
      <c r="D40" s="372"/>
      <c r="E40" s="373">
        <f>'220'!G39</f>
        <v>26991</v>
      </c>
      <c r="F40" s="373">
        <f t="shared" si="0"/>
        <v>4087609</v>
      </c>
      <c r="G40" s="550">
        <f t="shared" si="1"/>
        <v>-1</v>
      </c>
      <c r="H40" s="659">
        <v>4090125</v>
      </c>
      <c r="I40" s="555" t="s">
        <v>170</v>
      </c>
      <c r="J40" s="319">
        <f t="shared" si="2"/>
        <v>822</v>
      </c>
      <c r="K40" s="406"/>
      <c r="Q40" s="407"/>
      <c r="R40" s="407"/>
    </row>
    <row r="41" spans="1:20" s="316" customFormat="1" ht="12.75">
      <c r="A41" s="320">
        <v>221105</v>
      </c>
      <c r="B41" s="659">
        <v>4037670</v>
      </c>
      <c r="C41" s="566">
        <v>22930</v>
      </c>
      <c r="D41" s="372"/>
      <c r="E41" s="373">
        <f>'220'!G40</f>
        <v>22930</v>
      </c>
      <c r="F41" s="373">
        <f t="shared" si="0"/>
        <v>4030270</v>
      </c>
      <c r="G41" s="550">
        <f t="shared" si="1"/>
        <v>0</v>
      </c>
      <c r="H41" s="659">
        <v>4037670</v>
      </c>
      <c r="I41" s="555" t="s">
        <v>170</v>
      </c>
      <c r="J41" s="319">
        <f t="shared" si="2"/>
        <v>0</v>
      </c>
      <c r="K41" s="406"/>
      <c r="L41" s="408"/>
      <c r="Q41" s="407"/>
      <c r="R41" s="407"/>
    </row>
    <row r="42" spans="1:20" s="316" customFormat="1" ht="12.75">
      <c r="A42" s="320">
        <v>221106</v>
      </c>
      <c r="B42" s="659">
        <v>4081442</v>
      </c>
      <c r="C42" s="566">
        <v>24764</v>
      </c>
      <c r="D42" s="372"/>
      <c r="E42" s="373">
        <f>'220'!G41</f>
        <v>24764</v>
      </c>
      <c r="F42" s="373">
        <f t="shared" si="0"/>
        <v>4075876</v>
      </c>
      <c r="G42" s="550">
        <f t="shared" si="1"/>
        <v>0</v>
      </c>
      <c r="H42" s="659">
        <v>4081442</v>
      </c>
      <c r="I42" s="555" t="s">
        <v>170</v>
      </c>
      <c r="J42" s="319">
        <f t="shared" si="2"/>
        <v>0</v>
      </c>
      <c r="K42" s="406"/>
      <c r="M42" s="423"/>
      <c r="N42" s="424"/>
      <c r="O42" s="424"/>
      <c r="P42" s="424"/>
      <c r="Q42" s="407"/>
      <c r="R42" s="407"/>
    </row>
    <row r="43" spans="1:20" s="316" customFormat="1" ht="12.75">
      <c r="A43" s="320">
        <v>221107</v>
      </c>
      <c r="B43" s="659">
        <v>4158241</v>
      </c>
      <c r="C43" s="566">
        <v>6950</v>
      </c>
      <c r="D43" s="372"/>
      <c r="E43" s="373">
        <f>'220'!G42</f>
        <v>6949</v>
      </c>
      <c r="F43" s="373">
        <f t="shared" si="0"/>
        <v>4134861</v>
      </c>
      <c r="G43" s="550">
        <f t="shared" si="1"/>
        <v>-1</v>
      </c>
      <c r="H43" s="659">
        <v>4157070</v>
      </c>
      <c r="I43" s="555" t="s">
        <v>170</v>
      </c>
      <c r="J43" s="319">
        <f t="shared" si="2"/>
        <v>1171</v>
      </c>
      <c r="K43" s="406"/>
      <c r="Q43" s="407"/>
      <c r="R43" s="407"/>
    </row>
    <row r="44" spans="1:20" s="316" customFormat="1" ht="12.75">
      <c r="A44" s="320">
        <v>221108</v>
      </c>
      <c r="B44" s="659">
        <v>4093143</v>
      </c>
      <c r="C44" s="566">
        <v>17462</v>
      </c>
      <c r="D44" s="372"/>
      <c r="E44" s="373">
        <f>'220'!G43</f>
        <v>17462</v>
      </c>
      <c r="F44" s="373">
        <f t="shared" si="0"/>
        <v>4080275</v>
      </c>
      <c r="G44" s="550">
        <f t="shared" si="1"/>
        <v>0</v>
      </c>
      <c r="H44" s="659">
        <v>4092217</v>
      </c>
      <c r="I44" s="555" t="s">
        <v>170</v>
      </c>
      <c r="J44" s="319">
        <f>B44-H44</f>
        <v>926</v>
      </c>
      <c r="K44" s="406"/>
      <c r="Q44" s="407"/>
      <c r="R44" s="407"/>
    </row>
    <row r="45" spans="1:20" s="316" customFormat="1" ht="12.75">
      <c r="A45" s="320">
        <v>221109</v>
      </c>
      <c r="B45" s="659">
        <v>4038764</v>
      </c>
      <c r="C45" s="566">
        <v>19575</v>
      </c>
      <c r="D45" s="372"/>
      <c r="E45" s="373">
        <f>'220'!G44</f>
        <v>19575</v>
      </c>
      <c r="F45" s="373">
        <f t="shared" si="0"/>
        <v>4028009</v>
      </c>
      <c r="G45" s="550">
        <f t="shared" si="1"/>
        <v>0</v>
      </c>
      <c r="H45" s="659">
        <v>4037818</v>
      </c>
      <c r="I45" s="555" t="s">
        <v>170</v>
      </c>
      <c r="J45" s="319">
        <f t="shared" si="2"/>
        <v>946</v>
      </c>
      <c r="K45" s="406"/>
      <c r="Q45" s="407"/>
      <c r="R45" s="407"/>
    </row>
    <row r="46" spans="1:20" s="316" customFormat="1" ht="12.75">
      <c r="A46" s="320">
        <v>221110</v>
      </c>
      <c r="B46" s="659">
        <v>4114350</v>
      </c>
      <c r="C46" s="566">
        <v>26045</v>
      </c>
      <c r="D46" s="372"/>
      <c r="E46" s="373">
        <f>'220'!G45</f>
        <v>26045</v>
      </c>
      <c r="F46" s="373">
        <f t="shared" si="0"/>
        <v>4110065</v>
      </c>
      <c r="G46" s="550">
        <f t="shared" si="1"/>
        <v>0</v>
      </c>
      <c r="H46" s="659">
        <v>4113358</v>
      </c>
      <c r="I46" s="555" t="s">
        <v>170</v>
      </c>
      <c r="J46" s="319">
        <f t="shared" si="2"/>
        <v>992</v>
      </c>
      <c r="K46" s="406"/>
      <c r="Q46" s="407"/>
      <c r="R46" s="407"/>
    </row>
    <row r="47" spans="1:20" s="316" customFormat="1" ht="12.75">
      <c r="A47" s="320">
        <v>221111</v>
      </c>
      <c r="B47" s="659">
        <v>4045203</v>
      </c>
      <c r="C47" s="566">
        <v>8581</v>
      </c>
      <c r="D47" s="372"/>
      <c r="E47" s="373">
        <f>'220'!G46</f>
        <v>8581</v>
      </c>
      <c r="F47" s="373">
        <f t="shared" si="0"/>
        <v>4023454</v>
      </c>
      <c r="G47" s="550">
        <f t="shared" si="1"/>
        <v>0</v>
      </c>
      <c r="H47" s="659">
        <v>4044152</v>
      </c>
      <c r="I47" s="555" t="s">
        <v>170</v>
      </c>
      <c r="J47" s="319">
        <f t="shared" si="2"/>
        <v>1051</v>
      </c>
      <c r="K47" s="406"/>
      <c r="Q47" s="407"/>
      <c r="R47" s="407"/>
    </row>
    <row r="48" spans="1:20" s="316" customFormat="1" ht="12.75">
      <c r="A48" s="320">
        <v>221112</v>
      </c>
      <c r="B48" s="659">
        <v>4083774</v>
      </c>
      <c r="C48" s="566">
        <v>16049</v>
      </c>
      <c r="D48" s="372"/>
      <c r="E48" s="373">
        <f>'220'!G47</f>
        <v>16049</v>
      </c>
      <c r="F48" s="373">
        <f t="shared" si="0"/>
        <v>4069493</v>
      </c>
      <c r="G48" s="550">
        <f t="shared" si="1"/>
        <v>0</v>
      </c>
      <c r="H48" s="659">
        <v>4082672</v>
      </c>
      <c r="I48" s="555" t="s">
        <v>170</v>
      </c>
      <c r="J48" s="319">
        <f t="shared" si="2"/>
        <v>1102</v>
      </c>
      <c r="K48" s="406"/>
      <c r="Q48" s="407"/>
      <c r="R48" s="407"/>
    </row>
    <row r="49" spans="1:18" s="316" customFormat="1" ht="12.75">
      <c r="A49" s="320">
        <v>221113</v>
      </c>
      <c r="B49" s="659">
        <v>4116578</v>
      </c>
      <c r="C49" s="566">
        <v>10132</v>
      </c>
      <c r="D49" s="372"/>
      <c r="E49" s="373">
        <f>'220'!G48</f>
        <v>10132</v>
      </c>
      <c r="F49" s="373">
        <f t="shared" si="0"/>
        <v>4096380</v>
      </c>
      <c r="G49" s="550">
        <f t="shared" si="1"/>
        <v>0</v>
      </c>
      <c r="H49" s="659">
        <v>4115838</v>
      </c>
      <c r="I49" s="555" t="s">
        <v>170</v>
      </c>
      <c r="J49" s="319">
        <f>B49-H49</f>
        <v>740</v>
      </c>
      <c r="K49" s="406"/>
      <c r="Q49" s="407"/>
      <c r="R49" s="407"/>
    </row>
    <row r="50" spans="1:18" s="316" customFormat="1" ht="12.75">
      <c r="A50" s="320">
        <v>221114</v>
      </c>
      <c r="B50" s="659">
        <v>4128088</v>
      </c>
      <c r="C50" s="567">
        <v>7053</v>
      </c>
      <c r="D50" s="372"/>
      <c r="E50" s="373">
        <f>'220'!G49</f>
        <v>7053</v>
      </c>
      <c r="F50" s="373">
        <f t="shared" si="0"/>
        <v>4104811</v>
      </c>
      <c r="G50" s="550">
        <f t="shared" si="1"/>
        <v>0</v>
      </c>
      <c r="H50" s="659">
        <v>4127082</v>
      </c>
      <c r="I50" s="555" t="s">
        <v>170</v>
      </c>
      <c r="J50" s="319">
        <f t="shared" si="2"/>
        <v>1006</v>
      </c>
      <c r="K50" s="406"/>
      <c r="M50" s="408"/>
      <c r="Q50" s="407"/>
      <c r="R50" s="407"/>
    </row>
    <row r="51" spans="1:18" s="316" customFormat="1" ht="14.25" customHeight="1">
      <c r="A51" s="320">
        <v>221115</v>
      </c>
      <c r="B51" s="659">
        <v>4122366</v>
      </c>
      <c r="C51" s="566">
        <v>13422</v>
      </c>
      <c r="D51" s="372"/>
      <c r="E51" s="373">
        <f>'220'!G50</f>
        <v>13422</v>
      </c>
      <c r="F51" s="373">
        <f t="shared" si="0"/>
        <v>4105458</v>
      </c>
      <c r="G51" s="550">
        <f t="shared" si="1"/>
        <v>0</v>
      </c>
      <c r="H51" s="659">
        <v>4121449</v>
      </c>
      <c r="I51" s="555" t="s">
        <v>170</v>
      </c>
      <c r="J51" s="319">
        <f t="shared" si="2"/>
        <v>917</v>
      </c>
      <c r="K51" s="406"/>
      <c r="Q51" s="407"/>
      <c r="R51" s="407"/>
    </row>
    <row r="52" spans="1:18" s="316" customFormat="1" ht="12.75">
      <c r="A52" s="320">
        <v>221116</v>
      </c>
      <c r="B52" s="659">
        <v>4049047</v>
      </c>
      <c r="C52" s="566">
        <v>3790</v>
      </c>
      <c r="D52" s="372"/>
      <c r="E52" s="373">
        <f>'220'!G51</f>
        <v>3790</v>
      </c>
      <c r="F52" s="373">
        <f t="shared" si="0"/>
        <v>4022507</v>
      </c>
      <c r="G52" s="550">
        <f t="shared" si="1"/>
        <v>0</v>
      </c>
      <c r="H52" s="659">
        <v>4048633</v>
      </c>
      <c r="I52" s="555" t="s">
        <v>170</v>
      </c>
      <c r="J52" s="319">
        <f t="shared" si="2"/>
        <v>414</v>
      </c>
      <c r="K52" s="406"/>
      <c r="L52" s="408"/>
      <c r="M52" s="408"/>
      <c r="Q52" s="407"/>
      <c r="R52" s="407"/>
    </row>
    <row r="53" spans="1:18" s="316" customFormat="1" ht="12.75">
      <c r="A53" s="320">
        <v>221117</v>
      </c>
      <c r="B53" s="659">
        <v>4104822</v>
      </c>
      <c r="C53" s="566">
        <v>28633</v>
      </c>
      <c r="D53" s="372"/>
      <c r="E53" s="373">
        <f>'220'!G52</f>
        <v>28633</v>
      </c>
      <c r="F53" s="373">
        <f t="shared" si="0"/>
        <v>4103125</v>
      </c>
      <c r="G53" s="550">
        <f t="shared" si="1"/>
        <v>0</v>
      </c>
      <c r="H53" s="659">
        <v>4103805</v>
      </c>
      <c r="I53" s="555" t="s">
        <v>170</v>
      </c>
      <c r="J53" s="319">
        <f t="shared" si="2"/>
        <v>1017</v>
      </c>
      <c r="K53" s="406"/>
      <c r="L53" s="408"/>
      <c r="Q53" s="407"/>
      <c r="R53" s="407"/>
    </row>
    <row r="54" spans="1:18" s="316" customFormat="1" ht="13.5" thickBot="1">
      <c r="A54" s="320">
        <v>221118</v>
      </c>
      <c r="B54" s="660">
        <v>4083026</v>
      </c>
      <c r="C54" s="656">
        <v>11498</v>
      </c>
      <c r="D54" s="560"/>
      <c r="E54" s="561">
        <f>'220'!G53</f>
        <v>13331</v>
      </c>
      <c r="F54" s="561">
        <f t="shared" si="0"/>
        <v>4064194</v>
      </c>
      <c r="G54" s="562">
        <f t="shared" si="1"/>
        <v>1833</v>
      </c>
      <c r="H54" s="660">
        <v>4082161</v>
      </c>
      <c r="I54" s="564" t="s">
        <v>170</v>
      </c>
      <c r="J54" s="319">
        <f t="shared" si="2"/>
        <v>865</v>
      </c>
      <c r="K54" s="406"/>
      <c r="L54" s="408"/>
      <c r="Q54" s="407"/>
      <c r="R54" s="407"/>
    </row>
    <row r="55" spans="1:18" s="316" customFormat="1" ht="12.75">
      <c r="A55" s="320">
        <v>221119</v>
      </c>
      <c r="B55" s="659">
        <v>3891894</v>
      </c>
      <c r="C55" s="566">
        <v>17661</v>
      </c>
      <c r="D55" s="372"/>
      <c r="E55" s="373">
        <f>'220'!G54</f>
        <v>17669</v>
      </c>
      <c r="F55" s="373">
        <f t="shared" si="0"/>
        <v>3879225</v>
      </c>
      <c r="G55" s="550">
        <f t="shared" si="1"/>
        <v>8</v>
      </c>
      <c r="H55" s="659">
        <v>3890762</v>
      </c>
      <c r="I55" s="557"/>
      <c r="J55" s="319">
        <f t="shared" si="2"/>
        <v>1132</v>
      </c>
      <c r="K55" s="406"/>
      <c r="Q55" s="407"/>
      <c r="R55" s="407"/>
    </row>
    <row r="56" spans="1:18" s="316" customFormat="1" ht="12.75">
      <c r="A56" s="320">
        <v>221120</v>
      </c>
      <c r="B56" s="659">
        <v>3849011</v>
      </c>
      <c r="C56" s="566">
        <v>7674</v>
      </c>
      <c r="D56" s="372"/>
      <c r="E56" s="373">
        <f>'220'!G55</f>
        <v>7683</v>
      </c>
      <c r="F56" s="373">
        <f t="shared" si="0"/>
        <v>3826355</v>
      </c>
      <c r="G56" s="550">
        <f t="shared" si="1"/>
        <v>9</v>
      </c>
      <c r="H56" s="659">
        <v>3847978</v>
      </c>
      <c r="I56" s="559"/>
      <c r="J56" s="319">
        <f t="shared" si="2"/>
        <v>1033</v>
      </c>
      <c r="K56" s="406"/>
      <c r="Q56" s="407"/>
      <c r="R56" s="407"/>
    </row>
    <row r="57" spans="1:18" s="316" customFormat="1" ht="12.75">
      <c r="A57" s="320">
        <v>221121</v>
      </c>
      <c r="B57" s="659">
        <v>3862888</v>
      </c>
      <c r="C57" s="566">
        <v>22190</v>
      </c>
      <c r="D57" s="372"/>
      <c r="E57" s="373">
        <f>'220'!G56</f>
        <v>22193</v>
      </c>
      <c r="F57" s="373">
        <f t="shared" si="0"/>
        <v>3854748</v>
      </c>
      <c r="G57" s="550">
        <f t="shared" si="1"/>
        <v>3</v>
      </c>
      <c r="H57" s="659">
        <v>3862888</v>
      </c>
      <c r="I57" s="555"/>
      <c r="J57" s="319">
        <f t="shared" si="2"/>
        <v>0</v>
      </c>
      <c r="K57" s="406"/>
      <c r="Q57" s="407"/>
      <c r="R57" s="407"/>
    </row>
    <row r="58" spans="1:18" s="316" customFormat="1" ht="12.75">
      <c r="A58" s="320">
        <v>221122</v>
      </c>
      <c r="B58" s="659">
        <v>3868236</v>
      </c>
      <c r="C58" s="566">
        <v>22090</v>
      </c>
      <c r="D58" s="372"/>
      <c r="E58" s="373">
        <f>'220'!G57</f>
        <v>22093</v>
      </c>
      <c r="F58" s="373">
        <f t="shared" si="0"/>
        <v>3859996</v>
      </c>
      <c r="G58" s="550">
        <f t="shared" si="1"/>
        <v>3</v>
      </c>
      <c r="H58" s="659">
        <v>3867315</v>
      </c>
      <c r="I58" s="557"/>
      <c r="J58" s="319">
        <f t="shared" si="2"/>
        <v>921</v>
      </c>
      <c r="K58" s="406"/>
      <c r="L58" s="408"/>
      <c r="Q58" s="407"/>
      <c r="R58" s="407"/>
    </row>
    <row r="59" spans="1:18" s="316" customFormat="1" ht="12.75">
      <c r="A59" s="320">
        <v>221123</v>
      </c>
      <c r="B59" s="659">
        <v>3876878</v>
      </c>
      <c r="C59" s="566">
        <v>22548</v>
      </c>
      <c r="D59" s="372"/>
      <c r="E59" s="373">
        <f>'220'!G58</f>
        <v>22549</v>
      </c>
      <c r="F59" s="373">
        <f t="shared" si="0"/>
        <v>3869096</v>
      </c>
      <c r="G59" s="550">
        <f t="shared" si="1"/>
        <v>1</v>
      </c>
      <c r="H59" s="659">
        <v>3875979</v>
      </c>
      <c r="I59" s="559"/>
      <c r="J59" s="319">
        <f t="shared" si="2"/>
        <v>899</v>
      </c>
      <c r="K59" s="406"/>
      <c r="Q59" s="407"/>
      <c r="R59" s="407"/>
    </row>
    <row r="60" spans="1:18" s="316" customFormat="1" ht="12.75">
      <c r="A60" s="320">
        <v>221124</v>
      </c>
      <c r="B60" s="659">
        <v>3850823</v>
      </c>
      <c r="C60" s="566">
        <v>23575</v>
      </c>
      <c r="D60" s="372"/>
      <c r="E60" s="373">
        <f>'220'!G59</f>
        <v>19431</v>
      </c>
      <c r="F60" s="373">
        <f t="shared" si="0"/>
        <v>3844068</v>
      </c>
      <c r="G60" s="550">
        <f t="shared" si="1"/>
        <v>-4144</v>
      </c>
      <c r="H60" s="659">
        <v>3850722</v>
      </c>
      <c r="I60" s="559"/>
      <c r="J60" s="319">
        <f t="shared" si="2"/>
        <v>101</v>
      </c>
      <c r="K60" s="406"/>
      <c r="Q60" s="407"/>
      <c r="R60" s="407"/>
    </row>
    <row r="61" spans="1:18" s="316" customFormat="1" ht="12.75">
      <c r="A61" s="320">
        <v>221125</v>
      </c>
      <c r="B61" s="659">
        <v>3935762</v>
      </c>
      <c r="C61" s="566">
        <v>18208</v>
      </c>
      <c r="D61" s="372"/>
      <c r="E61" s="373">
        <f>'220'!G60</f>
        <v>22074</v>
      </c>
      <c r="F61" s="373">
        <f t="shared" si="0"/>
        <v>3923640</v>
      </c>
      <c r="G61" s="550">
        <f t="shared" si="1"/>
        <v>3866</v>
      </c>
      <c r="H61" s="659">
        <v>3935083</v>
      </c>
      <c r="I61" s="555"/>
      <c r="J61" s="319">
        <f t="shared" si="2"/>
        <v>679</v>
      </c>
      <c r="K61" s="406"/>
      <c r="Q61" s="407"/>
      <c r="R61" s="407"/>
    </row>
    <row r="62" spans="1:18" s="316" customFormat="1" ht="14.25" customHeight="1">
      <c r="A62" s="320">
        <v>221126</v>
      </c>
      <c r="B62" s="659">
        <v>3661737</v>
      </c>
      <c r="C62" s="566">
        <v>25684</v>
      </c>
      <c r="D62" s="372"/>
      <c r="E62" s="373">
        <f>'220'!G61</f>
        <v>25687</v>
      </c>
      <c r="F62" s="373">
        <f t="shared" si="0"/>
        <v>3657091</v>
      </c>
      <c r="G62" s="550">
        <f>IF(C62=E62,0,E62-C62)</f>
        <v>3</v>
      </c>
      <c r="H62" s="659">
        <v>3661737</v>
      </c>
      <c r="I62" s="559"/>
      <c r="J62" s="319">
        <f t="shared" si="2"/>
        <v>0</v>
      </c>
      <c r="K62" s="406"/>
      <c r="M62" s="408"/>
      <c r="Q62" s="407"/>
      <c r="R62" s="407"/>
    </row>
    <row r="63" spans="1:18" s="316" customFormat="1" ht="12.75">
      <c r="A63" s="320">
        <v>221127</v>
      </c>
      <c r="B63" s="659">
        <v>3856279</v>
      </c>
      <c r="C63" s="566">
        <v>6139</v>
      </c>
      <c r="D63" s="372"/>
      <c r="E63" s="373">
        <f>'220'!G62</f>
        <v>6143</v>
      </c>
      <c r="F63" s="373">
        <f t="shared" si="0"/>
        <v>3832088</v>
      </c>
      <c r="G63" s="550">
        <f t="shared" si="1"/>
        <v>4</v>
      </c>
      <c r="H63" s="659">
        <v>3855275</v>
      </c>
      <c r="I63" s="555"/>
      <c r="J63" s="319">
        <f t="shared" si="2"/>
        <v>1004</v>
      </c>
      <c r="K63" s="406"/>
      <c r="Q63" s="407"/>
      <c r="R63" s="407"/>
    </row>
    <row r="64" spans="1:18" s="316" customFormat="1" ht="12.75">
      <c r="A64" s="320">
        <v>221128</v>
      </c>
      <c r="B64" s="659">
        <v>3920296</v>
      </c>
      <c r="C64" s="566">
        <v>18766</v>
      </c>
      <c r="D64" s="372"/>
      <c r="E64" s="373">
        <f>'220'!G63</f>
        <v>18768</v>
      </c>
      <c r="F64" s="373">
        <f t="shared" si="0"/>
        <v>3908732</v>
      </c>
      <c r="G64" s="550">
        <f t="shared" si="1"/>
        <v>2</v>
      </c>
      <c r="H64" s="659">
        <v>3919510</v>
      </c>
      <c r="I64" s="559"/>
      <c r="J64" s="319">
        <f t="shared" si="2"/>
        <v>786</v>
      </c>
      <c r="K64" s="406"/>
      <c r="Q64" s="407"/>
      <c r="R64" s="407"/>
    </row>
    <row r="65" spans="1:18" s="316" customFormat="1" ht="12.75">
      <c r="A65" s="320">
        <v>221129</v>
      </c>
      <c r="B65" s="659">
        <v>3888670</v>
      </c>
      <c r="C65" s="566">
        <v>21719</v>
      </c>
      <c r="D65" s="372"/>
      <c r="E65" s="373">
        <f>'220'!G64</f>
        <v>21722</v>
      </c>
      <c r="F65" s="373">
        <f t="shared" si="0"/>
        <v>3880059</v>
      </c>
      <c r="G65" s="550">
        <f t="shared" si="1"/>
        <v>3</v>
      </c>
      <c r="H65" s="659">
        <v>3888670</v>
      </c>
      <c r="I65" s="557"/>
      <c r="J65" s="319">
        <f t="shared" si="2"/>
        <v>0</v>
      </c>
      <c r="K65" s="406"/>
      <c r="Q65" s="407"/>
      <c r="R65" s="407"/>
    </row>
    <row r="66" spans="1:18" s="316" customFormat="1" ht="12.75">
      <c r="A66" s="320">
        <v>221130</v>
      </c>
      <c r="B66" s="659">
        <v>3905472</v>
      </c>
      <c r="C66" s="566">
        <v>9317</v>
      </c>
      <c r="D66" s="372"/>
      <c r="E66" s="373">
        <f>'220'!G65</f>
        <v>9322</v>
      </c>
      <c r="F66" s="373">
        <f t="shared" si="0"/>
        <v>3884459</v>
      </c>
      <c r="G66" s="550">
        <f t="shared" si="1"/>
        <v>5</v>
      </c>
      <c r="H66" s="659">
        <v>3904419</v>
      </c>
      <c r="I66" s="555"/>
      <c r="J66" s="319">
        <f t="shared" si="2"/>
        <v>1053</v>
      </c>
      <c r="K66" s="406"/>
      <c r="Q66" s="407"/>
      <c r="R66" s="407"/>
    </row>
    <row r="67" spans="1:18" s="316" customFormat="1" ht="12.75">
      <c r="A67" s="320">
        <v>221131</v>
      </c>
      <c r="B67" s="659">
        <v>3869718</v>
      </c>
      <c r="C67" s="566">
        <v>16214</v>
      </c>
      <c r="D67" s="372"/>
      <c r="E67" s="373">
        <f>'220'!G66</f>
        <v>16223</v>
      </c>
      <c r="F67" s="373">
        <f t="shared" ref="F67:F80" si="3">B67-30330+C67</f>
        <v>3855602</v>
      </c>
      <c r="G67" s="550">
        <f t="shared" ref="G67:G80" si="4">IF(C67=E67,0,E67-C67)</f>
        <v>9</v>
      </c>
      <c r="H67" s="659">
        <v>3869759</v>
      </c>
      <c r="I67" s="559"/>
      <c r="J67" s="319">
        <f t="shared" si="2"/>
        <v>-41</v>
      </c>
      <c r="K67" s="406"/>
      <c r="M67" s="423"/>
      <c r="Q67" s="407"/>
      <c r="R67" s="407"/>
    </row>
    <row r="68" spans="1:18" s="316" customFormat="1" ht="15">
      <c r="A68" s="320">
        <v>221132</v>
      </c>
      <c r="B68" s="659">
        <v>3903146</v>
      </c>
      <c r="C68" s="566">
        <v>12370</v>
      </c>
      <c r="D68" s="372"/>
      <c r="E68" s="373">
        <f>'220'!G67</f>
        <v>21917</v>
      </c>
      <c r="F68" s="373">
        <f t="shared" si="3"/>
        <v>3885186</v>
      </c>
      <c r="G68" s="550">
        <f t="shared" si="4"/>
        <v>9547</v>
      </c>
      <c r="H68" s="659">
        <v>3903146</v>
      </c>
      <c r="I68" s="555"/>
      <c r="J68" s="319">
        <f t="shared" ref="J68:J80" si="5">B68-H68</f>
        <v>0</v>
      </c>
      <c r="K68" s="406"/>
      <c r="M68" s="542">
        <v>3661792</v>
      </c>
      <c r="Q68" s="407"/>
      <c r="R68" s="407"/>
    </row>
    <row r="69" spans="1:18" s="316" customFormat="1" ht="12.75">
      <c r="A69" s="320">
        <v>221133</v>
      </c>
      <c r="B69" s="659">
        <v>3877074</v>
      </c>
      <c r="C69" s="566">
        <v>27245</v>
      </c>
      <c r="D69" s="372"/>
      <c r="E69" s="373">
        <f>'220'!G68</f>
        <v>27247</v>
      </c>
      <c r="F69" s="373">
        <f t="shared" si="3"/>
        <v>3873989</v>
      </c>
      <c r="G69" s="550">
        <f t="shared" si="4"/>
        <v>2</v>
      </c>
      <c r="H69" s="659">
        <v>3876279</v>
      </c>
      <c r="I69" s="555"/>
      <c r="J69" s="319">
        <f t="shared" si="5"/>
        <v>795</v>
      </c>
      <c r="K69" s="406"/>
      <c r="M69" s="316">
        <f>B67-M68</f>
        <v>207926</v>
      </c>
      <c r="Q69" s="407"/>
      <c r="R69" s="407"/>
    </row>
    <row r="70" spans="1:18" s="316" customFormat="1" ht="12.75">
      <c r="A70" s="320">
        <v>221134</v>
      </c>
      <c r="B70" s="659">
        <v>3838065</v>
      </c>
      <c r="C70" s="566">
        <v>5009</v>
      </c>
      <c r="D70" s="372"/>
      <c r="E70" s="373">
        <f>'220'!G69</f>
        <v>5017</v>
      </c>
      <c r="F70" s="373">
        <f t="shared" si="3"/>
        <v>3812744</v>
      </c>
      <c r="G70" s="550">
        <f t="shared" si="4"/>
        <v>8</v>
      </c>
      <c r="H70" s="659">
        <v>3837175</v>
      </c>
      <c r="I70" s="555"/>
      <c r="J70" s="319">
        <f t="shared" si="5"/>
        <v>890</v>
      </c>
      <c r="K70" s="406"/>
      <c r="M70" s="316">
        <v>30000</v>
      </c>
      <c r="Q70" s="407"/>
      <c r="R70" s="407"/>
    </row>
    <row r="71" spans="1:18" s="316" customFormat="1" ht="12.75">
      <c r="A71" s="320">
        <v>221135</v>
      </c>
      <c r="B71" s="659">
        <v>3885714</v>
      </c>
      <c r="C71" s="566">
        <v>13218</v>
      </c>
      <c r="D71" s="372"/>
      <c r="E71" s="373">
        <f>'220'!G70</f>
        <v>13222</v>
      </c>
      <c r="F71" s="373">
        <f t="shared" si="3"/>
        <v>3868602</v>
      </c>
      <c r="G71" s="550">
        <f t="shared" si="4"/>
        <v>4</v>
      </c>
      <c r="H71" s="659">
        <v>3884759</v>
      </c>
      <c r="I71" s="565"/>
      <c r="J71" s="319">
        <f t="shared" si="5"/>
        <v>955</v>
      </c>
      <c r="K71" s="406"/>
      <c r="M71" s="316">
        <f>M70-M69</f>
        <v>-177926</v>
      </c>
      <c r="Q71" s="407"/>
      <c r="R71" s="407"/>
    </row>
    <row r="72" spans="1:18" s="316" customFormat="1" ht="12.75">
      <c r="A72" s="320">
        <v>221136</v>
      </c>
      <c r="B72" s="659">
        <v>3758648</v>
      </c>
      <c r="C72" s="566">
        <v>1363</v>
      </c>
      <c r="D72" s="372"/>
      <c r="E72" s="373">
        <f>'220'!G71</f>
        <v>1365</v>
      </c>
      <c r="F72" s="373">
        <f t="shared" si="3"/>
        <v>3729681</v>
      </c>
      <c r="G72" s="550">
        <f t="shared" si="4"/>
        <v>2</v>
      </c>
      <c r="H72" s="659">
        <v>3757851</v>
      </c>
      <c r="I72" s="559"/>
      <c r="J72" s="319">
        <f t="shared" si="5"/>
        <v>797</v>
      </c>
      <c r="K72" s="406"/>
      <c r="L72" s="408"/>
      <c r="Q72" s="407"/>
      <c r="R72" s="407"/>
    </row>
    <row r="73" spans="1:18" s="316" customFormat="1" ht="12.75">
      <c r="A73" s="320">
        <v>221137</v>
      </c>
      <c r="B73" s="659">
        <v>3872279</v>
      </c>
      <c r="C73" s="566">
        <v>12669</v>
      </c>
      <c r="D73" s="372"/>
      <c r="E73" s="373">
        <f>'220'!G72</f>
        <v>12673</v>
      </c>
      <c r="F73" s="373">
        <f t="shared" si="3"/>
        <v>3854618</v>
      </c>
      <c r="G73" s="550">
        <f t="shared" si="4"/>
        <v>4</v>
      </c>
      <c r="H73" s="659">
        <v>3871509</v>
      </c>
      <c r="I73" s="559"/>
      <c r="J73" s="319">
        <f t="shared" si="5"/>
        <v>770</v>
      </c>
      <c r="K73" s="406"/>
      <c r="Q73" s="407"/>
      <c r="R73" s="407"/>
    </row>
    <row r="74" spans="1:18" s="316" customFormat="1" ht="12.75">
      <c r="A74" s="320">
        <v>221138</v>
      </c>
      <c r="B74" s="659">
        <v>3839804</v>
      </c>
      <c r="C74" s="566">
        <v>26291</v>
      </c>
      <c r="D74" s="372"/>
      <c r="E74" s="373">
        <f>'220'!G73</f>
        <v>26291</v>
      </c>
      <c r="F74" s="373">
        <f t="shared" si="3"/>
        <v>3835765</v>
      </c>
      <c r="G74" s="550">
        <f t="shared" si="4"/>
        <v>0</v>
      </c>
      <c r="H74" s="659">
        <v>3838794</v>
      </c>
      <c r="I74" s="565"/>
      <c r="J74" s="319">
        <f t="shared" si="5"/>
        <v>1010</v>
      </c>
      <c r="K74" s="406"/>
      <c r="Q74" s="407"/>
      <c r="R74" s="407"/>
    </row>
    <row r="75" spans="1:18" s="316" customFormat="1" ht="12.75">
      <c r="A75" s="320">
        <v>221139</v>
      </c>
      <c r="B75" s="659">
        <v>3822507</v>
      </c>
      <c r="C75" s="566">
        <v>14021</v>
      </c>
      <c r="D75" s="372"/>
      <c r="E75" s="373">
        <f>'220'!G74</f>
        <v>12809</v>
      </c>
      <c r="F75" s="373">
        <f t="shared" si="3"/>
        <v>3806198</v>
      </c>
      <c r="G75" s="550">
        <f t="shared" si="4"/>
        <v>-1212</v>
      </c>
      <c r="H75" s="659">
        <v>3821606</v>
      </c>
      <c r="I75" s="565"/>
      <c r="J75" s="319">
        <f t="shared" si="5"/>
        <v>901</v>
      </c>
      <c r="K75" s="406"/>
      <c r="L75" s="408"/>
      <c r="Q75" s="407"/>
      <c r="R75" s="407"/>
    </row>
    <row r="76" spans="1:18" s="316" customFormat="1" ht="12.75">
      <c r="A76" s="320">
        <v>221140</v>
      </c>
      <c r="B76" s="659">
        <v>3863514</v>
      </c>
      <c r="C76" s="566">
        <v>13834</v>
      </c>
      <c r="D76" s="372"/>
      <c r="E76" s="373">
        <f>'220'!G75</f>
        <v>13774</v>
      </c>
      <c r="F76" s="373">
        <f t="shared" si="3"/>
        <v>3847018</v>
      </c>
      <c r="G76" s="550">
        <f t="shared" si="4"/>
        <v>-60</v>
      </c>
      <c r="H76" s="659">
        <v>3862644</v>
      </c>
      <c r="I76" s="565"/>
      <c r="J76" s="319">
        <f t="shared" si="5"/>
        <v>870</v>
      </c>
      <c r="K76" s="406"/>
      <c r="Q76" s="407"/>
      <c r="R76" s="407"/>
    </row>
    <row r="77" spans="1:18" s="316" customFormat="1" ht="15" customHeight="1" thickBot="1">
      <c r="A77" s="320">
        <v>221141</v>
      </c>
      <c r="B77" s="659">
        <v>3754785</v>
      </c>
      <c r="C77" s="566">
        <v>21817</v>
      </c>
      <c r="D77" s="372"/>
      <c r="E77" s="373">
        <f>'220'!G76</f>
        <v>21818</v>
      </c>
      <c r="F77" s="373">
        <f t="shared" si="3"/>
        <v>3746272</v>
      </c>
      <c r="G77" s="550">
        <f t="shared" si="4"/>
        <v>1</v>
      </c>
      <c r="H77" s="659">
        <v>3753902</v>
      </c>
      <c r="I77" s="559"/>
      <c r="J77" s="319">
        <f t="shared" si="5"/>
        <v>883</v>
      </c>
      <c r="K77" s="406"/>
      <c r="Q77" s="407"/>
      <c r="R77" s="407"/>
    </row>
    <row r="78" spans="1:18" s="316" customFormat="1" ht="12.75">
      <c r="A78" s="320">
        <v>221142</v>
      </c>
      <c r="B78" s="657">
        <v>3857903</v>
      </c>
      <c r="C78" s="658">
        <v>14978</v>
      </c>
      <c r="D78" s="551"/>
      <c r="E78" s="552">
        <f>'220'!G77</f>
        <v>14978</v>
      </c>
      <c r="F78" s="552">
        <f t="shared" si="3"/>
        <v>3842551</v>
      </c>
      <c r="G78" s="553">
        <f t="shared" si="4"/>
        <v>0</v>
      </c>
      <c r="H78" s="657">
        <v>3856972</v>
      </c>
      <c r="I78" s="554" t="s">
        <v>170</v>
      </c>
      <c r="J78" s="319">
        <f t="shared" si="5"/>
        <v>931</v>
      </c>
      <c r="K78" s="406"/>
      <c r="Q78" s="407"/>
      <c r="R78" s="407"/>
    </row>
    <row r="79" spans="1:18" s="316" customFormat="1" ht="12.75">
      <c r="A79" s="320">
        <v>221143</v>
      </c>
      <c r="B79" s="659">
        <v>3867324</v>
      </c>
      <c r="C79" s="566">
        <v>28608</v>
      </c>
      <c r="D79" s="372"/>
      <c r="E79" s="373">
        <f>'220'!G78</f>
        <v>28608</v>
      </c>
      <c r="F79" s="373">
        <f t="shared" si="3"/>
        <v>3865602</v>
      </c>
      <c r="G79" s="550">
        <f t="shared" si="4"/>
        <v>0</v>
      </c>
      <c r="H79" s="659">
        <v>3866144</v>
      </c>
      <c r="I79" s="555" t="s">
        <v>170</v>
      </c>
      <c r="J79" s="319">
        <f t="shared" si="5"/>
        <v>1180</v>
      </c>
      <c r="K79" s="406"/>
      <c r="Q79" s="407"/>
      <c r="R79" s="407"/>
    </row>
    <row r="80" spans="1:18" s="316" customFormat="1" ht="13.5" thickBot="1">
      <c r="A80" s="321">
        <v>221144</v>
      </c>
      <c r="B80" s="660">
        <v>1914401</v>
      </c>
      <c r="C80" s="656" t="e">
        <v>#N/A</v>
      </c>
      <c r="D80" s="560"/>
      <c r="E80" s="561">
        <v>29519</v>
      </c>
      <c r="F80" s="561" t="e">
        <f t="shared" si="3"/>
        <v>#N/A</v>
      </c>
      <c r="G80" s="562" t="e">
        <f t="shared" si="4"/>
        <v>#N/A</v>
      </c>
      <c r="H80" s="660">
        <v>1914401</v>
      </c>
      <c r="I80" s="564" t="s">
        <v>170</v>
      </c>
      <c r="J80" s="374">
        <f t="shared" si="5"/>
        <v>0</v>
      </c>
      <c r="K80" s="406"/>
    </row>
  </sheetData>
  <phoneticPr fontId="96" type="noConversion"/>
  <conditionalFormatting sqref="E2:F2">
    <cfRule type="cellIs" dxfId="9968" priority="22" stopIfTrue="1" operator="lessThan">
      <formula>500</formula>
    </cfRule>
  </conditionalFormatting>
  <conditionalFormatting sqref="E3:E80">
    <cfRule type="cellIs" dxfId="9967" priority="17" stopIfTrue="1" operator="lessThan">
      <formula>850</formula>
    </cfRule>
  </conditionalFormatting>
  <conditionalFormatting sqref="F3:F80">
    <cfRule type="cellIs" dxfId="9966" priority="18" stopIfTrue="1" operator="equal">
      <formula>#REF!</formula>
    </cfRule>
  </conditionalFormatting>
  <conditionalFormatting sqref="G3:G80">
    <cfRule type="cellIs" dxfId="9965" priority="6" stopIfTrue="1" operator="lessThan">
      <formula>0</formula>
    </cfRule>
    <cfRule type="cellIs" dxfId="9964" priority="7" operator="greaterThan">
      <formula>0</formula>
    </cfRule>
  </conditionalFormatting>
  <conditionalFormatting sqref="G3">
    <cfRule type="cellIs" dxfId="9963" priority="2" stopIfTrue="1" operator="greaterThan">
      <formula>150</formula>
    </cfRule>
  </conditionalFormatting>
  <conditionalFormatting sqref="G4:G80">
    <cfRule type="cellIs" dxfId="9962" priority="1" stopIfTrue="1" operator="greaterThan">
      <formula>150</formula>
    </cfRule>
  </conditionalFormatting>
  <pageMargins left="0.74803149606299213" right="0.74803149606299213" top="0.98425196850393704" bottom="0.98425196850393704"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92205" r:id="rId4" name="Button 13">
              <controlPr defaultSize="0" print="0" autoFill="0" autoPict="0" macro="[2]!CountDays">
                <anchor moveWithCells="1" sizeWithCells="1">
                  <from>
                    <xdr:col>8</xdr:col>
                    <xdr:colOff>0</xdr:colOff>
                    <xdr:row>1</xdr:row>
                    <xdr:rowOff>0</xdr:rowOff>
                  </from>
                  <to>
                    <xdr:col>8</xdr:col>
                    <xdr:colOff>0</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A1:Q65510"/>
  <sheetViews>
    <sheetView showGridLines="0" showZeros="0" tabSelected="1" view="pageBreakPreview" zoomScaleNormal="100" zoomScaleSheetLayoutView="100" workbookViewId="0">
      <pane xSplit="1" ySplit="1" topLeftCell="B2" activePane="bottomRight" state="frozen"/>
      <selection pane="topRight" activeCell="B1" sqref="B1"/>
      <selection pane="bottomLeft" activeCell="A4" sqref="A4"/>
      <selection pane="bottomRight" activeCell="C6" sqref="C6"/>
    </sheetView>
  </sheetViews>
  <sheetFormatPr defaultRowHeight="12.75"/>
  <cols>
    <col min="1" max="1" width="20" style="572" customWidth="1"/>
    <col min="2" max="2" width="23.28515625" style="570" customWidth="1"/>
    <col min="3" max="4" width="10.28515625" style="570" customWidth="1"/>
    <col min="5" max="5" width="6.85546875" style="570" customWidth="1"/>
    <col min="6" max="6" width="7" style="570" customWidth="1"/>
    <col min="7" max="7" width="6.85546875" style="570" customWidth="1"/>
    <col min="8" max="11" width="5.28515625" style="570" customWidth="1"/>
    <col min="12" max="16" width="4.7109375" style="570" customWidth="1"/>
    <col min="17" max="17" width="15.5703125" style="571" customWidth="1"/>
    <col min="18" max="24" width="15.5703125" style="570" customWidth="1"/>
    <col min="25" max="218" width="9.140625" style="570"/>
    <col min="219" max="219" width="23.28515625" style="570" customWidth="1"/>
    <col min="220" max="16384" width="9.140625" style="570"/>
  </cols>
  <sheetData>
    <row r="1" spans="1:17" s="572" customFormat="1" ht="23.1" customHeight="1" thickBot="1">
      <c r="A1" s="652" t="s">
        <v>87</v>
      </c>
      <c r="B1" s="651">
        <f>Plan!E2</f>
        <v>42933</v>
      </c>
      <c r="C1" s="733">
        <f>Plan!F2</f>
        <v>42934</v>
      </c>
      <c r="D1" s="734"/>
      <c r="E1" s="733">
        <f>Plan!G2</f>
        <v>42935</v>
      </c>
      <c r="F1" s="735"/>
      <c r="G1" s="734"/>
      <c r="H1" s="733">
        <f>Plan!H2</f>
        <v>42936</v>
      </c>
      <c r="I1" s="735"/>
      <c r="J1" s="735"/>
      <c r="K1" s="734"/>
      <c r="L1" s="733">
        <f>Plan!I2</f>
        <v>42937</v>
      </c>
      <c r="M1" s="735"/>
      <c r="N1" s="735"/>
      <c r="O1" s="735"/>
      <c r="P1" s="734"/>
    </row>
    <row r="2" spans="1:17" s="572" customFormat="1" ht="15.75" customHeight="1" thickBot="1">
      <c r="A2" s="608"/>
      <c r="B2" s="650"/>
      <c r="C2" s="736" t="s">
        <v>124</v>
      </c>
      <c r="D2" s="737"/>
      <c r="E2" s="737"/>
      <c r="F2" s="737"/>
      <c r="G2" s="738"/>
      <c r="H2" s="649"/>
      <c r="I2" s="648"/>
      <c r="J2" s="648"/>
      <c r="K2" s="648"/>
      <c r="L2" s="648"/>
      <c r="M2" s="648"/>
      <c r="N2" s="648"/>
      <c r="O2" s="648"/>
      <c r="P2" s="647"/>
    </row>
    <row r="3" spans="1:17" ht="13.5" thickBot="1">
      <c r="A3" s="621" t="s">
        <v>3</v>
      </c>
      <c r="B3" s="620">
        <f>Plan!E5</f>
        <v>221116</v>
      </c>
      <c r="C3" s="702">
        <f>Plan!F5</f>
        <v>221136</v>
      </c>
      <c r="D3" s="704"/>
      <c r="E3" s="691">
        <f>Plan!G5</f>
        <v>221107</v>
      </c>
      <c r="F3" s="692"/>
      <c r="G3" s="693"/>
      <c r="H3" s="689">
        <f>Plan!H5</f>
        <v>221111</v>
      </c>
      <c r="I3" s="692"/>
      <c r="J3" s="692"/>
      <c r="K3" s="690"/>
      <c r="L3" s="691">
        <f>Plan!I5</f>
        <v>221132</v>
      </c>
      <c r="M3" s="692"/>
      <c r="N3" s="692"/>
      <c r="O3" s="692"/>
      <c r="P3" s="693"/>
    </row>
    <row r="4" spans="1:17" s="572" customFormat="1" ht="22.5" customHeight="1">
      <c r="A4" s="619" t="s">
        <v>1</v>
      </c>
      <c r="B4" s="620" t="str">
        <f>Plan!E6</f>
        <v>C1</v>
      </c>
      <c r="C4" s="702" t="str">
        <f>Plan!F6</f>
        <v>C2</v>
      </c>
      <c r="D4" s="704"/>
      <c r="E4" s="691" t="str">
        <f>Plan!G6</f>
        <v>C2</v>
      </c>
      <c r="F4" s="692"/>
      <c r="G4" s="693"/>
      <c r="H4" s="689" t="str">
        <f>Plan!H6</f>
        <v>C4</v>
      </c>
      <c r="I4" s="692"/>
      <c r="J4" s="692"/>
      <c r="K4" s="690"/>
      <c r="L4" s="691" t="str">
        <f>Plan!I6</f>
        <v>C4</v>
      </c>
      <c r="M4" s="692"/>
      <c r="N4" s="692"/>
      <c r="O4" s="692"/>
      <c r="P4" s="693"/>
    </row>
    <row r="5" spans="1:17" s="572" customFormat="1" ht="12.75" customHeight="1">
      <c r="A5" s="619" t="s">
        <v>64</v>
      </c>
      <c r="B5" s="618">
        <f>Plan!E8</f>
        <v>42931</v>
      </c>
      <c r="C5" s="728">
        <f>Plan!F8</f>
        <v>42934</v>
      </c>
      <c r="D5" s="729"/>
      <c r="E5" s="730">
        <f>Plan!G8</f>
        <v>42932</v>
      </c>
      <c r="F5" s="731"/>
      <c r="G5" s="732"/>
      <c r="H5" s="686">
        <f>Plan!H8</f>
        <v>42936</v>
      </c>
      <c r="I5" s="688"/>
      <c r="J5" s="688"/>
      <c r="K5" s="687"/>
      <c r="L5" s="686">
        <f>Plan!I8</f>
        <v>42936</v>
      </c>
      <c r="M5" s="688"/>
      <c r="N5" s="688"/>
      <c r="O5" s="688"/>
      <c r="P5" s="687"/>
    </row>
    <row r="6" spans="1:17" s="603" customFormat="1" ht="12.75" customHeight="1">
      <c r="A6" s="592"/>
      <c r="B6" s="646" t="s">
        <v>4</v>
      </c>
      <c r="C6" s="645" t="s">
        <v>4</v>
      </c>
      <c r="D6" s="644" t="s">
        <v>5</v>
      </c>
      <c r="E6" s="643" t="s">
        <v>4</v>
      </c>
      <c r="F6" s="642" t="s">
        <v>6</v>
      </c>
      <c r="G6" s="641" t="s">
        <v>7</v>
      </c>
      <c r="H6" s="645" t="s">
        <v>4</v>
      </c>
      <c r="I6" s="642" t="s">
        <v>8</v>
      </c>
      <c r="J6" s="642" t="s">
        <v>9</v>
      </c>
      <c r="K6" s="644" t="s">
        <v>5</v>
      </c>
      <c r="L6" s="643" t="s">
        <v>4</v>
      </c>
      <c r="M6" s="642" t="s">
        <v>10</v>
      </c>
      <c r="N6" s="642" t="s">
        <v>9</v>
      </c>
      <c r="O6" s="642" t="s">
        <v>11</v>
      </c>
      <c r="P6" s="641" t="s">
        <v>5</v>
      </c>
    </row>
    <row r="7" spans="1:17" s="572" customFormat="1">
      <c r="A7" s="674" t="s">
        <v>18</v>
      </c>
      <c r="B7" s="585"/>
      <c r="C7" s="640"/>
      <c r="D7" s="639"/>
      <c r="E7" s="638"/>
      <c r="F7" s="637"/>
      <c r="G7" s="636"/>
      <c r="H7" s="640"/>
      <c r="I7" s="637"/>
      <c r="J7" s="637"/>
      <c r="K7" s="639"/>
      <c r="L7" s="638"/>
      <c r="M7" s="637"/>
      <c r="N7" s="637"/>
      <c r="O7" s="637"/>
      <c r="P7" s="636"/>
    </row>
    <row r="8" spans="1:17" s="572" customFormat="1">
      <c r="A8" s="679"/>
      <c r="B8" s="630"/>
      <c r="C8" s="635"/>
      <c r="D8" s="634"/>
      <c r="E8" s="633"/>
      <c r="F8" s="632"/>
      <c r="G8" s="631"/>
      <c r="H8" s="635"/>
      <c r="I8" s="632"/>
      <c r="J8" s="632"/>
      <c r="K8" s="634"/>
      <c r="L8" s="633"/>
      <c r="M8" s="632"/>
      <c r="N8" s="632"/>
      <c r="O8" s="632"/>
      <c r="P8" s="631"/>
    </row>
    <row r="9" spans="1:17" s="572" customFormat="1" ht="13.5" customHeight="1">
      <c r="A9" s="619" t="s">
        <v>12</v>
      </c>
      <c r="B9" s="627">
        <f>Plan!E9</f>
        <v>3790</v>
      </c>
      <c r="C9" s="705">
        <f>Plan!F9</f>
        <v>1365</v>
      </c>
      <c r="D9" s="706"/>
      <c r="E9" s="705">
        <f>Plan!G9</f>
        <v>6949</v>
      </c>
      <c r="F9" s="707"/>
      <c r="G9" s="706"/>
      <c r="H9" s="705">
        <f>Plan!H9</f>
        <v>8581</v>
      </c>
      <c r="I9" s="707"/>
      <c r="J9" s="707"/>
      <c r="K9" s="706"/>
      <c r="L9" s="705">
        <f>Plan!I9</f>
        <v>12319</v>
      </c>
      <c r="M9" s="707"/>
      <c r="N9" s="707"/>
      <c r="O9" s="707"/>
      <c r="P9" s="706"/>
    </row>
    <row r="10" spans="1:17" ht="13.5" customHeight="1">
      <c r="A10" s="626"/>
      <c r="B10" s="625"/>
      <c r="C10" s="708"/>
      <c r="D10" s="709"/>
      <c r="E10" s="708"/>
      <c r="F10" s="710"/>
      <c r="G10" s="709"/>
      <c r="H10" s="708" t="s">
        <v>334</v>
      </c>
      <c r="I10" s="710"/>
      <c r="J10" s="710"/>
      <c r="K10" s="709"/>
      <c r="L10" s="708"/>
      <c r="M10" s="710"/>
      <c r="N10" s="710"/>
      <c r="O10" s="710"/>
      <c r="P10" s="709"/>
      <c r="Q10" s="570"/>
    </row>
    <row r="11" spans="1:17" ht="13.5" customHeight="1" thickBot="1">
      <c r="A11" s="624"/>
      <c r="B11" s="623"/>
      <c r="C11" s="699"/>
      <c r="D11" s="700"/>
      <c r="E11" s="699"/>
      <c r="F11" s="701"/>
      <c r="G11" s="700"/>
      <c r="H11" s="699"/>
      <c r="I11" s="701"/>
      <c r="J11" s="701"/>
      <c r="K11" s="700"/>
      <c r="L11" s="699"/>
      <c r="M11" s="701"/>
      <c r="N11" s="701"/>
      <c r="O11" s="701"/>
      <c r="P11" s="700"/>
      <c r="Q11" s="570"/>
    </row>
    <row r="12" spans="1:17" ht="13.5" customHeight="1">
      <c r="A12" s="621" t="s">
        <v>3</v>
      </c>
      <c r="B12" s="620">
        <f>Plan!E13</f>
        <v>220028</v>
      </c>
      <c r="C12" s="726">
        <f>Plan!F13</f>
        <v>220019</v>
      </c>
      <c r="D12" s="727"/>
      <c r="E12" s="723">
        <f>Plan!G13</f>
        <v>220031</v>
      </c>
      <c r="F12" s="724"/>
      <c r="G12" s="725"/>
      <c r="H12" s="702">
        <f>Plan!H13</f>
        <v>220006</v>
      </c>
      <c r="I12" s="703"/>
      <c r="J12" s="703"/>
      <c r="K12" s="704"/>
      <c r="L12" s="702">
        <f>Plan!I13</f>
        <v>221134</v>
      </c>
      <c r="M12" s="703"/>
      <c r="N12" s="703"/>
      <c r="O12" s="703"/>
      <c r="P12" s="704"/>
    </row>
    <row r="13" spans="1:17" s="572" customFormat="1" ht="12.75" customHeight="1">
      <c r="A13" s="619" t="s">
        <v>1</v>
      </c>
      <c r="B13" s="618" t="str">
        <f>Plan!E14</f>
        <v>C1</v>
      </c>
      <c r="C13" s="686" t="str">
        <f>Plan!F14</f>
        <v>C4</v>
      </c>
      <c r="D13" s="687"/>
      <c r="E13" s="712" t="str">
        <f>Plan!G14</f>
        <v>C4</v>
      </c>
      <c r="F13" s="713"/>
      <c r="G13" s="714"/>
      <c r="H13" s="715" t="str">
        <f>Plan!H14</f>
        <v>C1</v>
      </c>
      <c r="I13" s="713"/>
      <c r="J13" s="713"/>
      <c r="K13" s="716"/>
      <c r="L13" s="712" t="str">
        <f>Plan!I14</f>
        <v>C1</v>
      </c>
      <c r="M13" s="713"/>
      <c r="N13" s="713"/>
      <c r="O13" s="713"/>
      <c r="P13" s="714"/>
    </row>
    <row r="14" spans="1:17" s="572" customFormat="1">
      <c r="A14" s="619" t="s">
        <v>64</v>
      </c>
      <c r="B14" s="618">
        <f>Plan!E16</f>
        <v>42935</v>
      </c>
      <c r="C14" s="694">
        <f>Plan!F16</f>
        <v>42934</v>
      </c>
      <c r="D14" s="695"/>
      <c r="E14" s="696">
        <f>Plan!G16</f>
        <v>42933</v>
      </c>
      <c r="F14" s="697"/>
      <c r="G14" s="698"/>
      <c r="H14" s="694">
        <f>Plan!H16</f>
        <v>42938</v>
      </c>
      <c r="I14" s="697"/>
      <c r="J14" s="697"/>
      <c r="K14" s="695"/>
      <c r="L14" s="696">
        <f>Plan!I16</f>
        <v>42938</v>
      </c>
      <c r="M14" s="697"/>
      <c r="N14" s="697"/>
      <c r="O14" s="697"/>
      <c r="P14" s="698"/>
    </row>
    <row r="15" spans="1:17" s="603" customFormat="1" ht="12.75" customHeight="1">
      <c r="A15" s="592"/>
      <c r="B15" s="585" t="s">
        <v>4</v>
      </c>
      <c r="C15" s="613" t="s">
        <v>4</v>
      </c>
      <c r="D15" s="612" t="s">
        <v>5</v>
      </c>
      <c r="E15" s="611" t="s">
        <v>4</v>
      </c>
      <c r="F15" s="610" t="s">
        <v>6</v>
      </c>
      <c r="G15" s="609" t="s">
        <v>7</v>
      </c>
      <c r="H15" s="613" t="s">
        <v>4</v>
      </c>
      <c r="I15" s="610" t="s">
        <v>8</v>
      </c>
      <c r="J15" s="610" t="s">
        <v>9</v>
      </c>
      <c r="K15" s="612" t="s">
        <v>5</v>
      </c>
      <c r="L15" s="611" t="s">
        <v>4</v>
      </c>
      <c r="M15" s="610" t="s">
        <v>10</v>
      </c>
      <c r="N15" s="610" t="s">
        <v>9</v>
      </c>
      <c r="O15" s="610" t="s">
        <v>11</v>
      </c>
      <c r="P15" s="609" t="s">
        <v>5</v>
      </c>
    </row>
    <row r="16" spans="1:17" s="572" customFormat="1">
      <c r="A16" s="674" t="s">
        <v>18</v>
      </c>
      <c r="B16" s="585"/>
      <c r="C16" s="584"/>
      <c r="D16" s="583"/>
      <c r="E16" s="582"/>
      <c r="F16" s="581"/>
      <c r="G16" s="580"/>
      <c r="H16" s="584"/>
      <c r="I16" s="581"/>
      <c r="J16" s="581"/>
      <c r="K16" s="583"/>
      <c r="L16" s="582"/>
      <c r="M16" s="581"/>
      <c r="N16" s="581"/>
      <c r="O16" s="581"/>
      <c r="P16" s="580"/>
    </row>
    <row r="17" spans="1:17" s="572" customFormat="1">
      <c r="A17" s="679"/>
      <c r="B17" s="630"/>
      <c r="C17" s="599"/>
      <c r="D17" s="598"/>
      <c r="E17" s="597"/>
      <c r="F17" s="596"/>
      <c r="G17" s="595"/>
      <c r="H17" s="599"/>
      <c r="I17" s="596"/>
      <c r="J17" s="596"/>
      <c r="K17" s="598"/>
      <c r="L17" s="597"/>
      <c r="M17" s="596"/>
      <c r="N17" s="596"/>
      <c r="O17" s="596"/>
      <c r="P17" s="595"/>
    </row>
    <row r="18" spans="1:17" s="572" customFormat="1" ht="13.5" customHeight="1">
      <c r="A18" s="619" t="s">
        <v>12</v>
      </c>
      <c r="B18" s="625">
        <f>Plan!E17</f>
        <v>5992</v>
      </c>
      <c r="C18" s="705">
        <f>Plan!F17</f>
        <v>1193</v>
      </c>
      <c r="D18" s="706"/>
      <c r="E18" s="705">
        <f>Plan!G17</f>
        <v>2273</v>
      </c>
      <c r="F18" s="707"/>
      <c r="G18" s="706"/>
      <c r="H18" s="705">
        <f>Plan!H17</f>
        <v>2952</v>
      </c>
      <c r="I18" s="707"/>
      <c r="J18" s="707"/>
      <c r="K18" s="706"/>
      <c r="L18" s="705">
        <f>Plan!I17</f>
        <v>5017</v>
      </c>
      <c r="M18" s="707"/>
      <c r="N18" s="707"/>
      <c r="O18" s="707"/>
      <c r="P18" s="706"/>
    </row>
    <row r="19" spans="1:17" ht="13.5" customHeight="1">
      <c r="A19" s="626"/>
      <c r="B19" s="626"/>
      <c r="C19" s="708"/>
      <c r="D19" s="709"/>
      <c r="E19" s="708"/>
      <c r="F19" s="710"/>
      <c r="G19" s="709"/>
      <c r="H19" s="708"/>
      <c r="I19" s="710"/>
      <c r="J19" s="710"/>
      <c r="K19" s="709"/>
      <c r="L19" s="708"/>
      <c r="M19" s="710"/>
      <c r="N19" s="710"/>
      <c r="O19" s="710"/>
      <c r="P19" s="709"/>
      <c r="Q19" s="570"/>
    </row>
    <row r="20" spans="1:17" ht="13.5" customHeight="1" thickBot="1">
      <c r="A20" s="624"/>
      <c r="B20" s="624"/>
      <c r="C20" s="699"/>
      <c r="D20" s="700"/>
      <c r="E20" s="699"/>
      <c r="F20" s="701"/>
      <c r="G20" s="700"/>
      <c r="H20" s="699"/>
      <c r="I20" s="701"/>
      <c r="J20" s="701"/>
      <c r="K20" s="700"/>
      <c r="L20" s="699"/>
      <c r="M20" s="701"/>
      <c r="N20" s="701"/>
      <c r="O20" s="701"/>
      <c r="P20" s="700"/>
      <c r="Q20" s="570"/>
    </row>
    <row r="21" spans="1:17">
      <c r="A21" s="621" t="s">
        <v>3</v>
      </c>
      <c r="B21" s="620">
        <f>Plan!D21</f>
        <v>0</v>
      </c>
      <c r="C21" s="689">
        <f>Plan!F21</f>
        <v>0</v>
      </c>
      <c r="D21" s="690"/>
      <c r="E21" s="723">
        <f>Plan!G21</f>
        <v>0</v>
      </c>
      <c r="F21" s="724"/>
      <c r="G21" s="725"/>
      <c r="H21" s="726">
        <f>Plan!H21</f>
        <v>0</v>
      </c>
      <c r="I21" s="724"/>
      <c r="J21" s="724"/>
      <c r="K21" s="727"/>
      <c r="L21" s="723">
        <f>Plan!I21</f>
        <v>0</v>
      </c>
      <c r="M21" s="724"/>
      <c r="N21" s="724"/>
      <c r="O21" s="724"/>
      <c r="P21" s="725"/>
      <c r="Q21" s="570"/>
    </row>
    <row r="22" spans="1:17" s="572" customFormat="1">
      <c r="A22" s="619" t="s">
        <v>1</v>
      </c>
      <c r="B22" s="616" t="str">
        <f>Plan!D22</f>
        <v/>
      </c>
      <c r="C22" s="715" t="str">
        <f>Plan!F22</f>
        <v/>
      </c>
      <c r="D22" s="716"/>
      <c r="E22" s="712" t="str">
        <f>Plan!G22</f>
        <v/>
      </c>
      <c r="F22" s="713"/>
      <c r="G22" s="714"/>
      <c r="H22" s="715" t="str">
        <f>Plan!H22</f>
        <v/>
      </c>
      <c r="I22" s="713"/>
      <c r="J22" s="713"/>
      <c r="K22" s="716"/>
      <c r="L22" s="712" t="str">
        <f>Plan!I22</f>
        <v/>
      </c>
      <c r="M22" s="713"/>
      <c r="N22" s="713"/>
      <c r="O22" s="713"/>
      <c r="P22" s="714"/>
    </row>
    <row r="23" spans="1:17" s="572" customFormat="1">
      <c r="A23" s="619" t="s">
        <v>64</v>
      </c>
      <c r="B23" s="622" t="str">
        <f>Plan!D24</f>
        <v/>
      </c>
      <c r="C23" s="694" t="str">
        <f>Plan!F24</f>
        <v/>
      </c>
      <c r="D23" s="695"/>
      <c r="E23" s="696" t="str">
        <f>Plan!G24</f>
        <v/>
      </c>
      <c r="F23" s="697"/>
      <c r="G23" s="698"/>
      <c r="H23" s="694" t="str">
        <f>Plan!H24</f>
        <v/>
      </c>
      <c r="I23" s="697"/>
      <c r="J23" s="697"/>
      <c r="K23" s="695"/>
      <c r="L23" s="696" t="str">
        <f>Plan!I24</f>
        <v/>
      </c>
      <c r="M23" s="697"/>
      <c r="N23" s="697"/>
      <c r="O23" s="697"/>
      <c r="P23" s="698"/>
    </row>
    <row r="24" spans="1:17" s="603" customFormat="1">
      <c r="A24" s="592"/>
      <c r="B24" s="614" t="s">
        <v>4</v>
      </c>
      <c r="C24" s="613" t="s">
        <v>4</v>
      </c>
      <c r="D24" s="612" t="s">
        <v>5</v>
      </c>
      <c r="E24" s="611" t="s">
        <v>4</v>
      </c>
      <c r="F24" s="610" t="s">
        <v>6</v>
      </c>
      <c r="G24" s="609" t="s">
        <v>7</v>
      </c>
      <c r="H24" s="613" t="s">
        <v>4</v>
      </c>
      <c r="I24" s="610" t="s">
        <v>8</v>
      </c>
      <c r="J24" s="610" t="s">
        <v>9</v>
      </c>
      <c r="K24" s="612" t="s">
        <v>5</v>
      </c>
      <c r="L24" s="611" t="s">
        <v>4</v>
      </c>
      <c r="M24" s="610" t="s">
        <v>10</v>
      </c>
      <c r="N24" s="610" t="s">
        <v>9</v>
      </c>
      <c r="O24" s="610" t="s">
        <v>11</v>
      </c>
      <c r="P24" s="609" t="s">
        <v>5</v>
      </c>
    </row>
    <row r="25" spans="1:17" s="572" customFormat="1">
      <c r="A25" s="674" t="s">
        <v>18</v>
      </c>
      <c r="B25" s="601"/>
      <c r="C25" s="584"/>
      <c r="D25" s="583"/>
      <c r="E25" s="582"/>
      <c r="F25" s="581"/>
      <c r="G25" s="580"/>
      <c r="H25" s="584"/>
      <c r="I25" s="581"/>
      <c r="J25" s="581"/>
      <c r="K25" s="583"/>
      <c r="L25" s="582"/>
      <c r="M25" s="581"/>
      <c r="N25" s="581"/>
      <c r="O25" s="581"/>
      <c r="P25" s="580"/>
    </row>
    <row r="26" spans="1:17" s="572" customFormat="1">
      <c r="A26" s="679"/>
      <c r="B26" s="600"/>
      <c r="C26" s="599"/>
      <c r="D26" s="598"/>
      <c r="E26" s="597"/>
      <c r="F26" s="596"/>
      <c r="G26" s="595"/>
      <c r="H26" s="599"/>
      <c r="I26" s="596"/>
      <c r="J26" s="596"/>
      <c r="K26" s="598"/>
      <c r="L26" s="597"/>
      <c r="M26" s="596"/>
      <c r="N26" s="596"/>
      <c r="O26" s="596"/>
      <c r="P26" s="595"/>
    </row>
    <row r="27" spans="1:17" s="572" customFormat="1" ht="13.5" customHeight="1">
      <c r="A27" s="629" t="s">
        <v>12</v>
      </c>
      <c r="B27" s="628" t="str">
        <f>Plan!D25</f>
        <v/>
      </c>
      <c r="C27" s="720" t="str">
        <f>Plan!F25</f>
        <v/>
      </c>
      <c r="D27" s="721"/>
      <c r="E27" s="720" t="str">
        <f>Plan!G25</f>
        <v/>
      </c>
      <c r="F27" s="722"/>
      <c r="G27" s="721"/>
      <c r="H27" s="720" t="str">
        <f>Plan!H25</f>
        <v/>
      </c>
      <c r="I27" s="722"/>
      <c r="J27" s="722"/>
      <c r="K27" s="721"/>
      <c r="L27" s="720" t="str">
        <f>Plan!I25</f>
        <v/>
      </c>
      <c r="M27" s="722"/>
      <c r="N27" s="722"/>
      <c r="O27" s="722"/>
      <c r="P27" s="721"/>
    </row>
    <row r="28" spans="1:17" s="572" customFormat="1" ht="13.5" customHeight="1">
      <c r="A28" s="626"/>
      <c r="B28" s="625"/>
      <c r="C28" s="708"/>
      <c r="D28" s="709"/>
      <c r="E28" s="708"/>
      <c r="F28" s="710"/>
      <c r="G28" s="709"/>
      <c r="H28" s="708"/>
      <c r="I28" s="710"/>
      <c r="J28" s="710"/>
      <c r="K28" s="709"/>
      <c r="L28" s="708"/>
      <c r="M28" s="710"/>
      <c r="N28" s="710"/>
      <c r="O28" s="710"/>
      <c r="P28" s="709"/>
    </row>
    <row r="29" spans="1:17" s="572" customFormat="1" ht="13.5" customHeight="1" thickBot="1">
      <c r="A29" s="624"/>
      <c r="B29" s="623"/>
      <c r="C29" s="699"/>
      <c r="D29" s="700"/>
      <c r="E29" s="699"/>
      <c r="F29" s="701"/>
      <c r="G29" s="700"/>
      <c r="H29" s="699"/>
      <c r="I29" s="701"/>
      <c r="J29" s="701"/>
      <c r="K29" s="700"/>
      <c r="L29" s="699"/>
      <c r="M29" s="701"/>
      <c r="N29" s="701"/>
      <c r="O29" s="701"/>
      <c r="P29" s="700"/>
    </row>
    <row r="30" spans="1:17" s="572" customFormat="1" ht="16.5" thickBot="1">
      <c r="A30" s="608"/>
      <c r="B30" s="607"/>
      <c r="C30" s="717" t="s">
        <v>164</v>
      </c>
      <c r="D30" s="718"/>
      <c r="E30" s="718"/>
      <c r="F30" s="718"/>
      <c r="G30" s="719"/>
      <c r="H30" s="606"/>
      <c r="I30" s="605"/>
      <c r="J30" s="605"/>
      <c r="K30" s="605"/>
      <c r="L30" s="605"/>
      <c r="M30" s="605"/>
      <c r="N30" s="605"/>
      <c r="O30" s="605"/>
      <c r="P30" s="604"/>
    </row>
    <row r="31" spans="1:17">
      <c r="A31" s="621" t="s">
        <v>3</v>
      </c>
      <c r="B31" s="620">
        <f>Plan!E29</f>
        <v>221131</v>
      </c>
      <c r="C31" s="702">
        <f>Plan!F29</f>
        <v>221125</v>
      </c>
      <c r="D31" s="704"/>
      <c r="E31" s="691">
        <f>Plan!G29</f>
        <v>220031</v>
      </c>
      <c r="F31" s="692"/>
      <c r="G31" s="693"/>
      <c r="H31" s="689">
        <f>Plan!H29</f>
        <v>221134</v>
      </c>
      <c r="I31" s="692"/>
      <c r="J31" s="692"/>
      <c r="K31" s="690"/>
      <c r="L31" s="691">
        <f>Plan!I29</f>
        <v>221104</v>
      </c>
      <c r="M31" s="692"/>
      <c r="N31" s="692"/>
      <c r="O31" s="692"/>
      <c r="P31" s="693"/>
    </row>
    <row r="32" spans="1:17" s="572" customFormat="1" ht="22.5" customHeight="1">
      <c r="A32" s="619" t="s">
        <v>1</v>
      </c>
      <c r="B32" s="616" t="str">
        <f>Plan!E30</f>
        <v>MV6</v>
      </c>
      <c r="C32" s="680" t="str">
        <f>Plan!F30</f>
        <v>MV6</v>
      </c>
      <c r="D32" s="711"/>
      <c r="E32" s="712" t="str">
        <f>Plan!G30</f>
        <v>MV1</v>
      </c>
      <c r="F32" s="713"/>
      <c r="G32" s="714"/>
      <c r="H32" s="715" t="str">
        <f>Plan!H30</f>
        <v>MV5</v>
      </c>
      <c r="I32" s="713"/>
      <c r="J32" s="713"/>
      <c r="K32" s="716"/>
      <c r="L32" s="712" t="str">
        <f>Plan!I30</f>
        <v>MV8</v>
      </c>
      <c r="M32" s="713"/>
      <c r="N32" s="713"/>
      <c r="O32" s="713"/>
      <c r="P32" s="714"/>
    </row>
    <row r="33" spans="1:16" s="572" customFormat="1">
      <c r="A33" s="619" t="s">
        <v>64</v>
      </c>
      <c r="B33" s="622">
        <f>Plan!E32</f>
        <v>42932</v>
      </c>
      <c r="C33" s="694">
        <f>Plan!F32</f>
        <v>42933</v>
      </c>
      <c r="D33" s="695"/>
      <c r="E33" s="696">
        <f>Plan!G32</f>
        <v>42935</v>
      </c>
      <c r="F33" s="697"/>
      <c r="G33" s="698"/>
      <c r="H33" s="694">
        <f>Plan!H32</f>
        <v>42936</v>
      </c>
      <c r="I33" s="697"/>
      <c r="J33" s="697"/>
      <c r="K33" s="695"/>
      <c r="L33" s="696">
        <f>Plan!I32</f>
        <v>42934</v>
      </c>
      <c r="M33" s="697"/>
      <c r="N33" s="697"/>
      <c r="O33" s="697"/>
      <c r="P33" s="698"/>
    </row>
    <row r="34" spans="1:16" s="603" customFormat="1" ht="12.75" customHeight="1">
      <c r="A34" s="592"/>
      <c r="B34" s="614" t="s">
        <v>4</v>
      </c>
      <c r="C34" s="613" t="s">
        <v>4</v>
      </c>
      <c r="D34" s="612" t="s">
        <v>5</v>
      </c>
      <c r="E34" s="611" t="s">
        <v>4</v>
      </c>
      <c r="F34" s="610" t="s">
        <v>6</v>
      </c>
      <c r="G34" s="609" t="s">
        <v>7</v>
      </c>
      <c r="H34" s="613" t="s">
        <v>4</v>
      </c>
      <c r="I34" s="610" t="s">
        <v>8</v>
      </c>
      <c r="J34" s="610" t="s">
        <v>9</v>
      </c>
      <c r="K34" s="612" t="s">
        <v>5</v>
      </c>
      <c r="L34" s="611" t="s">
        <v>4</v>
      </c>
      <c r="M34" s="610" t="s">
        <v>10</v>
      </c>
      <c r="N34" s="610" t="s">
        <v>9</v>
      </c>
      <c r="O34" s="610" t="s">
        <v>11</v>
      </c>
      <c r="P34" s="609" t="s">
        <v>5</v>
      </c>
    </row>
    <row r="35" spans="1:16" s="572" customFormat="1">
      <c r="A35" s="674" t="s">
        <v>18</v>
      </c>
      <c r="B35" s="601"/>
      <c r="C35" s="584"/>
      <c r="D35" s="583"/>
      <c r="E35" s="582"/>
      <c r="F35" s="581"/>
      <c r="G35" s="580"/>
      <c r="H35" s="584"/>
      <c r="I35" s="581"/>
      <c r="J35" s="581"/>
      <c r="K35" s="583"/>
      <c r="L35" s="582"/>
      <c r="M35" s="581"/>
      <c r="N35" s="581"/>
      <c r="O35" s="581"/>
      <c r="P35" s="580"/>
    </row>
    <row r="36" spans="1:16" s="572" customFormat="1">
      <c r="A36" s="679"/>
      <c r="B36" s="600"/>
      <c r="C36" s="599"/>
      <c r="D36" s="598"/>
      <c r="E36" s="597"/>
      <c r="F36" s="596"/>
      <c r="G36" s="595"/>
      <c r="H36" s="599"/>
      <c r="I36" s="596"/>
      <c r="J36" s="596"/>
      <c r="K36" s="598"/>
      <c r="L36" s="597"/>
      <c r="M36" s="596"/>
      <c r="N36" s="596"/>
      <c r="O36" s="596"/>
      <c r="P36" s="595"/>
    </row>
    <row r="37" spans="1:16" s="572" customFormat="1" ht="13.5" customHeight="1">
      <c r="A37" s="619" t="s">
        <v>12</v>
      </c>
      <c r="B37" s="627">
        <f>Plan!E33</f>
        <v>1644</v>
      </c>
      <c r="C37" s="705">
        <f>Plan!F33</f>
        <v>5066</v>
      </c>
      <c r="D37" s="706"/>
      <c r="E37" s="705">
        <f>Plan!G33</f>
        <v>6064</v>
      </c>
      <c r="F37" s="707"/>
      <c r="G37" s="706"/>
      <c r="H37" s="705">
        <f>Plan!H33</f>
        <v>3179</v>
      </c>
      <c r="I37" s="707"/>
      <c r="J37" s="707"/>
      <c r="K37" s="706"/>
      <c r="L37" s="705">
        <f>Plan!I33</f>
        <v>-2246</v>
      </c>
      <c r="M37" s="707"/>
      <c r="N37" s="707"/>
      <c r="O37" s="707"/>
      <c r="P37" s="706"/>
    </row>
    <row r="38" spans="1:16" s="572" customFormat="1" ht="13.5" customHeight="1">
      <c r="A38" s="626" t="s">
        <v>122</v>
      </c>
      <c r="B38" s="625">
        <f ca="1">Plan!E35</f>
        <v>89</v>
      </c>
      <c r="C38" s="708">
        <f ca="1">Plan!F35</f>
        <v>87</v>
      </c>
      <c r="D38" s="709"/>
      <c r="E38" s="708">
        <f ca="1">Plan!G35</f>
        <v>86</v>
      </c>
      <c r="F38" s="710"/>
      <c r="G38" s="709"/>
      <c r="H38" s="708">
        <f ca="1">Plan!H35</f>
        <v>85</v>
      </c>
      <c r="I38" s="710"/>
      <c r="J38" s="710"/>
      <c r="K38" s="709"/>
      <c r="L38" s="708">
        <f ca="1">Plan!I35</f>
        <v>85</v>
      </c>
      <c r="M38" s="710"/>
      <c r="N38" s="710"/>
      <c r="O38" s="710"/>
      <c r="P38" s="709"/>
    </row>
    <row r="39" spans="1:16" s="572" customFormat="1" ht="13.5" customHeight="1" thickBot="1">
      <c r="A39" s="624"/>
      <c r="B39" s="623"/>
      <c r="C39" s="699"/>
      <c r="D39" s="700"/>
      <c r="E39" s="699"/>
      <c r="F39" s="701"/>
      <c r="G39" s="700"/>
      <c r="H39" s="699"/>
      <c r="I39" s="701"/>
      <c r="J39" s="701"/>
      <c r="K39" s="700"/>
      <c r="L39" s="699"/>
      <c r="M39" s="701"/>
      <c r="N39" s="701"/>
      <c r="O39" s="701"/>
      <c r="P39" s="700"/>
    </row>
    <row r="40" spans="1:16" s="572" customFormat="1" ht="16.5" thickBot="1">
      <c r="A40" s="608"/>
      <c r="B40" s="607"/>
      <c r="C40" s="683" t="s">
        <v>120</v>
      </c>
      <c r="D40" s="684"/>
      <c r="E40" s="684"/>
      <c r="F40" s="684"/>
      <c r="G40" s="685"/>
      <c r="H40" s="606"/>
      <c r="I40" s="605"/>
      <c r="J40" s="605"/>
      <c r="K40" s="605"/>
      <c r="L40" s="605"/>
      <c r="M40" s="605"/>
      <c r="N40" s="605"/>
      <c r="O40" s="605"/>
      <c r="P40" s="604"/>
    </row>
    <row r="41" spans="1:16">
      <c r="A41" s="621" t="s">
        <v>3</v>
      </c>
      <c r="B41" s="620">
        <f>Plan!E37</f>
        <v>220008</v>
      </c>
      <c r="C41" s="689">
        <f>Plan!F37</f>
        <v>221119</v>
      </c>
      <c r="D41" s="690"/>
      <c r="E41" s="691">
        <f>Plan!G37</f>
        <v>221114</v>
      </c>
      <c r="F41" s="692"/>
      <c r="G41" s="693"/>
      <c r="H41" s="702">
        <f>Plan!H37</f>
        <v>221117</v>
      </c>
      <c r="I41" s="703"/>
      <c r="J41" s="703"/>
      <c r="K41" s="704"/>
      <c r="L41" s="691">
        <f>Plan!I37</f>
        <v>220006</v>
      </c>
      <c r="M41" s="692"/>
      <c r="N41" s="692"/>
      <c r="O41" s="692"/>
      <c r="P41" s="693"/>
    </row>
    <row r="42" spans="1:16" s="572" customFormat="1">
      <c r="A42" s="619" t="s">
        <v>1</v>
      </c>
      <c r="B42" s="618" t="str">
        <f>Plan!E38</f>
        <v>S1A</v>
      </c>
      <c r="C42" s="686" t="str">
        <f>Plan!F38</f>
        <v>S4A</v>
      </c>
      <c r="D42" s="687"/>
      <c r="E42" s="686" t="str">
        <f>Plan!G38</f>
        <v>S8A</v>
      </c>
      <c r="F42" s="688"/>
      <c r="G42" s="687"/>
      <c r="H42" s="686" t="str">
        <f>Plan!H38</f>
        <v>S1A</v>
      </c>
      <c r="I42" s="688"/>
      <c r="J42" s="688"/>
      <c r="K42" s="687"/>
      <c r="L42" s="686" t="str">
        <f>Plan!I38</f>
        <v>S2A</v>
      </c>
      <c r="M42" s="688"/>
      <c r="N42" s="688"/>
      <c r="O42" s="688"/>
      <c r="P42" s="687"/>
    </row>
    <row r="43" spans="1:16" s="572" customFormat="1">
      <c r="A43" s="619" t="s">
        <v>64</v>
      </c>
      <c r="B43" s="622">
        <f>Plan!E39</f>
        <v>42934</v>
      </c>
      <c r="C43" s="694">
        <f>Plan!F39</f>
        <v>42934</v>
      </c>
      <c r="D43" s="695"/>
      <c r="E43" s="696">
        <f>Plan!G39</f>
        <v>42934</v>
      </c>
      <c r="F43" s="697"/>
      <c r="G43" s="698"/>
      <c r="H43" s="694">
        <f>Plan!H39</f>
        <v>42935</v>
      </c>
      <c r="I43" s="697"/>
      <c r="J43" s="697"/>
      <c r="K43" s="695"/>
      <c r="L43" s="696">
        <f>Plan!I39</f>
        <v>42938</v>
      </c>
      <c r="M43" s="697"/>
      <c r="N43" s="697"/>
      <c r="O43" s="697"/>
      <c r="P43" s="698"/>
    </row>
    <row r="44" spans="1:16" s="615" customFormat="1">
      <c r="A44" s="617" t="s">
        <v>110</v>
      </c>
      <c r="B44" s="616">
        <f ca="1">Plan!E41</f>
        <v>44</v>
      </c>
      <c r="C44" s="680">
        <f ca="1">Plan!F41</f>
        <v>47</v>
      </c>
      <c r="D44" s="681"/>
      <c r="E44" s="680">
        <f ca="1">Plan!G41</f>
        <v>47</v>
      </c>
      <c r="F44" s="682"/>
      <c r="G44" s="681"/>
      <c r="H44" s="680">
        <f ca="1">Plan!H41</f>
        <v>46</v>
      </c>
      <c r="I44" s="682"/>
      <c r="J44" s="682"/>
      <c r="K44" s="681"/>
      <c r="L44" s="680">
        <f ca="1">Plan!I41</f>
        <v>47</v>
      </c>
      <c r="M44" s="682"/>
      <c r="N44" s="682"/>
      <c r="O44" s="682"/>
      <c r="P44" s="681"/>
    </row>
    <row r="45" spans="1:16" s="603" customFormat="1" ht="12.75" customHeight="1">
      <c r="A45" s="592"/>
      <c r="B45" s="614"/>
      <c r="C45" s="613" t="s">
        <v>4</v>
      </c>
      <c r="D45" s="612" t="s">
        <v>5</v>
      </c>
      <c r="E45" s="611" t="s">
        <v>4</v>
      </c>
      <c r="F45" s="610" t="s">
        <v>6</v>
      </c>
      <c r="G45" s="609" t="s">
        <v>7</v>
      </c>
      <c r="H45" s="613" t="s">
        <v>4</v>
      </c>
      <c r="I45" s="610" t="s">
        <v>8</v>
      </c>
      <c r="J45" s="610" t="s">
        <v>9</v>
      </c>
      <c r="K45" s="612" t="s">
        <v>5</v>
      </c>
      <c r="L45" s="611" t="s">
        <v>4</v>
      </c>
      <c r="M45" s="610" t="s">
        <v>10</v>
      </c>
      <c r="N45" s="610" t="s">
        <v>9</v>
      </c>
      <c r="O45" s="610" t="s">
        <v>11</v>
      </c>
      <c r="P45" s="609" t="s">
        <v>5</v>
      </c>
    </row>
    <row r="46" spans="1:16" s="572" customFormat="1">
      <c r="A46" s="674" t="s">
        <v>18</v>
      </c>
      <c r="B46" s="601"/>
      <c r="C46" s="584"/>
      <c r="D46" s="583"/>
      <c r="E46" s="582"/>
      <c r="F46" s="581"/>
      <c r="G46" s="580"/>
      <c r="H46" s="584"/>
      <c r="I46" s="581"/>
      <c r="J46" s="581"/>
      <c r="K46" s="583"/>
      <c r="L46" s="582"/>
      <c r="M46" s="581"/>
      <c r="N46" s="581"/>
      <c r="O46" s="581"/>
      <c r="P46" s="580"/>
    </row>
    <row r="47" spans="1:16" s="572" customFormat="1" ht="13.5" thickBot="1">
      <c r="A47" s="679"/>
      <c r="B47" s="600"/>
      <c r="C47" s="599"/>
      <c r="D47" s="598"/>
      <c r="E47" s="597"/>
      <c r="F47" s="596"/>
      <c r="G47" s="595"/>
      <c r="H47" s="599"/>
      <c r="I47" s="596"/>
      <c r="J47" s="596"/>
      <c r="K47" s="598"/>
      <c r="L47" s="597"/>
      <c r="M47" s="596"/>
      <c r="N47" s="596"/>
      <c r="O47" s="596"/>
      <c r="P47" s="595"/>
    </row>
    <row r="48" spans="1:16">
      <c r="A48" s="621" t="s">
        <v>3</v>
      </c>
      <c r="B48" s="620">
        <f>Plan!E42</f>
        <v>0</v>
      </c>
      <c r="C48" s="689">
        <f>Plan!F42</f>
        <v>0</v>
      </c>
      <c r="D48" s="690"/>
      <c r="E48" s="691">
        <f>Plan!G42</f>
        <v>0</v>
      </c>
      <c r="F48" s="692"/>
      <c r="G48" s="693"/>
      <c r="H48" s="689">
        <f>Plan!H42</f>
        <v>220020</v>
      </c>
      <c r="I48" s="692"/>
      <c r="J48" s="692"/>
      <c r="K48" s="690"/>
      <c r="L48" s="691">
        <f>Plan!I42</f>
        <v>221128</v>
      </c>
      <c r="M48" s="692"/>
      <c r="N48" s="692"/>
      <c r="O48" s="692"/>
      <c r="P48" s="693"/>
    </row>
    <row r="49" spans="1:17" s="572" customFormat="1">
      <c r="A49" s="619" t="s">
        <v>1</v>
      </c>
      <c r="B49" s="618" t="str">
        <f>Plan!E43</f>
        <v/>
      </c>
      <c r="C49" s="686" t="str">
        <f>Plan!F43</f>
        <v/>
      </c>
      <c r="D49" s="687"/>
      <c r="E49" s="686" t="str">
        <f>Plan!G43</f>
        <v/>
      </c>
      <c r="F49" s="688"/>
      <c r="G49" s="687"/>
      <c r="H49" s="686" t="str">
        <f>Plan!H43</f>
        <v>S2A</v>
      </c>
      <c r="I49" s="688"/>
      <c r="J49" s="688"/>
      <c r="K49" s="687"/>
      <c r="L49" s="686" t="str">
        <f>Plan!I43</f>
        <v>S3A</v>
      </c>
      <c r="M49" s="688"/>
      <c r="N49" s="688"/>
      <c r="O49" s="688"/>
      <c r="P49" s="687"/>
    </row>
    <row r="50" spans="1:17" s="572" customFormat="1">
      <c r="A50" s="619" t="s">
        <v>64</v>
      </c>
      <c r="B50" s="618" t="str">
        <f>Plan!E44</f>
        <v/>
      </c>
      <c r="C50" s="686" t="str">
        <f>Plan!F44</f>
        <v/>
      </c>
      <c r="D50" s="687"/>
      <c r="E50" s="686" t="str">
        <f>Plan!G44</f>
        <v/>
      </c>
      <c r="F50" s="688"/>
      <c r="G50" s="687"/>
      <c r="H50" s="686">
        <f>Plan!H44</f>
        <v>42934</v>
      </c>
      <c r="I50" s="688"/>
      <c r="J50" s="688"/>
      <c r="K50" s="687"/>
      <c r="L50" s="686">
        <f>Plan!I44</f>
        <v>42937</v>
      </c>
      <c r="M50" s="688"/>
      <c r="N50" s="688"/>
      <c r="O50" s="688"/>
      <c r="P50" s="687"/>
    </row>
    <row r="51" spans="1:17" s="615" customFormat="1">
      <c r="A51" s="617" t="s">
        <v>62</v>
      </c>
      <c r="B51" s="616" t="str">
        <f ca="1">Plan!E46</f>
        <v/>
      </c>
      <c r="C51" s="680" t="str">
        <f ca="1">Plan!F46</f>
        <v/>
      </c>
      <c r="D51" s="681"/>
      <c r="E51" s="680" t="str">
        <f ca="1">Plan!G46</f>
        <v/>
      </c>
      <c r="F51" s="682"/>
      <c r="G51" s="681"/>
      <c r="H51" s="680">
        <f ca="1">Plan!H46</f>
        <v>43</v>
      </c>
      <c r="I51" s="682" t="str">
        <f>[3]Plan!O45</f>
        <v/>
      </c>
      <c r="J51" s="682" t="str">
        <f>[3]Plan!P45</f>
        <v/>
      </c>
      <c r="K51" s="681" t="str">
        <f>[3]Plan!Q45</f>
        <v/>
      </c>
      <c r="L51" s="680">
        <f ca="1">Plan!I46</f>
        <v>46</v>
      </c>
      <c r="M51" s="682" t="str">
        <f>[3]Plan!S45</f>
        <v/>
      </c>
      <c r="N51" s="682" t="str">
        <f>[3]Plan!T45</f>
        <v/>
      </c>
      <c r="O51" s="682" t="str">
        <f>[3]Plan!U45</f>
        <v/>
      </c>
      <c r="P51" s="681" t="str">
        <f>[3]Plan!V45</f>
        <v/>
      </c>
    </row>
    <row r="52" spans="1:17" s="603" customFormat="1" ht="12.75" customHeight="1">
      <c r="A52" s="592"/>
      <c r="B52" s="614" t="s">
        <v>4</v>
      </c>
      <c r="C52" s="613" t="s">
        <v>4</v>
      </c>
      <c r="D52" s="612" t="s">
        <v>5</v>
      </c>
      <c r="E52" s="611" t="s">
        <v>4</v>
      </c>
      <c r="F52" s="610" t="s">
        <v>6</v>
      </c>
      <c r="G52" s="609" t="s">
        <v>7</v>
      </c>
      <c r="H52" s="613" t="s">
        <v>4</v>
      </c>
      <c r="I52" s="610" t="s">
        <v>8</v>
      </c>
      <c r="J52" s="610" t="s">
        <v>9</v>
      </c>
      <c r="K52" s="612" t="s">
        <v>5</v>
      </c>
      <c r="L52" s="611" t="s">
        <v>4</v>
      </c>
      <c r="M52" s="610" t="s">
        <v>10</v>
      </c>
      <c r="N52" s="610" t="s">
        <v>9</v>
      </c>
      <c r="O52" s="610" t="s">
        <v>11</v>
      </c>
      <c r="P52" s="609" t="s">
        <v>5</v>
      </c>
    </row>
    <row r="53" spans="1:17" s="572" customFormat="1">
      <c r="A53" s="674" t="s">
        <v>18</v>
      </c>
      <c r="B53" s="601"/>
      <c r="C53" s="584"/>
      <c r="D53" s="583"/>
      <c r="E53" s="582"/>
      <c r="F53" s="581"/>
      <c r="G53" s="580"/>
      <c r="H53" s="584"/>
      <c r="I53" s="581"/>
      <c r="J53" s="581"/>
      <c r="K53" s="583"/>
      <c r="L53" s="582"/>
      <c r="M53" s="581"/>
      <c r="N53" s="581"/>
      <c r="O53" s="581"/>
      <c r="P53" s="580"/>
    </row>
    <row r="54" spans="1:17" s="572" customFormat="1" ht="13.5" thickBot="1">
      <c r="A54" s="679"/>
      <c r="B54" s="600"/>
      <c r="C54" s="599"/>
      <c r="D54" s="598"/>
      <c r="E54" s="597"/>
      <c r="F54" s="596"/>
      <c r="G54" s="595"/>
      <c r="H54" s="599"/>
      <c r="I54" s="596"/>
      <c r="J54" s="596"/>
      <c r="K54" s="598"/>
      <c r="L54" s="597"/>
      <c r="M54" s="596"/>
      <c r="N54" s="596"/>
      <c r="O54" s="596"/>
      <c r="P54" s="595"/>
    </row>
    <row r="55" spans="1:17" ht="16.5" thickBot="1">
      <c r="A55" s="608" t="s">
        <v>19</v>
      </c>
      <c r="B55" s="607"/>
      <c r="C55" s="683" t="s">
        <v>24</v>
      </c>
      <c r="D55" s="684"/>
      <c r="E55" s="684"/>
      <c r="F55" s="684"/>
      <c r="G55" s="685"/>
      <c r="H55" s="606"/>
      <c r="I55" s="605"/>
      <c r="J55" s="605"/>
      <c r="K55" s="605"/>
      <c r="L55" s="605"/>
      <c r="M55" s="605"/>
      <c r="N55" s="605"/>
      <c r="O55" s="605"/>
      <c r="P55" s="604"/>
      <c r="Q55" s="570"/>
    </row>
    <row r="56" spans="1:17" ht="42.75" customHeight="1">
      <c r="A56" s="594" t="str">
        <f>Plan!A52</f>
        <v>WC Stopping 1</v>
      </c>
      <c r="B56" s="593" t="str">
        <f>Plan!E52</f>
        <v>221101 F/D OIL</v>
      </c>
      <c r="C56" s="676" t="str">
        <f>Plan!F52</f>
        <v>221102 UAT</v>
      </c>
      <c r="D56" s="677"/>
      <c r="E56" s="676">
        <f>Plan!G52</f>
        <v>0</v>
      </c>
      <c r="F56" s="678"/>
      <c r="G56" s="677"/>
      <c r="H56" s="676" t="str">
        <f>Plan!H52</f>
        <v xml:space="preserve">221107 AXLE </v>
      </c>
      <c r="I56" s="678"/>
      <c r="J56" s="678"/>
      <c r="K56" s="677"/>
      <c r="L56" s="676" t="str">
        <f>Plan!I47</f>
        <v>220015 AXLES+COUPLER</v>
      </c>
      <c r="M56" s="678"/>
      <c r="N56" s="678"/>
      <c r="O56" s="678"/>
      <c r="P56" s="677"/>
      <c r="Q56" s="570"/>
    </row>
    <row r="57" spans="1:17" s="603" customFormat="1" ht="12.75" customHeight="1">
      <c r="A57" s="592"/>
      <c r="B57" s="602" t="s">
        <v>4</v>
      </c>
      <c r="C57" s="590" t="s">
        <v>4</v>
      </c>
      <c r="D57" s="589" t="s">
        <v>5</v>
      </c>
      <c r="E57" s="588" t="s">
        <v>4</v>
      </c>
      <c r="F57" s="587" t="s">
        <v>6</v>
      </c>
      <c r="G57" s="586" t="s">
        <v>7</v>
      </c>
      <c r="H57" s="590" t="s">
        <v>4</v>
      </c>
      <c r="I57" s="587" t="s">
        <v>8</v>
      </c>
      <c r="J57" s="587" t="s">
        <v>9</v>
      </c>
      <c r="K57" s="589" t="s">
        <v>5</v>
      </c>
      <c r="L57" s="588" t="s">
        <v>4</v>
      </c>
      <c r="M57" s="587" t="s">
        <v>10</v>
      </c>
      <c r="N57" s="587" t="s">
        <v>9</v>
      </c>
      <c r="O57" s="587" t="s">
        <v>11</v>
      </c>
      <c r="P57" s="586" t="s">
        <v>5</v>
      </c>
    </row>
    <row r="58" spans="1:17" s="572" customFormat="1">
      <c r="A58" s="674" t="s">
        <v>18</v>
      </c>
      <c r="B58" s="601"/>
      <c r="C58" s="584"/>
      <c r="D58" s="583"/>
      <c r="E58" s="582"/>
      <c r="F58" s="581"/>
      <c r="G58" s="580"/>
      <c r="H58" s="584"/>
      <c r="I58" s="581"/>
      <c r="J58" s="581"/>
      <c r="K58" s="583"/>
      <c r="L58" s="582"/>
      <c r="M58" s="581"/>
      <c r="N58" s="581"/>
      <c r="O58" s="581"/>
      <c r="P58" s="580"/>
    </row>
    <row r="59" spans="1:17" s="572" customFormat="1" ht="13.5" thickBot="1">
      <c r="A59" s="679"/>
      <c r="B59" s="600">
        <v>0</v>
      </c>
      <c r="C59" s="599"/>
      <c r="D59" s="598">
        <v>0</v>
      </c>
      <c r="E59" s="597"/>
      <c r="F59" s="596"/>
      <c r="G59" s="595">
        <v>0</v>
      </c>
      <c r="H59" s="599"/>
      <c r="I59" s="596"/>
      <c r="J59" s="596"/>
      <c r="K59" s="598"/>
      <c r="L59" s="597"/>
      <c r="M59" s="596"/>
      <c r="N59" s="596"/>
      <c r="O59" s="596"/>
      <c r="P59" s="595"/>
    </row>
    <row r="60" spans="1:17" ht="42" customHeight="1">
      <c r="A60" s="594" t="str">
        <f>Plan!A53</f>
        <v>WC Stopping 2</v>
      </c>
      <c r="B60" s="593" t="str">
        <f>Plan!E53</f>
        <v>221108 PACK 30K HRS</v>
      </c>
      <c r="C60" s="676" t="str">
        <f>Plan!F53</f>
        <v>221143 F/D OIL</v>
      </c>
      <c r="D60" s="677"/>
      <c r="E60" s="676">
        <f>Plan!G53</f>
        <v>0</v>
      </c>
      <c r="F60" s="678"/>
      <c r="G60" s="677"/>
      <c r="H60" s="676">
        <f>Plan!H53</f>
        <v>0</v>
      </c>
      <c r="I60" s="678"/>
      <c r="J60" s="678"/>
      <c r="K60" s="677"/>
      <c r="L60" s="676" t="str">
        <f>Plan!I53</f>
        <v>221105 AXLE</v>
      </c>
      <c r="M60" s="678"/>
      <c r="N60" s="678"/>
      <c r="O60" s="678"/>
      <c r="P60" s="677"/>
      <c r="Q60" s="570"/>
    </row>
    <row r="61" spans="1:17" s="603" customFormat="1" ht="12.75" customHeight="1">
      <c r="A61" s="592"/>
      <c r="B61" s="602" t="s">
        <v>4</v>
      </c>
      <c r="C61" s="590" t="s">
        <v>4</v>
      </c>
      <c r="D61" s="589" t="s">
        <v>5</v>
      </c>
      <c r="E61" s="588" t="s">
        <v>4</v>
      </c>
      <c r="F61" s="587" t="s">
        <v>6</v>
      </c>
      <c r="G61" s="586" t="s">
        <v>7</v>
      </c>
      <c r="H61" s="590" t="s">
        <v>4</v>
      </c>
      <c r="I61" s="587" t="s">
        <v>8</v>
      </c>
      <c r="J61" s="587" t="s">
        <v>9</v>
      </c>
      <c r="K61" s="589" t="s">
        <v>5</v>
      </c>
      <c r="L61" s="588" t="s">
        <v>4</v>
      </c>
      <c r="M61" s="587" t="s">
        <v>10</v>
      </c>
      <c r="N61" s="587" t="s">
        <v>9</v>
      </c>
      <c r="O61" s="587" t="s">
        <v>11</v>
      </c>
      <c r="P61" s="586" t="s">
        <v>5</v>
      </c>
    </row>
    <row r="62" spans="1:17" s="572" customFormat="1">
      <c r="A62" s="674" t="s">
        <v>18</v>
      </c>
      <c r="B62" s="601"/>
      <c r="C62" s="584"/>
      <c r="D62" s="583"/>
      <c r="E62" s="582"/>
      <c r="F62" s="581"/>
      <c r="G62" s="580"/>
      <c r="H62" s="584"/>
      <c r="I62" s="581"/>
      <c r="J62" s="581"/>
      <c r="K62" s="583"/>
      <c r="L62" s="582"/>
      <c r="M62" s="581"/>
      <c r="N62" s="581"/>
      <c r="O62" s="581"/>
      <c r="P62" s="580"/>
    </row>
    <row r="63" spans="1:17" s="572" customFormat="1" ht="13.5" thickBot="1">
      <c r="A63" s="679"/>
      <c r="B63" s="600">
        <v>0</v>
      </c>
      <c r="C63" s="599"/>
      <c r="D63" s="598">
        <v>0</v>
      </c>
      <c r="E63" s="597"/>
      <c r="F63" s="596"/>
      <c r="G63" s="595">
        <v>0</v>
      </c>
      <c r="H63" s="599"/>
      <c r="I63" s="596"/>
      <c r="J63" s="596"/>
      <c r="K63" s="598"/>
      <c r="L63" s="597"/>
      <c r="M63" s="596"/>
      <c r="N63" s="596"/>
      <c r="O63" s="596"/>
      <c r="P63" s="595"/>
    </row>
    <row r="64" spans="1:17" s="572" customFormat="1" ht="42.75" customHeight="1">
      <c r="A64" s="594" t="str">
        <f>Plan!A54</f>
        <v>WC Stopping 3</v>
      </c>
      <c r="B64" s="593" t="str">
        <f>Plan!E54</f>
        <v>221116 U.A.T.</v>
      </c>
      <c r="C64" s="676">
        <f>Plan!F54</f>
        <v>0</v>
      </c>
      <c r="D64" s="677"/>
      <c r="E64" s="676" t="str">
        <f>Plan!G54</f>
        <v>221113 DECAL</v>
      </c>
      <c r="F64" s="678"/>
      <c r="G64" s="677"/>
      <c r="H64" s="676">
        <f>Plan!H54</f>
        <v>0</v>
      </c>
      <c r="I64" s="678"/>
      <c r="J64" s="678"/>
      <c r="K64" s="677"/>
      <c r="L64" s="676">
        <f>Plan!I54</f>
        <v>0</v>
      </c>
      <c r="M64" s="678"/>
      <c r="N64" s="678"/>
      <c r="O64" s="678"/>
      <c r="P64" s="677"/>
    </row>
    <row r="65" spans="1:16" s="572" customFormat="1" ht="12.75" customHeight="1">
      <c r="A65" s="592"/>
      <c r="B65" s="602" t="s">
        <v>4</v>
      </c>
      <c r="C65" s="590" t="s">
        <v>4</v>
      </c>
      <c r="D65" s="589" t="s">
        <v>5</v>
      </c>
      <c r="E65" s="588" t="s">
        <v>4</v>
      </c>
      <c r="F65" s="587" t="s">
        <v>6</v>
      </c>
      <c r="G65" s="586" t="s">
        <v>7</v>
      </c>
      <c r="H65" s="590" t="s">
        <v>4</v>
      </c>
      <c r="I65" s="587" t="s">
        <v>8</v>
      </c>
      <c r="J65" s="587" t="s">
        <v>9</v>
      </c>
      <c r="K65" s="589" t="s">
        <v>5</v>
      </c>
      <c r="L65" s="588" t="s">
        <v>4</v>
      </c>
      <c r="M65" s="587" t="s">
        <v>10</v>
      </c>
      <c r="N65" s="587" t="s">
        <v>9</v>
      </c>
      <c r="O65" s="587" t="s">
        <v>11</v>
      </c>
      <c r="P65" s="586" t="s">
        <v>5</v>
      </c>
    </row>
    <row r="66" spans="1:16" s="572" customFormat="1" ht="12.75" customHeight="1">
      <c r="A66" s="674" t="s">
        <v>18</v>
      </c>
      <c r="B66" s="601"/>
      <c r="C66" s="584"/>
      <c r="D66" s="583"/>
      <c r="E66" s="582"/>
      <c r="F66" s="581"/>
      <c r="G66" s="580"/>
      <c r="H66" s="584"/>
      <c r="I66" s="581"/>
      <c r="J66" s="581"/>
      <c r="K66" s="583"/>
      <c r="L66" s="582"/>
      <c r="M66" s="581"/>
      <c r="N66" s="581"/>
      <c r="O66" s="581"/>
      <c r="P66" s="580"/>
    </row>
    <row r="67" spans="1:16" s="572" customFormat="1" ht="13.5" thickBot="1">
      <c r="A67" s="679"/>
      <c r="B67" s="600">
        <v>0</v>
      </c>
      <c r="C67" s="599"/>
      <c r="D67" s="598">
        <v>0</v>
      </c>
      <c r="E67" s="597"/>
      <c r="F67" s="596"/>
      <c r="G67" s="595">
        <v>0</v>
      </c>
      <c r="H67" s="599"/>
      <c r="I67" s="596"/>
      <c r="J67" s="596"/>
      <c r="K67" s="598"/>
      <c r="L67" s="597"/>
      <c r="M67" s="596"/>
      <c r="N67" s="596"/>
      <c r="O67" s="596"/>
      <c r="P67" s="595"/>
    </row>
    <row r="68" spans="1:16" s="572" customFormat="1" ht="48.75" customHeight="1">
      <c r="A68" s="594" t="str">
        <f>Plan!A55</f>
        <v>Crewe</v>
      </c>
      <c r="B68" s="593">
        <f>Plan!E55</f>
        <v>0</v>
      </c>
      <c r="C68" s="676">
        <f>Plan!F55</f>
        <v>0</v>
      </c>
      <c r="D68" s="677"/>
      <c r="E68" s="676">
        <f>Plan!G55</f>
        <v>0</v>
      </c>
      <c r="F68" s="678"/>
      <c r="G68" s="677"/>
      <c r="H68" s="676">
        <f>Plan!H55</f>
        <v>0</v>
      </c>
      <c r="I68" s="678"/>
      <c r="J68" s="678"/>
      <c r="K68" s="677"/>
      <c r="L68" s="676">
        <f>Plan!I55</f>
        <v>0</v>
      </c>
      <c r="M68" s="678"/>
      <c r="N68" s="678"/>
      <c r="O68" s="678"/>
      <c r="P68" s="677"/>
    </row>
    <row r="69" spans="1:16" s="572" customFormat="1" ht="12.75" customHeight="1">
      <c r="A69" s="592"/>
      <c r="B69" s="591" t="s">
        <v>4</v>
      </c>
      <c r="C69" s="590" t="s">
        <v>4</v>
      </c>
      <c r="D69" s="589" t="s">
        <v>5</v>
      </c>
      <c r="E69" s="588" t="s">
        <v>4</v>
      </c>
      <c r="F69" s="587" t="s">
        <v>6</v>
      </c>
      <c r="G69" s="586" t="s">
        <v>7</v>
      </c>
      <c r="H69" s="590" t="s">
        <v>4</v>
      </c>
      <c r="I69" s="587" t="s">
        <v>8</v>
      </c>
      <c r="J69" s="587" t="s">
        <v>9</v>
      </c>
      <c r="K69" s="589" t="s">
        <v>5</v>
      </c>
      <c r="L69" s="588" t="s">
        <v>4</v>
      </c>
      <c r="M69" s="587" t="s">
        <v>10</v>
      </c>
      <c r="N69" s="587" t="s">
        <v>9</v>
      </c>
      <c r="O69" s="587" t="s">
        <v>11</v>
      </c>
      <c r="P69" s="586" t="s">
        <v>5</v>
      </c>
    </row>
    <row r="70" spans="1:16" s="572" customFormat="1" ht="12.75" customHeight="1">
      <c r="A70" s="674" t="s">
        <v>18</v>
      </c>
      <c r="B70" s="585"/>
      <c r="C70" s="584"/>
      <c r="D70" s="583"/>
      <c r="E70" s="582"/>
      <c r="F70" s="581"/>
      <c r="G70" s="580"/>
      <c r="H70" s="584"/>
      <c r="I70" s="581"/>
      <c r="J70" s="581"/>
      <c r="K70" s="583"/>
      <c r="L70" s="582"/>
      <c r="M70" s="581"/>
      <c r="N70" s="581"/>
      <c r="O70" s="581"/>
      <c r="P70" s="580"/>
    </row>
    <row r="71" spans="1:16" s="572" customFormat="1" ht="13.5" thickBot="1">
      <c r="A71" s="675"/>
      <c r="B71" s="579">
        <v>0</v>
      </c>
      <c r="C71" s="578"/>
      <c r="D71" s="577">
        <v>0</v>
      </c>
      <c r="E71" s="576"/>
      <c r="F71" s="575"/>
      <c r="G71" s="574">
        <v>0</v>
      </c>
      <c r="H71" s="578"/>
      <c r="I71" s="575"/>
      <c r="J71" s="575"/>
      <c r="K71" s="577"/>
      <c r="L71" s="576"/>
      <c r="M71" s="575"/>
      <c r="N71" s="575"/>
      <c r="O71" s="575"/>
      <c r="P71" s="574"/>
    </row>
    <row r="72" spans="1:16" ht="48" customHeight="1">
      <c r="A72" s="594" t="str">
        <f>Plan!A56</f>
        <v>Polmadie</v>
      </c>
      <c r="B72" s="593" t="str">
        <f>Plan!E56</f>
        <v>221110 RAD CLEAN @ PC</v>
      </c>
      <c r="C72" s="676" t="str">
        <f>Plan!F56</f>
        <v>221142 RAD CLEAN @ PC</v>
      </c>
      <c r="D72" s="677"/>
      <c r="E72" s="676">
        <f>Plan!G56</f>
        <v>0</v>
      </c>
      <c r="F72" s="678"/>
      <c r="G72" s="677"/>
      <c r="H72" s="676">
        <f>Plan!H56</f>
        <v>0</v>
      </c>
      <c r="I72" s="678"/>
      <c r="J72" s="678"/>
      <c r="K72" s="677"/>
      <c r="L72" s="676">
        <f>Plan!I56</f>
        <v>0</v>
      </c>
      <c r="M72" s="678"/>
      <c r="N72" s="678"/>
      <c r="O72" s="678"/>
      <c r="P72" s="677"/>
    </row>
    <row r="73" spans="1:16" ht="12.75" customHeight="1">
      <c r="A73" s="592"/>
      <c r="B73" s="591" t="s">
        <v>4</v>
      </c>
      <c r="C73" s="590" t="s">
        <v>4</v>
      </c>
      <c r="D73" s="589" t="s">
        <v>5</v>
      </c>
      <c r="E73" s="588" t="s">
        <v>4</v>
      </c>
      <c r="F73" s="587" t="s">
        <v>6</v>
      </c>
      <c r="G73" s="586" t="s">
        <v>7</v>
      </c>
      <c r="H73" s="590" t="s">
        <v>4</v>
      </c>
      <c r="I73" s="587" t="s">
        <v>8</v>
      </c>
      <c r="J73" s="587" t="s">
        <v>9</v>
      </c>
      <c r="K73" s="589" t="s">
        <v>5</v>
      </c>
      <c r="L73" s="588" t="s">
        <v>4</v>
      </c>
      <c r="M73" s="587" t="s">
        <v>10</v>
      </c>
      <c r="N73" s="587" t="s">
        <v>9</v>
      </c>
      <c r="O73" s="587" t="s">
        <v>11</v>
      </c>
      <c r="P73" s="586" t="s">
        <v>5</v>
      </c>
    </row>
    <row r="74" spans="1:16">
      <c r="A74" s="674" t="s">
        <v>18</v>
      </c>
      <c r="B74" s="585"/>
      <c r="C74" s="584"/>
      <c r="D74" s="583"/>
      <c r="E74" s="582"/>
      <c r="F74" s="581"/>
      <c r="G74" s="580"/>
      <c r="H74" s="584"/>
      <c r="I74" s="581"/>
      <c r="J74" s="581"/>
      <c r="K74" s="583"/>
      <c r="L74" s="582"/>
      <c r="M74" s="581"/>
      <c r="N74" s="581"/>
      <c r="O74" s="581"/>
      <c r="P74" s="580"/>
    </row>
    <row r="75" spans="1:16" ht="13.5" thickBot="1">
      <c r="A75" s="675"/>
      <c r="B75" s="579">
        <v>0</v>
      </c>
      <c r="C75" s="578"/>
      <c r="D75" s="577">
        <v>0</v>
      </c>
      <c r="E75" s="576"/>
      <c r="F75" s="575"/>
      <c r="G75" s="574">
        <v>0</v>
      </c>
      <c r="H75" s="578"/>
      <c r="I75" s="575"/>
      <c r="J75" s="575"/>
      <c r="K75" s="577"/>
      <c r="L75" s="576"/>
      <c r="M75" s="575"/>
      <c r="N75" s="575"/>
      <c r="O75" s="575"/>
      <c r="P75" s="574"/>
    </row>
    <row r="64976" spans="1:5">
      <c r="A64976" s="572">
        <v>220001</v>
      </c>
      <c r="B64976" s="572"/>
      <c r="C64976" s="572"/>
      <c r="D64976" s="572"/>
      <c r="E64976" s="572"/>
    </row>
    <row r="64977" spans="1:5">
      <c r="A64977" s="572">
        <v>220002</v>
      </c>
      <c r="B64977" s="572"/>
      <c r="C64977" s="572"/>
      <c r="D64977" s="572"/>
      <c r="E64977" s="572"/>
    </row>
    <row r="64978" spans="1:5">
      <c r="A64978" s="572">
        <v>220003</v>
      </c>
      <c r="B64978" s="572"/>
      <c r="C64978" s="572"/>
      <c r="D64978" s="572"/>
      <c r="E64978" s="572"/>
    </row>
    <row r="64979" spans="1:5">
      <c r="A64979" s="572">
        <v>220004</v>
      </c>
      <c r="B64979" s="572"/>
      <c r="C64979" s="572"/>
      <c r="D64979" s="572"/>
      <c r="E64979" s="572"/>
    </row>
    <row r="64980" spans="1:5">
      <c r="A64980" s="572">
        <v>220005</v>
      </c>
      <c r="B64980" s="572"/>
      <c r="C64980" s="572"/>
      <c r="D64980" s="572"/>
      <c r="E64980" s="572"/>
    </row>
    <row r="64981" spans="1:5">
      <c r="A64981" s="572">
        <v>220006</v>
      </c>
      <c r="B64981" s="572"/>
      <c r="C64981" s="572"/>
      <c r="D64981" s="572"/>
      <c r="E64981" s="572"/>
    </row>
    <row r="64982" spans="1:5">
      <c r="A64982" s="572">
        <v>220007</v>
      </c>
      <c r="B64982" s="572"/>
      <c r="C64982" s="572"/>
      <c r="D64982" s="572"/>
      <c r="E64982" s="572"/>
    </row>
    <row r="64983" spans="1:5">
      <c r="A64983" s="572">
        <v>220008</v>
      </c>
      <c r="B64983" s="572"/>
      <c r="C64983" s="572"/>
      <c r="D64983" s="572"/>
      <c r="E64983" s="572"/>
    </row>
    <row r="64984" spans="1:5">
      <c r="A64984" s="572">
        <v>220009</v>
      </c>
      <c r="B64984" s="572"/>
      <c r="C64984" s="572"/>
      <c r="D64984" s="572"/>
      <c r="E64984" s="572"/>
    </row>
    <row r="64985" spans="1:5">
      <c r="A64985" s="572">
        <v>220010</v>
      </c>
      <c r="B64985" s="572"/>
      <c r="C64985" s="572"/>
      <c r="D64985" s="572"/>
      <c r="E64985" s="572"/>
    </row>
    <row r="64986" spans="1:5">
      <c r="A64986" s="572">
        <v>220011</v>
      </c>
      <c r="B64986" s="572"/>
      <c r="C64986" s="572"/>
      <c r="D64986" s="572"/>
      <c r="E64986" s="572"/>
    </row>
    <row r="64987" spans="1:5">
      <c r="A64987" s="572">
        <v>220012</v>
      </c>
      <c r="B64987" s="572"/>
      <c r="C64987" s="572"/>
      <c r="D64987" s="572"/>
      <c r="E64987" s="572"/>
    </row>
    <row r="64988" spans="1:5">
      <c r="A64988" s="572">
        <v>220013</v>
      </c>
      <c r="B64988" s="572"/>
      <c r="C64988" s="572"/>
      <c r="D64988" s="572"/>
      <c r="E64988" s="572"/>
    </row>
    <row r="64989" spans="1:5">
      <c r="A64989" s="572">
        <v>220014</v>
      </c>
      <c r="B64989" s="572"/>
      <c r="C64989" s="572"/>
      <c r="D64989" s="572"/>
      <c r="E64989" s="572"/>
    </row>
    <row r="64990" spans="1:5">
      <c r="A64990" s="572">
        <v>220015</v>
      </c>
      <c r="B64990" s="572"/>
      <c r="C64990" s="572"/>
      <c r="D64990" s="572"/>
      <c r="E64990" s="572"/>
    </row>
    <row r="64991" spans="1:5">
      <c r="A64991" s="572">
        <v>220016</v>
      </c>
      <c r="B64991" s="572"/>
      <c r="C64991" s="572"/>
      <c r="D64991" s="572"/>
      <c r="E64991" s="572"/>
    </row>
    <row r="64992" spans="1:5">
      <c r="A64992" s="572">
        <v>220017</v>
      </c>
      <c r="B64992" s="572"/>
      <c r="C64992" s="572"/>
      <c r="D64992" s="572"/>
      <c r="E64992" s="572"/>
    </row>
    <row r="64993" spans="1:6">
      <c r="A64993" s="572">
        <v>220018</v>
      </c>
      <c r="B64993" s="572"/>
      <c r="C64993" s="572"/>
      <c r="D64993" s="572"/>
      <c r="E64993" s="572"/>
    </row>
    <row r="64994" spans="1:6">
      <c r="A64994" s="572">
        <v>220019</v>
      </c>
      <c r="B64994" s="572"/>
      <c r="C64994" s="572"/>
      <c r="D64994" s="572"/>
      <c r="E64994" s="572"/>
    </row>
    <row r="64995" spans="1:6">
      <c r="A64995" s="572">
        <v>220020</v>
      </c>
      <c r="B64995" s="572"/>
      <c r="C64995" s="572"/>
      <c r="D64995" s="572"/>
      <c r="E64995" s="572"/>
    </row>
    <row r="64996" spans="1:6">
      <c r="A64996" s="572">
        <v>220021</v>
      </c>
      <c r="B64996" s="572"/>
      <c r="C64996" s="572"/>
      <c r="D64996" s="572"/>
      <c r="E64996" s="572"/>
    </row>
    <row r="64997" spans="1:6">
      <c r="A64997" s="572">
        <v>220022</v>
      </c>
      <c r="B64997" s="572"/>
      <c r="C64997" s="572"/>
      <c r="D64997" s="572"/>
      <c r="E64997" s="572"/>
    </row>
    <row r="64998" spans="1:6">
      <c r="A64998" s="572">
        <v>220023</v>
      </c>
      <c r="B64998" s="572"/>
      <c r="C64998" s="572"/>
      <c r="D64998" s="572"/>
      <c r="E64998" s="572"/>
    </row>
    <row r="64999" spans="1:6">
      <c r="A64999" s="572">
        <v>220024</v>
      </c>
      <c r="B64999" s="572"/>
      <c r="C64999" s="572"/>
      <c r="D64999" s="572"/>
      <c r="E64999" s="572"/>
    </row>
    <row r="65000" spans="1:6">
      <c r="A65000" s="572">
        <v>220025</v>
      </c>
      <c r="B65000" s="572"/>
      <c r="C65000" s="572"/>
      <c r="D65000" s="572"/>
      <c r="E65000" s="572"/>
    </row>
    <row r="65001" spans="1:6">
      <c r="A65001" s="572">
        <v>220026</v>
      </c>
      <c r="B65001" s="572"/>
      <c r="C65001" s="572"/>
      <c r="D65001" s="572"/>
      <c r="E65001" s="572"/>
    </row>
    <row r="65002" spans="1:6">
      <c r="A65002" s="572">
        <v>220027</v>
      </c>
      <c r="B65002" s="572"/>
      <c r="C65002" s="572"/>
      <c r="D65002" s="572"/>
      <c r="E65002" s="572"/>
    </row>
    <row r="65003" spans="1:6">
      <c r="A65003" s="572">
        <v>220028</v>
      </c>
      <c r="B65003" s="572"/>
      <c r="C65003" s="572"/>
      <c r="D65003" s="572"/>
      <c r="E65003" s="572"/>
    </row>
    <row r="65004" spans="1:6">
      <c r="A65004" s="572">
        <v>220029</v>
      </c>
      <c r="B65004" s="572"/>
      <c r="C65004" s="572"/>
      <c r="D65004" s="572"/>
      <c r="E65004" s="572"/>
    </row>
    <row r="65005" spans="1:6">
      <c r="A65005" s="572">
        <v>220030</v>
      </c>
      <c r="B65005" s="572"/>
      <c r="C65005" s="572"/>
      <c r="D65005" s="572"/>
      <c r="E65005" s="572"/>
    </row>
    <row r="65006" spans="1:6">
      <c r="A65006" s="572">
        <v>220031</v>
      </c>
      <c r="B65006" s="572"/>
      <c r="C65006" s="572"/>
      <c r="D65006" s="572"/>
      <c r="E65006" s="572"/>
    </row>
    <row r="65007" spans="1:6">
      <c r="A65007" s="572">
        <v>220032</v>
      </c>
      <c r="B65007" s="572"/>
      <c r="C65007" s="572"/>
      <c r="D65007" s="572"/>
      <c r="E65007" s="572"/>
      <c r="F65007" s="573"/>
    </row>
    <row r="65008" spans="1:6">
      <c r="A65008" s="572">
        <v>220033</v>
      </c>
      <c r="B65008" s="572"/>
      <c r="C65008" s="572"/>
      <c r="D65008" s="572"/>
      <c r="E65008" s="572"/>
      <c r="F65008" s="573"/>
    </row>
    <row r="65009" spans="1:11">
      <c r="A65009" s="572">
        <v>220034</v>
      </c>
      <c r="B65009" s="572"/>
      <c r="C65009" s="572"/>
      <c r="D65009" s="572"/>
      <c r="E65009" s="572"/>
      <c r="F65009" s="573"/>
    </row>
    <row r="65010" spans="1:11" ht="12.75" customHeight="1">
      <c r="A65010" s="572">
        <v>221101</v>
      </c>
      <c r="B65010" s="573" t="s">
        <v>14</v>
      </c>
      <c r="C65010" s="573"/>
      <c r="D65010" s="573"/>
      <c r="E65010" s="573"/>
      <c r="F65010" s="573"/>
      <c r="I65010" s="673">
        <v>221101</v>
      </c>
      <c r="J65010" s="673"/>
      <c r="K65010" s="673"/>
    </row>
    <row r="65011" spans="1:11">
      <c r="A65011" s="572">
        <v>221102</v>
      </c>
      <c r="B65011" s="572" t="s">
        <v>14</v>
      </c>
      <c r="C65011" s="572"/>
      <c r="D65011" s="572"/>
      <c r="E65011" s="572"/>
      <c r="F65011" s="573"/>
      <c r="I65011" s="673">
        <v>221102</v>
      </c>
      <c r="J65011" s="673"/>
      <c r="K65011" s="673"/>
    </row>
    <row r="65012" spans="1:11">
      <c r="A65012" s="572">
        <v>221103</v>
      </c>
      <c r="B65012" s="572"/>
      <c r="C65012" s="572"/>
      <c r="D65012" s="572"/>
      <c r="E65012" s="572"/>
      <c r="F65012" s="573"/>
      <c r="I65012" s="673">
        <v>0</v>
      </c>
      <c r="J65012" s="673"/>
      <c r="K65012" s="673"/>
    </row>
    <row r="65013" spans="1:11">
      <c r="A65013" s="572">
        <v>221104</v>
      </c>
      <c r="B65013" s="572"/>
      <c r="C65013" s="572"/>
      <c r="D65013" s="572"/>
      <c r="E65013" s="572"/>
      <c r="F65013" s="573"/>
      <c r="I65013" s="673">
        <v>0</v>
      </c>
      <c r="J65013" s="673"/>
      <c r="K65013" s="673"/>
    </row>
    <row r="65014" spans="1:11">
      <c r="A65014" s="572">
        <v>221105</v>
      </c>
      <c r="B65014" s="572" t="s">
        <v>14</v>
      </c>
      <c r="C65014" s="572"/>
      <c r="D65014" s="572"/>
      <c r="E65014" s="572"/>
      <c r="F65014" s="573"/>
      <c r="I65014" s="673">
        <v>221105</v>
      </c>
      <c r="J65014" s="673"/>
      <c r="K65014" s="673"/>
    </row>
    <row r="65015" spans="1:11">
      <c r="A65015" s="572">
        <v>221106</v>
      </c>
      <c r="B65015" s="572"/>
      <c r="C65015" s="572"/>
      <c r="D65015" s="572"/>
      <c r="E65015" s="572"/>
      <c r="F65015" s="573"/>
      <c r="I65015" s="673">
        <v>0</v>
      </c>
      <c r="J65015" s="673"/>
      <c r="K65015" s="673"/>
    </row>
    <row r="65016" spans="1:11">
      <c r="A65016" s="572">
        <v>221107</v>
      </c>
      <c r="B65016" s="572" t="s">
        <v>14</v>
      </c>
      <c r="C65016" s="572"/>
      <c r="D65016" s="572"/>
      <c r="E65016" s="572"/>
      <c r="F65016" s="573"/>
      <c r="I65016" s="673">
        <v>221107</v>
      </c>
      <c r="J65016" s="673"/>
      <c r="K65016" s="673"/>
    </row>
    <row r="65017" spans="1:11">
      <c r="A65017" s="572">
        <v>221108</v>
      </c>
      <c r="B65017" s="572"/>
      <c r="C65017" s="572"/>
      <c r="D65017" s="572"/>
      <c r="E65017" s="572"/>
      <c r="F65017" s="573"/>
      <c r="I65017" s="673">
        <v>0</v>
      </c>
      <c r="J65017" s="673"/>
      <c r="K65017" s="673"/>
    </row>
    <row r="65018" spans="1:11">
      <c r="A65018" s="572">
        <v>221109</v>
      </c>
      <c r="B65018" s="572"/>
      <c r="C65018" s="572"/>
      <c r="D65018" s="572"/>
      <c r="E65018" s="572"/>
      <c r="F65018" s="573"/>
      <c r="I65018" s="673">
        <v>0</v>
      </c>
      <c r="J65018" s="673"/>
      <c r="K65018" s="673"/>
    </row>
    <row r="65019" spans="1:11">
      <c r="A65019" s="572">
        <v>221110</v>
      </c>
      <c r="B65019" s="572"/>
      <c r="C65019" s="572"/>
      <c r="D65019" s="572"/>
      <c r="E65019" s="572"/>
      <c r="F65019" s="573"/>
      <c r="I65019" s="673">
        <v>0</v>
      </c>
      <c r="J65019" s="673"/>
      <c r="K65019" s="673"/>
    </row>
    <row r="65020" spans="1:11">
      <c r="A65020" s="572">
        <v>221111</v>
      </c>
      <c r="B65020" s="572" t="s">
        <v>14</v>
      </c>
      <c r="C65020" s="572"/>
      <c r="D65020" s="572"/>
      <c r="E65020" s="572"/>
      <c r="F65020" s="573"/>
      <c r="I65020" s="673">
        <v>221111</v>
      </c>
      <c r="J65020" s="673"/>
      <c r="K65020" s="673"/>
    </row>
    <row r="65021" spans="1:11">
      <c r="A65021" s="572">
        <v>221112</v>
      </c>
      <c r="B65021" s="572"/>
      <c r="C65021" s="572"/>
      <c r="D65021" s="572"/>
      <c r="E65021" s="572"/>
      <c r="F65021" s="573"/>
      <c r="I65021" s="673">
        <v>0</v>
      </c>
      <c r="J65021" s="673"/>
      <c r="K65021" s="673"/>
    </row>
    <row r="65022" spans="1:11">
      <c r="A65022" s="572">
        <v>221113</v>
      </c>
      <c r="B65022" s="572" t="s">
        <v>14</v>
      </c>
      <c r="C65022" s="572"/>
      <c r="D65022" s="572"/>
      <c r="E65022" s="572"/>
      <c r="F65022" s="573"/>
      <c r="I65022" s="673">
        <v>0</v>
      </c>
      <c r="J65022" s="673"/>
      <c r="K65022" s="673"/>
    </row>
    <row r="65023" spans="1:11">
      <c r="A65023" s="572">
        <v>221114</v>
      </c>
      <c r="B65023" s="572" t="s">
        <v>14</v>
      </c>
      <c r="C65023" s="572"/>
      <c r="D65023" s="572"/>
      <c r="E65023" s="572"/>
      <c r="F65023" s="573"/>
      <c r="I65023" s="673">
        <v>221114</v>
      </c>
      <c r="J65023" s="673"/>
      <c r="K65023" s="673"/>
    </row>
    <row r="65024" spans="1:11">
      <c r="A65024" s="572">
        <v>221115</v>
      </c>
      <c r="B65024" s="572" t="s">
        <v>14</v>
      </c>
      <c r="C65024" s="572"/>
      <c r="D65024" s="572"/>
      <c r="E65024" s="572"/>
      <c r="F65024" s="573"/>
      <c r="I65024" s="673">
        <v>221115</v>
      </c>
      <c r="J65024" s="673"/>
      <c r="K65024" s="673"/>
    </row>
    <row r="65025" spans="1:11">
      <c r="A65025" s="572">
        <v>221116</v>
      </c>
      <c r="B65025" s="572"/>
      <c r="C65025" s="572"/>
      <c r="D65025" s="572"/>
      <c r="E65025" s="572"/>
      <c r="F65025" s="573"/>
      <c r="I65025" s="673">
        <v>0</v>
      </c>
      <c r="J65025" s="673"/>
      <c r="K65025" s="673"/>
    </row>
    <row r="65026" spans="1:11">
      <c r="A65026" s="572">
        <v>221117</v>
      </c>
      <c r="B65026" s="572"/>
      <c r="C65026" s="572"/>
      <c r="D65026" s="572"/>
      <c r="E65026" s="572"/>
      <c r="F65026" s="573"/>
      <c r="I65026" s="673">
        <v>0</v>
      </c>
      <c r="J65026" s="673"/>
      <c r="K65026" s="673"/>
    </row>
    <row r="65027" spans="1:11">
      <c r="A65027" s="572">
        <v>221118</v>
      </c>
      <c r="B65027" s="572"/>
      <c r="C65027" s="572"/>
      <c r="D65027" s="572"/>
      <c r="E65027" s="572"/>
      <c r="F65027" s="573"/>
      <c r="I65027" s="673">
        <v>0</v>
      </c>
      <c r="J65027" s="673"/>
      <c r="K65027" s="673"/>
    </row>
    <row r="65028" spans="1:11">
      <c r="A65028" s="572">
        <v>221119</v>
      </c>
      <c r="B65028" s="572" t="s">
        <v>14</v>
      </c>
      <c r="C65028" s="572"/>
      <c r="D65028" s="572"/>
      <c r="E65028" s="572"/>
      <c r="F65028" s="573"/>
      <c r="I65028" s="673">
        <v>221119</v>
      </c>
      <c r="J65028" s="673"/>
      <c r="K65028" s="673"/>
    </row>
    <row r="65029" spans="1:11">
      <c r="A65029" s="572">
        <v>221120</v>
      </c>
      <c r="B65029" s="572" t="s">
        <v>14</v>
      </c>
      <c r="C65029" s="572"/>
      <c r="D65029" s="572"/>
      <c r="E65029" s="572"/>
      <c r="F65029" s="573"/>
      <c r="I65029" s="673">
        <v>221120</v>
      </c>
      <c r="J65029" s="673"/>
      <c r="K65029" s="673"/>
    </row>
    <row r="65030" spans="1:11">
      <c r="A65030" s="572">
        <v>221121</v>
      </c>
      <c r="B65030" s="572" t="s">
        <v>14</v>
      </c>
      <c r="C65030" s="572"/>
      <c r="D65030" s="572"/>
      <c r="E65030" s="572"/>
      <c r="F65030" s="573"/>
      <c r="I65030" s="673">
        <v>221121</v>
      </c>
      <c r="J65030" s="673"/>
      <c r="K65030" s="673"/>
    </row>
    <row r="65031" spans="1:11">
      <c r="A65031" s="572">
        <v>221122</v>
      </c>
      <c r="B65031" s="572"/>
      <c r="C65031" s="572"/>
      <c r="D65031" s="572"/>
      <c r="E65031" s="572"/>
      <c r="F65031" s="573"/>
      <c r="I65031" s="673">
        <v>0</v>
      </c>
      <c r="J65031" s="673"/>
      <c r="K65031" s="673"/>
    </row>
    <row r="65032" spans="1:11">
      <c r="A65032" s="572">
        <v>221123</v>
      </c>
      <c r="B65032" s="572"/>
      <c r="C65032" s="572"/>
      <c r="D65032" s="572"/>
      <c r="E65032" s="572"/>
      <c r="F65032" s="573"/>
      <c r="I65032" s="673">
        <v>0</v>
      </c>
      <c r="J65032" s="673"/>
      <c r="K65032" s="673"/>
    </row>
    <row r="65033" spans="1:11">
      <c r="A65033" s="572">
        <v>221124</v>
      </c>
      <c r="B65033" s="572" t="s">
        <v>14</v>
      </c>
      <c r="C65033" s="572"/>
      <c r="D65033" s="572"/>
      <c r="E65033" s="572"/>
      <c r="F65033" s="573"/>
      <c r="I65033" s="673">
        <v>221124</v>
      </c>
      <c r="J65033" s="673"/>
      <c r="K65033" s="673"/>
    </row>
    <row r="65034" spans="1:11">
      <c r="A65034" s="572">
        <v>221125</v>
      </c>
      <c r="B65034" s="572" t="s">
        <v>14</v>
      </c>
      <c r="C65034" s="572"/>
      <c r="D65034" s="572"/>
      <c r="E65034" s="572"/>
      <c r="F65034" s="573"/>
      <c r="I65034" s="673">
        <v>221125</v>
      </c>
      <c r="J65034" s="673"/>
      <c r="K65034" s="673"/>
    </row>
    <row r="65035" spans="1:11">
      <c r="A65035" s="572">
        <v>221126</v>
      </c>
      <c r="B65035" s="572"/>
      <c r="C65035" s="572"/>
      <c r="D65035" s="572"/>
      <c r="E65035" s="572"/>
      <c r="F65035" s="573"/>
      <c r="I65035" s="673">
        <v>0</v>
      </c>
      <c r="J65035" s="673"/>
      <c r="K65035" s="673"/>
    </row>
    <row r="65036" spans="1:11">
      <c r="A65036" s="572">
        <v>221127</v>
      </c>
      <c r="B65036" s="572"/>
      <c r="C65036" s="572"/>
      <c r="D65036" s="572"/>
      <c r="E65036" s="572"/>
      <c r="F65036" s="573"/>
      <c r="I65036" s="673">
        <v>0</v>
      </c>
      <c r="J65036" s="673"/>
      <c r="K65036" s="673"/>
    </row>
    <row r="65037" spans="1:11">
      <c r="A65037" s="572">
        <v>221128</v>
      </c>
      <c r="B65037" s="572"/>
      <c r="C65037" s="572"/>
      <c r="D65037" s="572"/>
      <c r="E65037" s="572"/>
      <c r="F65037" s="573"/>
      <c r="I65037" s="673">
        <v>0</v>
      </c>
      <c r="J65037" s="673"/>
      <c r="K65037" s="673"/>
    </row>
    <row r="65038" spans="1:11">
      <c r="A65038" s="572">
        <v>221129</v>
      </c>
      <c r="B65038" s="572"/>
      <c r="C65038" s="572"/>
      <c r="D65038" s="572"/>
      <c r="E65038" s="572"/>
      <c r="F65038" s="573"/>
      <c r="I65038" s="673">
        <v>0</v>
      </c>
      <c r="J65038" s="673"/>
      <c r="K65038" s="673"/>
    </row>
    <row r="65039" spans="1:11">
      <c r="A65039" s="572">
        <v>221130</v>
      </c>
      <c r="B65039" s="572" t="s">
        <v>14</v>
      </c>
      <c r="C65039" s="572"/>
      <c r="D65039" s="572"/>
      <c r="E65039" s="572"/>
      <c r="F65039" s="573"/>
      <c r="I65039" s="673">
        <v>221130</v>
      </c>
      <c r="J65039" s="673"/>
      <c r="K65039" s="673"/>
    </row>
    <row r="65040" spans="1:11">
      <c r="A65040" s="572">
        <v>221131</v>
      </c>
      <c r="B65040" s="572" t="s">
        <v>14</v>
      </c>
      <c r="C65040" s="572"/>
      <c r="D65040" s="572"/>
      <c r="E65040" s="572"/>
      <c r="F65040" s="573"/>
      <c r="I65040" s="673">
        <v>0</v>
      </c>
      <c r="J65040" s="673"/>
      <c r="K65040" s="673"/>
    </row>
    <row r="65041" spans="1:11">
      <c r="A65041" s="572">
        <v>221132</v>
      </c>
      <c r="B65041" s="572" t="s">
        <v>14</v>
      </c>
      <c r="C65041" s="572"/>
      <c r="D65041" s="572"/>
      <c r="E65041" s="572"/>
      <c r="F65041" s="573"/>
      <c r="I65041" s="673">
        <v>221132</v>
      </c>
      <c r="J65041" s="673"/>
      <c r="K65041" s="673"/>
    </row>
    <row r="65042" spans="1:11">
      <c r="A65042" s="572">
        <v>221133</v>
      </c>
      <c r="B65042" s="572"/>
      <c r="C65042" s="572"/>
      <c r="D65042" s="572"/>
      <c r="E65042" s="572"/>
      <c r="F65042" s="573"/>
      <c r="I65042" s="673">
        <v>0</v>
      </c>
      <c r="J65042" s="673"/>
      <c r="K65042" s="673"/>
    </row>
    <row r="65043" spans="1:11">
      <c r="A65043" s="572">
        <v>221134</v>
      </c>
      <c r="B65043" s="572"/>
      <c r="C65043" s="572"/>
      <c r="D65043" s="572"/>
      <c r="E65043" s="572"/>
      <c r="F65043" s="573"/>
      <c r="I65043" s="673">
        <v>0</v>
      </c>
      <c r="J65043" s="673"/>
      <c r="K65043" s="673"/>
    </row>
    <row r="65044" spans="1:11">
      <c r="A65044" s="572">
        <v>221135</v>
      </c>
      <c r="B65044" s="572"/>
      <c r="C65044" s="572"/>
      <c r="D65044" s="572"/>
      <c r="E65044" s="572"/>
      <c r="F65044" s="573"/>
      <c r="I65044" s="673">
        <v>0</v>
      </c>
      <c r="J65044" s="673"/>
      <c r="K65044" s="673"/>
    </row>
    <row r="65045" spans="1:11">
      <c r="A65045" s="572">
        <v>221136</v>
      </c>
      <c r="B65045" s="572"/>
      <c r="C65045" s="572"/>
      <c r="D65045" s="572"/>
      <c r="E65045" s="572"/>
      <c r="F65045" s="573"/>
      <c r="I65045" s="673">
        <v>0</v>
      </c>
      <c r="J65045" s="673"/>
      <c r="K65045" s="673"/>
    </row>
    <row r="65046" spans="1:11">
      <c r="A65046" s="572">
        <v>221137</v>
      </c>
      <c r="B65046" s="572"/>
      <c r="C65046" s="572"/>
      <c r="D65046" s="572"/>
      <c r="E65046" s="572"/>
      <c r="F65046" s="573"/>
      <c r="I65046" s="673">
        <v>0</v>
      </c>
      <c r="J65046" s="673"/>
      <c r="K65046" s="673"/>
    </row>
    <row r="65047" spans="1:11">
      <c r="A65047" s="572">
        <v>221138</v>
      </c>
      <c r="B65047" s="572"/>
      <c r="C65047" s="572"/>
      <c r="D65047" s="572"/>
      <c r="E65047" s="572"/>
      <c r="F65047" s="573"/>
      <c r="I65047" s="673">
        <v>0</v>
      </c>
      <c r="J65047" s="673"/>
      <c r="K65047" s="673"/>
    </row>
    <row r="65048" spans="1:11">
      <c r="A65048" s="572">
        <v>221139</v>
      </c>
      <c r="B65048" s="572" t="s">
        <v>14</v>
      </c>
      <c r="C65048" s="572"/>
      <c r="D65048" s="572"/>
      <c r="E65048" s="572"/>
      <c r="F65048" s="573"/>
      <c r="I65048" s="673">
        <v>0</v>
      </c>
      <c r="J65048" s="673"/>
      <c r="K65048" s="673"/>
    </row>
    <row r="65049" spans="1:11">
      <c r="A65049" s="572">
        <v>221140</v>
      </c>
      <c r="B65049" s="572"/>
      <c r="C65049" s="572"/>
      <c r="D65049" s="572"/>
      <c r="E65049" s="572"/>
      <c r="F65049" s="573"/>
      <c r="I65049" s="673">
        <v>0</v>
      </c>
      <c r="J65049" s="673"/>
      <c r="K65049" s="673"/>
    </row>
    <row r="65050" spans="1:11">
      <c r="A65050" s="572">
        <v>221141</v>
      </c>
      <c r="B65050" s="572" t="s">
        <v>14</v>
      </c>
      <c r="C65050" s="572"/>
      <c r="D65050" s="572"/>
      <c r="E65050" s="572"/>
      <c r="F65050" s="573"/>
      <c r="I65050" s="673">
        <v>221141</v>
      </c>
      <c r="J65050" s="673"/>
      <c r="K65050" s="673"/>
    </row>
    <row r="65051" spans="1:11">
      <c r="A65051" s="572">
        <v>221142</v>
      </c>
      <c r="B65051" s="572"/>
      <c r="C65051" s="572"/>
      <c r="D65051" s="572"/>
      <c r="E65051" s="572"/>
      <c r="F65051" s="573"/>
      <c r="I65051" s="673">
        <v>0</v>
      </c>
      <c r="J65051" s="673"/>
      <c r="K65051" s="673"/>
    </row>
    <row r="65052" spans="1:11">
      <c r="A65052" s="572">
        <v>221143</v>
      </c>
      <c r="B65052" s="572" t="s">
        <v>14</v>
      </c>
      <c r="C65052" s="572"/>
      <c r="D65052" s="572"/>
      <c r="E65052" s="572"/>
      <c r="F65052" s="573"/>
      <c r="I65052" s="673">
        <v>221143</v>
      </c>
      <c r="J65052" s="673"/>
      <c r="K65052" s="673"/>
    </row>
    <row r="65053" spans="1:11">
      <c r="A65053" s="572">
        <v>221144</v>
      </c>
      <c r="B65053" s="572" t="s">
        <v>14</v>
      </c>
      <c r="C65053" s="572"/>
      <c r="D65053" s="572"/>
      <c r="E65053" s="572"/>
      <c r="F65053" s="573"/>
      <c r="I65053" s="673">
        <v>221144</v>
      </c>
      <c r="J65053" s="673"/>
      <c r="K65053" s="673"/>
    </row>
    <row r="65422" ht="38.25" customHeight="1"/>
    <row r="65510" ht="12.75" customHeight="1"/>
  </sheetData>
  <mergeCells count="211">
    <mergeCell ref="C4:D4"/>
    <mergeCell ref="E4:G4"/>
    <mergeCell ref="H4:K4"/>
    <mergeCell ref="L4:P4"/>
    <mergeCell ref="C5:D5"/>
    <mergeCell ref="E5:G5"/>
    <mergeCell ref="H5:K5"/>
    <mergeCell ref="L5:P5"/>
    <mergeCell ref="C1:D1"/>
    <mergeCell ref="E1:G1"/>
    <mergeCell ref="H1:K1"/>
    <mergeCell ref="L1:P1"/>
    <mergeCell ref="C2:G2"/>
    <mergeCell ref="C3:D3"/>
    <mergeCell ref="E3:G3"/>
    <mergeCell ref="H3:K3"/>
    <mergeCell ref="L3:P3"/>
    <mergeCell ref="A7:A8"/>
    <mergeCell ref="C9:D9"/>
    <mergeCell ref="E9:G9"/>
    <mergeCell ref="H9:K9"/>
    <mergeCell ref="L9:P9"/>
    <mergeCell ref="C10:D10"/>
    <mergeCell ref="E10:G10"/>
    <mergeCell ref="H10:K10"/>
    <mergeCell ref="L10:P10"/>
    <mergeCell ref="C13:D13"/>
    <mergeCell ref="E13:G13"/>
    <mergeCell ref="H13:K13"/>
    <mergeCell ref="L13:P13"/>
    <mergeCell ref="C14:D14"/>
    <mergeCell ref="E14:G14"/>
    <mergeCell ref="H14:K14"/>
    <mergeCell ref="L14:P14"/>
    <mergeCell ref="C11:D11"/>
    <mergeCell ref="E11:G11"/>
    <mergeCell ref="H11:K11"/>
    <mergeCell ref="L11:P11"/>
    <mergeCell ref="C12:D12"/>
    <mergeCell ref="E12:G12"/>
    <mergeCell ref="H12:K12"/>
    <mergeCell ref="L12:P12"/>
    <mergeCell ref="A16:A17"/>
    <mergeCell ref="C18:D18"/>
    <mergeCell ref="E18:G18"/>
    <mergeCell ref="H18:K18"/>
    <mergeCell ref="L18:P18"/>
    <mergeCell ref="C19:D19"/>
    <mergeCell ref="E19:G19"/>
    <mergeCell ref="H19:K19"/>
    <mergeCell ref="L19:P19"/>
    <mergeCell ref="C22:D22"/>
    <mergeCell ref="E22:G22"/>
    <mergeCell ref="H22:K22"/>
    <mergeCell ref="L22:P22"/>
    <mergeCell ref="C23:D23"/>
    <mergeCell ref="E23:G23"/>
    <mergeCell ref="H23:K23"/>
    <mergeCell ref="L23:P23"/>
    <mergeCell ref="C20:D20"/>
    <mergeCell ref="E20:G20"/>
    <mergeCell ref="H20:K20"/>
    <mergeCell ref="L20:P20"/>
    <mergeCell ref="C21:D21"/>
    <mergeCell ref="E21:G21"/>
    <mergeCell ref="H21:K21"/>
    <mergeCell ref="L21:P21"/>
    <mergeCell ref="A25:A26"/>
    <mergeCell ref="C27:D27"/>
    <mergeCell ref="E27:G27"/>
    <mergeCell ref="H27:K27"/>
    <mergeCell ref="L27:P27"/>
    <mergeCell ref="C28:D28"/>
    <mergeCell ref="E28:G28"/>
    <mergeCell ref="H28:K28"/>
    <mergeCell ref="L28:P28"/>
    <mergeCell ref="C32:D32"/>
    <mergeCell ref="E32:G32"/>
    <mergeCell ref="H32:K32"/>
    <mergeCell ref="L32:P32"/>
    <mergeCell ref="C33:D33"/>
    <mergeCell ref="E33:G33"/>
    <mergeCell ref="H33:K33"/>
    <mergeCell ref="L33:P33"/>
    <mergeCell ref="C29:D29"/>
    <mergeCell ref="E29:G29"/>
    <mergeCell ref="H29:K29"/>
    <mergeCell ref="L29:P29"/>
    <mergeCell ref="C30:G30"/>
    <mergeCell ref="C31:D31"/>
    <mergeCell ref="E31:G31"/>
    <mergeCell ref="H31:K31"/>
    <mergeCell ref="L31:P31"/>
    <mergeCell ref="A35:A36"/>
    <mergeCell ref="C37:D37"/>
    <mergeCell ref="E37:G37"/>
    <mergeCell ref="H37:K37"/>
    <mergeCell ref="L37:P37"/>
    <mergeCell ref="C38:D38"/>
    <mergeCell ref="E38:G38"/>
    <mergeCell ref="H38:K38"/>
    <mergeCell ref="L38:P38"/>
    <mergeCell ref="C42:D42"/>
    <mergeCell ref="E42:G42"/>
    <mergeCell ref="H42:K42"/>
    <mergeCell ref="L42:P42"/>
    <mergeCell ref="C43:D43"/>
    <mergeCell ref="E43:G43"/>
    <mergeCell ref="H43:K43"/>
    <mergeCell ref="L43:P43"/>
    <mergeCell ref="C39:D39"/>
    <mergeCell ref="E39:G39"/>
    <mergeCell ref="H39:K39"/>
    <mergeCell ref="L39:P39"/>
    <mergeCell ref="C40:G40"/>
    <mergeCell ref="C41:D41"/>
    <mergeCell ref="E41:G41"/>
    <mergeCell ref="H41:K41"/>
    <mergeCell ref="L41:P41"/>
    <mergeCell ref="C44:D44"/>
    <mergeCell ref="E44:G44"/>
    <mergeCell ref="H44:K44"/>
    <mergeCell ref="L44:P44"/>
    <mergeCell ref="A46:A47"/>
    <mergeCell ref="C48:D48"/>
    <mergeCell ref="E48:G48"/>
    <mergeCell ref="H48:K48"/>
    <mergeCell ref="L48:P48"/>
    <mergeCell ref="C51:D51"/>
    <mergeCell ref="E51:G51"/>
    <mergeCell ref="H51:K51"/>
    <mergeCell ref="L51:P51"/>
    <mergeCell ref="A53:A54"/>
    <mergeCell ref="C55:G55"/>
    <mergeCell ref="C49:D49"/>
    <mergeCell ref="E49:G49"/>
    <mergeCell ref="H49:K49"/>
    <mergeCell ref="L49:P49"/>
    <mergeCell ref="C50:D50"/>
    <mergeCell ref="E50:G50"/>
    <mergeCell ref="H50:K50"/>
    <mergeCell ref="L50:P50"/>
    <mergeCell ref="A62:A63"/>
    <mergeCell ref="C64:D64"/>
    <mergeCell ref="E64:G64"/>
    <mergeCell ref="H64:K64"/>
    <mergeCell ref="L64:P64"/>
    <mergeCell ref="A66:A67"/>
    <mergeCell ref="C56:D56"/>
    <mergeCell ref="E56:G56"/>
    <mergeCell ref="H56:K56"/>
    <mergeCell ref="L56:P56"/>
    <mergeCell ref="A58:A59"/>
    <mergeCell ref="C60:D60"/>
    <mergeCell ref="E60:G60"/>
    <mergeCell ref="H60:K60"/>
    <mergeCell ref="L60:P60"/>
    <mergeCell ref="C68:D68"/>
    <mergeCell ref="E68:G68"/>
    <mergeCell ref="H68:K68"/>
    <mergeCell ref="L68:P68"/>
    <mergeCell ref="A70:A71"/>
    <mergeCell ref="C72:D72"/>
    <mergeCell ref="E72:G72"/>
    <mergeCell ref="H72:K72"/>
    <mergeCell ref="L72:P72"/>
    <mergeCell ref="I65015:K65015"/>
    <mergeCell ref="I65016:K65016"/>
    <mergeCell ref="I65017:K65017"/>
    <mergeCell ref="I65018:K65018"/>
    <mergeCell ref="I65019:K65019"/>
    <mergeCell ref="I65020:K65020"/>
    <mergeCell ref="A74:A75"/>
    <mergeCell ref="I65010:K65010"/>
    <mergeCell ref="I65011:K65011"/>
    <mergeCell ref="I65012:K65012"/>
    <mergeCell ref="I65013:K65013"/>
    <mergeCell ref="I65014:K65014"/>
    <mergeCell ref="I65027:K65027"/>
    <mergeCell ref="I65028:K65028"/>
    <mergeCell ref="I65029:K65029"/>
    <mergeCell ref="I65030:K65030"/>
    <mergeCell ref="I65031:K65031"/>
    <mergeCell ref="I65032:K65032"/>
    <mergeCell ref="I65021:K65021"/>
    <mergeCell ref="I65022:K65022"/>
    <mergeCell ref="I65023:K65023"/>
    <mergeCell ref="I65024:K65024"/>
    <mergeCell ref="I65025:K65025"/>
    <mergeCell ref="I65026:K65026"/>
    <mergeCell ref="I65039:K65039"/>
    <mergeCell ref="I65040:K65040"/>
    <mergeCell ref="I65041:K65041"/>
    <mergeCell ref="I65042:K65042"/>
    <mergeCell ref="I65043:K65043"/>
    <mergeCell ref="I65044:K65044"/>
    <mergeCell ref="I65033:K65033"/>
    <mergeCell ref="I65034:K65034"/>
    <mergeCell ref="I65035:K65035"/>
    <mergeCell ref="I65036:K65036"/>
    <mergeCell ref="I65037:K65037"/>
    <mergeCell ref="I65038:K65038"/>
    <mergeCell ref="I65051:K65051"/>
    <mergeCell ref="I65052:K65052"/>
    <mergeCell ref="I65053:K65053"/>
    <mergeCell ref="I65045:K65045"/>
    <mergeCell ref="I65046:K65046"/>
    <mergeCell ref="I65047:K65047"/>
    <mergeCell ref="I65048:K65048"/>
    <mergeCell ref="I65049:K65049"/>
    <mergeCell ref="I65050:K65050"/>
  </mergeCells>
  <conditionalFormatting sqref="B37:P37 C18:P18 E9:H9 L9 B9:C9 B27:B29 C27:P27 C29:P29">
    <cfRule type="cellIs" dxfId="9961" priority="14" stopIfTrue="1" operator="between">
      <formula>3000</formula>
      <formula>1000</formula>
    </cfRule>
  </conditionalFormatting>
  <conditionalFormatting sqref="L9 B9:C9 E9:H9">
    <cfRule type="cellIs" dxfId="9960" priority="12" stopIfTrue="1" operator="between">
      <formula>3000</formula>
      <formula>1000</formula>
    </cfRule>
    <cfRule type="cellIs" dxfId="9959" priority="13" stopIfTrue="1" operator="lessThan">
      <formula>1000</formula>
    </cfRule>
  </conditionalFormatting>
  <conditionalFormatting sqref="C18:P18">
    <cfRule type="cellIs" dxfId="9958" priority="10" stopIfTrue="1" operator="between">
      <formula>3000</formula>
      <formula>1000</formula>
    </cfRule>
    <cfRule type="cellIs" dxfId="9957" priority="11" stopIfTrue="1" operator="lessThan">
      <formula>1000</formula>
    </cfRule>
  </conditionalFormatting>
  <conditionalFormatting sqref="B37:P37">
    <cfRule type="cellIs" dxfId="9956" priority="8" stopIfTrue="1" operator="between">
      <formula>3000</formula>
      <formula>1000</formula>
    </cfRule>
    <cfRule type="cellIs" dxfId="9955" priority="9" stopIfTrue="1" operator="lessThan">
      <formula>1000</formula>
    </cfRule>
  </conditionalFormatting>
  <conditionalFormatting sqref="B11:H11 L11">
    <cfRule type="cellIs" dxfId="9954" priority="7" stopIfTrue="1" operator="greaterThan">
      <formula>32</formula>
    </cfRule>
  </conditionalFormatting>
  <conditionalFormatting sqref="C20:P20">
    <cfRule type="cellIs" dxfId="9953" priority="6" stopIfTrue="1" operator="greaterThan">
      <formula>32</formula>
    </cfRule>
  </conditionalFormatting>
  <conditionalFormatting sqref="B39:P39">
    <cfRule type="cellIs" dxfId="9952" priority="5" stopIfTrue="1" operator="greaterThan">
      <formula>32</formula>
    </cfRule>
  </conditionalFormatting>
  <conditionalFormatting sqref="B44:P44">
    <cfRule type="cellIs" dxfId="9951" priority="4" stopIfTrue="1" operator="between">
      <formula>34</formula>
      <formula>100</formula>
    </cfRule>
  </conditionalFormatting>
  <conditionalFormatting sqref="B51:P51">
    <cfRule type="cellIs" dxfId="9950" priority="3" stopIfTrue="1" operator="between">
      <formula>34</formula>
      <formula>100</formula>
    </cfRule>
  </conditionalFormatting>
  <conditionalFormatting sqref="B29:P29">
    <cfRule type="cellIs" dxfId="9949" priority="2" stopIfTrue="1" operator="greaterThan">
      <formula>32</formula>
    </cfRule>
  </conditionalFormatting>
  <conditionalFormatting sqref="B29">
    <cfRule type="cellIs" dxfId="9948" priority="1" stopIfTrue="1" operator="greaterThan">
      <formula>32</formula>
    </cfRule>
  </conditionalFormatting>
  <printOptions horizontalCentered="1" verticalCentered="1"/>
  <pageMargins left="0.19685039370078741" right="0" top="0.23622047244094491" bottom="0" header="0.51181102362204722" footer="0.47244094488188981"/>
  <pageSetup paperSize="9" scale="71"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autoPageBreaks="0" fitToPage="1"/>
  </sheetPr>
  <dimension ref="A1:Q65510"/>
  <sheetViews>
    <sheetView showGridLines="0" showZeros="0" view="pageBreakPreview" zoomScaleNormal="100" zoomScaleSheetLayoutView="100" workbookViewId="0">
      <pane xSplit="1" ySplit="1" topLeftCell="B2" activePane="bottomRight" state="frozen"/>
      <selection pane="topRight" activeCell="B1" sqref="B1"/>
      <selection pane="bottomLeft" activeCell="A4" sqref="A4"/>
      <selection pane="bottomRight" activeCell="F17" sqref="F17"/>
    </sheetView>
  </sheetViews>
  <sheetFormatPr defaultRowHeight="12.75"/>
  <cols>
    <col min="1" max="1" width="20" style="193" customWidth="1"/>
    <col min="2" max="2" width="23.28515625" style="200" bestFit="1" customWidth="1"/>
    <col min="3" max="4" width="10.28515625" style="200" customWidth="1"/>
    <col min="5" max="5" width="6.85546875" style="200" customWidth="1"/>
    <col min="6" max="6" width="7" style="200" customWidth="1"/>
    <col min="7" max="7" width="6.85546875" style="200" customWidth="1"/>
    <col min="8" max="11" width="5.28515625" style="200" customWidth="1"/>
    <col min="12" max="15" width="4.7109375" style="200" bestFit="1" customWidth="1"/>
    <col min="16" max="16" width="4.7109375" style="200" customWidth="1"/>
    <col min="17" max="17" width="15.5703125" style="201" customWidth="1"/>
    <col min="18" max="24" width="15.5703125" style="200" customWidth="1"/>
    <col min="25" max="218" width="9.140625" style="200"/>
    <col min="219" max="219" width="23.28515625" style="200" bestFit="1" customWidth="1"/>
    <col min="220" max="16384" width="9.140625" style="200"/>
  </cols>
  <sheetData>
    <row r="1" spans="1:17" s="193" customFormat="1" ht="23.1" customHeight="1" thickBot="1">
      <c r="A1" s="191" t="s">
        <v>87</v>
      </c>
      <c r="B1" s="217">
        <f>Plan!E2</f>
        <v>42933</v>
      </c>
      <c r="C1" s="797">
        <f>Plan!F2</f>
        <v>42934</v>
      </c>
      <c r="D1" s="799"/>
      <c r="E1" s="797">
        <f>Plan!G2</f>
        <v>42935</v>
      </c>
      <c r="F1" s="798"/>
      <c r="G1" s="799"/>
      <c r="H1" s="797">
        <f>Plan!H2</f>
        <v>42936</v>
      </c>
      <c r="I1" s="798"/>
      <c r="J1" s="798"/>
      <c r="K1" s="799"/>
      <c r="L1" s="797">
        <f>Plan!I2</f>
        <v>42937</v>
      </c>
      <c r="M1" s="798"/>
      <c r="N1" s="798"/>
      <c r="O1" s="798"/>
      <c r="P1" s="799"/>
    </row>
    <row r="2" spans="1:17" s="193" customFormat="1" ht="15.75" customHeight="1" thickBot="1">
      <c r="A2" s="194"/>
      <c r="B2" s="192"/>
      <c r="C2" s="800" t="s">
        <v>124</v>
      </c>
      <c r="D2" s="801"/>
      <c r="E2" s="801"/>
      <c r="F2" s="801"/>
      <c r="G2" s="802"/>
      <c r="H2" s="195"/>
      <c r="I2" s="196"/>
      <c r="J2" s="196"/>
      <c r="K2" s="196"/>
      <c r="L2" s="196"/>
      <c r="M2" s="196"/>
      <c r="N2" s="196"/>
      <c r="O2" s="196"/>
      <c r="P2" s="197"/>
    </row>
    <row r="3" spans="1:17" ht="13.5" thickBot="1">
      <c r="A3" s="198" t="s">
        <v>3</v>
      </c>
      <c r="B3" s="218">
        <f>Plan!E5</f>
        <v>221116</v>
      </c>
      <c r="C3" s="779">
        <f>Plan!F5</f>
        <v>221136</v>
      </c>
      <c r="D3" s="780"/>
      <c r="E3" s="752">
        <f>Plan!G5</f>
        <v>221107</v>
      </c>
      <c r="F3" s="753"/>
      <c r="G3" s="754"/>
      <c r="H3" s="750">
        <f>Plan!H5</f>
        <v>221111</v>
      </c>
      <c r="I3" s="753"/>
      <c r="J3" s="753"/>
      <c r="K3" s="751"/>
      <c r="L3" s="752">
        <f>Plan!I5</f>
        <v>221132</v>
      </c>
      <c r="M3" s="753"/>
      <c r="N3" s="753"/>
      <c r="O3" s="753"/>
      <c r="P3" s="754"/>
    </row>
    <row r="4" spans="1:17" s="193" customFormat="1" ht="22.5" customHeight="1">
      <c r="A4" s="202" t="s">
        <v>1</v>
      </c>
      <c r="B4" s="218" t="str">
        <f>Plan!E6</f>
        <v>C1</v>
      </c>
      <c r="C4" s="779" t="str">
        <f>Plan!F6</f>
        <v>C2</v>
      </c>
      <c r="D4" s="780"/>
      <c r="E4" s="752" t="str">
        <f>Plan!G6</f>
        <v>C2</v>
      </c>
      <c r="F4" s="753"/>
      <c r="G4" s="754"/>
      <c r="H4" s="750" t="str">
        <f>Plan!H6</f>
        <v>C4</v>
      </c>
      <c r="I4" s="753"/>
      <c r="J4" s="753"/>
      <c r="K4" s="751"/>
      <c r="L4" s="752" t="str">
        <f>Plan!I6</f>
        <v>C4</v>
      </c>
      <c r="M4" s="753"/>
      <c r="N4" s="753"/>
      <c r="O4" s="753"/>
      <c r="P4" s="754"/>
    </row>
    <row r="5" spans="1:17" s="193" customFormat="1" ht="12.75" customHeight="1">
      <c r="A5" s="202" t="s">
        <v>64</v>
      </c>
      <c r="B5" s="220">
        <f>Plan!E8</f>
        <v>42931</v>
      </c>
      <c r="C5" s="784">
        <f>Plan!F8</f>
        <v>42934</v>
      </c>
      <c r="D5" s="785"/>
      <c r="E5" s="786">
        <f>Plan!G8</f>
        <v>42932</v>
      </c>
      <c r="F5" s="787"/>
      <c r="G5" s="788"/>
      <c r="H5" s="747">
        <f>Plan!H8</f>
        <v>42936</v>
      </c>
      <c r="I5" s="749"/>
      <c r="J5" s="749"/>
      <c r="K5" s="748"/>
      <c r="L5" s="747">
        <f>Plan!I8</f>
        <v>42936</v>
      </c>
      <c r="M5" s="749"/>
      <c r="N5" s="749"/>
      <c r="O5" s="749"/>
      <c r="P5" s="748"/>
    </row>
    <row r="6" spans="1:17" s="204" customFormat="1" ht="12.75" customHeight="1">
      <c r="A6" s="203"/>
      <c r="B6" s="275" t="s">
        <v>4</v>
      </c>
      <c r="C6" s="221" t="s">
        <v>4</v>
      </c>
      <c r="D6" s="222" t="s">
        <v>5</v>
      </c>
      <c r="E6" s="223" t="s">
        <v>4</v>
      </c>
      <c r="F6" s="224" t="s">
        <v>6</v>
      </c>
      <c r="G6" s="225" t="s">
        <v>7</v>
      </c>
      <c r="H6" s="221" t="s">
        <v>4</v>
      </c>
      <c r="I6" s="224" t="s">
        <v>8</v>
      </c>
      <c r="J6" s="224" t="s">
        <v>9</v>
      </c>
      <c r="K6" s="222" t="s">
        <v>5</v>
      </c>
      <c r="L6" s="223" t="s">
        <v>4</v>
      </c>
      <c r="M6" s="224" t="s">
        <v>10</v>
      </c>
      <c r="N6" s="224" t="s">
        <v>9</v>
      </c>
      <c r="O6" s="224" t="s">
        <v>11</v>
      </c>
      <c r="P6" s="225" t="s">
        <v>5</v>
      </c>
    </row>
    <row r="7" spans="1:17" s="193" customFormat="1">
      <c r="A7" s="739" t="s">
        <v>18</v>
      </c>
      <c r="B7" s="226"/>
      <c r="C7" s="227"/>
      <c r="D7" s="228"/>
      <c r="E7" s="229"/>
      <c r="F7" s="230"/>
      <c r="G7" s="231"/>
      <c r="H7" s="227"/>
      <c r="I7" s="230"/>
      <c r="J7" s="230"/>
      <c r="K7" s="228"/>
      <c r="L7" s="229"/>
      <c r="M7" s="230"/>
      <c r="N7" s="230"/>
      <c r="O7" s="230"/>
      <c r="P7" s="231"/>
    </row>
    <row r="8" spans="1:17" s="193" customFormat="1">
      <c r="A8" s="740"/>
      <c r="B8" s="276"/>
      <c r="C8" s="232"/>
      <c r="D8" s="233"/>
      <c r="E8" s="234"/>
      <c r="F8" s="235"/>
      <c r="G8" s="236"/>
      <c r="H8" s="232"/>
      <c r="I8" s="235"/>
      <c r="J8" s="235"/>
      <c r="K8" s="233"/>
      <c r="L8" s="234"/>
      <c r="M8" s="235"/>
      <c r="N8" s="235"/>
      <c r="O8" s="235"/>
      <c r="P8" s="236"/>
    </row>
    <row r="9" spans="1:17" s="193" customFormat="1" ht="13.5" customHeight="1">
      <c r="A9" s="202" t="s">
        <v>12</v>
      </c>
      <c r="B9" s="277">
        <f>Plan!E9</f>
        <v>3790</v>
      </c>
      <c r="C9" s="781">
        <f>Plan!F9</f>
        <v>1365</v>
      </c>
      <c r="D9" s="782"/>
      <c r="E9" s="781">
        <f>Plan!G9</f>
        <v>6949</v>
      </c>
      <c r="F9" s="783"/>
      <c r="G9" s="782"/>
      <c r="H9" s="781">
        <f>Plan!H9</f>
        <v>8581</v>
      </c>
      <c r="I9" s="783"/>
      <c r="J9" s="783"/>
      <c r="K9" s="782"/>
      <c r="L9" s="781">
        <f>Plan!I9</f>
        <v>12319</v>
      </c>
      <c r="M9" s="783"/>
      <c r="N9" s="783"/>
      <c r="O9" s="783"/>
      <c r="P9" s="782"/>
    </row>
    <row r="10" spans="1:17" ht="13.5" customHeight="1">
      <c r="A10" s="205"/>
      <c r="B10" s="278"/>
      <c r="C10" s="768"/>
      <c r="D10" s="769"/>
      <c r="E10" s="768"/>
      <c r="F10" s="770"/>
      <c r="G10" s="769"/>
      <c r="H10" s="768" t="s">
        <v>334</v>
      </c>
      <c r="I10" s="770"/>
      <c r="J10" s="770"/>
      <c r="K10" s="769"/>
      <c r="L10" s="768"/>
      <c r="M10" s="770"/>
      <c r="N10" s="770"/>
      <c r="O10" s="770"/>
      <c r="P10" s="769"/>
      <c r="Q10" s="200"/>
    </row>
    <row r="11" spans="1:17" ht="13.5" customHeight="1" thickBot="1">
      <c r="A11" s="206"/>
      <c r="B11" s="237"/>
      <c r="C11" s="761"/>
      <c r="D11" s="763"/>
      <c r="E11" s="761"/>
      <c r="F11" s="762"/>
      <c r="G11" s="763"/>
      <c r="H11" s="761"/>
      <c r="I11" s="762"/>
      <c r="J11" s="762"/>
      <c r="K11" s="763"/>
      <c r="L11" s="761"/>
      <c r="M11" s="762"/>
      <c r="N11" s="762"/>
      <c r="O11" s="762"/>
      <c r="P11" s="763"/>
      <c r="Q11" s="200"/>
    </row>
    <row r="12" spans="1:17" ht="13.5" customHeight="1">
      <c r="A12" s="198" t="s">
        <v>3</v>
      </c>
      <c r="B12" s="218">
        <f>Plan!E13</f>
        <v>220028</v>
      </c>
      <c r="C12" s="794">
        <f>Plan!F13</f>
        <v>220019</v>
      </c>
      <c r="D12" s="795"/>
      <c r="E12" s="789">
        <f>Plan!G13</f>
        <v>220031</v>
      </c>
      <c r="F12" s="790"/>
      <c r="G12" s="791"/>
      <c r="H12" s="779">
        <f>Plan!H13</f>
        <v>220006</v>
      </c>
      <c r="I12" s="796"/>
      <c r="J12" s="796"/>
      <c r="K12" s="780"/>
      <c r="L12" s="779">
        <f>Plan!I13</f>
        <v>221134</v>
      </c>
      <c r="M12" s="796"/>
      <c r="N12" s="796"/>
      <c r="O12" s="796"/>
      <c r="P12" s="780"/>
    </row>
    <row r="13" spans="1:17" s="193" customFormat="1" ht="12.75" customHeight="1">
      <c r="A13" s="202" t="s">
        <v>1</v>
      </c>
      <c r="B13" s="220" t="str">
        <f>Plan!E14</f>
        <v>C1</v>
      </c>
      <c r="C13" s="747" t="str">
        <f>Plan!F14</f>
        <v>C4</v>
      </c>
      <c r="D13" s="748"/>
      <c r="E13" s="765" t="str">
        <f>Plan!G14</f>
        <v>C4</v>
      </c>
      <c r="F13" s="766"/>
      <c r="G13" s="767"/>
      <c r="H13" s="792" t="str">
        <f>Plan!H14</f>
        <v>C1</v>
      </c>
      <c r="I13" s="766"/>
      <c r="J13" s="766"/>
      <c r="K13" s="793"/>
      <c r="L13" s="765" t="str">
        <f>Plan!I14</f>
        <v>C1</v>
      </c>
      <c r="M13" s="766"/>
      <c r="N13" s="766"/>
      <c r="O13" s="766"/>
      <c r="P13" s="767"/>
    </row>
    <row r="14" spans="1:17" s="193" customFormat="1">
      <c r="A14" s="202" t="s">
        <v>64</v>
      </c>
      <c r="B14" s="220">
        <f>Plan!E16</f>
        <v>42935</v>
      </c>
      <c r="C14" s="774">
        <f>Plan!F16</f>
        <v>42934</v>
      </c>
      <c r="D14" s="775"/>
      <c r="E14" s="776">
        <f>Plan!G16</f>
        <v>42933</v>
      </c>
      <c r="F14" s="777"/>
      <c r="G14" s="778"/>
      <c r="H14" s="774">
        <f>Plan!H16</f>
        <v>42938</v>
      </c>
      <c r="I14" s="777"/>
      <c r="J14" s="777"/>
      <c r="K14" s="775"/>
      <c r="L14" s="776">
        <f>Plan!I16</f>
        <v>42938</v>
      </c>
      <c r="M14" s="777"/>
      <c r="N14" s="777"/>
      <c r="O14" s="777"/>
      <c r="P14" s="778"/>
    </row>
    <row r="15" spans="1:17" s="204" customFormat="1" ht="12.75" customHeight="1">
      <c r="A15" s="203"/>
      <c r="B15" s="226" t="s">
        <v>4</v>
      </c>
      <c r="C15" s="240" t="s">
        <v>4</v>
      </c>
      <c r="D15" s="241" t="s">
        <v>5</v>
      </c>
      <c r="E15" s="242" t="s">
        <v>4</v>
      </c>
      <c r="F15" s="243" t="s">
        <v>6</v>
      </c>
      <c r="G15" s="244" t="s">
        <v>7</v>
      </c>
      <c r="H15" s="240" t="s">
        <v>4</v>
      </c>
      <c r="I15" s="243" t="s">
        <v>8</v>
      </c>
      <c r="J15" s="243" t="s">
        <v>9</v>
      </c>
      <c r="K15" s="241" t="s">
        <v>5</v>
      </c>
      <c r="L15" s="242" t="s">
        <v>4</v>
      </c>
      <c r="M15" s="243" t="s">
        <v>10</v>
      </c>
      <c r="N15" s="243" t="s">
        <v>9</v>
      </c>
      <c r="O15" s="243" t="s">
        <v>11</v>
      </c>
      <c r="P15" s="244" t="s">
        <v>5</v>
      </c>
    </row>
    <row r="16" spans="1:17" s="193" customFormat="1">
      <c r="A16" s="739" t="s">
        <v>18</v>
      </c>
      <c r="B16" s="226"/>
      <c r="C16" s="246"/>
      <c r="D16" s="247"/>
      <c r="E16" s="248"/>
      <c r="F16" s="249"/>
      <c r="G16" s="250"/>
      <c r="H16" s="246"/>
      <c r="I16" s="249"/>
      <c r="J16" s="249"/>
      <c r="K16" s="247"/>
      <c r="L16" s="248"/>
      <c r="M16" s="249"/>
      <c r="N16" s="249"/>
      <c r="O16" s="249"/>
      <c r="P16" s="250"/>
    </row>
    <row r="17" spans="1:17" s="193" customFormat="1">
      <c r="A17" s="740"/>
      <c r="B17" s="276"/>
      <c r="C17" s="252"/>
      <c r="D17" s="253"/>
      <c r="E17" s="254"/>
      <c r="F17" s="255"/>
      <c r="G17" s="256"/>
      <c r="H17" s="252"/>
      <c r="I17" s="255"/>
      <c r="J17" s="255"/>
      <c r="K17" s="253"/>
      <c r="L17" s="254"/>
      <c r="M17" s="255"/>
      <c r="N17" s="255"/>
      <c r="O17" s="255"/>
      <c r="P17" s="256"/>
    </row>
    <row r="18" spans="1:17" s="193" customFormat="1" ht="13.5" customHeight="1">
      <c r="A18" s="202" t="s">
        <v>12</v>
      </c>
      <c r="B18" s="278">
        <f>Plan!E17</f>
        <v>5992</v>
      </c>
      <c r="C18" s="781">
        <f>Plan!F17</f>
        <v>1193</v>
      </c>
      <c r="D18" s="782"/>
      <c r="E18" s="781">
        <f>Plan!G17</f>
        <v>2273</v>
      </c>
      <c r="F18" s="783"/>
      <c r="G18" s="782"/>
      <c r="H18" s="781">
        <f>Plan!H17</f>
        <v>2952</v>
      </c>
      <c r="I18" s="783"/>
      <c r="J18" s="783"/>
      <c r="K18" s="782"/>
      <c r="L18" s="781">
        <f>Plan!I17</f>
        <v>5017</v>
      </c>
      <c r="M18" s="783"/>
      <c r="N18" s="783"/>
      <c r="O18" s="783"/>
      <c r="P18" s="782"/>
    </row>
    <row r="19" spans="1:17" ht="13.5" customHeight="1">
      <c r="A19" s="205"/>
      <c r="B19" s="205"/>
      <c r="C19" s="768"/>
      <c r="D19" s="769"/>
      <c r="E19" s="768"/>
      <c r="F19" s="770"/>
      <c r="G19" s="769"/>
      <c r="H19" s="768"/>
      <c r="I19" s="770"/>
      <c r="J19" s="770"/>
      <c r="K19" s="769"/>
      <c r="L19" s="768"/>
      <c r="M19" s="770"/>
      <c r="N19" s="770"/>
      <c r="O19" s="770"/>
      <c r="P19" s="769"/>
      <c r="Q19" s="200"/>
    </row>
    <row r="20" spans="1:17" ht="13.5" customHeight="1" thickBot="1">
      <c r="A20" s="206"/>
      <c r="B20" s="206"/>
      <c r="C20" s="761"/>
      <c r="D20" s="763"/>
      <c r="E20" s="761"/>
      <c r="F20" s="762"/>
      <c r="G20" s="763"/>
      <c r="H20" s="761"/>
      <c r="I20" s="762"/>
      <c r="J20" s="762"/>
      <c r="K20" s="763"/>
      <c r="L20" s="761"/>
      <c r="M20" s="762"/>
      <c r="N20" s="762"/>
      <c r="O20" s="762"/>
      <c r="P20" s="763"/>
      <c r="Q20" s="200"/>
    </row>
    <row r="21" spans="1:17">
      <c r="A21" s="198" t="s">
        <v>3</v>
      </c>
      <c r="B21" s="218">
        <f>Plan!E21</f>
        <v>0</v>
      </c>
      <c r="C21" s="750">
        <f>Plan!F21</f>
        <v>0</v>
      </c>
      <c r="D21" s="751"/>
      <c r="E21" s="789">
        <f>Plan!G21</f>
        <v>0</v>
      </c>
      <c r="F21" s="790"/>
      <c r="G21" s="791"/>
      <c r="H21" s="794">
        <f>Plan!H21</f>
        <v>0</v>
      </c>
      <c r="I21" s="790"/>
      <c r="J21" s="790"/>
      <c r="K21" s="795"/>
      <c r="L21" s="789">
        <f>Plan!I21</f>
        <v>0</v>
      </c>
      <c r="M21" s="790"/>
      <c r="N21" s="790"/>
      <c r="O21" s="790"/>
      <c r="P21" s="791"/>
      <c r="Q21" s="200"/>
    </row>
    <row r="22" spans="1:17" s="193" customFormat="1">
      <c r="A22" s="202" t="s">
        <v>1</v>
      </c>
      <c r="B22" s="219" t="str">
        <f>Plan!E22</f>
        <v/>
      </c>
      <c r="C22" s="792" t="str">
        <f>Plan!F22</f>
        <v/>
      </c>
      <c r="D22" s="793"/>
      <c r="E22" s="765" t="str">
        <f>Plan!G22</f>
        <v/>
      </c>
      <c r="F22" s="766"/>
      <c r="G22" s="767"/>
      <c r="H22" s="792" t="str">
        <f>Plan!H22</f>
        <v/>
      </c>
      <c r="I22" s="766"/>
      <c r="J22" s="766"/>
      <c r="K22" s="793"/>
      <c r="L22" s="765" t="str">
        <f>Plan!I22</f>
        <v/>
      </c>
      <c r="M22" s="766"/>
      <c r="N22" s="766"/>
      <c r="O22" s="766"/>
      <c r="P22" s="767"/>
    </row>
    <row r="23" spans="1:17" s="193" customFormat="1">
      <c r="A23" s="202" t="s">
        <v>64</v>
      </c>
      <c r="B23" s="238" t="str">
        <f>Plan!E24</f>
        <v/>
      </c>
      <c r="C23" s="774" t="str">
        <f>Plan!F24</f>
        <v/>
      </c>
      <c r="D23" s="775"/>
      <c r="E23" s="776" t="str">
        <f>Plan!G24</f>
        <v/>
      </c>
      <c r="F23" s="777"/>
      <c r="G23" s="778"/>
      <c r="H23" s="774" t="str">
        <f>Plan!H24</f>
        <v/>
      </c>
      <c r="I23" s="777"/>
      <c r="J23" s="777"/>
      <c r="K23" s="775"/>
      <c r="L23" s="776" t="str">
        <f>Plan!I24</f>
        <v/>
      </c>
      <c r="M23" s="777"/>
      <c r="N23" s="777"/>
      <c r="O23" s="777"/>
      <c r="P23" s="778"/>
    </row>
    <row r="24" spans="1:17" s="204" customFormat="1">
      <c r="A24" s="203"/>
      <c r="B24" s="239" t="s">
        <v>4</v>
      </c>
      <c r="C24" s="240" t="s">
        <v>4</v>
      </c>
      <c r="D24" s="241" t="s">
        <v>5</v>
      </c>
      <c r="E24" s="242" t="s">
        <v>4</v>
      </c>
      <c r="F24" s="243" t="s">
        <v>6</v>
      </c>
      <c r="G24" s="244" t="s">
        <v>7</v>
      </c>
      <c r="H24" s="240" t="s">
        <v>4</v>
      </c>
      <c r="I24" s="243" t="s">
        <v>8</v>
      </c>
      <c r="J24" s="243" t="s">
        <v>9</v>
      </c>
      <c r="K24" s="241" t="s">
        <v>5</v>
      </c>
      <c r="L24" s="242" t="s">
        <v>4</v>
      </c>
      <c r="M24" s="243" t="s">
        <v>10</v>
      </c>
      <c r="N24" s="243" t="s">
        <v>9</v>
      </c>
      <c r="O24" s="243" t="s">
        <v>11</v>
      </c>
      <c r="P24" s="244" t="s">
        <v>5</v>
      </c>
    </row>
    <row r="25" spans="1:17" s="193" customFormat="1">
      <c r="A25" s="739" t="s">
        <v>18</v>
      </c>
      <c r="B25" s="245"/>
      <c r="C25" s="246"/>
      <c r="D25" s="247"/>
      <c r="E25" s="248"/>
      <c r="F25" s="249"/>
      <c r="G25" s="250"/>
      <c r="H25" s="246"/>
      <c r="I25" s="249"/>
      <c r="J25" s="249"/>
      <c r="K25" s="247"/>
      <c r="L25" s="248"/>
      <c r="M25" s="249"/>
      <c r="N25" s="249"/>
      <c r="O25" s="249"/>
      <c r="P25" s="250"/>
    </row>
    <row r="26" spans="1:17" s="193" customFormat="1">
      <c r="A26" s="740"/>
      <c r="B26" s="251"/>
      <c r="C26" s="252"/>
      <c r="D26" s="253"/>
      <c r="E26" s="254"/>
      <c r="F26" s="255"/>
      <c r="G26" s="256"/>
      <c r="H26" s="252"/>
      <c r="I26" s="255"/>
      <c r="J26" s="255"/>
      <c r="K26" s="253"/>
      <c r="L26" s="254"/>
      <c r="M26" s="255"/>
      <c r="N26" s="255"/>
      <c r="O26" s="255"/>
      <c r="P26" s="256"/>
    </row>
    <row r="27" spans="1:17" s="193" customFormat="1" ht="13.5" customHeight="1">
      <c r="A27" s="207" t="s">
        <v>12</v>
      </c>
      <c r="B27" s="257" t="str">
        <f>Plan!E25</f>
        <v/>
      </c>
      <c r="C27" s="758" t="str">
        <f>Plan!F25</f>
        <v/>
      </c>
      <c r="D27" s="760"/>
      <c r="E27" s="758" t="str">
        <f>Plan!G25</f>
        <v/>
      </c>
      <c r="F27" s="759"/>
      <c r="G27" s="760"/>
      <c r="H27" s="758" t="str">
        <f>Plan!H25</f>
        <v/>
      </c>
      <c r="I27" s="759"/>
      <c r="J27" s="759"/>
      <c r="K27" s="760"/>
      <c r="L27" s="758" t="str">
        <f>Plan!I25</f>
        <v/>
      </c>
      <c r="M27" s="759"/>
      <c r="N27" s="759"/>
      <c r="O27" s="759"/>
      <c r="P27" s="760"/>
    </row>
    <row r="28" spans="1:17" s="193" customFormat="1" ht="13.5" customHeight="1">
      <c r="A28" s="205"/>
      <c r="B28" s="278"/>
      <c r="C28" s="768"/>
      <c r="D28" s="769"/>
      <c r="E28" s="768"/>
      <c r="F28" s="770"/>
      <c r="G28" s="769"/>
      <c r="H28" s="768"/>
      <c r="I28" s="770"/>
      <c r="J28" s="770"/>
      <c r="K28" s="769"/>
      <c r="L28" s="768"/>
      <c r="M28" s="770"/>
      <c r="N28" s="770"/>
      <c r="O28" s="770"/>
      <c r="P28" s="769"/>
    </row>
    <row r="29" spans="1:17" s="193" customFormat="1" ht="13.5" customHeight="1" thickBot="1">
      <c r="A29" s="206"/>
      <c r="B29" s="237"/>
      <c r="C29" s="761"/>
      <c r="D29" s="763"/>
      <c r="E29" s="761"/>
      <c r="F29" s="762"/>
      <c r="G29" s="763"/>
      <c r="H29" s="761"/>
      <c r="I29" s="762"/>
      <c r="J29" s="762"/>
      <c r="K29" s="763"/>
      <c r="L29" s="761"/>
      <c r="M29" s="762"/>
      <c r="N29" s="762"/>
      <c r="O29" s="762"/>
      <c r="P29" s="763"/>
    </row>
    <row r="30" spans="1:17" s="193" customFormat="1" ht="16.5" thickBot="1">
      <c r="A30" s="194"/>
      <c r="B30" s="258"/>
      <c r="C30" s="771" t="s">
        <v>164</v>
      </c>
      <c r="D30" s="772"/>
      <c r="E30" s="772"/>
      <c r="F30" s="772"/>
      <c r="G30" s="773"/>
      <c r="H30" s="259"/>
      <c r="I30" s="260"/>
      <c r="J30" s="260"/>
      <c r="K30" s="260"/>
      <c r="L30" s="260"/>
      <c r="M30" s="260"/>
      <c r="N30" s="260"/>
      <c r="O30" s="260"/>
      <c r="P30" s="261"/>
    </row>
    <row r="31" spans="1:17">
      <c r="A31" s="198" t="s">
        <v>3</v>
      </c>
      <c r="B31" s="218">
        <f>Plan!E29</f>
        <v>221131</v>
      </c>
      <c r="C31" s="779">
        <f>Plan!F29</f>
        <v>221125</v>
      </c>
      <c r="D31" s="780"/>
      <c r="E31" s="752">
        <f>Plan!G29</f>
        <v>220031</v>
      </c>
      <c r="F31" s="753"/>
      <c r="G31" s="754"/>
      <c r="H31" s="750">
        <f>Plan!H29</f>
        <v>221134</v>
      </c>
      <c r="I31" s="753"/>
      <c r="J31" s="753"/>
      <c r="K31" s="751"/>
      <c r="L31" s="752">
        <f>Plan!I29</f>
        <v>221104</v>
      </c>
      <c r="M31" s="753"/>
      <c r="N31" s="753"/>
      <c r="O31" s="753"/>
      <c r="P31" s="754"/>
    </row>
    <row r="32" spans="1:17" s="193" customFormat="1" ht="22.5" customHeight="1">
      <c r="A32" s="202" t="s">
        <v>1</v>
      </c>
      <c r="B32" s="219" t="str">
        <f>Plan!E30</f>
        <v>MV6</v>
      </c>
      <c r="C32" s="755" t="str">
        <f>Plan!F30</f>
        <v>MV6</v>
      </c>
      <c r="D32" s="764"/>
      <c r="E32" s="765" t="str">
        <f>Plan!G30</f>
        <v>MV1</v>
      </c>
      <c r="F32" s="766"/>
      <c r="G32" s="767"/>
      <c r="H32" s="792" t="str">
        <f>Plan!H30</f>
        <v>MV5</v>
      </c>
      <c r="I32" s="766"/>
      <c r="J32" s="766"/>
      <c r="K32" s="793"/>
      <c r="L32" s="765" t="str">
        <f>Plan!I30</f>
        <v>MV8</v>
      </c>
      <c r="M32" s="766"/>
      <c r="N32" s="766"/>
      <c r="O32" s="766"/>
      <c r="P32" s="767"/>
    </row>
    <row r="33" spans="1:16" s="193" customFormat="1">
      <c r="A33" s="202" t="s">
        <v>64</v>
      </c>
      <c r="B33" s="238">
        <f>Plan!E32</f>
        <v>42932</v>
      </c>
      <c r="C33" s="774">
        <f>Plan!F32</f>
        <v>42933</v>
      </c>
      <c r="D33" s="775"/>
      <c r="E33" s="776">
        <f>Plan!G32</f>
        <v>42935</v>
      </c>
      <c r="F33" s="777"/>
      <c r="G33" s="778"/>
      <c r="H33" s="774">
        <f>Plan!H32</f>
        <v>42936</v>
      </c>
      <c r="I33" s="777"/>
      <c r="J33" s="777"/>
      <c r="K33" s="775"/>
      <c r="L33" s="776">
        <f>Plan!I32</f>
        <v>42934</v>
      </c>
      <c r="M33" s="777"/>
      <c r="N33" s="777"/>
      <c r="O33" s="777"/>
      <c r="P33" s="778"/>
    </row>
    <row r="34" spans="1:16" s="204" customFormat="1" ht="12.75" customHeight="1">
      <c r="A34" s="203"/>
      <c r="B34" s="239" t="s">
        <v>4</v>
      </c>
      <c r="C34" s="240" t="s">
        <v>4</v>
      </c>
      <c r="D34" s="241" t="s">
        <v>5</v>
      </c>
      <c r="E34" s="242" t="s">
        <v>4</v>
      </c>
      <c r="F34" s="243" t="s">
        <v>6</v>
      </c>
      <c r="G34" s="244" t="s">
        <v>7</v>
      </c>
      <c r="H34" s="240" t="s">
        <v>4</v>
      </c>
      <c r="I34" s="243" t="s">
        <v>8</v>
      </c>
      <c r="J34" s="243" t="s">
        <v>9</v>
      </c>
      <c r="K34" s="241" t="s">
        <v>5</v>
      </c>
      <c r="L34" s="242" t="s">
        <v>4</v>
      </c>
      <c r="M34" s="243" t="s">
        <v>10</v>
      </c>
      <c r="N34" s="243" t="s">
        <v>9</v>
      </c>
      <c r="O34" s="243" t="s">
        <v>11</v>
      </c>
      <c r="P34" s="244" t="s">
        <v>5</v>
      </c>
    </row>
    <row r="35" spans="1:16" s="193" customFormat="1">
      <c r="A35" s="739" t="s">
        <v>18</v>
      </c>
      <c r="B35" s="245"/>
      <c r="C35" s="246"/>
      <c r="D35" s="247"/>
      <c r="E35" s="248"/>
      <c r="F35" s="249"/>
      <c r="G35" s="250"/>
      <c r="H35" s="246"/>
      <c r="I35" s="249"/>
      <c r="J35" s="249"/>
      <c r="K35" s="247"/>
      <c r="L35" s="248"/>
      <c r="M35" s="249"/>
      <c r="N35" s="249"/>
      <c r="O35" s="249"/>
      <c r="P35" s="250"/>
    </row>
    <row r="36" spans="1:16" s="193" customFormat="1">
      <c r="A36" s="740"/>
      <c r="B36" s="251"/>
      <c r="C36" s="252"/>
      <c r="D36" s="253"/>
      <c r="E36" s="254"/>
      <c r="F36" s="255"/>
      <c r="G36" s="256"/>
      <c r="H36" s="252"/>
      <c r="I36" s="255"/>
      <c r="J36" s="255"/>
      <c r="K36" s="253"/>
      <c r="L36" s="254"/>
      <c r="M36" s="255"/>
      <c r="N36" s="255"/>
      <c r="O36" s="255"/>
      <c r="P36" s="256"/>
    </row>
    <row r="37" spans="1:16" s="193" customFormat="1" ht="13.5" customHeight="1">
      <c r="A37" s="202" t="s">
        <v>12</v>
      </c>
      <c r="B37" s="277">
        <f>Plan!E33</f>
        <v>1644</v>
      </c>
      <c r="C37" s="781">
        <f>Plan!F33</f>
        <v>5066</v>
      </c>
      <c r="D37" s="782"/>
      <c r="E37" s="781">
        <f>Plan!G33</f>
        <v>6064</v>
      </c>
      <c r="F37" s="783"/>
      <c r="G37" s="782"/>
      <c r="H37" s="781">
        <f>Plan!H33</f>
        <v>3179</v>
      </c>
      <c r="I37" s="783"/>
      <c r="J37" s="783"/>
      <c r="K37" s="782"/>
      <c r="L37" s="781">
        <f>Plan!I33</f>
        <v>-2246</v>
      </c>
      <c r="M37" s="783"/>
      <c r="N37" s="783"/>
      <c r="O37" s="783"/>
      <c r="P37" s="782"/>
    </row>
    <row r="38" spans="1:16" s="193" customFormat="1" ht="13.5" customHeight="1">
      <c r="A38" s="205" t="s">
        <v>122</v>
      </c>
      <c r="B38" s="278">
        <f ca="1">Plan!E35</f>
        <v>89</v>
      </c>
      <c r="C38" s="768">
        <f ca="1">Plan!F35</f>
        <v>87</v>
      </c>
      <c r="D38" s="769"/>
      <c r="E38" s="768">
        <f ca="1">Plan!G35</f>
        <v>86</v>
      </c>
      <c r="F38" s="770"/>
      <c r="G38" s="769"/>
      <c r="H38" s="768">
        <f ca="1">Plan!H35</f>
        <v>85</v>
      </c>
      <c r="I38" s="770"/>
      <c r="J38" s="770"/>
      <c r="K38" s="769"/>
      <c r="L38" s="768">
        <f ca="1">Plan!I35</f>
        <v>85</v>
      </c>
      <c r="M38" s="770"/>
      <c r="N38" s="770"/>
      <c r="O38" s="770"/>
      <c r="P38" s="769"/>
    </row>
    <row r="39" spans="1:16" s="193" customFormat="1" ht="13.5" customHeight="1" thickBot="1">
      <c r="A39" s="206"/>
      <c r="B39" s="237"/>
      <c r="C39" s="761"/>
      <c r="D39" s="763"/>
      <c r="E39" s="761"/>
      <c r="F39" s="762"/>
      <c r="G39" s="763"/>
      <c r="H39" s="761"/>
      <c r="I39" s="762"/>
      <c r="J39" s="762"/>
      <c r="K39" s="763"/>
      <c r="L39" s="761"/>
      <c r="M39" s="762"/>
      <c r="N39" s="762"/>
      <c r="O39" s="762"/>
      <c r="P39" s="763"/>
    </row>
    <row r="40" spans="1:16" s="193" customFormat="1" ht="16.5" thickBot="1">
      <c r="A40" s="194"/>
      <c r="B40" s="258"/>
      <c r="C40" s="743" t="s">
        <v>120</v>
      </c>
      <c r="D40" s="744"/>
      <c r="E40" s="744"/>
      <c r="F40" s="744"/>
      <c r="G40" s="745"/>
      <c r="H40" s="259"/>
      <c r="I40" s="260"/>
      <c r="J40" s="260"/>
      <c r="K40" s="260"/>
      <c r="L40" s="260"/>
      <c r="M40" s="260"/>
      <c r="N40" s="260"/>
      <c r="O40" s="260"/>
      <c r="P40" s="261"/>
    </row>
    <row r="41" spans="1:16">
      <c r="A41" s="198" t="s">
        <v>3</v>
      </c>
      <c r="B41" s="218">
        <f>Plan!E37</f>
        <v>220008</v>
      </c>
      <c r="C41" s="750">
        <f>Plan!F37</f>
        <v>221119</v>
      </c>
      <c r="D41" s="751"/>
      <c r="E41" s="752">
        <f>Plan!G37</f>
        <v>221114</v>
      </c>
      <c r="F41" s="753"/>
      <c r="G41" s="754"/>
      <c r="H41" s="779">
        <f>Plan!H37</f>
        <v>221117</v>
      </c>
      <c r="I41" s="796"/>
      <c r="J41" s="796"/>
      <c r="K41" s="780"/>
      <c r="L41" s="752">
        <f>Plan!I37</f>
        <v>220006</v>
      </c>
      <c r="M41" s="753"/>
      <c r="N41" s="753"/>
      <c r="O41" s="753"/>
      <c r="P41" s="754"/>
    </row>
    <row r="42" spans="1:16" s="193" customFormat="1">
      <c r="A42" s="202" t="s">
        <v>1</v>
      </c>
      <c r="B42" s="220" t="str">
        <f>Plan!E38</f>
        <v>S1A</v>
      </c>
      <c r="C42" s="747" t="str">
        <f>Plan!F38</f>
        <v>S4A</v>
      </c>
      <c r="D42" s="748"/>
      <c r="E42" s="747" t="str">
        <f>Plan!G38</f>
        <v>S8A</v>
      </c>
      <c r="F42" s="749"/>
      <c r="G42" s="748"/>
      <c r="H42" s="747" t="str">
        <f>Plan!H38</f>
        <v>S1A</v>
      </c>
      <c r="I42" s="749"/>
      <c r="J42" s="749"/>
      <c r="K42" s="748"/>
      <c r="L42" s="747" t="str">
        <f>Plan!I38</f>
        <v>S2A</v>
      </c>
      <c r="M42" s="749"/>
      <c r="N42" s="749"/>
      <c r="O42" s="749"/>
      <c r="P42" s="748"/>
    </row>
    <row r="43" spans="1:16" s="193" customFormat="1">
      <c r="A43" s="202" t="s">
        <v>64</v>
      </c>
      <c r="B43" s="238">
        <f>Plan!E39</f>
        <v>42934</v>
      </c>
      <c r="C43" s="774">
        <f>Plan!F39</f>
        <v>42934</v>
      </c>
      <c r="D43" s="775"/>
      <c r="E43" s="776">
        <f>Plan!G39</f>
        <v>42934</v>
      </c>
      <c r="F43" s="777"/>
      <c r="G43" s="778"/>
      <c r="H43" s="774">
        <f>Plan!H39</f>
        <v>42935</v>
      </c>
      <c r="I43" s="777"/>
      <c r="J43" s="777"/>
      <c r="K43" s="775"/>
      <c r="L43" s="776">
        <f>Plan!I39</f>
        <v>42938</v>
      </c>
      <c r="M43" s="777"/>
      <c r="N43" s="777"/>
      <c r="O43" s="777"/>
      <c r="P43" s="778"/>
    </row>
    <row r="44" spans="1:16" s="209" customFormat="1">
      <c r="A44" s="208" t="s">
        <v>110</v>
      </c>
      <c r="B44" s="219">
        <f ca="1">Plan!E41</f>
        <v>44</v>
      </c>
      <c r="C44" s="755">
        <f ca="1">Plan!F41</f>
        <v>47</v>
      </c>
      <c r="D44" s="757"/>
      <c r="E44" s="755">
        <f ca="1">Plan!G41</f>
        <v>47</v>
      </c>
      <c r="F44" s="756"/>
      <c r="G44" s="757"/>
      <c r="H44" s="755">
        <f ca="1">Plan!H41</f>
        <v>46</v>
      </c>
      <c r="I44" s="756"/>
      <c r="J44" s="756"/>
      <c r="K44" s="757"/>
      <c r="L44" s="755">
        <f ca="1">Plan!I41</f>
        <v>47</v>
      </c>
      <c r="M44" s="756"/>
      <c r="N44" s="756"/>
      <c r="O44" s="756"/>
      <c r="P44" s="757"/>
    </row>
    <row r="45" spans="1:16" s="204" customFormat="1" ht="12.75" customHeight="1">
      <c r="A45" s="203"/>
      <c r="B45" s="239"/>
      <c r="C45" s="240" t="s">
        <v>4</v>
      </c>
      <c r="D45" s="241" t="s">
        <v>5</v>
      </c>
      <c r="E45" s="242" t="s">
        <v>4</v>
      </c>
      <c r="F45" s="243" t="s">
        <v>6</v>
      </c>
      <c r="G45" s="244" t="s">
        <v>7</v>
      </c>
      <c r="H45" s="240" t="s">
        <v>4</v>
      </c>
      <c r="I45" s="243" t="s">
        <v>8</v>
      </c>
      <c r="J45" s="243" t="s">
        <v>9</v>
      </c>
      <c r="K45" s="241" t="s">
        <v>5</v>
      </c>
      <c r="L45" s="242" t="s">
        <v>4</v>
      </c>
      <c r="M45" s="243" t="s">
        <v>10</v>
      </c>
      <c r="N45" s="243" t="s">
        <v>9</v>
      </c>
      <c r="O45" s="243" t="s">
        <v>11</v>
      </c>
      <c r="P45" s="244" t="s">
        <v>5</v>
      </c>
    </row>
    <row r="46" spans="1:16" s="193" customFormat="1">
      <c r="A46" s="739" t="s">
        <v>18</v>
      </c>
      <c r="B46" s="245"/>
      <c r="C46" s="246"/>
      <c r="D46" s="247"/>
      <c r="E46" s="248"/>
      <c r="F46" s="249"/>
      <c r="G46" s="250"/>
      <c r="H46" s="246"/>
      <c r="I46" s="249"/>
      <c r="J46" s="249"/>
      <c r="K46" s="247"/>
      <c r="L46" s="248"/>
      <c r="M46" s="249"/>
      <c r="N46" s="249"/>
      <c r="O46" s="249"/>
      <c r="P46" s="250"/>
    </row>
    <row r="47" spans="1:16" s="193" customFormat="1" ht="13.5" thickBot="1">
      <c r="A47" s="740"/>
      <c r="B47" s="251"/>
      <c r="C47" s="252"/>
      <c r="D47" s="253"/>
      <c r="E47" s="254"/>
      <c r="F47" s="255"/>
      <c r="G47" s="256"/>
      <c r="H47" s="252"/>
      <c r="I47" s="255"/>
      <c r="J47" s="255"/>
      <c r="K47" s="253"/>
      <c r="L47" s="254"/>
      <c r="M47" s="255"/>
      <c r="N47" s="255"/>
      <c r="O47" s="255"/>
      <c r="P47" s="256"/>
    </row>
    <row r="48" spans="1:16">
      <c r="A48" s="198" t="s">
        <v>3</v>
      </c>
      <c r="B48" s="218">
        <f>Plan!E42</f>
        <v>0</v>
      </c>
      <c r="C48" s="750">
        <f>Plan!F42</f>
        <v>0</v>
      </c>
      <c r="D48" s="751"/>
      <c r="E48" s="752">
        <f>Plan!G42</f>
        <v>0</v>
      </c>
      <c r="F48" s="753"/>
      <c r="G48" s="754"/>
      <c r="H48" s="750">
        <f>Plan!H42</f>
        <v>220020</v>
      </c>
      <c r="I48" s="753"/>
      <c r="J48" s="753"/>
      <c r="K48" s="751"/>
      <c r="L48" s="752">
        <f>Plan!I42</f>
        <v>221128</v>
      </c>
      <c r="M48" s="753"/>
      <c r="N48" s="753"/>
      <c r="O48" s="753"/>
      <c r="P48" s="754"/>
    </row>
    <row r="49" spans="1:17" s="193" customFormat="1">
      <c r="A49" s="202" t="s">
        <v>1</v>
      </c>
      <c r="B49" s="220" t="str">
        <f>Plan!E43</f>
        <v/>
      </c>
      <c r="C49" s="747" t="str">
        <f>Plan!F43</f>
        <v/>
      </c>
      <c r="D49" s="748"/>
      <c r="E49" s="747" t="str">
        <f>Plan!G43</f>
        <v/>
      </c>
      <c r="F49" s="749"/>
      <c r="G49" s="748"/>
      <c r="H49" s="747" t="str">
        <f>Plan!H43</f>
        <v>S2A</v>
      </c>
      <c r="I49" s="749"/>
      <c r="J49" s="749"/>
      <c r="K49" s="748"/>
      <c r="L49" s="747" t="str">
        <f>Plan!I43</f>
        <v>S3A</v>
      </c>
      <c r="M49" s="749"/>
      <c r="N49" s="749"/>
      <c r="O49" s="749"/>
      <c r="P49" s="748"/>
    </row>
    <row r="50" spans="1:17" s="193" customFormat="1">
      <c r="A50" s="202" t="s">
        <v>64</v>
      </c>
      <c r="B50" s="220" t="str">
        <f>Plan!E44</f>
        <v/>
      </c>
      <c r="C50" s="747" t="str">
        <f>Plan!F44</f>
        <v/>
      </c>
      <c r="D50" s="748"/>
      <c r="E50" s="747" t="str">
        <f>Plan!G44</f>
        <v/>
      </c>
      <c r="F50" s="749"/>
      <c r="G50" s="748"/>
      <c r="H50" s="747">
        <f>Plan!H44</f>
        <v>42934</v>
      </c>
      <c r="I50" s="749"/>
      <c r="J50" s="749"/>
      <c r="K50" s="748"/>
      <c r="L50" s="747">
        <f>Plan!I44</f>
        <v>42937</v>
      </c>
      <c r="M50" s="749"/>
      <c r="N50" s="749"/>
      <c r="O50" s="749"/>
      <c r="P50" s="748"/>
    </row>
    <row r="51" spans="1:17" s="209" customFormat="1">
      <c r="A51" s="208" t="s">
        <v>62</v>
      </c>
      <c r="B51" s="219" t="str">
        <f ca="1">Plan!E46</f>
        <v/>
      </c>
      <c r="C51" s="755" t="str">
        <f ca="1">Plan!F46</f>
        <v/>
      </c>
      <c r="D51" s="757"/>
      <c r="E51" s="755" t="str">
        <f ca="1">Plan!G46</f>
        <v/>
      </c>
      <c r="F51" s="756"/>
      <c r="G51" s="757"/>
      <c r="H51" s="755">
        <f ca="1">Plan!H46</f>
        <v>43</v>
      </c>
      <c r="I51" s="756" t="str">
        <f>[3]Plan!O45</f>
        <v/>
      </c>
      <c r="J51" s="756" t="str">
        <f>[3]Plan!P45</f>
        <v/>
      </c>
      <c r="K51" s="757" t="str">
        <f>[3]Plan!Q45</f>
        <v/>
      </c>
      <c r="L51" s="755">
        <f ca="1">Plan!I46</f>
        <v>46</v>
      </c>
      <c r="M51" s="756" t="str">
        <f>[3]Plan!S45</f>
        <v/>
      </c>
      <c r="N51" s="756" t="str">
        <f>[3]Plan!T45</f>
        <v/>
      </c>
      <c r="O51" s="756" t="str">
        <f>[3]Plan!U45</f>
        <v/>
      </c>
      <c r="P51" s="757" t="str">
        <f>[3]Plan!V45</f>
        <v/>
      </c>
    </row>
    <row r="52" spans="1:17" s="204" customFormat="1" ht="12.75" customHeight="1">
      <c r="A52" s="203"/>
      <c r="B52" s="239" t="s">
        <v>4</v>
      </c>
      <c r="C52" s="240" t="s">
        <v>4</v>
      </c>
      <c r="D52" s="241" t="s">
        <v>5</v>
      </c>
      <c r="E52" s="242" t="s">
        <v>4</v>
      </c>
      <c r="F52" s="243" t="s">
        <v>6</v>
      </c>
      <c r="G52" s="244" t="s">
        <v>7</v>
      </c>
      <c r="H52" s="240" t="s">
        <v>4</v>
      </c>
      <c r="I52" s="243" t="s">
        <v>8</v>
      </c>
      <c r="J52" s="243" t="s">
        <v>9</v>
      </c>
      <c r="K52" s="241" t="s">
        <v>5</v>
      </c>
      <c r="L52" s="242" t="s">
        <v>4</v>
      </c>
      <c r="M52" s="243" t="s">
        <v>10</v>
      </c>
      <c r="N52" s="243" t="s">
        <v>9</v>
      </c>
      <c r="O52" s="243" t="s">
        <v>11</v>
      </c>
      <c r="P52" s="244" t="s">
        <v>5</v>
      </c>
    </row>
    <row r="53" spans="1:17" s="193" customFormat="1">
      <c r="A53" s="739" t="s">
        <v>18</v>
      </c>
      <c r="B53" s="245"/>
      <c r="C53" s="246"/>
      <c r="D53" s="247"/>
      <c r="E53" s="248"/>
      <c r="F53" s="249"/>
      <c r="G53" s="250"/>
      <c r="H53" s="246"/>
      <c r="I53" s="249"/>
      <c r="J53" s="249"/>
      <c r="K53" s="247"/>
      <c r="L53" s="248"/>
      <c r="M53" s="249"/>
      <c r="N53" s="249"/>
      <c r="O53" s="249"/>
      <c r="P53" s="250"/>
    </row>
    <row r="54" spans="1:17" s="193" customFormat="1" ht="13.5" thickBot="1">
      <c r="A54" s="740"/>
      <c r="B54" s="251"/>
      <c r="C54" s="252"/>
      <c r="D54" s="253"/>
      <c r="E54" s="254"/>
      <c r="F54" s="255"/>
      <c r="G54" s="256"/>
      <c r="H54" s="252"/>
      <c r="I54" s="255"/>
      <c r="J54" s="255"/>
      <c r="K54" s="253"/>
      <c r="L54" s="254"/>
      <c r="M54" s="255"/>
      <c r="N54" s="255"/>
      <c r="O54" s="255"/>
      <c r="P54" s="256"/>
    </row>
    <row r="55" spans="1:17" ht="16.5" thickBot="1">
      <c r="A55" s="194" t="s">
        <v>19</v>
      </c>
      <c r="B55" s="258"/>
      <c r="C55" s="743" t="s">
        <v>24</v>
      </c>
      <c r="D55" s="744"/>
      <c r="E55" s="744"/>
      <c r="F55" s="744"/>
      <c r="G55" s="745"/>
      <c r="H55" s="259"/>
      <c r="I55" s="260"/>
      <c r="J55" s="260"/>
      <c r="K55" s="260"/>
      <c r="L55" s="260"/>
      <c r="M55" s="260"/>
      <c r="N55" s="260"/>
      <c r="O55" s="260"/>
      <c r="P55" s="261"/>
      <c r="Q55" s="200"/>
    </row>
    <row r="56" spans="1:17" ht="42.75" customHeight="1">
      <c r="A56" s="199" t="str">
        <f>Plan!A47</f>
        <v>XC Stopping 1</v>
      </c>
      <c r="B56" s="371" t="str">
        <f>Plan!E47</f>
        <v>220005 F/D OIL</v>
      </c>
      <c r="C56" s="741" t="str">
        <f>Plan!F47</f>
        <v>220022 D BOFFEY - BODYSIDE INSP + FD OIL</v>
      </c>
      <c r="D56" s="742"/>
      <c r="E56" s="741" t="str">
        <f>Plan!G47</f>
        <v>220031 AXLE + U.A.T. / 220012 PACK</v>
      </c>
      <c r="F56" s="746"/>
      <c r="G56" s="742"/>
      <c r="H56" s="741" t="str">
        <f>Plan!H47</f>
        <v>220027 PACK</v>
      </c>
      <c r="I56" s="746"/>
      <c r="J56" s="746"/>
      <c r="K56" s="742"/>
      <c r="L56" s="741" t="str">
        <f>Plan!I47</f>
        <v>220015 AXLES+COUPLER</v>
      </c>
      <c r="M56" s="746"/>
      <c r="N56" s="746"/>
      <c r="O56" s="746"/>
      <c r="P56" s="742"/>
      <c r="Q56" s="200"/>
    </row>
    <row r="57" spans="1:17" s="204" customFormat="1" ht="12.75" customHeight="1">
      <c r="A57" s="203"/>
      <c r="B57" s="262" t="s">
        <v>4</v>
      </c>
      <c r="C57" s="263" t="s">
        <v>4</v>
      </c>
      <c r="D57" s="264" t="s">
        <v>5</v>
      </c>
      <c r="E57" s="265" t="s">
        <v>4</v>
      </c>
      <c r="F57" s="266" t="s">
        <v>6</v>
      </c>
      <c r="G57" s="267" t="s">
        <v>7</v>
      </c>
      <c r="H57" s="263" t="s">
        <v>4</v>
      </c>
      <c r="I57" s="266" t="s">
        <v>8</v>
      </c>
      <c r="J57" s="266" t="s">
        <v>9</v>
      </c>
      <c r="K57" s="264" t="s">
        <v>5</v>
      </c>
      <c r="L57" s="265" t="s">
        <v>4</v>
      </c>
      <c r="M57" s="266" t="s">
        <v>10</v>
      </c>
      <c r="N57" s="266" t="s">
        <v>9</v>
      </c>
      <c r="O57" s="266" t="s">
        <v>11</v>
      </c>
      <c r="P57" s="267" t="s">
        <v>5</v>
      </c>
    </row>
    <row r="58" spans="1:17" s="193" customFormat="1">
      <c r="A58" s="739" t="s">
        <v>18</v>
      </c>
      <c r="B58" s="245"/>
      <c r="C58" s="246"/>
      <c r="D58" s="247"/>
      <c r="E58" s="248"/>
      <c r="F58" s="249"/>
      <c r="G58" s="250"/>
      <c r="H58" s="246"/>
      <c r="I58" s="249"/>
      <c r="J58" s="249"/>
      <c r="K58" s="247"/>
      <c r="L58" s="248"/>
      <c r="M58" s="249"/>
      <c r="N58" s="249"/>
      <c r="O58" s="249"/>
      <c r="P58" s="250"/>
    </row>
    <row r="59" spans="1:17" s="193" customFormat="1" ht="13.5" thickBot="1">
      <c r="A59" s="740"/>
      <c r="B59" s="251">
        <v>0</v>
      </c>
      <c r="C59" s="252"/>
      <c r="D59" s="253">
        <v>0</v>
      </c>
      <c r="E59" s="254"/>
      <c r="F59" s="255"/>
      <c r="G59" s="256">
        <v>0</v>
      </c>
      <c r="H59" s="252"/>
      <c r="I59" s="255"/>
      <c r="J59" s="255"/>
      <c r="K59" s="253"/>
      <c r="L59" s="254"/>
      <c r="M59" s="255"/>
      <c r="N59" s="255"/>
      <c r="O59" s="255"/>
      <c r="P59" s="256"/>
    </row>
    <row r="60" spans="1:17" ht="42" customHeight="1">
      <c r="A60" s="199" t="str">
        <f>Plan!A48</f>
        <v>XC Stopping 2</v>
      </c>
      <c r="B60" s="371" t="str">
        <f>Plan!E48</f>
        <v>220026 AXLES / 220023 DAMPERS</v>
      </c>
      <c r="C60" s="741" t="str">
        <f>Plan!F48</f>
        <v>221124 UAT
221129 FRB / 220006 PIM</v>
      </c>
      <c r="D60" s="742"/>
      <c r="E60" s="741" t="str">
        <f>Plan!G48</f>
        <v>220018 Traction Motor 220032 COUPLER</v>
      </c>
      <c r="F60" s="746"/>
      <c r="G60" s="742"/>
      <c r="H60" s="741" t="str">
        <f>Plan!H48</f>
        <v>221127 U.A.T, x 4</v>
      </c>
      <c r="I60" s="746"/>
      <c r="J60" s="746"/>
      <c r="K60" s="742"/>
      <c r="L60" s="741" t="str">
        <f>Plan!I48</f>
        <v>221133 609 U2 HVAC ISOL CHANGE</v>
      </c>
      <c r="M60" s="746"/>
      <c r="N60" s="746"/>
      <c r="O60" s="746"/>
      <c r="P60" s="742"/>
      <c r="Q60" s="200"/>
    </row>
    <row r="61" spans="1:17" s="204" customFormat="1" ht="12.75" customHeight="1">
      <c r="A61" s="203"/>
      <c r="B61" s="262" t="s">
        <v>4</v>
      </c>
      <c r="C61" s="263" t="s">
        <v>4</v>
      </c>
      <c r="D61" s="264" t="s">
        <v>5</v>
      </c>
      <c r="E61" s="265" t="s">
        <v>4</v>
      </c>
      <c r="F61" s="266" t="s">
        <v>6</v>
      </c>
      <c r="G61" s="267" t="s">
        <v>7</v>
      </c>
      <c r="H61" s="263" t="s">
        <v>4</v>
      </c>
      <c r="I61" s="266" t="s">
        <v>8</v>
      </c>
      <c r="J61" s="266" t="s">
        <v>9</v>
      </c>
      <c r="K61" s="264" t="s">
        <v>5</v>
      </c>
      <c r="L61" s="265" t="s">
        <v>4</v>
      </c>
      <c r="M61" s="266" t="s">
        <v>10</v>
      </c>
      <c r="N61" s="266" t="s">
        <v>9</v>
      </c>
      <c r="O61" s="266" t="s">
        <v>11</v>
      </c>
      <c r="P61" s="267" t="s">
        <v>5</v>
      </c>
    </row>
    <row r="62" spans="1:17" s="193" customFormat="1">
      <c r="A62" s="739" t="s">
        <v>18</v>
      </c>
      <c r="B62" s="245"/>
      <c r="C62" s="246"/>
      <c r="D62" s="247"/>
      <c r="E62" s="248"/>
      <c r="F62" s="249"/>
      <c r="G62" s="250"/>
      <c r="H62" s="246"/>
      <c r="I62" s="249"/>
      <c r="J62" s="249"/>
      <c r="K62" s="247"/>
      <c r="L62" s="248"/>
      <c r="M62" s="249"/>
      <c r="N62" s="249"/>
      <c r="O62" s="249"/>
      <c r="P62" s="250"/>
    </row>
    <row r="63" spans="1:17" s="193" customFormat="1" ht="13.5" thickBot="1">
      <c r="A63" s="740"/>
      <c r="B63" s="251">
        <v>0</v>
      </c>
      <c r="C63" s="252"/>
      <c r="D63" s="253">
        <v>0</v>
      </c>
      <c r="E63" s="254"/>
      <c r="F63" s="255"/>
      <c r="G63" s="256">
        <v>0</v>
      </c>
      <c r="H63" s="252"/>
      <c r="I63" s="255"/>
      <c r="J63" s="255"/>
      <c r="K63" s="253"/>
      <c r="L63" s="254"/>
      <c r="M63" s="255"/>
      <c r="N63" s="255"/>
      <c r="O63" s="255"/>
      <c r="P63" s="256"/>
    </row>
    <row r="64" spans="1:17" s="193" customFormat="1" ht="42.75" customHeight="1">
      <c r="A64" s="199" t="str">
        <f>Plan!A49</f>
        <v>XC Stopping 3</v>
      </c>
      <c r="B64" s="371" t="str">
        <f>Plan!E49</f>
        <v>220004 ROOF EXAM REQ</v>
      </c>
      <c r="C64" s="741" t="str">
        <f>Plan!F49</f>
        <v>221133 F/D OIL           221125 PACK</v>
      </c>
      <c r="D64" s="742"/>
      <c r="E64" s="741" t="str">
        <f>Plan!G49</f>
        <v>221140 607 U1 HVAC ISOL REPS /        220030 VERTICAL DAMPERS</v>
      </c>
      <c r="F64" s="746"/>
      <c r="G64" s="742"/>
      <c r="H64" s="741">
        <f>Plan!H49</f>
        <v>0</v>
      </c>
      <c r="I64" s="746"/>
      <c r="J64" s="746"/>
      <c r="K64" s="742"/>
      <c r="L64" s="741" t="str">
        <f>Plan!I49</f>
        <v>220009 PACK</v>
      </c>
      <c r="M64" s="746"/>
      <c r="N64" s="746"/>
      <c r="O64" s="746"/>
      <c r="P64" s="742"/>
    </row>
    <row r="65" spans="1:16" s="193" customFormat="1" ht="12.75" customHeight="1">
      <c r="A65" s="203"/>
      <c r="B65" s="262" t="s">
        <v>4</v>
      </c>
      <c r="C65" s="263" t="s">
        <v>4</v>
      </c>
      <c r="D65" s="264" t="s">
        <v>5</v>
      </c>
      <c r="E65" s="265" t="s">
        <v>4</v>
      </c>
      <c r="F65" s="266" t="s">
        <v>6</v>
      </c>
      <c r="G65" s="267" t="s">
        <v>7</v>
      </c>
      <c r="H65" s="263" t="s">
        <v>4</v>
      </c>
      <c r="I65" s="266" t="s">
        <v>8</v>
      </c>
      <c r="J65" s="266" t="s">
        <v>9</v>
      </c>
      <c r="K65" s="264" t="s">
        <v>5</v>
      </c>
      <c r="L65" s="265" t="s">
        <v>4</v>
      </c>
      <c r="M65" s="266" t="s">
        <v>10</v>
      </c>
      <c r="N65" s="266" t="s">
        <v>9</v>
      </c>
      <c r="O65" s="266" t="s">
        <v>11</v>
      </c>
      <c r="P65" s="267" t="s">
        <v>5</v>
      </c>
    </row>
    <row r="66" spans="1:16" s="193" customFormat="1" ht="12.75" customHeight="1">
      <c r="A66" s="739" t="s">
        <v>18</v>
      </c>
      <c r="B66" s="245"/>
      <c r="C66" s="246"/>
      <c r="D66" s="247"/>
      <c r="E66" s="248"/>
      <c r="F66" s="249"/>
      <c r="G66" s="250"/>
      <c r="H66" s="246"/>
      <c r="I66" s="249"/>
      <c r="J66" s="249"/>
      <c r="K66" s="247"/>
      <c r="L66" s="248"/>
      <c r="M66" s="249"/>
      <c r="N66" s="249"/>
      <c r="O66" s="249"/>
      <c r="P66" s="250"/>
    </row>
    <row r="67" spans="1:16" s="193" customFormat="1" ht="13.5" thickBot="1">
      <c r="A67" s="740"/>
      <c r="B67" s="251">
        <v>0</v>
      </c>
      <c r="C67" s="252"/>
      <c r="D67" s="253">
        <v>0</v>
      </c>
      <c r="E67" s="254"/>
      <c r="F67" s="255"/>
      <c r="G67" s="256">
        <v>0</v>
      </c>
      <c r="H67" s="252"/>
      <c r="I67" s="255"/>
      <c r="J67" s="255"/>
      <c r="K67" s="253"/>
      <c r="L67" s="254"/>
      <c r="M67" s="255"/>
      <c r="N67" s="255"/>
      <c r="O67" s="255"/>
      <c r="P67" s="256"/>
    </row>
    <row r="68" spans="1:16" s="193" customFormat="1" ht="48.75" customHeight="1">
      <c r="A68" s="199" t="str">
        <f>Plan!A50</f>
        <v>XC Stopping 4</v>
      </c>
      <c r="B68" s="371" t="str">
        <f>Plan!E50</f>
        <v>221128
Traction</v>
      </c>
      <c r="C68" s="741" t="str">
        <f>Plan!F50</f>
        <v>220016 FRB (TRACTION)              220026 SUMMERISATION</v>
      </c>
      <c r="D68" s="742"/>
      <c r="E68" s="741" t="str">
        <f>Plan!G50</f>
        <v>221139 SUMMERISATION</v>
      </c>
      <c r="F68" s="746"/>
      <c r="G68" s="742"/>
      <c r="H68" s="741" t="str">
        <f>Plan!H50</f>
        <v>221135 SUMEMRISATION</v>
      </c>
      <c r="I68" s="746"/>
      <c r="J68" s="746"/>
      <c r="K68" s="742"/>
      <c r="L68" s="741" t="str">
        <f>Plan!I50</f>
        <v>221138 TOILET TANK</v>
      </c>
      <c r="M68" s="746"/>
      <c r="N68" s="746"/>
      <c r="O68" s="746"/>
      <c r="P68" s="742"/>
    </row>
    <row r="69" spans="1:16" s="193" customFormat="1" ht="12.75" customHeight="1">
      <c r="A69" s="203"/>
      <c r="B69" s="268" t="s">
        <v>4</v>
      </c>
      <c r="C69" s="263" t="s">
        <v>4</v>
      </c>
      <c r="D69" s="264" t="s">
        <v>5</v>
      </c>
      <c r="E69" s="265" t="s">
        <v>4</v>
      </c>
      <c r="F69" s="266" t="s">
        <v>6</v>
      </c>
      <c r="G69" s="267" t="s">
        <v>7</v>
      </c>
      <c r="H69" s="263" t="s">
        <v>4</v>
      </c>
      <c r="I69" s="266" t="s">
        <v>8</v>
      </c>
      <c r="J69" s="266" t="s">
        <v>9</v>
      </c>
      <c r="K69" s="264" t="s">
        <v>5</v>
      </c>
      <c r="L69" s="265" t="s">
        <v>4</v>
      </c>
      <c r="M69" s="266" t="s">
        <v>10</v>
      </c>
      <c r="N69" s="266" t="s">
        <v>9</v>
      </c>
      <c r="O69" s="266" t="s">
        <v>11</v>
      </c>
      <c r="P69" s="267" t="s">
        <v>5</v>
      </c>
    </row>
    <row r="70" spans="1:16" s="193" customFormat="1" ht="12.75" customHeight="1">
      <c r="A70" s="739" t="s">
        <v>18</v>
      </c>
      <c r="B70" s="226"/>
      <c r="C70" s="246"/>
      <c r="D70" s="247"/>
      <c r="E70" s="248"/>
      <c r="F70" s="249"/>
      <c r="G70" s="250"/>
      <c r="H70" s="246"/>
      <c r="I70" s="249"/>
      <c r="J70" s="249"/>
      <c r="K70" s="247"/>
      <c r="L70" s="248"/>
      <c r="M70" s="249"/>
      <c r="N70" s="249"/>
      <c r="O70" s="249"/>
      <c r="P70" s="250"/>
    </row>
    <row r="71" spans="1:16" s="193" customFormat="1" ht="13.5" thickBot="1">
      <c r="A71" s="804"/>
      <c r="B71" s="269">
        <v>0</v>
      </c>
      <c r="C71" s="270"/>
      <c r="D71" s="271">
        <v>0</v>
      </c>
      <c r="E71" s="272"/>
      <c r="F71" s="273"/>
      <c r="G71" s="274">
        <v>0</v>
      </c>
      <c r="H71" s="270"/>
      <c r="I71" s="273"/>
      <c r="J71" s="273"/>
      <c r="K71" s="271"/>
      <c r="L71" s="272"/>
      <c r="M71" s="273"/>
      <c r="N71" s="273"/>
      <c r="O71" s="273"/>
      <c r="P71" s="274"/>
    </row>
    <row r="72" spans="1:16" ht="48" customHeight="1">
      <c r="A72" s="210" t="str">
        <f>Plan!A51</f>
        <v>Crofton</v>
      </c>
      <c r="B72" s="371" t="str">
        <f>Plan!E51</f>
        <v>221137 RAD CLEAN @ CT</v>
      </c>
      <c r="C72" s="741" t="str">
        <f>Plan!F51</f>
        <v>220010 607 U1 HVAC CHANGE @ CT</v>
      </c>
      <c r="D72" s="742"/>
      <c r="E72" s="741" t="str">
        <f>Plan!G51</f>
        <v>221119 603 U2 HVAC CHANGE @ CT</v>
      </c>
      <c r="F72" s="746"/>
      <c r="G72" s="742"/>
      <c r="H72" s="741" t="str">
        <f>Plan!H51</f>
        <v>220034 RAD CLEAN &amp; 607 U2 HVAC CHANGE @ CT</v>
      </c>
      <c r="I72" s="746"/>
      <c r="J72" s="746"/>
      <c r="K72" s="742"/>
      <c r="L72" s="741" t="str">
        <f>Plan!I51</f>
        <v>220002 RAD CLEAN @ CT</v>
      </c>
      <c r="M72" s="746"/>
      <c r="N72" s="746"/>
      <c r="O72" s="746"/>
      <c r="P72" s="742"/>
    </row>
    <row r="73" spans="1:16" ht="12.75" customHeight="1">
      <c r="A73" s="203"/>
      <c r="B73" s="268" t="s">
        <v>4</v>
      </c>
      <c r="C73" s="263" t="s">
        <v>4</v>
      </c>
      <c r="D73" s="264" t="s">
        <v>5</v>
      </c>
      <c r="E73" s="265" t="s">
        <v>4</v>
      </c>
      <c r="F73" s="266" t="s">
        <v>6</v>
      </c>
      <c r="G73" s="267" t="s">
        <v>7</v>
      </c>
      <c r="H73" s="263" t="s">
        <v>4</v>
      </c>
      <c r="I73" s="266" t="s">
        <v>8</v>
      </c>
      <c r="J73" s="266" t="s">
        <v>9</v>
      </c>
      <c r="K73" s="264" t="s">
        <v>5</v>
      </c>
      <c r="L73" s="265" t="s">
        <v>4</v>
      </c>
      <c r="M73" s="266" t="s">
        <v>10</v>
      </c>
      <c r="N73" s="266" t="s">
        <v>9</v>
      </c>
      <c r="O73" s="266" t="s">
        <v>11</v>
      </c>
      <c r="P73" s="267" t="s">
        <v>5</v>
      </c>
    </row>
    <row r="74" spans="1:16">
      <c r="A74" s="739" t="s">
        <v>18</v>
      </c>
      <c r="B74" s="226"/>
      <c r="C74" s="246"/>
      <c r="D74" s="247"/>
      <c r="E74" s="248"/>
      <c r="F74" s="249"/>
      <c r="G74" s="250"/>
      <c r="H74" s="246"/>
      <c r="I74" s="249"/>
      <c r="J74" s="249"/>
      <c r="K74" s="247"/>
      <c r="L74" s="248"/>
      <c r="M74" s="249"/>
      <c r="N74" s="249"/>
      <c r="O74" s="249"/>
      <c r="P74" s="250"/>
    </row>
    <row r="75" spans="1:16" ht="13.5" thickBot="1">
      <c r="A75" s="804"/>
      <c r="B75" s="269">
        <v>0</v>
      </c>
      <c r="C75" s="270"/>
      <c r="D75" s="271">
        <v>0</v>
      </c>
      <c r="E75" s="272"/>
      <c r="F75" s="273"/>
      <c r="G75" s="274">
        <v>0</v>
      </c>
      <c r="H75" s="270"/>
      <c r="I75" s="273"/>
      <c r="J75" s="273"/>
      <c r="K75" s="271"/>
      <c r="L75" s="272"/>
      <c r="M75" s="273"/>
      <c r="N75" s="273"/>
      <c r="O75" s="273"/>
      <c r="P75" s="274"/>
    </row>
    <row r="64976" spans="1:5">
      <c r="A64976" s="193">
        <v>220001</v>
      </c>
      <c r="B64976" s="193"/>
      <c r="C64976" s="193"/>
      <c r="D64976" s="193"/>
      <c r="E64976" s="193"/>
    </row>
    <row r="64977" spans="1:5">
      <c r="A64977" s="193">
        <v>220002</v>
      </c>
      <c r="B64977" s="193"/>
      <c r="C64977" s="193"/>
      <c r="D64977" s="193"/>
      <c r="E64977" s="193"/>
    </row>
    <row r="64978" spans="1:5">
      <c r="A64978" s="193">
        <v>220003</v>
      </c>
      <c r="B64978" s="193"/>
      <c r="C64978" s="193"/>
      <c r="D64978" s="193"/>
      <c r="E64978" s="193"/>
    </row>
    <row r="64979" spans="1:5">
      <c r="A64979" s="193">
        <v>220004</v>
      </c>
      <c r="B64979" s="193"/>
      <c r="C64979" s="193"/>
      <c r="D64979" s="193"/>
      <c r="E64979" s="193"/>
    </row>
    <row r="64980" spans="1:5">
      <c r="A64980" s="193">
        <v>220005</v>
      </c>
      <c r="B64980" s="193"/>
      <c r="C64980" s="193"/>
      <c r="D64980" s="193"/>
      <c r="E64980" s="193"/>
    </row>
    <row r="64981" spans="1:5">
      <c r="A64981" s="193">
        <v>220006</v>
      </c>
      <c r="B64981" s="193"/>
      <c r="C64981" s="193"/>
      <c r="D64981" s="193"/>
      <c r="E64981" s="193"/>
    </row>
    <row r="64982" spans="1:5">
      <c r="A64982" s="193">
        <v>220007</v>
      </c>
      <c r="B64982" s="193"/>
      <c r="C64982" s="193"/>
      <c r="D64982" s="193"/>
      <c r="E64982" s="193"/>
    </row>
    <row r="64983" spans="1:5">
      <c r="A64983" s="193">
        <v>220008</v>
      </c>
      <c r="B64983" s="193"/>
      <c r="C64983" s="193"/>
      <c r="D64983" s="193"/>
      <c r="E64983" s="193"/>
    </row>
    <row r="64984" spans="1:5">
      <c r="A64984" s="193">
        <v>220009</v>
      </c>
      <c r="B64984" s="193"/>
      <c r="C64984" s="193"/>
      <c r="D64984" s="193"/>
      <c r="E64984" s="193"/>
    </row>
    <row r="64985" spans="1:5">
      <c r="A64985" s="193">
        <v>220010</v>
      </c>
      <c r="B64985" s="193"/>
      <c r="C64985" s="193"/>
      <c r="D64985" s="193"/>
      <c r="E64985" s="193"/>
    </row>
    <row r="64986" spans="1:5">
      <c r="A64986" s="193">
        <v>220011</v>
      </c>
      <c r="B64986" s="193"/>
      <c r="C64986" s="193"/>
      <c r="D64986" s="193"/>
      <c r="E64986" s="193"/>
    </row>
    <row r="64987" spans="1:5">
      <c r="A64987" s="193">
        <v>220012</v>
      </c>
      <c r="B64987" s="193"/>
      <c r="C64987" s="193"/>
      <c r="D64987" s="193"/>
      <c r="E64987" s="193"/>
    </row>
    <row r="64988" spans="1:5">
      <c r="A64988" s="193">
        <v>220013</v>
      </c>
      <c r="B64988" s="193"/>
      <c r="C64988" s="193"/>
      <c r="D64988" s="193"/>
      <c r="E64988" s="193"/>
    </row>
    <row r="64989" spans="1:5">
      <c r="A64989" s="193">
        <v>220014</v>
      </c>
      <c r="B64989" s="193"/>
      <c r="C64989" s="193"/>
      <c r="D64989" s="193"/>
      <c r="E64989" s="193"/>
    </row>
    <row r="64990" spans="1:5">
      <c r="A64990" s="193">
        <v>220015</v>
      </c>
      <c r="B64990" s="193"/>
      <c r="C64990" s="193"/>
      <c r="D64990" s="193"/>
      <c r="E64990" s="193"/>
    </row>
    <row r="64991" spans="1:5">
      <c r="A64991" s="193">
        <v>220016</v>
      </c>
      <c r="B64991" s="193"/>
      <c r="C64991" s="193"/>
      <c r="D64991" s="193"/>
      <c r="E64991" s="193"/>
    </row>
    <row r="64992" spans="1:5">
      <c r="A64992" s="193">
        <v>220017</v>
      </c>
      <c r="B64992" s="193"/>
      <c r="C64992" s="193"/>
      <c r="D64992" s="193"/>
      <c r="E64992" s="193"/>
    </row>
    <row r="64993" spans="1:6">
      <c r="A64993" s="193">
        <v>220018</v>
      </c>
      <c r="B64993" s="193"/>
      <c r="C64993" s="193"/>
      <c r="D64993" s="193"/>
      <c r="E64993" s="193"/>
    </row>
    <row r="64994" spans="1:6">
      <c r="A64994" s="193">
        <v>220019</v>
      </c>
      <c r="B64994" s="193"/>
      <c r="C64994" s="193"/>
      <c r="D64994" s="193"/>
      <c r="E64994" s="193"/>
    </row>
    <row r="64995" spans="1:6">
      <c r="A64995" s="193">
        <v>220020</v>
      </c>
      <c r="B64995" s="193"/>
      <c r="C64995" s="193"/>
      <c r="D64995" s="193"/>
      <c r="E64995" s="193"/>
    </row>
    <row r="64996" spans="1:6">
      <c r="A64996" s="193">
        <v>220021</v>
      </c>
      <c r="B64996" s="193"/>
      <c r="C64996" s="193"/>
      <c r="D64996" s="193"/>
      <c r="E64996" s="193"/>
    </row>
    <row r="64997" spans="1:6">
      <c r="A64997" s="193">
        <v>220022</v>
      </c>
      <c r="B64997" s="193"/>
      <c r="C64997" s="193"/>
      <c r="D64997" s="193"/>
      <c r="E64997" s="193"/>
    </row>
    <row r="64998" spans="1:6">
      <c r="A64998" s="193">
        <v>220023</v>
      </c>
      <c r="B64998" s="193"/>
      <c r="C64998" s="193"/>
      <c r="D64998" s="193"/>
      <c r="E64998" s="193"/>
    </row>
    <row r="64999" spans="1:6">
      <c r="A64999" s="193">
        <v>220024</v>
      </c>
      <c r="B64999" s="193"/>
      <c r="C64999" s="193"/>
      <c r="D64999" s="193"/>
      <c r="E64999" s="193"/>
    </row>
    <row r="65000" spans="1:6">
      <c r="A65000" s="193">
        <v>220025</v>
      </c>
      <c r="B65000" s="193"/>
      <c r="C65000" s="193"/>
      <c r="D65000" s="193"/>
      <c r="E65000" s="193"/>
    </row>
    <row r="65001" spans="1:6">
      <c r="A65001" s="193">
        <v>220026</v>
      </c>
      <c r="B65001" s="193"/>
      <c r="C65001" s="193"/>
      <c r="D65001" s="193"/>
      <c r="E65001" s="193"/>
    </row>
    <row r="65002" spans="1:6">
      <c r="A65002" s="193">
        <v>220027</v>
      </c>
      <c r="B65002" s="193"/>
      <c r="C65002" s="193"/>
      <c r="D65002" s="193"/>
      <c r="E65002" s="193"/>
    </row>
    <row r="65003" spans="1:6">
      <c r="A65003" s="193">
        <v>220028</v>
      </c>
      <c r="B65003" s="193"/>
      <c r="C65003" s="193"/>
      <c r="D65003" s="193"/>
      <c r="E65003" s="193"/>
    </row>
    <row r="65004" spans="1:6">
      <c r="A65004" s="193">
        <v>220029</v>
      </c>
      <c r="B65004" s="193"/>
      <c r="C65004" s="193"/>
      <c r="D65004" s="193"/>
      <c r="E65004" s="193"/>
    </row>
    <row r="65005" spans="1:6">
      <c r="A65005" s="193">
        <v>220030</v>
      </c>
      <c r="B65005" s="193"/>
      <c r="C65005" s="193"/>
      <c r="D65005" s="193"/>
      <c r="E65005" s="193"/>
    </row>
    <row r="65006" spans="1:6">
      <c r="A65006" s="193">
        <v>220031</v>
      </c>
      <c r="B65006" s="193"/>
      <c r="C65006" s="193"/>
      <c r="D65006" s="193"/>
      <c r="E65006" s="193"/>
    </row>
    <row r="65007" spans="1:6">
      <c r="A65007" s="193">
        <v>220032</v>
      </c>
      <c r="B65007" s="193"/>
      <c r="C65007" s="193"/>
      <c r="D65007" s="193"/>
      <c r="E65007" s="193"/>
      <c r="F65007" s="211"/>
    </row>
    <row r="65008" spans="1:6">
      <c r="A65008" s="193">
        <v>220033</v>
      </c>
      <c r="B65008" s="193"/>
      <c r="C65008" s="193"/>
      <c r="D65008" s="193"/>
      <c r="E65008" s="193"/>
      <c r="F65008" s="211"/>
    </row>
    <row r="65009" spans="1:11">
      <c r="A65009" s="193">
        <v>220034</v>
      </c>
      <c r="B65009" s="193"/>
      <c r="C65009" s="193"/>
      <c r="D65009" s="193"/>
      <c r="E65009" s="193"/>
      <c r="F65009" s="211"/>
    </row>
    <row r="65010" spans="1:11" ht="12.75" customHeight="1">
      <c r="A65010" s="193">
        <v>221101</v>
      </c>
      <c r="B65010" s="211" t="s">
        <v>14</v>
      </c>
      <c r="C65010" s="211"/>
      <c r="D65010" s="211"/>
      <c r="E65010" s="211"/>
      <c r="F65010" s="211"/>
      <c r="I65010" s="803">
        <v>221101</v>
      </c>
      <c r="J65010" s="803"/>
      <c r="K65010" s="803"/>
    </row>
    <row r="65011" spans="1:11">
      <c r="A65011" s="193">
        <v>221102</v>
      </c>
      <c r="B65011" s="193" t="s">
        <v>14</v>
      </c>
      <c r="C65011" s="193"/>
      <c r="D65011" s="193"/>
      <c r="E65011" s="193"/>
      <c r="F65011" s="211"/>
      <c r="I65011" s="803">
        <v>221102</v>
      </c>
      <c r="J65011" s="803"/>
      <c r="K65011" s="803"/>
    </row>
    <row r="65012" spans="1:11">
      <c r="A65012" s="193">
        <v>221103</v>
      </c>
      <c r="B65012" s="193"/>
      <c r="C65012" s="193"/>
      <c r="D65012" s="193"/>
      <c r="E65012" s="193"/>
      <c r="F65012" s="211"/>
      <c r="I65012" s="803">
        <v>0</v>
      </c>
      <c r="J65012" s="803"/>
      <c r="K65012" s="803"/>
    </row>
    <row r="65013" spans="1:11">
      <c r="A65013" s="193">
        <v>221104</v>
      </c>
      <c r="B65013" s="193"/>
      <c r="C65013" s="193"/>
      <c r="D65013" s="193"/>
      <c r="E65013" s="193"/>
      <c r="F65013" s="211"/>
      <c r="I65013" s="803">
        <v>0</v>
      </c>
      <c r="J65013" s="803"/>
      <c r="K65013" s="803"/>
    </row>
    <row r="65014" spans="1:11">
      <c r="A65014" s="193">
        <v>221105</v>
      </c>
      <c r="B65014" s="193" t="s">
        <v>14</v>
      </c>
      <c r="C65014" s="193"/>
      <c r="D65014" s="193"/>
      <c r="E65014" s="193"/>
      <c r="F65014" s="211"/>
      <c r="I65014" s="803">
        <v>221105</v>
      </c>
      <c r="J65014" s="803"/>
      <c r="K65014" s="803"/>
    </row>
    <row r="65015" spans="1:11">
      <c r="A65015" s="193">
        <v>221106</v>
      </c>
      <c r="B65015" s="193"/>
      <c r="C65015" s="193"/>
      <c r="D65015" s="193"/>
      <c r="E65015" s="193"/>
      <c r="F65015" s="211"/>
      <c r="I65015" s="803">
        <v>0</v>
      </c>
      <c r="J65015" s="803"/>
      <c r="K65015" s="803"/>
    </row>
    <row r="65016" spans="1:11">
      <c r="A65016" s="193">
        <v>221107</v>
      </c>
      <c r="B65016" s="193" t="s">
        <v>14</v>
      </c>
      <c r="C65016" s="193"/>
      <c r="D65016" s="193"/>
      <c r="E65016" s="193"/>
      <c r="F65016" s="211"/>
      <c r="I65016" s="803">
        <v>221107</v>
      </c>
      <c r="J65016" s="803"/>
      <c r="K65016" s="803"/>
    </row>
    <row r="65017" spans="1:11">
      <c r="A65017" s="193">
        <v>221108</v>
      </c>
      <c r="B65017" s="193"/>
      <c r="C65017" s="193"/>
      <c r="D65017" s="193"/>
      <c r="E65017" s="193"/>
      <c r="F65017" s="211"/>
      <c r="I65017" s="803">
        <v>0</v>
      </c>
      <c r="J65017" s="803"/>
      <c r="K65017" s="803"/>
    </row>
    <row r="65018" spans="1:11">
      <c r="A65018" s="193">
        <v>221109</v>
      </c>
      <c r="B65018" s="193"/>
      <c r="C65018" s="193"/>
      <c r="D65018" s="193"/>
      <c r="E65018" s="193"/>
      <c r="F65018" s="211"/>
      <c r="I65018" s="803">
        <v>0</v>
      </c>
      <c r="J65018" s="803"/>
      <c r="K65018" s="803"/>
    </row>
    <row r="65019" spans="1:11">
      <c r="A65019" s="193">
        <v>221110</v>
      </c>
      <c r="B65019" s="193"/>
      <c r="C65019" s="193"/>
      <c r="D65019" s="193"/>
      <c r="E65019" s="193"/>
      <c r="F65019" s="211"/>
      <c r="I65019" s="803">
        <v>0</v>
      </c>
      <c r="J65019" s="803"/>
      <c r="K65019" s="803"/>
    </row>
    <row r="65020" spans="1:11">
      <c r="A65020" s="193">
        <v>221111</v>
      </c>
      <c r="B65020" s="193" t="s">
        <v>14</v>
      </c>
      <c r="C65020" s="193"/>
      <c r="D65020" s="193"/>
      <c r="E65020" s="193"/>
      <c r="F65020" s="211"/>
      <c r="I65020" s="803">
        <v>221111</v>
      </c>
      <c r="J65020" s="803"/>
      <c r="K65020" s="803"/>
    </row>
    <row r="65021" spans="1:11">
      <c r="A65021" s="193">
        <v>221112</v>
      </c>
      <c r="B65021" s="193"/>
      <c r="C65021" s="193"/>
      <c r="D65021" s="193"/>
      <c r="E65021" s="193"/>
      <c r="F65021" s="211"/>
      <c r="I65021" s="803">
        <v>0</v>
      </c>
      <c r="J65021" s="803"/>
      <c r="K65021" s="803"/>
    </row>
    <row r="65022" spans="1:11">
      <c r="A65022" s="193">
        <v>221113</v>
      </c>
      <c r="B65022" s="193" t="s">
        <v>14</v>
      </c>
      <c r="C65022" s="193"/>
      <c r="D65022" s="193"/>
      <c r="E65022" s="193"/>
      <c r="F65022" s="211"/>
      <c r="I65022" s="803">
        <v>0</v>
      </c>
      <c r="J65022" s="803"/>
      <c r="K65022" s="803"/>
    </row>
    <row r="65023" spans="1:11">
      <c r="A65023" s="193">
        <v>221114</v>
      </c>
      <c r="B65023" s="193" t="s">
        <v>14</v>
      </c>
      <c r="C65023" s="193"/>
      <c r="D65023" s="193"/>
      <c r="E65023" s="193"/>
      <c r="F65023" s="211"/>
      <c r="I65023" s="803">
        <v>221114</v>
      </c>
      <c r="J65023" s="803"/>
      <c r="K65023" s="803"/>
    </row>
    <row r="65024" spans="1:11">
      <c r="A65024" s="193">
        <v>221115</v>
      </c>
      <c r="B65024" s="193" t="s">
        <v>14</v>
      </c>
      <c r="C65024" s="193"/>
      <c r="D65024" s="193"/>
      <c r="E65024" s="193"/>
      <c r="F65024" s="211"/>
      <c r="I65024" s="803">
        <v>221115</v>
      </c>
      <c r="J65024" s="803"/>
      <c r="K65024" s="803"/>
    </row>
    <row r="65025" spans="1:11">
      <c r="A65025" s="193">
        <v>221116</v>
      </c>
      <c r="B65025" s="193"/>
      <c r="C65025" s="193"/>
      <c r="D65025" s="193"/>
      <c r="E65025" s="193"/>
      <c r="F65025" s="211"/>
      <c r="I65025" s="803">
        <v>0</v>
      </c>
      <c r="J65025" s="803"/>
      <c r="K65025" s="803"/>
    </row>
    <row r="65026" spans="1:11">
      <c r="A65026" s="193">
        <v>221117</v>
      </c>
      <c r="B65026" s="193"/>
      <c r="C65026" s="193"/>
      <c r="D65026" s="193"/>
      <c r="E65026" s="193"/>
      <c r="F65026" s="211"/>
      <c r="I65026" s="803">
        <v>0</v>
      </c>
      <c r="J65026" s="803"/>
      <c r="K65026" s="803"/>
    </row>
    <row r="65027" spans="1:11">
      <c r="A65027" s="193">
        <v>221118</v>
      </c>
      <c r="B65027" s="193"/>
      <c r="C65027" s="193"/>
      <c r="D65027" s="193"/>
      <c r="E65027" s="193"/>
      <c r="F65027" s="211"/>
      <c r="I65027" s="803">
        <v>0</v>
      </c>
      <c r="J65027" s="803"/>
      <c r="K65027" s="803"/>
    </row>
    <row r="65028" spans="1:11">
      <c r="A65028" s="193">
        <v>221119</v>
      </c>
      <c r="B65028" s="193" t="s">
        <v>14</v>
      </c>
      <c r="C65028" s="193"/>
      <c r="D65028" s="193"/>
      <c r="E65028" s="193"/>
      <c r="F65028" s="211"/>
      <c r="I65028" s="803">
        <v>221119</v>
      </c>
      <c r="J65028" s="803"/>
      <c r="K65028" s="803"/>
    </row>
    <row r="65029" spans="1:11">
      <c r="A65029" s="193">
        <v>221120</v>
      </c>
      <c r="B65029" s="193" t="s">
        <v>14</v>
      </c>
      <c r="C65029" s="193"/>
      <c r="D65029" s="193"/>
      <c r="E65029" s="193"/>
      <c r="F65029" s="211"/>
      <c r="I65029" s="803">
        <v>221120</v>
      </c>
      <c r="J65029" s="803"/>
      <c r="K65029" s="803"/>
    </row>
    <row r="65030" spans="1:11">
      <c r="A65030" s="193">
        <v>221121</v>
      </c>
      <c r="B65030" s="193" t="s">
        <v>14</v>
      </c>
      <c r="C65030" s="193"/>
      <c r="D65030" s="193"/>
      <c r="E65030" s="193"/>
      <c r="F65030" s="211"/>
      <c r="I65030" s="803">
        <v>221121</v>
      </c>
      <c r="J65030" s="803"/>
      <c r="K65030" s="803"/>
    </row>
    <row r="65031" spans="1:11">
      <c r="A65031" s="193">
        <v>221122</v>
      </c>
      <c r="B65031" s="193"/>
      <c r="C65031" s="193"/>
      <c r="D65031" s="193"/>
      <c r="E65031" s="193"/>
      <c r="F65031" s="211"/>
      <c r="I65031" s="803">
        <v>0</v>
      </c>
      <c r="J65031" s="803"/>
      <c r="K65031" s="803"/>
    </row>
    <row r="65032" spans="1:11">
      <c r="A65032" s="193">
        <v>221123</v>
      </c>
      <c r="B65032" s="193"/>
      <c r="C65032" s="193"/>
      <c r="D65032" s="193"/>
      <c r="E65032" s="193"/>
      <c r="F65032" s="211"/>
      <c r="I65032" s="803">
        <v>0</v>
      </c>
      <c r="J65032" s="803"/>
      <c r="K65032" s="803"/>
    </row>
    <row r="65033" spans="1:11">
      <c r="A65033" s="193">
        <v>221124</v>
      </c>
      <c r="B65033" s="193" t="s">
        <v>14</v>
      </c>
      <c r="C65033" s="193"/>
      <c r="D65033" s="193"/>
      <c r="E65033" s="193"/>
      <c r="F65033" s="211"/>
      <c r="I65033" s="803">
        <v>221124</v>
      </c>
      <c r="J65033" s="803"/>
      <c r="K65033" s="803"/>
    </row>
    <row r="65034" spans="1:11">
      <c r="A65034" s="193">
        <v>221125</v>
      </c>
      <c r="B65034" s="193" t="s">
        <v>14</v>
      </c>
      <c r="C65034" s="193"/>
      <c r="D65034" s="193"/>
      <c r="E65034" s="193"/>
      <c r="F65034" s="211"/>
      <c r="I65034" s="803">
        <v>221125</v>
      </c>
      <c r="J65034" s="803"/>
      <c r="K65034" s="803"/>
    </row>
    <row r="65035" spans="1:11">
      <c r="A65035" s="193">
        <v>221126</v>
      </c>
      <c r="B65035" s="193"/>
      <c r="C65035" s="193"/>
      <c r="D65035" s="193"/>
      <c r="E65035" s="193"/>
      <c r="F65035" s="211"/>
      <c r="I65035" s="803">
        <v>0</v>
      </c>
      <c r="J65035" s="803"/>
      <c r="K65035" s="803"/>
    </row>
    <row r="65036" spans="1:11">
      <c r="A65036" s="193">
        <v>221127</v>
      </c>
      <c r="B65036" s="193"/>
      <c r="C65036" s="193"/>
      <c r="D65036" s="193"/>
      <c r="E65036" s="193"/>
      <c r="F65036" s="211"/>
      <c r="I65036" s="803">
        <v>0</v>
      </c>
      <c r="J65036" s="803"/>
      <c r="K65036" s="803"/>
    </row>
    <row r="65037" spans="1:11">
      <c r="A65037" s="193">
        <v>221128</v>
      </c>
      <c r="B65037" s="193"/>
      <c r="C65037" s="193"/>
      <c r="D65037" s="193"/>
      <c r="E65037" s="193"/>
      <c r="F65037" s="211"/>
      <c r="I65037" s="803">
        <v>0</v>
      </c>
      <c r="J65037" s="803"/>
      <c r="K65037" s="803"/>
    </row>
    <row r="65038" spans="1:11">
      <c r="A65038" s="193">
        <v>221129</v>
      </c>
      <c r="B65038" s="193"/>
      <c r="C65038" s="193"/>
      <c r="D65038" s="193"/>
      <c r="E65038" s="193"/>
      <c r="F65038" s="211"/>
      <c r="I65038" s="803">
        <v>0</v>
      </c>
      <c r="J65038" s="803"/>
      <c r="K65038" s="803"/>
    </row>
    <row r="65039" spans="1:11">
      <c r="A65039" s="193">
        <v>221130</v>
      </c>
      <c r="B65039" s="193" t="s">
        <v>14</v>
      </c>
      <c r="C65039" s="193"/>
      <c r="D65039" s="193"/>
      <c r="E65039" s="193"/>
      <c r="F65039" s="211"/>
      <c r="I65039" s="803">
        <v>221130</v>
      </c>
      <c r="J65039" s="803"/>
      <c r="K65039" s="803"/>
    </row>
    <row r="65040" spans="1:11">
      <c r="A65040" s="193">
        <v>221131</v>
      </c>
      <c r="B65040" s="193" t="s">
        <v>14</v>
      </c>
      <c r="C65040" s="193"/>
      <c r="D65040" s="193"/>
      <c r="E65040" s="193"/>
      <c r="F65040" s="211"/>
      <c r="I65040" s="803">
        <v>0</v>
      </c>
      <c r="J65040" s="803"/>
      <c r="K65040" s="803"/>
    </row>
    <row r="65041" spans="1:11">
      <c r="A65041" s="193">
        <v>221132</v>
      </c>
      <c r="B65041" s="193" t="s">
        <v>14</v>
      </c>
      <c r="C65041" s="193"/>
      <c r="D65041" s="193"/>
      <c r="E65041" s="193"/>
      <c r="F65041" s="211"/>
      <c r="I65041" s="803">
        <v>221132</v>
      </c>
      <c r="J65041" s="803"/>
      <c r="K65041" s="803"/>
    </row>
    <row r="65042" spans="1:11">
      <c r="A65042" s="193">
        <v>221133</v>
      </c>
      <c r="B65042" s="193"/>
      <c r="C65042" s="193"/>
      <c r="D65042" s="193"/>
      <c r="E65042" s="193"/>
      <c r="F65042" s="211"/>
      <c r="I65042" s="803">
        <v>0</v>
      </c>
      <c r="J65042" s="803"/>
      <c r="K65042" s="803"/>
    </row>
    <row r="65043" spans="1:11">
      <c r="A65043" s="193">
        <v>221134</v>
      </c>
      <c r="B65043" s="193"/>
      <c r="C65043" s="193"/>
      <c r="D65043" s="193"/>
      <c r="E65043" s="193"/>
      <c r="F65043" s="211"/>
      <c r="I65043" s="803">
        <v>0</v>
      </c>
      <c r="J65043" s="803"/>
      <c r="K65043" s="803"/>
    </row>
    <row r="65044" spans="1:11">
      <c r="A65044" s="193">
        <v>221135</v>
      </c>
      <c r="B65044" s="193"/>
      <c r="C65044" s="193"/>
      <c r="D65044" s="193"/>
      <c r="E65044" s="193"/>
      <c r="F65044" s="211"/>
      <c r="I65044" s="803">
        <v>0</v>
      </c>
      <c r="J65044" s="803"/>
      <c r="K65044" s="803"/>
    </row>
    <row r="65045" spans="1:11">
      <c r="A65045" s="193">
        <v>221136</v>
      </c>
      <c r="B65045" s="193"/>
      <c r="C65045" s="193"/>
      <c r="D65045" s="193"/>
      <c r="E65045" s="193"/>
      <c r="F65045" s="211"/>
      <c r="I65045" s="803">
        <v>0</v>
      </c>
      <c r="J65045" s="803"/>
      <c r="K65045" s="803"/>
    </row>
    <row r="65046" spans="1:11">
      <c r="A65046" s="193">
        <v>221137</v>
      </c>
      <c r="B65046" s="193"/>
      <c r="C65046" s="193"/>
      <c r="D65046" s="193"/>
      <c r="E65046" s="193"/>
      <c r="F65046" s="211"/>
      <c r="I65046" s="803">
        <v>0</v>
      </c>
      <c r="J65046" s="803"/>
      <c r="K65046" s="803"/>
    </row>
    <row r="65047" spans="1:11">
      <c r="A65047" s="193">
        <v>221138</v>
      </c>
      <c r="B65047" s="193"/>
      <c r="C65047" s="193"/>
      <c r="D65047" s="193"/>
      <c r="E65047" s="193"/>
      <c r="F65047" s="211"/>
      <c r="I65047" s="803">
        <v>0</v>
      </c>
      <c r="J65047" s="803"/>
      <c r="K65047" s="803"/>
    </row>
    <row r="65048" spans="1:11">
      <c r="A65048" s="193">
        <v>221139</v>
      </c>
      <c r="B65048" s="193" t="s">
        <v>14</v>
      </c>
      <c r="C65048" s="193"/>
      <c r="D65048" s="193"/>
      <c r="E65048" s="193"/>
      <c r="F65048" s="211"/>
      <c r="I65048" s="803">
        <v>0</v>
      </c>
      <c r="J65048" s="803"/>
      <c r="K65048" s="803"/>
    </row>
    <row r="65049" spans="1:11">
      <c r="A65049" s="193">
        <v>221140</v>
      </c>
      <c r="B65049" s="193"/>
      <c r="C65049" s="193"/>
      <c r="D65049" s="193"/>
      <c r="E65049" s="193"/>
      <c r="F65049" s="211"/>
      <c r="I65049" s="803">
        <v>0</v>
      </c>
      <c r="J65049" s="803"/>
      <c r="K65049" s="803"/>
    </row>
    <row r="65050" spans="1:11">
      <c r="A65050" s="193">
        <v>221141</v>
      </c>
      <c r="B65050" s="193" t="s">
        <v>14</v>
      </c>
      <c r="C65050" s="193"/>
      <c r="D65050" s="193"/>
      <c r="E65050" s="193"/>
      <c r="F65050" s="211"/>
      <c r="I65050" s="803">
        <v>221141</v>
      </c>
      <c r="J65050" s="803"/>
      <c r="K65050" s="803"/>
    </row>
    <row r="65051" spans="1:11">
      <c r="A65051" s="193">
        <v>221142</v>
      </c>
      <c r="B65051" s="193"/>
      <c r="C65051" s="193"/>
      <c r="D65051" s="193"/>
      <c r="E65051" s="193"/>
      <c r="F65051" s="211"/>
      <c r="I65051" s="803">
        <v>0</v>
      </c>
      <c r="J65051" s="803"/>
      <c r="K65051" s="803"/>
    </row>
    <row r="65052" spans="1:11">
      <c r="A65052" s="193">
        <v>221143</v>
      </c>
      <c r="B65052" s="193" t="s">
        <v>14</v>
      </c>
      <c r="C65052" s="193"/>
      <c r="D65052" s="193"/>
      <c r="E65052" s="193"/>
      <c r="F65052" s="211"/>
      <c r="I65052" s="803">
        <v>221143</v>
      </c>
      <c r="J65052" s="803"/>
      <c r="K65052" s="803"/>
    </row>
    <row r="65053" spans="1:11">
      <c r="A65053" s="193">
        <v>221144</v>
      </c>
      <c r="B65053" s="193" t="s">
        <v>14</v>
      </c>
      <c r="C65053" s="193"/>
      <c r="D65053" s="193"/>
      <c r="E65053" s="193"/>
      <c r="F65053" s="211"/>
      <c r="I65053" s="803">
        <v>221144</v>
      </c>
      <c r="J65053" s="803"/>
      <c r="K65053" s="803"/>
    </row>
    <row r="65422" ht="38.25" customHeight="1"/>
    <row r="65510" ht="12.75" customHeight="1"/>
  </sheetData>
  <customSheetViews>
    <customSheetView guid="{C15AA83A-C5E4-4E5B-A8A6-80960211427D}" showGridLines="0" zeroValues="0" fitToPage="1" showRuler="0">
      <pane xSplit="1" ySplit="3" topLeftCell="B4" activePane="bottomRight" state="frozen"/>
      <selection pane="bottomRight" activeCell="Q18" sqref="Q18"/>
      <pageMargins left="0" right="0" top="0" bottom="0" header="0.51181102362204722" footer="0.51181102362204722"/>
      <printOptions horizontalCentered="1" verticalCentered="1"/>
      <pageSetup paperSize="9" scale="57" orientation="portrait" r:id="rId1"/>
      <headerFooter alignWithMargins="0"/>
    </customSheetView>
    <customSheetView guid="{11CCF7A5-863A-4058-B539-9256B5BB05DF}" showGridLines="0" zeroValues="0" fitToPage="1" showRuler="0">
      <pane xSplit="1" ySplit="3" topLeftCell="B4" activePane="bottomRight" state="frozen"/>
      <selection pane="bottomRight" activeCell="Q18" sqref="Q18"/>
      <pageMargins left="0" right="0" top="0" bottom="0" header="0.51181102362204722" footer="0.51181102362204722"/>
      <printOptions horizontalCentered="1" verticalCentered="1"/>
      <pageSetup paperSize="9" scale="57" orientation="portrait" r:id="rId2"/>
      <headerFooter alignWithMargins="0"/>
    </customSheetView>
    <customSheetView guid="{34EE28FF-C512-4229-98A0-90BCF91787C1}" showGridLines="0" zeroValues="0" fitToPage="1" printArea="1" showRuler="0">
      <pane xSplit="1" ySplit="3" topLeftCell="B4" activePane="bottomRight" state="frozen"/>
      <selection pane="bottomRight" activeCell="Q18" sqref="Q18"/>
      <pageMargins left="0" right="0" top="0" bottom="0" header="0.51181102362204722" footer="0.51181102362204722"/>
      <printOptions horizontalCentered="1" verticalCentered="1"/>
      <pageSetup paperSize="9" scale="57" orientation="portrait" r:id="rId3"/>
      <headerFooter alignWithMargins="0"/>
    </customSheetView>
  </customSheetViews>
  <mergeCells count="211">
    <mergeCell ref="A70:A71"/>
    <mergeCell ref="C72:D72"/>
    <mergeCell ref="E72:G72"/>
    <mergeCell ref="H72:K72"/>
    <mergeCell ref="I65016:K65016"/>
    <mergeCell ref="I65030:K65030"/>
    <mergeCell ref="A74:A75"/>
    <mergeCell ref="I65014:K65014"/>
    <mergeCell ref="I65015:K65015"/>
    <mergeCell ref="I65018:K65018"/>
    <mergeCell ref="I65019:K65019"/>
    <mergeCell ref="I65020:K65020"/>
    <mergeCell ref="I65028:K65028"/>
    <mergeCell ref="I65023:K65023"/>
    <mergeCell ref="I65021:K65021"/>
    <mergeCell ref="I65053:K65053"/>
    <mergeCell ref="I65049:K65049"/>
    <mergeCell ref="I65050:K65050"/>
    <mergeCell ref="I65051:K65051"/>
    <mergeCell ref="I65052:K65052"/>
    <mergeCell ref="I65048:K65048"/>
    <mergeCell ref="I65034:K65034"/>
    <mergeCell ref="I65029:K65029"/>
    <mergeCell ref="I65039:K65039"/>
    <mergeCell ref="I65037:K65037"/>
    <mergeCell ref="I65035:K65035"/>
    <mergeCell ref="I65038:K65038"/>
    <mergeCell ref="I65036:K65036"/>
    <mergeCell ref="I65031:K65031"/>
    <mergeCell ref="I65033:K65033"/>
    <mergeCell ref="I65047:K65047"/>
    <mergeCell ref="I65045:K65045"/>
    <mergeCell ref="I65043:K65043"/>
    <mergeCell ref="I65044:K65044"/>
    <mergeCell ref="I65040:K65040"/>
    <mergeCell ref="I65046:K65046"/>
    <mergeCell ref="I65041:K65041"/>
    <mergeCell ref="I65032:K65032"/>
    <mergeCell ref="C44:D44"/>
    <mergeCell ref="C51:D51"/>
    <mergeCell ref="C49:D49"/>
    <mergeCell ref="C64:D64"/>
    <mergeCell ref="C68:D68"/>
    <mergeCell ref="E44:G44"/>
    <mergeCell ref="C41:D41"/>
    <mergeCell ref="E41:G41"/>
    <mergeCell ref="E42:G42"/>
    <mergeCell ref="E43:G43"/>
    <mergeCell ref="L68:P68"/>
    <mergeCell ref="H56:K56"/>
    <mergeCell ref="L60:P60"/>
    <mergeCell ref="I65042:K65042"/>
    <mergeCell ref="E68:G68"/>
    <mergeCell ref="I65022:K65022"/>
    <mergeCell ref="I65024:K65024"/>
    <mergeCell ref="I65025:K65025"/>
    <mergeCell ref="I65026:K65026"/>
    <mergeCell ref="I65027:K65027"/>
    <mergeCell ref="L72:P72"/>
    <mergeCell ref="L64:P64"/>
    <mergeCell ref="L56:P56"/>
    <mergeCell ref="H68:K68"/>
    <mergeCell ref="H60:K60"/>
    <mergeCell ref="I65017:K65017"/>
    <mergeCell ref="I65010:K65010"/>
    <mergeCell ref="I65011:K65011"/>
    <mergeCell ref="I65012:K65012"/>
    <mergeCell ref="I65013:K65013"/>
    <mergeCell ref="H64:K64"/>
    <mergeCell ref="E56:G56"/>
    <mergeCell ref="L51:P51"/>
    <mergeCell ref="L49:P49"/>
    <mergeCell ref="L48:P48"/>
    <mergeCell ref="H51:K51"/>
    <mergeCell ref="H50:K50"/>
    <mergeCell ref="H49:K49"/>
    <mergeCell ref="H44:K44"/>
    <mergeCell ref="E39:G39"/>
    <mergeCell ref="L38:P38"/>
    <mergeCell ref="E38:G38"/>
    <mergeCell ref="L44:P44"/>
    <mergeCell ref="H38:K38"/>
    <mergeCell ref="H41:K41"/>
    <mergeCell ref="L41:P41"/>
    <mergeCell ref="L43:P43"/>
    <mergeCell ref="L42:P42"/>
    <mergeCell ref="L50:P50"/>
    <mergeCell ref="H48:K48"/>
    <mergeCell ref="H42:K42"/>
    <mergeCell ref="H43:K43"/>
    <mergeCell ref="C40:G40"/>
    <mergeCell ref="C42:D42"/>
    <mergeCell ref="C43:D43"/>
    <mergeCell ref="E49:G49"/>
    <mergeCell ref="C39:D39"/>
    <mergeCell ref="L39:P39"/>
    <mergeCell ref="C38:D38"/>
    <mergeCell ref="H39:K39"/>
    <mergeCell ref="L32:P32"/>
    <mergeCell ref="E37:G37"/>
    <mergeCell ref="L37:P37"/>
    <mergeCell ref="H31:K31"/>
    <mergeCell ref="H32:K32"/>
    <mergeCell ref="L31:P31"/>
    <mergeCell ref="E31:G31"/>
    <mergeCell ref="H33:K33"/>
    <mergeCell ref="E33:G33"/>
    <mergeCell ref="H37:K37"/>
    <mergeCell ref="C37:D37"/>
    <mergeCell ref="C20:D20"/>
    <mergeCell ref="E21:G21"/>
    <mergeCell ref="E19:G19"/>
    <mergeCell ref="E20:G20"/>
    <mergeCell ref="C14:D14"/>
    <mergeCell ref="E22:G22"/>
    <mergeCell ref="C13:D13"/>
    <mergeCell ref="C18:D18"/>
    <mergeCell ref="H20:K20"/>
    <mergeCell ref="E18:G18"/>
    <mergeCell ref="H18:K18"/>
    <mergeCell ref="C19:D19"/>
    <mergeCell ref="H13:K13"/>
    <mergeCell ref="E14:G14"/>
    <mergeCell ref="H14:K14"/>
    <mergeCell ref="E1:G1"/>
    <mergeCell ref="H1:K1"/>
    <mergeCell ref="L1:P1"/>
    <mergeCell ref="L4:P4"/>
    <mergeCell ref="C2:G2"/>
    <mergeCell ref="C1:D1"/>
    <mergeCell ref="C3:D3"/>
    <mergeCell ref="E3:G3"/>
    <mergeCell ref="H3:K3"/>
    <mergeCell ref="L3:P3"/>
    <mergeCell ref="C4:D4"/>
    <mergeCell ref="E4:G4"/>
    <mergeCell ref="H4:K4"/>
    <mergeCell ref="A7:A8"/>
    <mergeCell ref="A16:A17"/>
    <mergeCell ref="C12:D12"/>
    <mergeCell ref="L14:P14"/>
    <mergeCell ref="L12:P12"/>
    <mergeCell ref="E10:G10"/>
    <mergeCell ref="E13:G13"/>
    <mergeCell ref="C11:D11"/>
    <mergeCell ref="H11:K11"/>
    <mergeCell ref="H10:K10"/>
    <mergeCell ref="L13:P13"/>
    <mergeCell ref="L11:P11"/>
    <mergeCell ref="E11:G11"/>
    <mergeCell ref="H12:K12"/>
    <mergeCell ref="E12:G12"/>
    <mergeCell ref="L23:P23"/>
    <mergeCell ref="H23:K23"/>
    <mergeCell ref="E23:G23"/>
    <mergeCell ref="L5:P5"/>
    <mergeCell ref="C10:D10"/>
    <mergeCell ref="C9:D9"/>
    <mergeCell ref="H9:K9"/>
    <mergeCell ref="L9:P9"/>
    <mergeCell ref="E9:G9"/>
    <mergeCell ref="L10:P10"/>
    <mergeCell ref="H5:K5"/>
    <mergeCell ref="C23:D23"/>
    <mergeCell ref="C5:D5"/>
    <mergeCell ref="E5:G5"/>
    <mergeCell ref="L19:P19"/>
    <mergeCell ref="L21:P21"/>
    <mergeCell ref="L18:P18"/>
    <mergeCell ref="L20:P20"/>
    <mergeCell ref="L22:P22"/>
    <mergeCell ref="H22:K22"/>
    <mergeCell ref="H19:K19"/>
    <mergeCell ref="H21:K21"/>
    <mergeCell ref="C22:D22"/>
    <mergeCell ref="C21:D21"/>
    <mergeCell ref="A35:A36"/>
    <mergeCell ref="L27:P27"/>
    <mergeCell ref="L29:P29"/>
    <mergeCell ref="C32:D32"/>
    <mergeCell ref="E32:G32"/>
    <mergeCell ref="A25:A26"/>
    <mergeCell ref="C28:D28"/>
    <mergeCell ref="E28:G28"/>
    <mergeCell ref="H28:K28"/>
    <mergeCell ref="C29:D29"/>
    <mergeCell ref="C27:D27"/>
    <mergeCell ref="E27:G27"/>
    <mergeCell ref="H27:K27"/>
    <mergeCell ref="L28:P28"/>
    <mergeCell ref="C30:G30"/>
    <mergeCell ref="E29:G29"/>
    <mergeCell ref="H29:K29"/>
    <mergeCell ref="C33:D33"/>
    <mergeCell ref="L33:P33"/>
    <mergeCell ref="C31:D31"/>
    <mergeCell ref="A62:A63"/>
    <mergeCell ref="A66:A67"/>
    <mergeCell ref="A53:A54"/>
    <mergeCell ref="A58:A59"/>
    <mergeCell ref="C60:D60"/>
    <mergeCell ref="A46:A47"/>
    <mergeCell ref="C55:G55"/>
    <mergeCell ref="E64:G64"/>
    <mergeCell ref="C50:D50"/>
    <mergeCell ref="E50:G50"/>
    <mergeCell ref="C48:D48"/>
    <mergeCell ref="E48:G48"/>
    <mergeCell ref="E60:G60"/>
    <mergeCell ref="E51:G51"/>
    <mergeCell ref="C56:D56"/>
  </mergeCells>
  <phoneticPr fontId="0" type="noConversion"/>
  <conditionalFormatting sqref="B37:P37 C18:P18 E9:H9 L9 B9:C9 B27:B29 C27:P27 C29:P29">
    <cfRule type="cellIs" dxfId="9947" priority="35" stopIfTrue="1" operator="between">
      <formula>3000</formula>
      <formula>1000</formula>
    </cfRule>
  </conditionalFormatting>
  <conditionalFormatting sqref="L9 B9:C9 E9:H9">
    <cfRule type="cellIs" dxfId="9946" priority="33" stopIfTrue="1" operator="between">
      <formula>3000</formula>
      <formula>1000</formula>
    </cfRule>
    <cfRule type="cellIs" dxfId="9945" priority="34" stopIfTrue="1" operator="lessThan">
      <formula>1000</formula>
    </cfRule>
  </conditionalFormatting>
  <conditionalFormatting sqref="C18:P18">
    <cfRule type="cellIs" dxfId="9944" priority="29" stopIfTrue="1" operator="between">
      <formula>3000</formula>
      <formula>1000</formula>
    </cfRule>
    <cfRule type="cellIs" dxfId="9943" priority="30" stopIfTrue="1" operator="lessThan">
      <formula>1000</formula>
    </cfRule>
  </conditionalFormatting>
  <conditionalFormatting sqref="B37:P37">
    <cfRule type="cellIs" dxfId="9942" priority="25" stopIfTrue="1" operator="between">
      <formula>3000</formula>
      <formula>1000</formula>
    </cfRule>
    <cfRule type="cellIs" dxfId="9941" priority="26" stopIfTrue="1" operator="lessThan">
      <formula>1000</formula>
    </cfRule>
  </conditionalFormatting>
  <conditionalFormatting sqref="B11:H11 L11">
    <cfRule type="cellIs" dxfId="9940" priority="16" stopIfTrue="1" operator="greaterThan">
      <formula>32</formula>
    </cfRule>
  </conditionalFormatting>
  <conditionalFormatting sqref="C20:P20">
    <cfRule type="cellIs" dxfId="9939" priority="13" stopIfTrue="1" operator="greaterThan">
      <formula>32</formula>
    </cfRule>
  </conditionalFormatting>
  <conditionalFormatting sqref="B39:P39">
    <cfRule type="cellIs" dxfId="9938" priority="12" stopIfTrue="1" operator="greaterThan">
      <formula>32</formula>
    </cfRule>
  </conditionalFormatting>
  <conditionalFormatting sqref="B44:P44">
    <cfRule type="cellIs" dxfId="9937" priority="11" stopIfTrue="1" operator="between">
      <formula>34</formula>
      <formula>100</formula>
    </cfRule>
  </conditionalFormatting>
  <conditionalFormatting sqref="B51:P51">
    <cfRule type="cellIs" dxfId="9936" priority="8" stopIfTrue="1" operator="between">
      <formula>34</formula>
      <formula>100</formula>
    </cfRule>
  </conditionalFormatting>
  <conditionalFormatting sqref="B29:P29">
    <cfRule type="cellIs" dxfId="9935" priority="6" stopIfTrue="1" operator="greaterThan">
      <formula>32</formula>
    </cfRule>
  </conditionalFormatting>
  <conditionalFormatting sqref="B29">
    <cfRule type="cellIs" dxfId="9934" priority="5" stopIfTrue="1" operator="greaterThan">
      <formula>32</formula>
    </cfRule>
  </conditionalFormatting>
  <printOptions horizontalCentered="1" verticalCentered="1"/>
  <pageMargins left="0.19685039370078741" right="0" top="0.23622047244094491" bottom="0" header="0.51181102362204722" footer="0.47244094488188981"/>
  <pageSetup paperSize="9" scale="71" orientation="portrait" r:id="rId4"/>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1"/>
  </sheetPr>
  <dimension ref="A1:AS412"/>
  <sheetViews>
    <sheetView showGridLines="0" showZeros="0" zoomScale="80" zoomScaleNormal="80" zoomScaleSheetLayoutView="70" workbookViewId="0">
      <selection activeCell="I44" sqref="I44"/>
    </sheetView>
  </sheetViews>
  <sheetFormatPr defaultRowHeight="12.75"/>
  <cols>
    <col min="1" max="2" width="14.7109375" style="67" customWidth="1"/>
    <col min="3" max="3" width="14.85546875" style="67" customWidth="1"/>
    <col min="4" max="4" width="14.5703125" style="67" customWidth="1"/>
    <col min="5" max="5" width="14.7109375" style="67" customWidth="1"/>
    <col min="6" max="6" width="14.7109375" style="73" customWidth="1"/>
    <col min="7" max="7" width="14.5703125" style="73" customWidth="1"/>
    <col min="8" max="12" width="14.7109375" style="73" customWidth="1"/>
    <col min="13" max="17" width="14.7109375" style="67" customWidth="1"/>
    <col min="18" max="18" width="14.5703125" style="67" customWidth="1"/>
    <col min="19" max="27" width="14.7109375" style="67" customWidth="1"/>
    <col min="28" max="42" width="14.7109375" style="49" customWidth="1"/>
    <col min="43" max="43" width="14.5703125" style="49" customWidth="1"/>
    <col min="44" max="44" width="14.7109375" style="49" customWidth="1"/>
    <col min="45" max="16384" width="9.140625" style="49"/>
  </cols>
  <sheetData>
    <row r="1" spans="1:43" ht="14.25" thickTop="1" thickBot="1">
      <c r="A1" s="325"/>
      <c r="B1" s="47">
        <f>'220'!$K$80</f>
        <v>131993593</v>
      </c>
      <c r="C1" s="813">
        <f>'Mileages EOD'!A1</f>
        <v>42933</v>
      </c>
      <c r="D1" s="814"/>
      <c r="E1" s="453">
        <v>1</v>
      </c>
      <c r="F1" s="75">
        <v>2</v>
      </c>
      <c r="G1" s="75">
        <v>3</v>
      </c>
      <c r="H1" s="75">
        <v>4</v>
      </c>
      <c r="I1" s="75">
        <v>5</v>
      </c>
      <c r="J1" s="75">
        <v>6</v>
      </c>
      <c r="K1" s="75">
        <v>7</v>
      </c>
      <c r="L1" s="76">
        <v>8</v>
      </c>
      <c r="M1" s="75">
        <v>9</v>
      </c>
      <c r="N1" s="75">
        <v>10</v>
      </c>
      <c r="O1" s="75">
        <v>11</v>
      </c>
      <c r="P1" s="75">
        <v>12</v>
      </c>
      <c r="Q1" s="75">
        <v>13</v>
      </c>
      <c r="R1" s="75">
        <v>14</v>
      </c>
      <c r="S1" s="75">
        <v>15</v>
      </c>
      <c r="T1" s="74">
        <v>16</v>
      </c>
      <c r="U1" s="75">
        <v>17</v>
      </c>
      <c r="V1" s="75">
        <v>18</v>
      </c>
      <c r="W1" s="75">
        <v>19</v>
      </c>
      <c r="X1" s="75">
        <v>20</v>
      </c>
      <c r="Y1" s="75">
        <v>21</v>
      </c>
      <c r="Z1" s="75">
        <v>22</v>
      </c>
      <c r="AA1" s="75">
        <v>23</v>
      </c>
      <c r="AB1" s="75">
        <v>24</v>
      </c>
      <c r="AC1" s="75">
        <v>25</v>
      </c>
      <c r="AD1" s="75">
        <v>26</v>
      </c>
      <c r="AE1" s="75">
        <v>27</v>
      </c>
      <c r="AF1" s="75">
        <v>28</v>
      </c>
      <c r="AG1" s="75">
        <v>29</v>
      </c>
      <c r="AH1" s="75">
        <v>30</v>
      </c>
      <c r="AI1" s="75">
        <v>31</v>
      </c>
      <c r="AJ1" s="75">
        <v>32</v>
      </c>
      <c r="AK1" s="75">
        <v>33</v>
      </c>
      <c r="AL1" s="75">
        <v>34</v>
      </c>
      <c r="AM1" s="75">
        <v>35</v>
      </c>
      <c r="AN1" s="75">
        <v>36</v>
      </c>
      <c r="AO1" s="75">
        <v>37</v>
      </c>
      <c r="AP1" s="75">
        <v>38</v>
      </c>
    </row>
    <row r="2" spans="1:43" ht="14.25" thickTop="1" thickBot="1">
      <c r="A2" s="325" t="s">
        <v>2</v>
      </c>
      <c r="B2" s="8">
        <f>'220'!$K81</f>
        <v>171570299</v>
      </c>
      <c r="C2" s="126" t="s">
        <v>22</v>
      </c>
      <c r="D2" s="450" t="s">
        <v>61</v>
      </c>
      <c r="E2" s="454">
        <f>C1</f>
        <v>42933</v>
      </c>
      <c r="F2" s="78">
        <f>E2+1</f>
        <v>42934</v>
      </c>
      <c r="G2" s="78">
        <f t="shared" ref="G2:V3" si="0">F2+1</f>
        <v>42935</v>
      </c>
      <c r="H2" s="78">
        <f t="shared" si="0"/>
        <v>42936</v>
      </c>
      <c r="I2" s="78">
        <f t="shared" si="0"/>
        <v>42937</v>
      </c>
      <c r="J2" s="78">
        <f t="shared" si="0"/>
        <v>42938</v>
      </c>
      <c r="K2" s="78">
        <f t="shared" si="0"/>
        <v>42939</v>
      </c>
      <c r="L2" s="79">
        <f t="shared" si="0"/>
        <v>42940</v>
      </c>
      <c r="M2" s="78">
        <f t="shared" si="0"/>
        <v>42941</v>
      </c>
      <c r="N2" s="78">
        <f t="shared" si="0"/>
        <v>42942</v>
      </c>
      <c r="O2" s="78">
        <f t="shared" si="0"/>
        <v>42943</v>
      </c>
      <c r="P2" s="78">
        <f t="shared" si="0"/>
        <v>42944</v>
      </c>
      <c r="Q2" s="78">
        <f t="shared" si="0"/>
        <v>42945</v>
      </c>
      <c r="R2" s="78">
        <f t="shared" si="0"/>
        <v>42946</v>
      </c>
      <c r="S2" s="78">
        <f t="shared" si="0"/>
        <v>42947</v>
      </c>
      <c r="T2" s="77">
        <f t="shared" si="0"/>
        <v>42948</v>
      </c>
      <c r="U2" s="78">
        <f t="shared" si="0"/>
        <v>42949</v>
      </c>
      <c r="V2" s="78">
        <f t="shared" si="0"/>
        <v>42950</v>
      </c>
      <c r="W2" s="78">
        <f t="shared" ref="W2:Z3" si="1">V2+1</f>
        <v>42951</v>
      </c>
      <c r="X2" s="78">
        <f t="shared" si="1"/>
        <v>42952</v>
      </c>
      <c r="Y2" s="78">
        <f t="shared" si="1"/>
        <v>42953</v>
      </c>
      <c r="Z2" s="77">
        <f t="shared" si="1"/>
        <v>42954</v>
      </c>
      <c r="AA2" s="78">
        <f>Z2+1</f>
        <v>42955</v>
      </c>
      <c r="AB2" s="78">
        <f t="shared" ref="AB2:AP3" si="2">AA2+1</f>
        <v>42956</v>
      </c>
      <c r="AC2" s="78">
        <f t="shared" si="2"/>
        <v>42957</v>
      </c>
      <c r="AD2" s="78">
        <f t="shared" si="2"/>
        <v>42958</v>
      </c>
      <c r="AE2" s="78">
        <f t="shared" si="2"/>
        <v>42959</v>
      </c>
      <c r="AF2" s="78">
        <f t="shared" si="2"/>
        <v>42960</v>
      </c>
      <c r="AG2" s="78">
        <f t="shared" si="2"/>
        <v>42961</v>
      </c>
      <c r="AH2" s="78">
        <f t="shared" si="2"/>
        <v>42962</v>
      </c>
      <c r="AI2" s="78">
        <f t="shared" si="2"/>
        <v>42963</v>
      </c>
      <c r="AJ2" s="78">
        <f t="shared" si="2"/>
        <v>42964</v>
      </c>
      <c r="AK2" s="78">
        <f t="shared" si="2"/>
        <v>42965</v>
      </c>
      <c r="AL2" s="78">
        <f t="shared" si="2"/>
        <v>42966</v>
      </c>
      <c r="AM2" s="78">
        <f t="shared" si="2"/>
        <v>42967</v>
      </c>
      <c r="AN2" s="77">
        <f t="shared" si="2"/>
        <v>42968</v>
      </c>
      <c r="AO2" s="78">
        <f t="shared" si="2"/>
        <v>42969</v>
      </c>
      <c r="AP2" s="78">
        <f t="shared" si="2"/>
        <v>42970</v>
      </c>
    </row>
    <row r="3" spans="1:43" ht="13.5" thickBot="1">
      <c r="A3" s="326" t="s">
        <v>26</v>
      </c>
      <c r="B3" s="90">
        <f>SUM(B1:B2)</f>
        <v>303563892</v>
      </c>
      <c r="C3" s="815" t="s">
        <v>13</v>
      </c>
      <c r="D3" s="816"/>
      <c r="E3" s="455">
        <f>C1</f>
        <v>42933</v>
      </c>
      <c r="F3" s="81">
        <f>E3+1</f>
        <v>42934</v>
      </c>
      <c r="G3" s="81">
        <f t="shared" si="0"/>
        <v>42935</v>
      </c>
      <c r="H3" s="81">
        <f t="shared" si="0"/>
        <v>42936</v>
      </c>
      <c r="I3" s="81">
        <f t="shared" si="0"/>
        <v>42937</v>
      </c>
      <c r="J3" s="81">
        <f t="shared" si="0"/>
        <v>42938</v>
      </c>
      <c r="K3" s="81">
        <f t="shared" si="0"/>
        <v>42939</v>
      </c>
      <c r="L3" s="82">
        <f t="shared" si="0"/>
        <v>42940</v>
      </c>
      <c r="M3" s="81">
        <f t="shared" si="0"/>
        <v>42941</v>
      </c>
      <c r="N3" s="81">
        <f t="shared" si="0"/>
        <v>42942</v>
      </c>
      <c r="O3" s="81">
        <f t="shared" si="0"/>
        <v>42943</v>
      </c>
      <c r="P3" s="81">
        <f t="shared" si="0"/>
        <v>42944</v>
      </c>
      <c r="Q3" s="81">
        <f t="shared" si="0"/>
        <v>42945</v>
      </c>
      <c r="R3" s="81">
        <f t="shared" si="0"/>
        <v>42946</v>
      </c>
      <c r="S3" s="81">
        <f t="shared" si="0"/>
        <v>42947</v>
      </c>
      <c r="T3" s="80">
        <f t="shared" si="0"/>
        <v>42948</v>
      </c>
      <c r="U3" s="81">
        <f t="shared" si="0"/>
        <v>42949</v>
      </c>
      <c r="V3" s="81">
        <f t="shared" si="0"/>
        <v>42950</v>
      </c>
      <c r="W3" s="81">
        <f t="shared" si="1"/>
        <v>42951</v>
      </c>
      <c r="X3" s="81">
        <f t="shared" si="1"/>
        <v>42952</v>
      </c>
      <c r="Y3" s="81">
        <f t="shared" si="1"/>
        <v>42953</v>
      </c>
      <c r="Z3" s="80">
        <f t="shared" si="1"/>
        <v>42954</v>
      </c>
      <c r="AA3" s="83">
        <f>Z3+1</f>
        <v>42955</v>
      </c>
      <c r="AB3" s="83">
        <f t="shared" si="2"/>
        <v>42956</v>
      </c>
      <c r="AC3" s="83">
        <f t="shared" si="2"/>
        <v>42957</v>
      </c>
      <c r="AD3" s="83">
        <f t="shared" si="2"/>
        <v>42958</v>
      </c>
      <c r="AE3" s="83">
        <f t="shared" si="2"/>
        <v>42959</v>
      </c>
      <c r="AF3" s="83">
        <f t="shared" si="2"/>
        <v>42960</v>
      </c>
      <c r="AG3" s="83">
        <f t="shared" si="2"/>
        <v>42961</v>
      </c>
      <c r="AH3" s="83">
        <f t="shared" si="2"/>
        <v>42962</v>
      </c>
      <c r="AI3" s="83">
        <f t="shared" si="2"/>
        <v>42963</v>
      </c>
      <c r="AJ3" s="83">
        <f t="shared" si="2"/>
        <v>42964</v>
      </c>
      <c r="AK3" s="83">
        <f t="shared" si="2"/>
        <v>42965</v>
      </c>
      <c r="AL3" s="83">
        <f t="shared" si="2"/>
        <v>42966</v>
      </c>
      <c r="AM3" s="83">
        <f t="shared" si="2"/>
        <v>42967</v>
      </c>
      <c r="AN3" s="123">
        <f t="shared" si="2"/>
        <v>42968</v>
      </c>
      <c r="AO3" s="83">
        <f t="shared" si="2"/>
        <v>42969</v>
      </c>
      <c r="AP3" s="83">
        <f t="shared" si="2"/>
        <v>42970</v>
      </c>
    </row>
    <row r="4" spans="1:43" s="50" customFormat="1" ht="17.25" thickTop="1" thickBot="1">
      <c r="A4" s="817" t="s">
        <v>117</v>
      </c>
      <c r="B4" s="818"/>
      <c r="C4" s="818"/>
      <c r="D4" s="818"/>
      <c r="E4" s="456" t="str">
        <f t="shared" ref="E4:AL4" si="3">IF(E69&gt;2,"TOO MANY"," ")</f>
        <v xml:space="preserve"> </v>
      </c>
      <c r="F4" s="417" t="str">
        <f t="shared" si="3"/>
        <v xml:space="preserve"> </v>
      </c>
      <c r="G4" s="417" t="str">
        <f>IF(G69&gt;2,"TOO MANY"," ")</f>
        <v xml:space="preserve"> </v>
      </c>
      <c r="H4" s="417" t="str">
        <f t="shared" si="3"/>
        <v xml:space="preserve"> </v>
      </c>
      <c r="I4" s="417" t="str">
        <f t="shared" si="3"/>
        <v xml:space="preserve"> </v>
      </c>
      <c r="J4" s="417" t="str">
        <f t="shared" si="3"/>
        <v xml:space="preserve"> </v>
      </c>
      <c r="K4" s="417" t="str">
        <f>IF(K69&gt;2,"TOO MANY"," ")</f>
        <v xml:space="preserve"> </v>
      </c>
      <c r="L4" s="417" t="str">
        <f>IF(L69&gt;2,"TOO MANY"," ")</f>
        <v xml:space="preserve"> </v>
      </c>
      <c r="M4" s="417" t="str">
        <f t="shared" si="3"/>
        <v xml:space="preserve"> </v>
      </c>
      <c r="N4" s="417" t="str">
        <f t="shared" si="3"/>
        <v xml:space="preserve"> </v>
      </c>
      <c r="O4" s="417" t="str">
        <f t="shared" si="3"/>
        <v>TOO MANY</v>
      </c>
      <c r="P4" s="417" t="str">
        <f t="shared" si="3"/>
        <v xml:space="preserve"> </v>
      </c>
      <c r="Q4" s="417" t="str">
        <f t="shared" si="3"/>
        <v xml:space="preserve"> </v>
      </c>
      <c r="R4" s="417" t="str">
        <f t="shared" si="3"/>
        <v xml:space="preserve"> </v>
      </c>
      <c r="S4" s="417" t="str">
        <f t="shared" si="3"/>
        <v xml:space="preserve"> </v>
      </c>
      <c r="T4" s="417" t="str">
        <f t="shared" si="3"/>
        <v xml:space="preserve"> </v>
      </c>
      <c r="U4" s="417" t="str">
        <f t="shared" si="3"/>
        <v>TOO MANY</v>
      </c>
      <c r="V4" s="417" t="str">
        <f t="shared" si="3"/>
        <v xml:space="preserve"> </v>
      </c>
      <c r="W4" s="417" t="str">
        <f t="shared" si="3"/>
        <v xml:space="preserve"> </v>
      </c>
      <c r="X4" s="417" t="str">
        <f t="shared" si="3"/>
        <v xml:space="preserve"> </v>
      </c>
      <c r="Y4" s="417" t="str">
        <f t="shared" si="3"/>
        <v>TOO MANY</v>
      </c>
      <c r="Z4" s="417" t="str">
        <f t="shared" si="3"/>
        <v>TOO MANY</v>
      </c>
      <c r="AA4" s="417" t="str">
        <f t="shared" si="3"/>
        <v xml:space="preserve"> </v>
      </c>
      <c r="AB4" s="417" t="str">
        <f t="shared" si="3"/>
        <v xml:space="preserve"> </v>
      </c>
      <c r="AC4" s="417" t="str">
        <f t="shared" si="3"/>
        <v xml:space="preserve"> </v>
      </c>
      <c r="AD4" s="417" t="str">
        <f t="shared" si="3"/>
        <v xml:space="preserve"> </v>
      </c>
      <c r="AE4" s="417" t="str">
        <f t="shared" si="3"/>
        <v xml:space="preserve"> </v>
      </c>
      <c r="AF4" s="417" t="str">
        <f t="shared" si="3"/>
        <v>TOO MANY</v>
      </c>
      <c r="AG4" s="417" t="str">
        <f t="shared" si="3"/>
        <v>TOO MANY</v>
      </c>
      <c r="AH4" s="417" t="str">
        <f t="shared" si="3"/>
        <v>TOO MANY</v>
      </c>
      <c r="AI4" s="417" t="str">
        <f t="shared" si="3"/>
        <v>TOO MANY</v>
      </c>
      <c r="AJ4" s="417" t="str">
        <f t="shared" si="3"/>
        <v xml:space="preserve"> </v>
      </c>
      <c r="AK4" s="417" t="str">
        <f t="shared" si="3"/>
        <v xml:space="preserve"> </v>
      </c>
      <c r="AL4" s="417" t="str">
        <f t="shared" si="3"/>
        <v xml:space="preserve"> </v>
      </c>
      <c r="AM4" s="417" t="str">
        <f>IF(AM69&gt;2,"TOO MANY"," ")</f>
        <v xml:space="preserve"> </v>
      </c>
      <c r="AN4" s="417" t="str">
        <f>IF(AN69&gt;2,"TOO MANY"," ")</f>
        <v xml:space="preserve"> </v>
      </c>
      <c r="AO4" s="417" t="str">
        <f>IF(AO69&gt;2,"TOO MANY"," ")</f>
        <v xml:space="preserve"> </v>
      </c>
      <c r="AP4" s="507" t="str">
        <f>IF(AP69&gt;2,"TOO MANY"," ")</f>
        <v xml:space="preserve"> </v>
      </c>
    </row>
    <row r="5" spans="1:43" ht="13.5" thickTop="1">
      <c r="A5" s="414"/>
      <c r="B5" s="84"/>
      <c r="C5" s="53"/>
      <c r="D5" s="84">
        <v>221101</v>
      </c>
      <c r="E5" s="512">
        <v>221116</v>
      </c>
      <c r="F5" s="86">
        <v>221136</v>
      </c>
      <c r="G5" s="179">
        <v>221107</v>
      </c>
      <c r="H5" s="279">
        <v>221111</v>
      </c>
      <c r="I5" s="279">
        <v>221132</v>
      </c>
      <c r="J5" s="279">
        <v>220018</v>
      </c>
      <c r="K5" s="280">
        <v>221114</v>
      </c>
      <c r="L5" s="279">
        <v>220010</v>
      </c>
      <c r="M5" s="280">
        <v>221118</v>
      </c>
      <c r="N5" s="179">
        <v>221142</v>
      </c>
      <c r="O5" s="279">
        <v>221113</v>
      </c>
      <c r="P5" s="279">
        <v>221115</v>
      </c>
      <c r="Q5" s="179">
        <v>221119</v>
      </c>
      <c r="R5" s="279">
        <v>220034</v>
      </c>
      <c r="S5" s="280">
        <v>220009</v>
      </c>
      <c r="T5" s="280">
        <v>221102</v>
      </c>
      <c r="U5" s="179">
        <v>220016</v>
      </c>
      <c r="V5" s="279">
        <v>221108</v>
      </c>
      <c r="W5" s="279">
        <v>221112</v>
      </c>
      <c r="X5" s="280">
        <v>221109</v>
      </c>
      <c r="Y5" s="279">
        <v>221129</v>
      </c>
      <c r="Z5" s="280">
        <v>220030</v>
      </c>
      <c r="AA5" s="179">
        <v>221122</v>
      </c>
      <c r="AB5" s="179">
        <v>221128</v>
      </c>
      <c r="AC5" s="279">
        <v>221106</v>
      </c>
      <c r="AD5" s="280">
        <v>221110</v>
      </c>
      <c r="AE5" s="179">
        <v>221103</v>
      </c>
      <c r="AF5" s="179">
        <v>221101</v>
      </c>
      <c r="AG5" s="510">
        <v>221121</v>
      </c>
      <c r="AH5" s="511">
        <v>221104</v>
      </c>
      <c r="AI5" s="511">
        <v>220004</v>
      </c>
      <c r="AJ5" s="279">
        <v>220011</v>
      </c>
      <c r="AK5" s="280">
        <v>221133</v>
      </c>
      <c r="AL5" s="179">
        <v>220008</v>
      </c>
      <c r="AM5" s="279">
        <v>220020</v>
      </c>
      <c r="AN5" s="179">
        <v>220026</v>
      </c>
      <c r="AO5" s="279">
        <v>221111</v>
      </c>
      <c r="AP5" s="515">
        <v>220019</v>
      </c>
    </row>
    <row r="6" spans="1:43" ht="15">
      <c r="A6" s="328" t="str">
        <f>IF(A5&lt;220000,"",VLOOKUP(A5,'220'!$X$2:$AE$79,7,FALSE))</f>
        <v/>
      </c>
      <c r="B6" s="174" t="str">
        <f>IF(B5&lt;220000,"",VLOOKUP(B5,'220'!$X$2:$AE$79,7,FALSE))</f>
        <v/>
      </c>
      <c r="C6" s="173" t="str">
        <f>IF(C5&lt;220000,"",VLOOKUP(C5,'220'!$X$2:$AE$79,7,FALSE))</f>
        <v/>
      </c>
      <c r="D6" s="173" t="str">
        <f>IF(D5&lt;220000,"",VLOOKUP(D5,'220'!$X$2:$AE$79,7,FALSE))</f>
        <v>C3</v>
      </c>
      <c r="E6" s="484" t="str">
        <f>IF(E5&lt;220000,"",VLOOKUP(E5,'220'!$X$2:$AE$79,7,FALSE))</f>
        <v>C1</v>
      </c>
      <c r="F6" s="311" t="str">
        <f>IF(F5&lt;220000,"",VLOOKUP(F5,'220'!$X$2:$AE$79,7,FALSE))</f>
        <v>C2</v>
      </c>
      <c r="G6" s="311" t="str">
        <f>IF(G5&lt;220000,"",VLOOKUP(G5,'220'!$X$2:$AE$79,7,FALSE))</f>
        <v>C2</v>
      </c>
      <c r="H6" s="311" t="str">
        <f>IF(H5&lt;220000,"",VLOOKUP(H5,'220'!$X$2:$AE$79,7,FALSE))</f>
        <v>C4</v>
      </c>
      <c r="I6" s="311" t="str">
        <f>IF(I5&lt;220000,"",VLOOKUP(I5,'220'!$X$2:$AE$79,7,FALSE))</f>
        <v>C4</v>
      </c>
      <c r="J6" s="311" t="str">
        <f>IF(J5&lt;220000,"",VLOOKUP(J5,'220'!$X$2:$AE$79,7,FALSE))</f>
        <v>C3</v>
      </c>
      <c r="K6" s="311" t="str">
        <f>IF(K5&lt;220000,"",VLOOKUP(K5,'220'!$X$2:$AE$79,7,FALSE))</f>
        <v>C3</v>
      </c>
      <c r="L6" s="311" t="str">
        <f>IF(L5&lt;220000,"",VLOOKUP(L5,'220'!$X$2:$AE$79,7,FALSE))</f>
        <v>C4</v>
      </c>
      <c r="M6" s="311" t="str">
        <f>IF(M5&lt;220000,"",VLOOKUP(M5,'220'!$X$2:$AE$79,7,FALSE))</f>
        <v>C1</v>
      </c>
      <c r="N6" s="311" t="str">
        <f>IF(N5&lt;220000,"",VLOOKUP(N5,'220'!$X$2:$AE$79,7,FALSE))</f>
        <v>C1</v>
      </c>
      <c r="O6" s="311" t="str">
        <f>IF(O5&lt;220000,"",VLOOKUP(O5,'220'!$X$2:$AE$79,7,FALSE))</f>
        <v>C2</v>
      </c>
      <c r="P6" s="311" t="str">
        <f>IF(P5&lt;220000,"",VLOOKUP(P5,'220'!$X$2:$AE$79,7,FALSE))</f>
        <v>C1</v>
      </c>
      <c r="Q6" s="311" t="str">
        <f>IF(Q5&lt;220000,"",VLOOKUP(Q5,'220'!$X$2:$AE$79,7,FALSE))</f>
        <v>C2</v>
      </c>
      <c r="R6" s="311" t="str">
        <f>IF(R5&lt;220000,"",VLOOKUP(R5,'220'!$X$2:$AE$79,7,FALSE))</f>
        <v>C1</v>
      </c>
      <c r="S6" s="311" t="str">
        <f>IF(S5&lt;220000,"",VLOOKUP(S5,'220'!$X$2:$AE$79,7,FALSE))</f>
        <v>C1</v>
      </c>
      <c r="T6" s="311" t="str">
        <f>IF(T5&lt;220000,"",VLOOKUP(T5,'220'!$X$2:$AE$79,7,FALSE))</f>
        <v>C3</v>
      </c>
      <c r="U6" s="311" t="str">
        <f>IF(U5&lt;220000,"",VLOOKUP(U5,'220'!$X$2:$AE$79,7,FALSE))</f>
        <v>C3</v>
      </c>
      <c r="V6" s="311" t="str">
        <f>IF(V5&lt;220000,"",VLOOKUP(V5,'220'!$X$2:$AE$79,7,FALSE))</f>
        <v>C1</v>
      </c>
      <c r="W6" s="311" t="str">
        <f>IF(W5&lt;220000,"",VLOOKUP(W5,'220'!$X$2:$AE$79,7,FALSE))</f>
        <v>C4</v>
      </c>
      <c r="X6" s="311" t="str">
        <f>IF(X5&lt;220000,"",VLOOKUP(X5,'220'!$X$2:$AE$79,7,FALSE))</f>
        <v>C4</v>
      </c>
      <c r="Y6" s="311" t="str">
        <f>IF(Y5&lt;220000,"",VLOOKUP(Y5,'220'!$X$2:$AE$79,7,FALSE))</f>
        <v>C1</v>
      </c>
      <c r="Z6" s="311" t="str">
        <f>IF(Z5&lt;220000,"",VLOOKUP(Z5,'220'!$X$2:$AE$79,7,FALSE))</f>
        <v>C3</v>
      </c>
      <c r="AA6" s="311" t="str">
        <f>IF(AA5&lt;220000,"",VLOOKUP(AA5,'220'!$X$2:$AE$79,7,FALSE))</f>
        <v>C3</v>
      </c>
      <c r="AB6" s="311" t="str">
        <f>IF(AB5&lt;220000,"",VLOOKUP(AB5,'220'!$X$2:$AE$79,7,FALSE))</f>
        <v>C1</v>
      </c>
      <c r="AC6" s="311" t="str">
        <f>IF(AC5&lt;220000,"",VLOOKUP(AC5,'220'!$X$2:$AE$79,7,FALSE))</f>
        <v>C1</v>
      </c>
      <c r="AD6" s="311" t="str">
        <f>IF(AD5&lt;220000,"",VLOOKUP(AD5,'220'!$X$2:$AE$79,7,FALSE))</f>
        <v>C4</v>
      </c>
      <c r="AE6" s="311" t="str">
        <f>IF(AE5&lt;220000,"",VLOOKUP(AE5,'220'!$X$2:$AE$79,7,FALSE))</f>
        <v>C3</v>
      </c>
      <c r="AF6" s="311" t="str">
        <f>IF(AF5&lt;220000,"",VLOOKUP(AF5,'220'!$X$2:$AE$79,7,FALSE))</f>
        <v>C3</v>
      </c>
      <c r="AG6" s="311" t="str">
        <f>IF(AG5&lt;220000,"",VLOOKUP(AG5,'220'!$X$2:$AE$79,7,FALSE))</f>
        <v>C1</v>
      </c>
      <c r="AH6" s="311" t="str">
        <f>IF(AH5&lt;220000,"",VLOOKUP(AH5,'220'!$X$2:$AE$79,7,FALSE))</f>
        <v>C1</v>
      </c>
      <c r="AI6" s="311" t="str">
        <f>IF(AI5&lt;220000,"",VLOOKUP(AI5,'220'!$X$2:$AE$79,7,FALSE))</f>
        <v>C3</v>
      </c>
      <c r="AJ6" s="311" t="str">
        <f>IF(AJ5&lt;220000,"",VLOOKUP(AJ5,'220'!$X$2:$AE$79,7,FALSE))</f>
        <v>C4</v>
      </c>
      <c r="AK6" s="311" t="str">
        <f>IF(AK5&lt;220000,"",VLOOKUP(AK5,'220'!$X$2:$AE$79,7,FALSE))</f>
        <v>C3</v>
      </c>
      <c r="AL6" s="311" t="str">
        <f>IF(AL5&lt;220000,"",VLOOKUP(AL5,'220'!$X$2:$AE$79,7,FALSE))</f>
        <v>C2</v>
      </c>
      <c r="AM6" s="311" t="str">
        <f>IF(AM5&lt;220000,"",VLOOKUP(AM5,'220'!$X$2:$AE$79,7,FALSE))</f>
        <v>C1</v>
      </c>
      <c r="AN6" s="311" t="str">
        <f>IF(AN5&lt;220000,"",VLOOKUP(AN5,'220'!$X$2:$AE$79,7,FALSE))</f>
        <v>C3</v>
      </c>
      <c r="AO6" s="311" t="str">
        <f>IF(AO5&lt;220000,"",VLOOKUP(AO5,'220'!$X$2:$AE$79,7,FALSE))</f>
        <v>C4</v>
      </c>
      <c r="AP6" s="472" t="str">
        <f>IF(AP5&lt;220000,"",VLOOKUP(AP5,'220'!$X$2:$AE$79,7,FALSE))</f>
        <v>C4</v>
      </c>
      <c r="AQ6" s="55"/>
    </row>
    <row r="7" spans="1:43">
      <c r="A7" s="329" t="str">
        <f>IF(A5&lt;220000,"",VLOOKUP(A5,'220'!$X$2:$AE$79,8,FALSE))</f>
        <v/>
      </c>
      <c r="B7" s="1" t="str">
        <f>IF(B5&lt;220000,"",VLOOKUP(B5,'220'!$X$2:$AE$79,8,FALSE))</f>
        <v/>
      </c>
      <c r="C7" s="1" t="str">
        <f>IF(C5&lt;220000,"",VLOOKUP(C5,'220'!$X$2:$AE$79,8,FALSE))</f>
        <v/>
      </c>
      <c r="D7" s="7">
        <f>IF(D5&lt;220000,"",VLOOKUP(D5,'220'!$X$2:$AE$79,8,FALSE))</f>
        <v>18893</v>
      </c>
      <c r="E7" s="485">
        <f>IF(E5&lt;220000,"",VLOOKUP(E5,'220'!$X$2:$AE$79,8,FALSE))</f>
        <v>26540</v>
      </c>
      <c r="F7" s="312">
        <f>IF(F5&lt;220000,"",VLOOKUP(F5,'220'!$X$2:$AE$79,8,FALSE))</f>
        <v>28965</v>
      </c>
      <c r="G7" s="312">
        <f>IF(G5&lt;220000,"",VLOOKUP(G5,'220'!$X$2:$AE$79,8,FALSE))</f>
        <v>23381</v>
      </c>
      <c r="H7" s="312">
        <f>IF(H5&lt;220000,"",VLOOKUP(H5,'220'!$X$2:$AE$79,8,FALSE))</f>
        <v>21749</v>
      </c>
      <c r="I7" s="312">
        <f>IF(I5&lt;220000,"",VLOOKUP(I5,'220'!$X$2:$AE$79,8,FALSE))</f>
        <v>18011</v>
      </c>
      <c r="J7" s="312">
        <f>IF(J5&lt;220000,"",VLOOKUP(J5,'220'!$X$2:$AE$79,8,FALSE))</f>
        <v>21515</v>
      </c>
      <c r="K7" s="312">
        <f>IF(K5&lt;220000,"",VLOOKUP(K5,'220'!$X$2:$AE$79,8,FALSE))</f>
        <v>23277</v>
      </c>
      <c r="L7" s="312">
        <f>IF(L5&lt;220000,"",VLOOKUP(L5,'220'!$X$2:$AE$79,8,FALSE))</f>
        <v>22454</v>
      </c>
      <c r="M7" s="312">
        <f>IF(M5&lt;220000,"",VLOOKUP(M5,'220'!$X$2:$AE$79,8,FALSE))</f>
        <v>18832</v>
      </c>
      <c r="N7" s="312">
        <f>IF(N5&lt;220000,"",VLOOKUP(N5,'220'!$X$2:$AE$79,8,FALSE))</f>
        <v>15352</v>
      </c>
      <c r="O7" s="312">
        <f>IF(O5&lt;220000,"",VLOOKUP(O5,'220'!$X$2:$AE$79,8,FALSE))</f>
        <v>19329</v>
      </c>
      <c r="P7" s="312">
        <f>IF(P5&lt;220000,"",VLOOKUP(P5,'220'!$X$2:$AE$79,8,FALSE))</f>
        <v>16908</v>
      </c>
      <c r="Q7" s="312">
        <f>IF(Q5&lt;220000,"",VLOOKUP(Q5,'220'!$X$2:$AE$79,8,FALSE))</f>
        <v>12661</v>
      </c>
      <c r="R7" s="312">
        <f>IF(R5&lt;220000,"",VLOOKUP(R5,'220'!$X$2:$AE$79,8,FALSE))</f>
        <v>17580</v>
      </c>
      <c r="S7" s="312">
        <f>IF(S5&lt;220000,"",VLOOKUP(S5,'220'!$X$2:$AE$79,8,FALSE))</f>
        <v>14961</v>
      </c>
      <c r="T7" s="312">
        <f>IF(T5&lt;220000,"",VLOOKUP(T5,'220'!$X$2:$AE$79,8,FALSE))</f>
        <v>13936</v>
      </c>
      <c r="U7" s="312">
        <f>IF(U5&lt;220000,"",VLOOKUP(U5,'220'!$X$2:$AE$79,8,FALSE))</f>
        <v>13547</v>
      </c>
      <c r="V7" s="312">
        <f>IF(V5&lt;220000,"",VLOOKUP(V5,'220'!$X$2:$AE$79,8,FALSE))</f>
        <v>12868</v>
      </c>
      <c r="W7" s="312">
        <f>IF(W5&lt;220000,"",VLOOKUP(W5,'220'!$X$2:$AE$79,8,FALSE))</f>
        <v>14281</v>
      </c>
      <c r="X7" s="312">
        <f>IF(X5&lt;220000,"",VLOOKUP(X5,'220'!$X$2:$AE$79,8,FALSE))</f>
        <v>10755</v>
      </c>
      <c r="Y7" s="312">
        <f>IF(Y5&lt;220000,"",VLOOKUP(Y5,'220'!$X$2:$AE$79,8,FALSE))</f>
        <v>8608</v>
      </c>
      <c r="Z7" s="312">
        <f>IF(Z5&lt;220000,"",VLOOKUP(Z5,'220'!$X$2:$AE$79,8,FALSE))</f>
        <v>13362</v>
      </c>
      <c r="AA7" s="312">
        <f>IF(AA5&lt;220000,"",VLOOKUP(AA5,'220'!$X$2:$AE$79,8,FALSE))</f>
        <v>8237</v>
      </c>
      <c r="AB7" s="312">
        <f>IF(AB5&lt;220000,"",VLOOKUP(AB5,'220'!$X$2:$AE$79,8,FALSE))</f>
        <v>11562</v>
      </c>
      <c r="AC7" s="312">
        <f>IF(AC5&lt;220000,"",VLOOKUP(AC5,'220'!$X$2:$AE$79,8,FALSE))</f>
        <v>5566</v>
      </c>
      <c r="AD7" s="312">
        <f>IF(AD5&lt;220000,"",VLOOKUP(AD5,'220'!$X$2:$AE$79,8,FALSE))</f>
        <v>4285</v>
      </c>
      <c r="AE7" s="312">
        <f>IF(AE5&lt;220000,"",VLOOKUP(AE5,'220'!$X$2:$AE$79,8,FALSE))</f>
        <v>8685</v>
      </c>
      <c r="AF7" s="312">
        <f>IF(AF5&lt;220000,"",VLOOKUP(AF5,'220'!$X$2:$AE$79,8,FALSE))</f>
        <v>18893</v>
      </c>
      <c r="AG7" s="312">
        <f>IF(AG5&lt;220000,"",VLOOKUP(AG5,'220'!$X$2:$AE$79,8,FALSE))</f>
        <v>8137</v>
      </c>
      <c r="AH7" s="312">
        <f>IF(AH5&lt;220000,"",VLOOKUP(AH5,'220'!$X$2:$AE$79,8,FALSE))</f>
        <v>3339</v>
      </c>
      <c r="AI7" s="312">
        <f>IF(AI5&lt;220000,"",VLOOKUP(AI5,'220'!$X$2:$AE$79,8,FALSE))</f>
        <v>9326</v>
      </c>
      <c r="AJ7" s="312">
        <f>IF(AJ5&lt;220000,"",VLOOKUP(AJ5,'220'!$X$2:$AE$79,8,FALSE))</f>
        <v>2220</v>
      </c>
      <c r="AK7" s="312">
        <f>IF(AK5&lt;220000,"",VLOOKUP(AK5,'220'!$X$2:$AE$79,8,FALSE))</f>
        <v>3083</v>
      </c>
      <c r="AL7" s="312">
        <f>IF(AL5&lt;220000,"",VLOOKUP(AL5,'220'!$X$2:$AE$79,8,FALSE))</f>
        <v>5181</v>
      </c>
      <c r="AM7" s="312">
        <f>IF(AM5&lt;220000,"",VLOOKUP(AM5,'220'!$X$2:$AE$79,8,FALSE))</f>
        <v>29643</v>
      </c>
      <c r="AN7" s="312">
        <f>IF(AN5&lt;220000,"",VLOOKUP(AN5,'220'!$X$2:$AE$79,8,FALSE))</f>
        <v>3151</v>
      </c>
      <c r="AO7" s="312">
        <f>IF(AO5&lt;220000,"",VLOOKUP(AO5,'220'!$X$2:$AE$79,8,FALSE))</f>
        <v>21749</v>
      </c>
      <c r="AP7" s="473">
        <f>IF(AP5&lt;220000,"",VLOOKUP(AP5,'220'!$X$2:$AE$79,8,FALSE))</f>
        <v>29137</v>
      </c>
    </row>
    <row r="8" spans="1:43" s="54" customFormat="1">
      <c r="A8" s="330" t="str">
        <f>IF(A5&lt;220000,"",VLOOKUP(A5,'220'!$X$2:$AE$79,6,FALSE))</f>
        <v/>
      </c>
      <c r="B8" s="3" t="str">
        <f>IF(B5&lt;220000,"",VLOOKUP(B5,'220'!$X$2:$AE$79,6,FALSE))</f>
        <v/>
      </c>
      <c r="C8" s="4" t="str">
        <f>IF(C5&lt;220000,"",VLOOKUP(C5,'220'!$X$2:$AE$79,6,FALSE))</f>
        <v/>
      </c>
      <c r="D8" s="465">
        <f>IF(D5&lt;220000,"",VLOOKUP(D5,'220'!$X$2:$AE$79,6,FALSE))</f>
        <v>42927</v>
      </c>
      <c r="E8" s="529">
        <f>IF(E5&lt;220000,"",VLOOKUP(E5,'220'!$X$2:$AE$79,6,FALSE))</f>
        <v>42931</v>
      </c>
      <c r="F8" s="530">
        <f>IF(F5&lt;220000,"",VLOOKUP(F5,'220'!$X$2:$AE$79,6,FALSE))</f>
        <v>42934</v>
      </c>
      <c r="G8" s="3">
        <f>IF(G5&lt;220000,"",VLOOKUP(G5,'220'!$X$2:$AE$79,6,FALSE))</f>
        <v>42932</v>
      </c>
      <c r="H8" s="3">
        <f>IF(H5&lt;220000,"",VLOOKUP(H5,'220'!$X$2:$AE$79,6,FALSE))</f>
        <v>42936</v>
      </c>
      <c r="I8" s="3">
        <f>IF(I5&lt;220000,"",VLOOKUP(I5,'220'!$X$2:$AE$79,6,FALSE))</f>
        <v>42936</v>
      </c>
      <c r="J8" s="3">
        <f>IF(J5&lt;220000,"",VLOOKUP(J5,'220'!$X$2:$AE$79,6,FALSE))</f>
        <v>42936</v>
      </c>
      <c r="K8" s="3">
        <f>IF(K5&lt;220000,"",VLOOKUP(K5,'220'!$X$2:$AE$79,6,FALSE))</f>
        <v>42939</v>
      </c>
      <c r="L8" s="3">
        <f>IF(L5&lt;220000,"",VLOOKUP(L5,'220'!$X$2:$AE$79,6,FALSE))</f>
        <v>42938</v>
      </c>
      <c r="M8" s="3">
        <f>IF(M5&lt;220000,"",VLOOKUP(M5,'220'!$X$2:$AE$79,6,FALSE))</f>
        <v>42939</v>
      </c>
      <c r="N8" s="3">
        <f>IF(N5&lt;220000,"",VLOOKUP(N5,'220'!$X$2:$AE$79,6,FALSE))</f>
        <v>42941</v>
      </c>
      <c r="O8" s="3">
        <f>IF(O5&lt;220000,"",VLOOKUP(O5,'220'!$X$2:$AE$79,6,FALSE))</f>
        <v>42941</v>
      </c>
      <c r="P8" s="3">
        <f>IF(P5&lt;220000,"",VLOOKUP(P5,'220'!$X$2:$AE$79,6,FALSE))</f>
        <v>42944</v>
      </c>
      <c r="Q8" s="3">
        <f>IF(Q5&lt;220000,"",VLOOKUP(Q5,'220'!$X$2:$AE$79,6,FALSE))</f>
        <v>42945</v>
      </c>
      <c r="R8" s="3">
        <f>IF(R5&lt;220000,"",VLOOKUP(R5,'220'!$X$2:$AE$79,6,FALSE))</f>
        <v>42946</v>
      </c>
      <c r="S8" s="3">
        <f>IF(S5&lt;220000,"",VLOOKUP(S5,'220'!$X$2:$AE$79,6,FALSE))</f>
        <v>42947</v>
      </c>
      <c r="T8" s="3">
        <f>IF(T5&lt;220000,"",VLOOKUP(T5,'220'!$X$2:$AE$79,6,FALSE))</f>
        <v>42948</v>
      </c>
      <c r="U8" s="3">
        <f>IF(U5&lt;220000,"",VLOOKUP(U5,'220'!$X$2:$AE$79,6,FALSE))</f>
        <v>42949</v>
      </c>
      <c r="V8" s="3">
        <f>IF(V5&lt;220000,"",VLOOKUP(V5,'220'!$X$2:$AE$79,6,FALSE))</f>
        <v>42950</v>
      </c>
      <c r="W8" s="3">
        <f>IF(W5&lt;220000,"",VLOOKUP(W5,'220'!$X$2:$AE$79,6,FALSE))</f>
        <v>42950</v>
      </c>
      <c r="X8" s="3">
        <f>IF(X5&lt;220000,"",VLOOKUP(X5,'220'!$X$2:$AE$79,6,FALSE))</f>
        <v>42951</v>
      </c>
      <c r="Y8" s="3">
        <f>IF(Y5&lt;220000,"",VLOOKUP(Y5,'220'!$X$2:$AE$79,6,FALSE))</f>
        <v>42951</v>
      </c>
      <c r="Z8" s="3">
        <f>IF(Z5&lt;220000,"",VLOOKUP(Z5,'220'!$X$2:$AE$79,6,FALSE))</f>
        <v>42953</v>
      </c>
      <c r="AA8" s="3">
        <f>IF(AA5&lt;220000,"",VLOOKUP(AA5,'220'!$X$2:$AE$79,6,FALSE))</f>
        <v>42955</v>
      </c>
      <c r="AB8" s="3">
        <f>IF(AB5&lt;220000,"",VLOOKUP(AB5,'220'!$X$2:$AE$79,6,FALSE))</f>
        <v>42956</v>
      </c>
      <c r="AC8" s="3">
        <f>IF(AC5&lt;220000,"",VLOOKUP(AC5,'220'!$X$2:$AE$79,6,FALSE))</f>
        <v>42957</v>
      </c>
      <c r="AD8" s="3">
        <f>IF(AD5&lt;220000,"",VLOOKUP(AD5,'220'!$X$2:$AE$79,6,FALSE))</f>
        <v>42958</v>
      </c>
      <c r="AE8" s="3">
        <f>IF(AE5&lt;220000,"",VLOOKUP(AE5,'220'!$X$2:$AE$79,6,FALSE))</f>
        <v>42960</v>
      </c>
      <c r="AF8" s="3">
        <f>IF(AF5&lt;220000,"",VLOOKUP(AF5,'220'!$X$2:$AE$79,6,FALSE))</f>
        <v>42927</v>
      </c>
      <c r="AG8" s="3">
        <f>IF(AG5&lt;220000,"",VLOOKUP(AG5,'220'!$X$2:$AE$79,6,FALSE))</f>
        <v>42961</v>
      </c>
      <c r="AH8" s="3">
        <f>IF(AH5&lt;220000,"",VLOOKUP(AH5,'220'!$X$2:$AE$79,6,FALSE))</f>
        <v>42962</v>
      </c>
      <c r="AI8" s="3">
        <f>IF(AI5&lt;220000,"",VLOOKUP(AI5,'220'!$X$2:$AE$79,6,FALSE))</f>
        <v>42962</v>
      </c>
      <c r="AJ8" s="3">
        <f>IF(AJ5&lt;220000,"",VLOOKUP(AJ5,'220'!$X$2:$AE$79,6,FALSE))</f>
        <v>42964</v>
      </c>
      <c r="AK8" s="3">
        <f>IF(AK5&lt;220000,"",VLOOKUP(AK5,'220'!$X$2:$AE$79,6,FALSE))</f>
        <v>42963</v>
      </c>
      <c r="AL8" s="3">
        <f>IF(AL5&lt;220000,"",VLOOKUP(AL5,'220'!$X$2:$AE$79,6,FALSE))</f>
        <v>42964</v>
      </c>
      <c r="AM8" s="3">
        <f>IF(AM5&lt;220000,"",VLOOKUP(AM5,'220'!$X$2:$AE$79,6,FALSE))</f>
        <v>42931</v>
      </c>
      <c r="AN8" s="3">
        <f>IF(AN5&lt;220000,"",VLOOKUP(AN5,'220'!$X$2:$AE$79,6,FALSE))</f>
        <v>42968</v>
      </c>
      <c r="AO8" s="3">
        <f>IF(AO5&lt;220000,"",VLOOKUP(AO5,'220'!$X$2:$AE$79,6,FALSE))</f>
        <v>42936</v>
      </c>
      <c r="AP8" s="452">
        <f>IF(AP5&lt;220000,"",VLOOKUP(AP5,'220'!$X$2:$AE$79,6,FALSE))</f>
        <v>42934</v>
      </c>
    </row>
    <row r="9" spans="1:43">
      <c r="A9" s="329" t="str">
        <f t="shared" ref="A9:AP9" si="4">IFERROR(30330-A7,"")</f>
        <v/>
      </c>
      <c r="B9" s="1" t="str">
        <f t="shared" si="4"/>
        <v/>
      </c>
      <c r="C9" s="1" t="str">
        <f t="shared" si="4"/>
        <v/>
      </c>
      <c r="D9" s="7">
        <f t="shared" si="4"/>
        <v>11437</v>
      </c>
      <c r="E9" s="528">
        <f>IFERROR(30330-E7,"")</f>
        <v>3790</v>
      </c>
      <c r="F9" s="310">
        <f t="shared" si="4"/>
        <v>1365</v>
      </c>
      <c r="G9" s="7">
        <f t="shared" si="4"/>
        <v>6949</v>
      </c>
      <c r="H9" s="1">
        <f t="shared" si="4"/>
        <v>8581</v>
      </c>
      <c r="I9" s="1">
        <f t="shared" si="4"/>
        <v>12319</v>
      </c>
      <c r="J9" s="1">
        <f>IFERROR(30330-J7,"")</f>
        <v>8815</v>
      </c>
      <c r="K9" s="1">
        <f t="shared" si="4"/>
        <v>7053</v>
      </c>
      <c r="L9" s="1">
        <f t="shared" si="4"/>
        <v>7876</v>
      </c>
      <c r="M9" s="1">
        <f t="shared" si="4"/>
        <v>11498</v>
      </c>
      <c r="N9" s="1">
        <f t="shared" si="4"/>
        <v>14978</v>
      </c>
      <c r="O9" s="1">
        <f t="shared" si="4"/>
        <v>11001</v>
      </c>
      <c r="P9" s="1">
        <f t="shared" si="4"/>
        <v>13422</v>
      </c>
      <c r="Q9" s="1">
        <f t="shared" si="4"/>
        <v>17669</v>
      </c>
      <c r="R9" s="1">
        <f t="shared" si="4"/>
        <v>12750</v>
      </c>
      <c r="S9" s="1">
        <f t="shared" si="4"/>
        <v>15369</v>
      </c>
      <c r="T9" s="1">
        <f t="shared" si="4"/>
        <v>16394</v>
      </c>
      <c r="U9" s="1">
        <f t="shared" si="4"/>
        <v>16783</v>
      </c>
      <c r="V9" s="1">
        <f t="shared" si="4"/>
        <v>17462</v>
      </c>
      <c r="W9" s="1">
        <f t="shared" si="4"/>
        <v>16049</v>
      </c>
      <c r="X9" s="1">
        <f t="shared" si="4"/>
        <v>19575</v>
      </c>
      <c r="Y9" s="1">
        <f t="shared" si="4"/>
        <v>21722</v>
      </c>
      <c r="Z9" s="1">
        <f t="shared" si="4"/>
        <v>16968</v>
      </c>
      <c r="AA9" s="1">
        <f t="shared" si="4"/>
        <v>22093</v>
      </c>
      <c r="AB9" s="1">
        <f t="shared" si="4"/>
        <v>18768</v>
      </c>
      <c r="AC9" s="1">
        <f t="shared" si="4"/>
        <v>24764</v>
      </c>
      <c r="AD9" s="1">
        <f t="shared" si="4"/>
        <v>26045</v>
      </c>
      <c r="AE9" s="1">
        <f t="shared" si="4"/>
        <v>21645</v>
      </c>
      <c r="AF9" s="1">
        <f t="shared" si="4"/>
        <v>11437</v>
      </c>
      <c r="AG9" s="1">
        <f t="shared" si="4"/>
        <v>22193</v>
      </c>
      <c r="AH9" s="1">
        <f t="shared" si="4"/>
        <v>26991</v>
      </c>
      <c r="AI9" s="1">
        <f t="shared" si="4"/>
        <v>21004</v>
      </c>
      <c r="AJ9" s="1">
        <f t="shared" si="4"/>
        <v>28110</v>
      </c>
      <c r="AK9" s="1">
        <f t="shared" si="4"/>
        <v>27247</v>
      </c>
      <c r="AL9" s="1">
        <f t="shared" si="4"/>
        <v>25149</v>
      </c>
      <c r="AM9" s="1">
        <f t="shared" si="4"/>
        <v>687</v>
      </c>
      <c r="AN9" s="1">
        <f t="shared" si="4"/>
        <v>27179</v>
      </c>
      <c r="AO9" s="1">
        <f t="shared" si="4"/>
        <v>8581</v>
      </c>
      <c r="AP9" s="474">
        <f t="shared" si="4"/>
        <v>1193</v>
      </c>
    </row>
    <row r="10" spans="1:43" ht="15.75" customHeight="1">
      <c r="A10" s="411" t="e">
        <f>INDEX('Brake Pad Workorders'!$A$1:$Z$100,MATCH(A5&amp;A6,'Brake Pad Workorders'!$A$1:$A$100&amp;'Brake Pad Workorders'!$S$1:$S$100,0),25)</f>
        <v>#VALUE!</v>
      </c>
      <c r="B10" s="365" t="e">
        <f>INDEX('Brake Pad Workorders'!$A$1:$Z$100,MATCH(B5&amp;B6,'Brake Pad Workorders'!$A$1:$A$100&amp;'Brake Pad Workorders'!$S$1:$S$100,0),25)</f>
        <v>#VALUE!</v>
      </c>
      <c r="C10" s="365" t="e">
        <f>INDEX('Brake Pad Workorders'!$A$1:$Z$100,MATCH(C5&amp;C6,'Brake Pad Workorders'!$A$1:$A$100&amp;'Brake Pad Workorders'!$S$1:$S$100,0),25)</f>
        <v>#VALUE!</v>
      </c>
      <c r="D10" s="451" t="e">
        <f>INDEX('Brake Pad Workorders'!$A$1:$Z$100,MATCH(D5&amp;D6,'Brake Pad Workorders'!$A$1:$A$100&amp;'Brake Pad Workorders'!$S$1:$S$100,0),25)</f>
        <v>#VALUE!</v>
      </c>
      <c r="E10" s="549" t="str">
        <f t="array" ref="E10">INDEX('Brake Pad Workorders'!$A$1:$Z$100,MATCH(E5&amp;E6,'Brake Pad Workorders'!$A$1:$A$100&amp;'Brake Pad Workorders'!$S$1:$S$100,0),25)</f>
        <v>CHECKED</v>
      </c>
      <c r="F10" s="547" t="str">
        <f t="array" ref="F10">INDEX('Brake Pad Workorders'!$A$1:$Z$100,MATCH(F5&amp;F6,'Brake Pad Workorders'!$A$1:$A$100&amp;'Brake Pad Workorders'!$S$1:$S$100,0),25)</f>
        <v>CHECKED</v>
      </c>
      <c r="G10" s="547" t="str">
        <f t="array" ref="G10">INDEX('Brake Pad Workorders'!$A$1:$Z$100,MATCH(G5&amp;G6,'Brake Pad Workorders'!$A$1:$A$100&amp;'Brake Pad Workorders'!$S$1:$S$100,0),25)</f>
        <v>TOPLAN</v>
      </c>
      <c r="H10" s="547" t="str">
        <f t="array" ref="H10">INDEX('Brake Pad Workorders'!$A$1:$Z$100,MATCH(H5&amp;H6,'Brake Pad Workorders'!$A$1:$A$100&amp;'Brake Pad Workorders'!$S$1:$S$100,0),25)</f>
        <v>TOPLAN</v>
      </c>
      <c r="I10" s="547" t="e">
        <f t="array" ref="I10">INDEX('Brake Pad Workorders'!$A$1:$Z$100,MATCH(I5&amp;I6,'Brake Pad Workorders'!$A$1:$A$100&amp;'Brake Pad Workorders'!$S$1:$S$100,0),25)</f>
        <v>#N/A</v>
      </c>
      <c r="J10" s="547" t="e">
        <f t="array" ref="J10">INDEX('Brake Pad Workorders'!$A$1:$Z$100,MATCH(J5&amp;J6,'Brake Pad Workorders'!$A$1:$A$100&amp;'Brake Pad Workorders'!$S$1:$S$100,0),25)</f>
        <v>#N/A</v>
      </c>
      <c r="K10" s="547" t="e">
        <f t="array" ref="K10">INDEX('Brake Pad Workorders'!$A$1:$Z$100,MATCH(K5&amp;K6,'Brake Pad Workorders'!$A$1:$A$100&amp;'Brake Pad Workorders'!$S$1:$S$100,0),25)</f>
        <v>#N/A</v>
      </c>
      <c r="L10" s="547" t="e">
        <f t="array" ref="L10">INDEX('Brake Pad Workorders'!$A$1:$Z$100,MATCH(L5&amp;L6,'Brake Pad Workorders'!$A$1:$A$100&amp;'Brake Pad Workorders'!$S$1:$S$100,0),25)</f>
        <v>#N/A</v>
      </c>
      <c r="M10" s="547" t="e">
        <f t="array" ref="M10">INDEX('Brake Pad Workorders'!$A$1:$Z$100,MATCH(M5&amp;M6,'Brake Pad Workorders'!$A$1:$A$100&amp;'Brake Pad Workorders'!$S$1:$S$100,0),25)</f>
        <v>#N/A</v>
      </c>
      <c r="N10" s="547" t="e">
        <f t="array" ref="N10">INDEX('Brake Pad Workorders'!$A$1:$Z$100,MATCH(N5&amp;N6,'Brake Pad Workorders'!$A$1:$A$100&amp;'Brake Pad Workorders'!$S$1:$S$100,0),25)</f>
        <v>#N/A</v>
      </c>
      <c r="O10" s="547" t="e">
        <f t="array" ref="O10">INDEX('Brake Pad Workorders'!$A$1:$Z$100,MATCH(O5&amp;O6,'Brake Pad Workorders'!$A$1:$A$100&amp;'Brake Pad Workorders'!$S$1:$S$100,0),25)</f>
        <v>#N/A</v>
      </c>
      <c r="P10" s="547" t="e">
        <f t="array" ref="P10">INDEX('Brake Pad Workorders'!$A$1:$Z$100,MATCH(P5&amp;P6,'Brake Pad Workorders'!$A$1:$A$100&amp;'Brake Pad Workorders'!$S$1:$S$100,0),25)</f>
        <v>#N/A</v>
      </c>
      <c r="Q10" s="547" t="e">
        <f t="array" ref="Q10">INDEX('Brake Pad Workorders'!$A$1:$Z$100,MATCH(Q5&amp;Q6,'Brake Pad Workorders'!$A$1:$A$100&amp;'Brake Pad Workorders'!$S$1:$S$100,0),25)</f>
        <v>#N/A</v>
      </c>
      <c r="R10" s="547" t="e">
        <f t="array" ref="R10">INDEX('Brake Pad Workorders'!$A$1:$Z$100,MATCH(R5&amp;R6,'Brake Pad Workorders'!$A$1:$A$100&amp;'Brake Pad Workorders'!$S$1:$S$100,0),25)</f>
        <v>#N/A</v>
      </c>
      <c r="S10" s="547" t="e">
        <f t="array" ref="S10">INDEX('Brake Pad Workorders'!$A$1:$Z$100,MATCH(S5&amp;S6,'Brake Pad Workorders'!$A$1:$A$100&amp;'Brake Pad Workorders'!$S$1:$S$100,0),25)</f>
        <v>#N/A</v>
      </c>
      <c r="T10" s="547" t="e">
        <f t="array" ref="T10">INDEX('Brake Pad Workorders'!$A$1:$Z$100,MATCH(T5&amp;T6,'Brake Pad Workorders'!$A$1:$A$100&amp;'Brake Pad Workorders'!$S$1:$S$100,0),25)</f>
        <v>#N/A</v>
      </c>
      <c r="U10" s="547" t="e">
        <f t="array" ref="U10">INDEX('Brake Pad Workorders'!$A$1:$Z$100,MATCH(U5&amp;U6,'Brake Pad Workorders'!$A$1:$A$100&amp;'Brake Pad Workorders'!$S$1:$S$100,0),25)</f>
        <v>#N/A</v>
      </c>
      <c r="V10" s="547" t="e">
        <f t="array" ref="V10">INDEX('Brake Pad Workorders'!$A$1:$Z$100,MATCH(V5&amp;V6,'Brake Pad Workorders'!$A$1:$A$100&amp;'Brake Pad Workorders'!$S$1:$S$100,0),25)</f>
        <v>#N/A</v>
      </c>
      <c r="W10" s="547" t="e">
        <f t="array" ref="W10">INDEX('Brake Pad Workorders'!$A$1:$Z$100,MATCH(W5&amp;W6,'Brake Pad Workorders'!$A$1:$A$100&amp;'Brake Pad Workorders'!$S$1:$S$100,0),25)</f>
        <v>#N/A</v>
      </c>
      <c r="X10" s="547" t="e">
        <f t="array" ref="X10">INDEX('Brake Pad Workorders'!$A$1:$Z$100,MATCH(X5&amp;X6,'Brake Pad Workorders'!$A$1:$A$100&amp;'Brake Pad Workorders'!$S$1:$S$100,0),25)</f>
        <v>#N/A</v>
      </c>
      <c r="Y10" s="547" t="e">
        <f t="array" ref="Y10">INDEX('Brake Pad Workorders'!$A$1:$Z$100,MATCH(Y5&amp;Y6,'Brake Pad Workorders'!$A$1:$A$100&amp;'Brake Pad Workorders'!$S$1:$S$100,0),25)</f>
        <v>#N/A</v>
      </c>
      <c r="Z10" s="547" t="e">
        <f t="array" ref="Z10">INDEX('Brake Pad Workorders'!$A$1:$Z$100,MATCH(Z5&amp;Z6,'Brake Pad Workorders'!$A$1:$A$100&amp;'Brake Pad Workorders'!$S$1:$S$100,0),25)</f>
        <v>#N/A</v>
      </c>
      <c r="AA10" s="547" t="e">
        <f t="array" ref="AA10">INDEX('Brake Pad Workorders'!$A$1:$Z$100,MATCH(AA5&amp;AA6,'Brake Pad Workorders'!$A$1:$A$100&amp;'Brake Pad Workorders'!$S$1:$S$100,0),25)</f>
        <v>#N/A</v>
      </c>
      <c r="AB10" s="547" t="e">
        <f t="array" ref="AB10">INDEX('Brake Pad Workorders'!$A$1:$Z$100,MATCH(AB5&amp;AB6,'Brake Pad Workorders'!$A$1:$A$100&amp;'Brake Pad Workorders'!$S$1:$S$100,0),25)</f>
        <v>#N/A</v>
      </c>
      <c r="AC10" s="547" t="e">
        <f t="array" ref="AC10">INDEX('Brake Pad Workorders'!$A$1:$Z$100,MATCH(AC5&amp;AC6,'Brake Pad Workorders'!$A$1:$A$100&amp;'Brake Pad Workorders'!$S$1:$S$100,0),25)</f>
        <v>#N/A</v>
      </c>
      <c r="AD10" s="547" t="e">
        <f t="array" ref="AD10">INDEX('Brake Pad Workorders'!$A$1:$Z$100,MATCH(AD5&amp;AD6,'Brake Pad Workorders'!$A$1:$A$100&amp;'Brake Pad Workorders'!$S$1:$S$100,0),25)</f>
        <v>#N/A</v>
      </c>
      <c r="AE10" s="547" t="e">
        <f t="array" ref="AE10">INDEX('Brake Pad Workorders'!$A$1:$Z$100,MATCH(AE5&amp;AE6,'Brake Pad Workorders'!$A$1:$A$100&amp;'Brake Pad Workorders'!$S$1:$S$100,0),25)</f>
        <v>#N/A</v>
      </c>
      <c r="AF10" s="547" t="e">
        <f t="array" ref="AF10">INDEX('Brake Pad Workorders'!$A$1:$Z$100,MATCH(AF5&amp;AF6,'Brake Pad Workorders'!$A$1:$A$100&amp;'Brake Pad Workorders'!$S$1:$S$100,0),25)</f>
        <v>#N/A</v>
      </c>
      <c r="AG10" s="547" t="e">
        <f t="array" ref="AG10">INDEX('Brake Pad Workorders'!$A$1:$Z$100,MATCH(AG5&amp;AG6,'Brake Pad Workorders'!$A$1:$A$100&amp;'Brake Pad Workorders'!$S$1:$S$100,0),25)</f>
        <v>#N/A</v>
      </c>
      <c r="AH10" s="547" t="e">
        <f t="array" ref="AH10">INDEX('Brake Pad Workorders'!$A$1:$Z$100,MATCH(AH5&amp;AH6,'Brake Pad Workorders'!$A$1:$A$100&amp;'Brake Pad Workorders'!$S$1:$S$100,0),25)</f>
        <v>#N/A</v>
      </c>
      <c r="AI10" s="547" t="e">
        <f t="array" ref="AI10">INDEX('Brake Pad Workorders'!$A$1:$Z$100,MATCH(AI5&amp;AI6,'Brake Pad Workorders'!$A$1:$A$100&amp;'Brake Pad Workorders'!$S$1:$S$100,0),25)</f>
        <v>#N/A</v>
      </c>
      <c r="AJ10" s="547" t="e">
        <f t="array" ref="AJ10">INDEX('Brake Pad Workorders'!$A$1:$Z$100,MATCH(AJ5&amp;AJ6,'Brake Pad Workorders'!$A$1:$A$100&amp;'Brake Pad Workorders'!$S$1:$S$100,0),25)</f>
        <v>#N/A</v>
      </c>
      <c r="AK10" s="547" t="e">
        <f t="array" ref="AK10">INDEX('Brake Pad Workorders'!$A$1:$Z$100,MATCH(AK5&amp;AK6,'Brake Pad Workorders'!$A$1:$A$100&amp;'Brake Pad Workorders'!$S$1:$S$100,0),25)</f>
        <v>#N/A</v>
      </c>
      <c r="AL10" s="547" t="e">
        <f t="array" ref="AL10">INDEX('Brake Pad Workorders'!$A$1:$Z$100,MATCH(AL5&amp;AL6,'Brake Pad Workorders'!$A$1:$A$100&amp;'Brake Pad Workorders'!$S$1:$S$100,0),25)</f>
        <v>#N/A</v>
      </c>
      <c r="AM10" s="547" t="str">
        <f t="array" ref="AM10">INDEX('Brake Pad Workorders'!$A$1:$Z$100,MATCH(AM5&amp;AM6,'Brake Pad Workorders'!$A$1:$A$100&amp;'Brake Pad Workorders'!$S$1:$S$100,0),25)</f>
        <v>TOPLAN</v>
      </c>
      <c r="AN10" s="547" t="e">
        <f t="array" ref="AN10">INDEX('Brake Pad Workorders'!$A$1:$Z$100,MATCH(AN5&amp;AN6,'Brake Pad Workorders'!$A$1:$A$100&amp;'Brake Pad Workorders'!$S$1:$S$100,0),25)</f>
        <v>#N/A</v>
      </c>
      <c r="AO10" s="547" t="str">
        <f t="array" ref="AO10">INDEX('Brake Pad Workorders'!$A$1:$Z$100,MATCH(AO5&amp;AO6,'Brake Pad Workorders'!$A$1:$A$100&amp;'Brake Pad Workorders'!$S$1:$S$100,0),25)</f>
        <v>TOPLAN</v>
      </c>
      <c r="AP10" s="451"/>
    </row>
    <row r="11" spans="1:43" s="56" customFormat="1" ht="13.5" thickBot="1">
      <c r="A11" s="364" t="str">
        <f>IFERROR(VLOOKUP(A5,'220'!$X$2:$AF$79,9,FALSE),"")</f>
        <v/>
      </c>
      <c r="B11" s="287" t="str">
        <f>IFERROR(VLOOKUP(B5,'220'!$X$2:$AF$79,9,FALSE),"")</f>
        <v/>
      </c>
      <c r="C11" s="287" t="str">
        <f>IFERROR(VLOOKUP(C5,'220'!$X$2:$AF$79,9,FALSE),"")</f>
        <v/>
      </c>
      <c r="D11" s="467">
        <f ca="1">IFERROR(VLOOKUP(D5,'220'!$X$2:$AF$79,9,FALSE),"")</f>
        <v>37</v>
      </c>
      <c r="E11" s="488">
        <f ca="1">IFERROR(VLOOKUP(E5,'220'!$X$2:$AF$79,9,FALSE),"")</f>
        <v>33</v>
      </c>
      <c r="F11" s="287">
        <f ca="1">IFERROR(VLOOKUP(F5,'220'!$X$2:$AF$79,9,FALSE),"")</f>
        <v>34</v>
      </c>
      <c r="G11" s="287">
        <f ca="1">IFERROR(VLOOKUP(G5,'220'!$X$2:$AF$79,9,FALSE),"")</f>
        <v>31</v>
      </c>
      <c r="H11" s="287">
        <f ca="1">IFERROR(VLOOKUP(H5,'220'!$X$2:$AF$79,9,FALSE),"")</f>
        <v>28</v>
      </c>
      <c r="I11" s="287">
        <f ca="1">IFERROR(VLOOKUP(I5,'220'!$X$2:$AF$79,9,FALSE),"")</f>
        <v>30</v>
      </c>
      <c r="J11" s="287">
        <f ca="1">IFERROR(VLOOKUP(J5,'220'!$X$2:$AF$79,9,FALSE),"")</f>
        <v>30</v>
      </c>
      <c r="K11" s="287">
        <f ca="1">IFERROR(VLOOKUP(K5,'220'!$X$2:$AF$79,9,FALSE),"")</f>
        <v>28</v>
      </c>
      <c r="L11" s="287">
        <f ca="1">IFERROR(VLOOKUP(L5,'220'!$X$2:$AF$79,9,FALSE),"")</f>
        <v>27</v>
      </c>
      <c r="M11" s="287">
        <f ca="1">IFERROR(VLOOKUP(M5,'220'!$X$2:$AF$79,9,FALSE),"")</f>
        <v>25</v>
      </c>
      <c r="N11" s="287">
        <f ca="1">IFERROR(VLOOKUP(N5,'220'!$X$2:$AF$79,9,FALSE),"")</f>
        <v>20</v>
      </c>
      <c r="O11" s="287">
        <f ca="1">IFERROR(VLOOKUP(O5,'220'!$X$2:$AF$79,9,FALSE),"")</f>
        <v>24</v>
      </c>
      <c r="P11" s="287">
        <f ca="1">IFERROR(VLOOKUP(P5,'220'!$X$2:$AF$79,9,FALSE),"")</f>
        <v>22</v>
      </c>
      <c r="Q11" s="287">
        <f ca="1">IFERROR(VLOOKUP(Q5,'220'!$X$2:$AF$79,9,FALSE),"")</f>
        <v>16</v>
      </c>
      <c r="R11" s="287">
        <f ca="1">IFERROR(VLOOKUP(R5,'220'!$X$2:$AF$79,9,FALSE),"")</f>
        <v>24</v>
      </c>
      <c r="S11" s="287">
        <f ca="1">IFERROR(VLOOKUP(S5,'220'!$X$2:$AF$79,9,FALSE),"")</f>
        <v>20</v>
      </c>
      <c r="T11" s="287">
        <f ca="1">IFERROR(VLOOKUP(T5,'220'!$X$2:$AF$79,9,FALSE),"")</f>
        <v>15</v>
      </c>
      <c r="U11" s="287">
        <f ca="1">IFERROR(VLOOKUP(U5,'220'!$X$2:$AF$79,9,FALSE),"")</f>
        <v>19</v>
      </c>
      <c r="V11" s="287">
        <f ca="1">IFERROR(VLOOKUP(V5,'220'!$X$2:$AF$79,9,FALSE),"")</f>
        <v>17</v>
      </c>
      <c r="W11" s="287">
        <f ca="1">IFERROR(VLOOKUP(W5,'220'!$X$2:$AF$79,9,FALSE),"")</f>
        <v>15</v>
      </c>
      <c r="X11" s="287">
        <f ca="1">IFERROR(VLOOKUP(X5,'220'!$X$2:$AF$79,9,FALSE),"")</f>
        <v>14</v>
      </c>
      <c r="Y11" s="287">
        <f ca="1">IFERROR(VLOOKUP(Y5,'220'!$X$2:$AF$79,9,FALSE),"")</f>
        <v>16</v>
      </c>
      <c r="Z11" s="287">
        <f ca="1">IFERROR(VLOOKUP(Z5,'220'!$X$2:$AF$79,9,FALSE),"")</f>
        <v>16</v>
      </c>
      <c r="AA11" s="287">
        <f ca="1">IFERROR(VLOOKUP(AA5,'220'!$X$2:$AF$79,9,FALSE),"")</f>
        <v>13</v>
      </c>
      <c r="AB11" s="287">
        <f ca="1">IFERROR(VLOOKUP(AB5,'220'!$X$2:$AF$79,9,FALSE),"")</f>
        <v>15</v>
      </c>
      <c r="AC11" s="287">
        <f ca="1">IFERROR(VLOOKUP(AC5,'220'!$X$2:$AF$79,9,FALSE),"")</f>
        <v>6</v>
      </c>
      <c r="AD11" s="287">
        <f ca="1">IFERROR(VLOOKUP(AD5,'220'!$X$2:$AF$79,9,FALSE),"")</f>
        <v>5</v>
      </c>
      <c r="AE11" s="287">
        <f ca="1">IFERROR(VLOOKUP(AE5,'220'!$X$2:$AF$79,9,FALSE),"")</f>
        <v>8</v>
      </c>
      <c r="AF11" s="287">
        <f ca="1">IFERROR(VLOOKUP(AF5,'220'!$X$2:$AF$79,9,FALSE),"")</f>
        <v>37</v>
      </c>
      <c r="AG11" s="287">
        <f ca="1">IFERROR(VLOOKUP(AG5,'220'!$X$2:$AF$79,9,FALSE),"")</f>
        <v>10</v>
      </c>
      <c r="AH11" s="287">
        <f ca="1">IFERROR(VLOOKUP(AH5,'220'!$X$2:$AF$79,9,FALSE),"")</f>
        <v>3</v>
      </c>
      <c r="AI11" s="287">
        <f ca="1">IFERROR(VLOOKUP(AI5,'220'!$X$2:$AF$79,9,FALSE),"")</f>
        <v>10</v>
      </c>
      <c r="AJ11" s="287">
        <f ca="1">IFERROR(VLOOKUP(AJ5,'220'!$X$2:$AF$79,9,FALSE),"")</f>
        <v>2</v>
      </c>
      <c r="AK11" s="287">
        <f ca="1">IFERROR(VLOOKUP(AK5,'220'!$X$2:$AF$79,9,FALSE),"")</f>
        <v>5</v>
      </c>
      <c r="AL11" s="287">
        <f ca="1">IFERROR(VLOOKUP(AL5,'220'!$X$2:$AF$79,9,FALSE),"")</f>
        <v>7</v>
      </c>
      <c r="AM11" s="287">
        <f ca="1">IFERROR(VLOOKUP(AM5,'220'!$X$2:$AF$79,9,FALSE),"")</f>
        <v>36</v>
      </c>
      <c r="AN11" s="287">
        <f ca="1">IFERROR(VLOOKUP(AN5,'220'!$X$2:$AF$79,9,FALSE),"")</f>
        <v>3</v>
      </c>
      <c r="AO11" s="287">
        <f ca="1">IFERROR(VLOOKUP(AO5,'220'!$X$2:$AF$79,9,FALSE),"")</f>
        <v>28</v>
      </c>
      <c r="AP11" s="475">
        <f ca="1">IFERROR(VLOOKUP(AP5,'220'!$X$2:$AF$79,9,FALSE),"")</f>
        <v>39</v>
      </c>
    </row>
    <row r="12" spans="1:43" s="59" customFormat="1" ht="17.25" thickTop="1" thickBot="1">
      <c r="A12" s="819" t="s">
        <v>118</v>
      </c>
      <c r="B12" s="820"/>
      <c r="C12" s="820"/>
      <c r="D12" s="820"/>
      <c r="E12" s="489" t="str">
        <f>IF(E69&gt;2,"TOO MANY"," ")</f>
        <v xml:space="preserve"> </v>
      </c>
      <c r="F12" s="178" t="str">
        <f t="shared" ref="F12:AK12" si="5">IF(F69&gt;2,"TOO MANY"," ")</f>
        <v xml:space="preserve"> </v>
      </c>
      <c r="G12" s="178"/>
      <c r="H12" s="178" t="str">
        <f t="shared" si="5"/>
        <v xml:space="preserve"> </v>
      </c>
      <c r="I12" s="178" t="str">
        <f t="shared" si="5"/>
        <v xml:space="preserve"> </v>
      </c>
      <c r="J12" s="178" t="str">
        <f>IF(J69&gt;2,"TOO MANY"," ")</f>
        <v xml:space="preserve"> </v>
      </c>
      <c r="K12" s="178" t="str">
        <f t="shared" si="5"/>
        <v xml:space="preserve"> </v>
      </c>
      <c r="L12" s="178" t="str">
        <f t="shared" si="5"/>
        <v xml:space="preserve"> </v>
      </c>
      <c r="M12" s="178" t="str">
        <f t="shared" si="5"/>
        <v xml:space="preserve"> </v>
      </c>
      <c r="N12" s="178" t="str">
        <f t="shared" si="5"/>
        <v xml:space="preserve"> </v>
      </c>
      <c r="O12" s="178" t="str">
        <f t="shared" si="5"/>
        <v>TOO MANY</v>
      </c>
      <c r="P12" s="178" t="str">
        <f t="shared" si="5"/>
        <v xml:space="preserve"> </v>
      </c>
      <c r="Q12" s="178" t="str">
        <f t="shared" si="5"/>
        <v xml:space="preserve"> </v>
      </c>
      <c r="R12" s="178" t="str">
        <f t="shared" si="5"/>
        <v xml:space="preserve"> </v>
      </c>
      <c r="S12" s="178" t="str">
        <f t="shared" si="5"/>
        <v xml:space="preserve"> </v>
      </c>
      <c r="T12" s="178" t="str">
        <f t="shared" si="5"/>
        <v xml:space="preserve"> </v>
      </c>
      <c r="U12" s="178" t="str">
        <f t="shared" si="5"/>
        <v>TOO MANY</v>
      </c>
      <c r="V12" s="178" t="str">
        <f t="shared" si="5"/>
        <v xml:space="preserve"> </v>
      </c>
      <c r="W12" s="178" t="str">
        <f t="shared" si="5"/>
        <v xml:space="preserve"> </v>
      </c>
      <c r="X12" s="178" t="str">
        <f t="shared" si="5"/>
        <v xml:space="preserve"> </v>
      </c>
      <c r="Y12" s="178" t="str">
        <f t="shared" si="5"/>
        <v>TOO MANY</v>
      </c>
      <c r="Z12" s="178" t="str">
        <f t="shared" si="5"/>
        <v>TOO MANY</v>
      </c>
      <c r="AA12" s="178" t="str">
        <f t="shared" si="5"/>
        <v xml:space="preserve"> </v>
      </c>
      <c r="AB12" s="178" t="str">
        <f t="shared" si="5"/>
        <v xml:space="preserve"> </v>
      </c>
      <c r="AC12" s="178" t="str">
        <f t="shared" si="5"/>
        <v xml:space="preserve"> </v>
      </c>
      <c r="AD12" s="178" t="str">
        <f t="shared" si="5"/>
        <v xml:space="preserve"> </v>
      </c>
      <c r="AE12" s="178" t="str">
        <f t="shared" si="5"/>
        <v xml:space="preserve"> </v>
      </c>
      <c r="AF12" s="178" t="str">
        <f t="shared" si="5"/>
        <v>TOO MANY</v>
      </c>
      <c r="AG12" s="178" t="str">
        <f t="shared" si="5"/>
        <v>TOO MANY</v>
      </c>
      <c r="AH12" s="178" t="str">
        <f t="shared" si="5"/>
        <v>TOO MANY</v>
      </c>
      <c r="AI12" s="178" t="str">
        <f t="shared" si="5"/>
        <v>TOO MANY</v>
      </c>
      <c r="AJ12" s="178" t="str">
        <f t="shared" si="5"/>
        <v xml:space="preserve"> </v>
      </c>
      <c r="AK12" s="178" t="str">
        <f t="shared" si="5"/>
        <v xml:space="preserve"> </v>
      </c>
      <c r="AL12" s="178" t="s">
        <v>334</v>
      </c>
      <c r="AM12" s="178" t="s">
        <v>338</v>
      </c>
      <c r="AN12" s="178" t="s">
        <v>338</v>
      </c>
      <c r="AO12" s="178" t="str">
        <f>IF(AO69&gt;2,"TOO MANY"," ")</f>
        <v xml:space="preserve"> </v>
      </c>
      <c r="AP12" s="476"/>
    </row>
    <row r="13" spans="1:43" ht="13.5" thickTop="1">
      <c r="A13" s="327"/>
      <c r="B13" s="125"/>
      <c r="C13" s="502"/>
      <c r="D13" s="513">
        <v>220020</v>
      </c>
      <c r="E13" s="512">
        <v>220028</v>
      </c>
      <c r="F13" s="53">
        <v>220019</v>
      </c>
      <c r="G13" s="53">
        <v>220031</v>
      </c>
      <c r="H13" s="53">
        <v>220006</v>
      </c>
      <c r="I13" s="53">
        <v>221134</v>
      </c>
      <c r="J13" s="280">
        <v>220014</v>
      </c>
      <c r="K13" s="53">
        <v>221127</v>
      </c>
      <c r="L13" s="53">
        <v>220013</v>
      </c>
      <c r="M13" s="53">
        <v>221130</v>
      </c>
      <c r="N13" s="53">
        <v>220023</v>
      </c>
      <c r="O13" s="53">
        <v>221120</v>
      </c>
      <c r="P13" s="53">
        <v>221137</v>
      </c>
      <c r="Q13" s="53">
        <v>221139</v>
      </c>
      <c r="R13" s="53">
        <v>220024</v>
      </c>
      <c r="S13" s="53">
        <v>220032</v>
      </c>
      <c r="T13" s="53">
        <v>221140</v>
      </c>
      <c r="U13" s="53">
        <v>220007</v>
      </c>
      <c r="V13" s="53">
        <v>221131</v>
      </c>
      <c r="W13" s="53">
        <v>221135</v>
      </c>
      <c r="X13" s="53">
        <v>221125</v>
      </c>
      <c r="Y13" s="53">
        <v>220022</v>
      </c>
      <c r="Z13" s="53">
        <v>220002</v>
      </c>
      <c r="AA13" s="53">
        <v>221123</v>
      </c>
      <c r="AB13" s="53">
        <v>221124</v>
      </c>
      <c r="AC13" s="53">
        <v>220017</v>
      </c>
      <c r="AD13" s="85">
        <v>220025</v>
      </c>
      <c r="AE13" s="53">
        <v>220033</v>
      </c>
      <c r="AF13" s="53">
        <v>220003</v>
      </c>
      <c r="AG13" s="53">
        <v>220001</v>
      </c>
      <c r="AH13" s="460">
        <v>220015</v>
      </c>
      <c r="AI13" s="498">
        <v>221126</v>
      </c>
      <c r="AJ13" s="498">
        <v>221117</v>
      </c>
      <c r="AK13" s="171">
        <v>221107</v>
      </c>
      <c r="AL13" s="55">
        <v>221116</v>
      </c>
      <c r="AM13" s="279">
        <v>220005</v>
      </c>
      <c r="AN13" s="279">
        <v>220031</v>
      </c>
      <c r="AO13" s="279">
        <v>221127</v>
      </c>
      <c r="AP13" s="478">
        <v>221136</v>
      </c>
    </row>
    <row r="14" spans="1:43" ht="15">
      <c r="A14" s="328" t="str">
        <f>IF(A13&lt;220000,"",VLOOKUP(A13,'220'!$X$2:$AE$79,7,FALSE))</f>
        <v/>
      </c>
      <c r="B14" s="174" t="str">
        <f>IF(B13&lt;220000,"",VLOOKUP(B13,'220'!$X$2:$AE$79,7,FALSE))</f>
        <v/>
      </c>
      <c r="C14" s="173" t="str">
        <f>IF(C13&lt;220000,"",VLOOKUP(C13,'220'!$X$2:$AE$79,7,FALSE))</f>
        <v/>
      </c>
      <c r="D14" s="173" t="str">
        <f>IF(D13&lt;220000,"",VLOOKUP(D13,'220'!$X$2:$AE$79,7,FALSE))</f>
        <v>C1</v>
      </c>
      <c r="E14" s="484" t="str">
        <f>IF(E13&lt;220000,"",VLOOKUP(E13,'220'!$X$2:$AE$79,7,FALSE))</f>
        <v>C1</v>
      </c>
      <c r="F14" s="313" t="str">
        <f>IF(F13&lt;220000,"",VLOOKUP(F13,'220'!$X$2:$AE$79,7,FALSE))</f>
        <v>C4</v>
      </c>
      <c r="G14" s="313" t="str">
        <f>IF(G13&lt;220000,"",VLOOKUP(G13,'220'!$X$2:$AE$79,7,FALSE))</f>
        <v>C4</v>
      </c>
      <c r="H14" s="313" t="str">
        <f>IF(H13&lt;220000,"",VLOOKUP(H13,'220'!$X$2:$AE$79,7,FALSE))</f>
        <v>C1</v>
      </c>
      <c r="I14" s="313" t="str">
        <f>IF(I13&lt;220000,"",VLOOKUP(I13,'220'!$X$2:$AE$79,7,FALSE))</f>
        <v>C1</v>
      </c>
      <c r="J14" s="313" t="str">
        <f>IF(J13&lt;220000,"",VLOOKUP(J13,'220'!$X$2:$AE$79,7,FALSE))</f>
        <v>C2</v>
      </c>
      <c r="K14" s="313" t="str">
        <f>IF(K13&lt;220000,"",VLOOKUP(K13,'220'!$X$2:$AE$79,7,FALSE))</f>
        <v>C4</v>
      </c>
      <c r="L14" s="313" t="str">
        <f>IF(L13&lt;220000,"",VLOOKUP(L13,'220'!$X$2:$AE$79,7,FALSE))</f>
        <v>C3</v>
      </c>
      <c r="M14" s="313" t="str">
        <f>IF(M13&lt;220000,"",VLOOKUP(M13,'220'!$X$2:$AE$79,7,FALSE))</f>
        <v>C4</v>
      </c>
      <c r="N14" s="313" t="str">
        <f>IF(N13&lt;220000,"",VLOOKUP(N13,'220'!$X$2:$AE$79,7,FALSE))</f>
        <v>C1</v>
      </c>
      <c r="O14" s="313" t="str">
        <f>IF(O13&lt;220000,"",VLOOKUP(O13,'220'!$X$2:$AE$79,7,FALSE))</f>
        <v>C3</v>
      </c>
      <c r="P14" s="313" t="str">
        <f>IF(P13&lt;220000,"",VLOOKUP(P13,'220'!$X$2:$AE$79,7,FALSE))</f>
        <v>C2</v>
      </c>
      <c r="Q14" s="313" t="str">
        <f>IF(Q13&lt;220000,"",VLOOKUP(Q13,'220'!$X$2:$AE$79,7,FALSE))</f>
        <v>C2</v>
      </c>
      <c r="R14" s="313" t="str">
        <f>IF(R13&lt;220000,"",VLOOKUP(R13,'220'!$X$2:$AE$79,7,FALSE))</f>
        <v>C1</v>
      </c>
      <c r="S14" s="313" t="str">
        <f>IF(S13&lt;220000,"",VLOOKUP(S13,'220'!$X$2:$AE$79,7,FALSE))</f>
        <v>C3</v>
      </c>
      <c r="T14" s="313" t="str">
        <f>IF(T13&lt;220000,"",VLOOKUP(T13,'220'!$X$2:$AE$79,7,FALSE))</f>
        <v>C1</v>
      </c>
      <c r="U14" s="313" t="str">
        <f>IF(U13&lt;220000,"",VLOOKUP(U13,'220'!$X$2:$AE$79,7,FALSE))</f>
        <v>C1</v>
      </c>
      <c r="V14" s="313" t="str">
        <f>IF(V13&lt;220000,"",VLOOKUP(V13,'220'!$X$2:$AE$79,7,FALSE))</f>
        <v>C4</v>
      </c>
      <c r="W14" s="313" t="str">
        <f>IF(W13&lt;220000,"",VLOOKUP(W13,'220'!$X$2:$AE$79,7,FALSE))</f>
        <v>C3</v>
      </c>
      <c r="X14" s="313" t="str">
        <f>IF(X13&lt;220000,"",VLOOKUP(X13,'220'!$X$2:$AE$79,7,FALSE))</f>
        <v>C4</v>
      </c>
      <c r="Y14" s="313" t="str">
        <f>IF(Y13&lt;220000,"",VLOOKUP(Y13,'220'!$X$2:$AE$79,7,FALSE))</f>
        <v>C1</v>
      </c>
      <c r="Z14" s="313" t="str">
        <f>IF(Z13&lt;220000,"",VLOOKUP(Z13,'220'!$X$2:$AE$79,7,FALSE))</f>
        <v>C4</v>
      </c>
      <c r="AA14" s="313" t="str">
        <f>IF(AA13&lt;220000,"",VLOOKUP(AA13,'220'!$X$2:$AE$79,7,FALSE))</f>
        <v>C3</v>
      </c>
      <c r="AB14" s="313" t="str">
        <f>IF(AB13&lt;220000,"",VLOOKUP(AB13,'220'!$X$2:$AE$79,7,FALSE))</f>
        <v>C3</v>
      </c>
      <c r="AC14" s="313" t="str">
        <f>IF(AC13&lt;220000,"",VLOOKUP(AC13,'220'!$X$2:$AE$79,7,FALSE))</f>
        <v>C4</v>
      </c>
      <c r="AD14" s="313" t="str">
        <f>IF(AD13&lt;220000,"",VLOOKUP(AD13,'220'!$X$2:$AE$79,7,FALSE))</f>
        <v>C2</v>
      </c>
      <c r="AE14" s="313" t="str">
        <f>IF(AE13&lt;220000,"",VLOOKUP(AE13,'220'!$X$2:$AE$79,7,FALSE))</f>
        <v>C2</v>
      </c>
      <c r="AF14" s="313" t="str">
        <f>IF(AF13&lt;220000,"",VLOOKUP(AF13,'220'!$X$2:$AE$79,7,FALSE))</f>
        <v>C4</v>
      </c>
      <c r="AG14" s="313" t="str">
        <f>IF(AG13&lt;220000,"",VLOOKUP(AG13,'220'!$X$2:$AE$79,7,FALSE))</f>
        <v>C4</v>
      </c>
      <c r="AH14" s="313" t="str">
        <f>IF(AH13&lt;220000,"",VLOOKUP(AH13,'220'!$X$2:$AE$79,7,FALSE))</f>
        <v>C2</v>
      </c>
      <c r="AI14" s="313" t="str">
        <f>IF(AI13&lt;220000,"",VLOOKUP(AI13,'220'!$X$2:$AE$79,7,FALSE))</f>
        <v>C3</v>
      </c>
      <c r="AJ14" s="313" t="str">
        <f>IF(AJ13&lt;220000,"",VLOOKUP(AJ13,'220'!$X$2:$AE$79,7,FALSE))</f>
        <v>C1</v>
      </c>
      <c r="AK14" s="313" t="str">
        <f>IF(AK13&lt;220000,"",VLOOKUP(AK13,'220'!$X$2:$AE$79,7,FALSE))</f>
        <v>C2</v>
      </c>
      <c r="AL14" s="313" t="str">
        <f>IF(AL13&lt;220000,"",VLOOKUP(AL13,'220'!$X$2:$AE$79,7,FALSE))</f>
        <v>C1</v>
      </c>
      <c r="AM14" s="313" t="str">
        <f>IF(AM13&lt;220000,"",VLOOKUP(AM13,'220'!$X$2:$AE$79,7,FALSE))</f>
        <v>C4</v>
      </c>
      <c r="AN14" s="313" t="str">
        <f>IF(AN13&lt;220000,"",VLOOKUP(AN13,'220'!$X$2:$AE$79,7,FALSE))</f>
        <v>C4</v>
      </c>
      <c r="AO14" s="313" t="str">
        <f>IF(AO13&lt;220000,"",VLOOKUP(AO13,'220'!$X$2:$AE$79,7,FALSE))</f>
        <v>C4</v>
      </c>
      <c r="AP14" s="472" t="str">
        <f>IF(AP13&lt;220000,"",VLOOKUP(AP13,'220'!$X$2:$AE$79,7,FALSE))</f>
        <v>C2</v>
      </c>
      <c r="AQ14" s="55"/>
    </row>
    <row r="15" spans="1:43">
      <c r="A15" s="329" t="str">
        <f>IF(A13&lt;220000,"",VLOOKUP(A13,'220'!$X$2:$AE$79,8,FALSE))</f>
        <v/>
      </c>
      <c r="B15" s="1" t="str">
        <f>IF(B13&lt;220000,"",VLOOKUP(B13,'220'!$X$2:$AE$79,8,FALSE))</f>
        <v/>
      </c>
      <c r="C15" s="1" t="str">
        <f>IF(C13&lt;220000,"",VLOOKUP(C13,'220'!$X$2:$AE$79,8,FALSE))</f>
        <v/>
      </c>
      <c r="D15" s="7">
        <f>IF(D13&lt;220000,"",VLOOKUP(D13,'220'!$X$2:$AE$79,8,FALSE))</f>
        <v>29643</v>
      </c>
      <c r="E15" s="485">
        <f>IF(E13&lt;220000,"",VLOOKUP(E13,'220'!$X$2:$AE$79,8,FALSE))</f>
        <v>24338</v>
      </c>
      <c r="F15" s="312">
        <f>IF(F13&lt;220000,"",VLOOKUP(F13,'220'!$X$2:$AE$79,8,FALSE))</f>
        <v>29137</v>
      </c>
      <c r="G15" s="312">
        <f>IF(G13&lt;220000,"",VLOOKUP(G13,'220'!$X$2:$AE$79,8,FALSE))</f>
        <v>28057</v>
      </c>
      <c r="H15" s="312">
        <f>IF(H13&lt;220000,"",VLOOKUP(H13,'220'!$X$2:$AE$79,8,FALSE))</f>
        <v>27378</v>
      </c>
      <c r="I15" s="312">
        <f>IF(I13&lt;220000,"",VLOOKUP(I13,'220'!$X$2:$AE$79,8,FALSE))</f>
        <v>25313</v>
      </c>
      <c r="J15" s="312">
        <f>IF(J13&lt;220000,"",VLOOKUP(J13,'220'!$X$2:$AE$79,8,FALSE))</f>
        <v>24508</v>
      </c>
      <c r="K15" s="312">
        <f>IF(K13&lt;220000,"",VLOOKUP(K13,'220'!$X$2:$AE$79,8,FALSE))</f>
        <v>24186</v>
      </c>
      <c r="L15" s="312">
        <f>IF(L13&lt;220000,"",VLOOKUP(L13,'220'!$X$2:$AE$79,8,FALSE))</f>
        <v>20367</v>
      </c>
      <c r="M15" s="312">
        <f>IF(M13&lt;220000,"",VLOOKUP(M13,'220'!$X$2:$AE$79,8,FALSE))</f>
        <v>21133</v>
      </c>
      <c r="N15" s="312">
        <f>IF(N13&lt;220000,"",VLOOKUP(N13,'220'!$X$2:$AE$79,8,FALSE))</f>
        <v>21977</v>
      </c>
      <c r="O15" s="312">
        <f>IF(O13&lt;220000,"",VLOOKUP(O13,'220'!$X$2:$AE$79,8,FALSE))</f>
        <v>22647</v>
      </c>
      <c r="P15" s="312">
        <f>IF(P13&lt;220000,"",VLOOKUP(P13,'220'!$X$2:$AE$79,8,FALSE))</f>
        <v>17657</v>
      </c>
      <c r="Q15" s="312">
        <f>IF(Q13&lt;220000,"",VLOOKUP(Q13,'220'!$X$2:$AE$79,8,FALSE))</f>
        <v>17521</v>
      </c>
      <c r="R15" s="312">
        <f>IF(R13&lt;220000,"",VLOOKUP(R13,'220'!$X$2:$AE$79,8,FALSE))</f>
        <v>13252</v>
      </c>
      <c r="S15" s="312">
        <f>IF(S13&lt;220000,"",VLOOKUP(S13,'220'!$X$2:$AE$79,8,FALSE))</f>
        <v>18847</v>
      </c>
      <c r="T15" s="312">
        <f>IF(T13&lt;220000,"",VLOOKUP(T13,'220'!$X$2:$AE$79,8,FALSE))</f>
        <v>16556</v>
      </c>
      <c r="U15" s="312">
        <f>IF(U13&lt;220000,"",VLOOKUP(U13,'220'!$X$2:$AE$79,8,FALSE))</f>
        <v>9235</v>
      </c>
      <c r="V15" s="312">
        <f>IF(V13&lt;220000,"",VLOOKUP(V13,'220'!$X$2:$AE$79,8,FALSE))</f>
        <v>14107</v>
      </c>
      <c r="W15" s="312">
        <f>IF(W13&lt;220000,"",VLOOKUP(W13,'220'!$X$2:$AE$79,8,FALSE))</f>
        <v>17108</v>
      </c>
      <c r="X15" s="312">
        <f>IF(X13&lt;220000,"",VLOOKUP(X13,'220'!$X$2:$AE$79,8,FALSE))</f>
        <v>12114</v>
      </c>
      <c r="Y15" s="312">
        <f>IF(Y13&lt;220000,"",VLOOKUP(Y13,'220'!$X$2:$AE$79,8,FALSE))</f>
        <v>14317</v>
      </c>
      <c r="Z15" s="312">
        <f>IF(Z13&lt;220000,"",VLOOKUP(Z13,'220'!$X$2:$AE$79,8,FALSE))</f>
        <v>11862</v>
      </c>
      <c r="AA15" s="312">
        <f>IF(AA13&lt;220000,"",VLOOKUP(AA13,'220'!$X$2:$AE$79,8,FALSE))</f>
        <v>7780</v>
      </c>
      <c r="AB15" s="312">
        <f>IF(AB13&lt;220000,"",VLOOKUP(AB13,'220'!$X$2:$AE$79,8,FALSE))</f>
        <v>6751</v>
      </c>
      <c r="AC15" s="312">
        <f>IF(AC13&lt;220000,"",VLOOKUP(AC13,'220'!$X$2:$AE$79,8,FALSE))</f>
        <v>6490</v>
      </c>
      <c r="AD15" s="312">
        <f>IF(AD13&lt;220000,"",VLOOKUP(AD13,'220'!$X$2:$AE$79,8,FALSE))</f>
        <v>9219</v>
      </c>
      <c r="AE15" s="312">
        <f>IF(AE13&lt;220000,"",VLOOKUP(AE13,'220'!$X$2:$AE$79,8,FALSE))</f>
        <v>4232</v>
      </c>
      <c r="AF15" s="312">
        <f>IF(AF13&lt;220000,"",VLOOKUP(AF13,'220'!$X$2:$AE$79,8,FALSE))</f>
        <v>2738</v>
      </c>
      <c r="AG15" s="312">
        <f>IF(AG13&lt;220000,"",VLOOKUP(AG13,'220'!$X$2:$AE$79,8,FALSE))</f>
        <v>4690</v>
      </c>
      <c r="AH15" s="312">
        <f>IF(AH13&lt;220000,"",VLOOKUP(AH13,'220'!$X$2:$AE$79,8,FALSE))</f>
        <v>6105</v>
      </c>
      <c r="AI15" s="312">
        <f>IF(AI13&lt;220000,"",VLOOKUP(AI13,'220'!$X$2:$AE$79,8,FALSE))</f>
        <v>4643</v>
      </c>
      <c r="AJ15" s="312">
        <f>IF(AJ13&lt;220000,"",VLOOKUP(AJ13,'220'!$X$2:$AE$79,8,FALSE))</f>
        <v>1697</v>
      </c>
      <c r="AK15" s="312">
        <f>IF(AK13&lt;220000,"",VLOOKUP(AK13,'220'!$X$2:$AE$79,8,FALSE))</f>
        <v>23381</v>
      </c>
      <c r="AL15" s="312">
        <f>IF(AL13&lt;220000,"",VLOOKUP(AL13,'220'!$X$2:$AE$79,8,FALSE))</f>
        <v>26540</v>
      </c>
      <c r="AM15" s="312">
        <f>IF(AM13&lt;220000,"",VLOOKUP(AM13,'220'!$X$2:$AE$79,8,FALSE))</f>
        <v>1525</v>
      </c>
      <c r="AN15" s="312">
        <f>IF(AN13&lt;220000,"",VLOOKUP(AN13,'220'!$X$2:$AE$79,8,FALSE))</f>
        <v>28057</v>
      </c>
      <c r="AO15" s="312">
        <f>IF(AO13&lt;220000,"",VLOOKUP(AO13,'220'!$X$2:$AE$79,8,FALSE))</f>
        <v>24186</v>
      </c>
      <c r="AP15" s="473">
        <f>IF(AP13&lt;220000,"",VLOOKUP(AP13,'220'!$X$2:$AE$79,8,FALSE))</f>
        <v>28965</v>
      </c>
    </row>
    <row r="16" spans="1:43" s="54" customFormat="1">
      <c r="A16" s="330" t="str">
        <f>IF(A13&lt;220000,"",VLOOKUP(A13,'220'!$X$2:$AE$79,6,FALSE))</f>
        <v/>
      </c>
      <c r="B16" s="3" t="str">
        <f>IF(B13&lt;220000,"",VLOOKUP(B13,'220'!$X$2:$AE$79,6,FALSE))</f>
        <v/>
      </c>
      <c r="C16" s="3" t="str">
        <f>IF(C13&lt;220000,"",VLOOKUP(C13,'220'!$X$2:$AE$79,6,FALSE))</f>
        <v/>
      </c>
      <c r="D16" s="465">
        <f>IF(D13&lt;220000,"",VLOOKUP(D13,'220'!$X$2:$AE$79,6,FALSE))</f>
        <v>42931</v>
      </c>
      <c r="E16" s="486">
        <f>IF(E13&lt;220000,"",VLOOKUP(E13,'220'!$X$2:$AE$79,6,FALSE))</f>
        <v>42935</v>
      </c>
      <c r="F16" s="530">
        <f>IF(F13&lt;220000,"",VLOOKUP(F13,'220'!$X$2:$AE$79,6,FALSE))</f>
        <v>42934</v>
      </c>
      <c r="G16" s="530">
        <f>IF(G13&lt;220000,"",VLOOKUP(G13,'220'!$X$2:$AE$79,6,FALSE))</f>
        <v>42933</v>
      </c>
      <c r="H16" s="3">
        <f>IF(H13&lt;220000,"",VLOOKUP(H13,'220'!$X$2:$AE$79,6,FALSE))</f>
        <v>42938</v>
      </c>
      <c r="I16" s="3">
        <f>IF(I13&lt;220000,"",VLOOKUP(I13,'220'!$X$2:$AE$79,6,FALSE))</f>
        <v>42938</v>
      </c>
      <c r="J16" s="3">
        <f>IF(J13&lt;220000,"",VLOOKUP(J13,'220'!$X$2:$AE$79,6,FALSE))</f>
        <v>42938</v>
      </c>
      <c r="K16" s="3">
        <f>IF(K13&lt;220000,"",VLOOKUP(K13,'220'!$X$2:$AE$79,6,FALSE))</f>
        <v>42934</v>
      </c>
      <c r="L16" s="3">
        <f>IF(L13&lt;220000,"",VLOOKUP(L13,'220'!$X$2:$AE$79,6,FALSE))</f>
        <v>42937</v>
      </c>
      <c r="M16" s="3">
        <f>IF(M13&lt;220000,"",VLOOKUP(M13,'220'!$X$2:$AE$79,6,FALSE))</f>
        <v>42939</v>
      </c>
      <c r="N16" s="3">
        <f>IF(N13&lt;220000,"",VLOOKUP(N13,'220'!$X$2:$AE$79,6,FALSE))</f>
        <v>42941</v>
      </c>
      <c r="O16" s="3">
        <f>IF(O13&lt;220000,"",VLOOKUP(O13,'220'!$X$2:$AE$79,6,FALSE))</f>
        <v>42941</v>
      </c>
      <c r="P16" s="3">
        <f>IF(P13&lt;220000,"",VLOOKUP(P13,'220'!$X$2:$AE$79,6,FALSE))</f>
        <v>42941</v>
      </c>
      <c r="Q16" s="3">
        <f>IF(Q13&lt;220000,"",VLOOKUP(Q13,'220'!$X$2:$AE$79,6,FALSE))</f>
        <v>42942</v>
      </c>
      <c r="R16" s="3">
        <f>IF(R13&lt;220000,"",VLOOKUP(R13,'220'!$X$2:$AE$79,6,FALSE))</f>
        <v>42946</v>
      </c>
      <c r="S16" s="3">
        <f>IF(S13&lt;220000,"",VLOOKUP(S13,'220'!$X$2:$AE$79,6,FALSE))</f>
        <v>42946</v>
      </c>
      <c r="T16" s="3">
        <f>IF(T13&lt;220000,"",VLOOKUP(T13,'220'!$X$2:$AE$79,6,FALSE))</f>
        <v>42948</v>
      </c>
      <c r="U16" s="3">
        <f>IF(U13&lt;220000,"",VLOOKUP(U13,'220'!$X$2:$AE$79,6,FALSE))</f>
        <v>42948</v>
      </c>
      <c r="V16" s="3">
        <f>IF(V13&lt;220000,"",VLOOKUP(V13,'220'!$X$2:$AE$79,6,FALSE))</f>
        <v>42950</v>
      </c>
      <c r="W16" s="3">
        <f>IF(W13&lt;220000,"",VLOOKUP(W13,'220'!$X$2:$AE$79,6,FALSE))</f>
        <v>42951</v>
      </c>
      <c r="X16" s="3">
        <f>IF(X13&lt;220000,"",VLOOKUP(X13,'220'!$X$2:$AE$79,6,FALSE))</f>
        <v>42951</v>
      </c>
      <c r="Y16" s="3">
        <f>IF(Y13&lt;220000,"",VLOOKUP(Y13,'220'!$X$2:$AE$79,6,FALSE))</f>
        <v>42953</v>
      </c>
      <c r="Z16" s="3">
        <f>IF(Z13&lt;220000,"",VLOOKUP(Z13,'220'!$X$2:$AE$79,6,FALSE))</f>
        <v>42955</v>
      </c>
      <c r="AA16" s="3">
        <f>IF(AA13&lt;220000,"",VLOOKUP(AA13,'220'!$X$2:$AE$79,6,FALSE))</f>
        <v>42956</v>
      </c>
      <c r="AB16" s="3">
        <f>IF(AB13&lt;220000,"",VLOOKUP(AB13,'220'!$X$2:$AE$79,6,FALSE))</f>
        <v>42956</v>
      </c>
      <c r="AC16" s="3">
        <f>IF(AC13&lt;220000,"",VLOOKUP(AC13,'220'!$X$2:$AE$79,6,FALSE))</f>
        <v>42957</v>
      </c>
      <c r="AD16" s="3">
        <f>IF(AD13&lt;220000,"",VLOOKUP(AD13,'220'!$X$2:$AE$79,6,FALSE))</f>
        <v>42958</v>
      </c>
      <c r="AE16" s="3">
        <f>IF(AE13&lt;220000,"",VLOOKUP(AE13,'220'!$X$2:$AE$79,6,FALSE))</f>
        <v>42959</v>
      </c>
      <c r="AF16" s="3">
        <f>IF(AF13&lt;220000,"",VLOOKUP(AF13,'220'!$X$2:$AE$79,6,FALSE))</f>
        <v>42960</v>
      </c>
      <c r="AG16" s="3">
        <f>IF(AG13&lt;220000,"",VLOOKUP(AG13,'220'!$X$2:$AE$79,6,FALSE))</f>
        <v>42961</v>
      </c>
      <c r="AH16" s="3">
        <f>IF(AH13&lt;220000,"",VLOOKUP(AH13,'220'!$X$2:$AE$79,6,FALSE))</f>
        <v>42962</v>
      </c>
      <c r="AI16" s="3">
        <f>IF(AI13&lt;220000,"",VLOOKUP(AI13,'220'!$X$2:$AE$79,6,FALSE))</f>
        <v>42962</v>
      </c>
      <c r="AJ16" s="3">
        <f>IF(AJ13&lt;220000,"",VLOOKUP(AJ13,'220'!$X$2:$AE$79,6,FALSE))</f>
        <v>42964</v>
      </c>
      <c r="AK16" s="3">
        <f>IF(AK13&lt;220000,"",VLOOKUP(AK13,'220'!$X$2:$AE$79,6,FALSE))</f>
        <v>42932</v>
      </c>
      <c r="AL16" s="3">
        <f>IF(AL13&lt;220000,"",VLOOKUP(AL13,'220'!$X$2:$AE$79,6,FALSE))</f>
        <v>42931</v>
      </c>
      <c r="AM16" s="3">
        <f>IF(AM13&lt;220000,"",VLOOKUP(AM13,'220'!$X$2:$AE$79,6,FALSE))</f>
        <v>42967</v>
      </c>
      <c r="AN16" s="3">
        <f>IF(AN13&lt;220000,"",VLOOKUP(AN13,'220'!$X$2:$AE$79,6,FALSE))</f>
        <v>42933</v>
      </c>
      <c r="AO16" s="3">
        <f>IF(AO13&lt;220000,"",VLOOKUP(AO13,'220'!$X$2:$AE$79,6,FALSE))</f>
        <v>42934</v>
      </c>
      <c r="AP16" s="452">
        <f>IF(AP13&lt;220000,"",VLOOKUP(AP13,'220'!$X$2:$AE$79,6,FALSE))</f>
        <v>42934</v>
      </c>
    </row>
    <row r="17" spans="1:43">
      <c r="A17" s="329" t="str">
        <f t="shared" ref="A17:AP17" si="6">IFERROR(30330-A15,"")</f>
        <v/>
      </c>
      <c r="B17" s="1" t="str">
        <f t="shared" si="6"/>
        <v/>
      </c>
      <c r="C17" s="1" t="str">
        <f t="shared" si="6"/>
        <v/>
      </c>
      <c r="D17" s="7">
        <f t="shared" si="6"/>
        <v>687</v>
      </c>
      <c r="E17" s="528">
        <f t="shared" si="6"/>
        <v>5992</v>
      </c>
      <c r="F17" s="310">
        <f t="shared" si="6"/>
        <v>1193</v>
      </c>
      <c r="G17" s="310">
        <f t="shared" si="6"/>
        <v>2273</v>
      </c>
      <c r="H17" s="1">
        <f t="shared" si="6"/>
        <v>2952</v>
      </c>
      <c r="I17" s="1">
        <f t="shared" si="6"/>
        <v>5017</v>
      </c>
      <c r="J17" s="1">
        <f t="shared" si="6"/>
        <v>5822</v>
      </c>
      <c r="K17" s="1">
        <f t="shared" si="6"/>
        <v>6144</v>
      </c>
      <c r="L17" s="1">
        <f t="shared" si="6"/>
        <v>9963</v>
      </c>
      <c r="M17" s="1">
        <f t="shared" si="6"/>
        <v>9197</v>
      </c>
      <c r="N17" s="1">
        <f t="shared" si="6"/>
        <v>8353</v>
      </c>
      <c r="O17" s="1">
        <f t="shared" si="6"/>
        <v>7683</v>
      </c>
      <c r="P17" s="1">
        <f t="shared" si="6"/>
        <v>12673</v>
      </c>
      <c r="Q17" s="1">
        <f t="shared" si="6"/>
        <v>12809</v>
      </c>
      <c r="R17" s="1">
        <f t="shared" si="6"/>
        <v>17078</v>
      </c>
      <c r="S17" s="1">
        <f t="shared" si="6"/>
        <v>11483</v>
      </c>
      <c r="T17" s="1">
        <f t="shared" si="6"/>
        <v>13774</v>
      </c>
      <c r="U17" s="1">
        <f t="shared" si="6"/>
        <v>21095</v>
      </c>
      <c r="V17" s="1">
        <f t="shared" si="6"/>
        <v>16223</v>
      </c>
      <c r="W17" s="1">
        <f t="shared" si="6"/>
        <v>13222</v>
      </c>
      <c r="X17" s="1">
        <f t="shared" si="6"/>
        <v>18216</v>
      </c>
      <c r="Y17" s="1">
        <f t="shared" si="6"/>
        <v>16013</v>
      </c>
      <c r="Z17" s="1">
        <f t="shared" si="6"/>
        <v>18468</v>
      </c>
      <c r="AA17" s="1">
        <f t="shared" si="6"/>
        <v>22550</v>
      </c>
      <c r="AB17" s="1">
        <f t="shared" si="6"/>
        <v>23579</v>
      </c>
      <c r="AC17" s="1">
        <f t="shared" si="6"/>
        <v>23840</v>
      </c>
      <c r="AD17" s="1">
        <f t="shared" si="6"/>
        <v>21111</v>
      </c>
      <c r="AE17" s="1">
        <f t="shared" si="6"/>
        <v>26098</v>
      </c>
      <c r="AF17" s="1">
        <f t="shared" si="6"/>
        <v>27592</v>
      </c>
      <c r="AG17" s="1">
        <f t="shared" si="6"/>
        <v>25640</v>
      </c>
      <c r="AH17" s="1">
        <f t="shared" si="6"/>
        <v>24225</v>
      </c>
      <c r="AI17" s="1">
        <f t="shared" si="6"/>
        <v>25687</v>
      </c>
      <c r="AJ17" s="1">
        <f t="shared" si="6"/>
        <v>28633</v>
      </c>
      <c r="AK17" s="1">
        <f t="shared" si="6"/>
        <v>6949</v>
      </c>
      <c r="AL17" s="1">
        <f t="shared" si="6"/>
        <v>3790</v>
      </c>
      <c r="AM17" s="1">
        <f t="shared" si="6"/>
        <v>28805</v>
      </c>
      <c r="AN17" s="1">
        <f t="shared" si="6"/>
        <v>2273</v>
      </c>
      <c r="AO17" s="1">
        <f t="shared" si="6"/>
        <v>6144</v>
      </c>
      <c r="AP17" s="474">
        <f t="shared" si="6"/>
        <v>1365</v>
      </c>
    </row>
    <row r="18" spans="1:43" ht="15" customHeight="1">
      <c r="A18" s="411" t="e">
        <f t="array" ref="A18">INDEX('Brake Pad Workorders'!$A$1:$Z$100,MATCH(A13&amp;A14,'Brake Pad Workorders'!$A$1:$A$100&amp;'Brake Pad Workorders'!$T$1:$T$100,0),25)</f>
        <v>#N/A</v>
      </c>
      <c r="B18" s="365" t="e">
        <f t="array" ref="B18">INDEX('Brake Pad Workorders'!$A$1:$Z$100,MATCH(B13&amp;B14,'Brake Pad Workorders'!$A$1:$A$100&amp;'Brake Pad Workorders'!$T$1:$T$100,0),25)</f>
        <v>#N/A</v>
      </c>
      <c r="C18" s="365" t="e">
        <f t="array" ref="C18">INDEX('Brake Pad Workorders'!$A$1:$Z$100,MATCH(C13&amp;C14,'Brake Pad Workorders'!$A$1:$A$100&amp;'Brake Pad Workorders'!$T$1:$T$100,0),25)</f>
        <v>#N/A</v>
      </c>
      <c r="D18" s="466" t="e">
        <f t="array" ref="D18">INDEX('Brake Pad Workorders'!$A$1:$Z$100,MATCH(D13&amp;D14,'Brake Pad Workorders'!$A$1:$A$100&amp;'Brake Pad Workorders'!$T$1:$T$100,0),25)</f>
        <v>#N/A</v>
      </c>
      <c r="E18" s="493" t="str">
        <f t="array" ref="E18">INDEX('Brake Pad Workorders'!$A$1:$Z$100,MATCH(E13&amp;E14,'Brake Pad Workorders'!$A$1:$A$100&amp;'Brake Pad Workorders'!$S$1:$S$100,0),25)</f>
        <v>CHECKED</v>
      </c>
      <c r="F18" s="548" t="str">
        <f t="array" ref="F18">INDEX('Brake Pad Workorders'!$A$1:$Z$100,MATCH(F13&amp;F14,'Brake Pad Workorders'!$A$1:$A$100&amp;'Brake Pad Workorders'!$S$1:$S$100,0),25)</f>
        <v>CHECKED</v>
      </c>
      <c r="G18" s="548" t="str">
        <f t="array" ref="G18">INDEX('Brake Pad Workorders'!$A$1:$Z$100,MATCH(G13&amp;G14,'Brake Pad Workorders'!$A$1:$A$100&amp;'Brake Pad Workorders'!$S$1:$S$100,0),25)</f>
        <v>TOPLAN</v>
      </c>
      <c r="H18" s="548" t="e">
        <f t="array" ref="H18">INDEX('Brake Pad Workorders'!$A$1:$Z$100,MATCH(H13&amp;H14,'Brake Pad Workorders'!$A$1:$A$100&amp;'Brake Pad Workorders'!$S$1:$S$100,0),25)</f>
        <v>#N/A</v>
      </c>
      <c r="I18" s="548" t="e">
        <f t="array" ref="I18">INDEX('Brake Pad Workorders'!$A$1:$Z$100,MATCH(I13&amp;I14,'Brake Pad Workorders'!$A$1:$A$100&amp;'Brake Pad Workorders'!$S$1:$S$100,0),25)</f>
        <v>#N/A</v>
      </c>
      <c r="J18" s="548" t="str">
        <f t="array" ref="J18">INDEX('Brake Pad Workorders'!$A$1:$Z$100,MATCH(J13&amp;J14,'Brake Pad Workorders'!$A$1:$A$100&amp;'Brake Pad Workorders'!$S$1:$S$100,0),25)</f>
        <v>TOPLAN</v>
      </c>
      <c r="K18" s="548" t="str">
        <f t="array" ref="K18">INDEX('Brake Pad Workorders'!$A$1:$Z$100,MATCH(K13&amp;K14,'Brake Pad Workorders'!$A$1:$A$100&amp;'Brake Pad Workorders'!$S$1:$S$100,0),25)</f>
        <v>TOPLAN</v>
      </c>
      <c r="L18" s="548" t="e">
        <f t="array" ref="L18">INDEX('Brake Pad Workorders'!$A$1:$Z$100,MATCH(L13&amp;L14,'Brake Pad Workorders'!$A$1:$A$100&amp;'Brake Pad Workorders'!$S$1:$S$100,0),25)</f>
        <v>#N/A</v>
      </c>
      <c r="M18" s="548" t="e">
        <f t="array" ref="M18">INDEX('Brake Pad Workorders'!$A$1:$Z$100,MATCH(M13&amp;M14,'Brake Pad Workorders'!$A$1:$A$100&amp;'Brake Pad Workorders'!$S$1:$S$100,0),25)</f>
        <v>#N/A</v>
      </c>
      <c r="N18" s="548" t="e">
        <f t="array" ref="N18">INDEX('Brake Pad Workorders'!$A$1:$Z$100,MATCH(N13&amp;N14,'Brake Pad Workorders'!$A$1:$A$100&amp;'Brake Pad Workorders'!$S$1:$S$100,0),25)</f>
        <v>#N/A</v>
      </c>
      <c r="O18" s="548" t="e">
        <f t="array" ref="O18">INDEX('Brake Pad Workorders'!$A$1:$Z$100,MATCH(O13&amp;O14,'Brake Pad Workorders'!$A$1:$A$100&amp;'Brake Pad Workorders'!$S$1:$S$100,0),25)</f>
        <v>#N/A</v>
      </c>
      <c r="P18" s="548" t="e">
        <f t="array" ref="P18">INDEX('Brake Pad Workorders'!$A$1:$Z$100,MATCH(P13&amp;P14,'Brake Pad Workorders'!$A$1:$A$100&amp;'Brake Pad Workorders'!$S$1:$S$100,0),25)</f>
        <v>#N/A</v>
      </c>
      <c r="Q18" s="548" t="e">
        <f t="array" ref="Q18">INDEX('Brake Pad Workorders'!$A$1:$Z$100,MATCH(Q13&amp;Q14,'Brake Pad Workorders'!$A$1:$A$100&amp;'Brake Pad Workorders'!$S$1:$S$100,0),25)</f>
        <v>#N/A</v>
      </c>
      <c r="R18" s="548" t="e">
        <f t="array" ref="R18">INDEX('Brake Pad Workorders'!$A$1:$Z$100,MATCH(R13&amp;R14,'Brake Pad Workorders'!$A$1:$A$100&amp;'Brake Pad Workorders'!$S$1:$S$100,0),25)</f>
        <v>#N/A</v>
      </c>
      <c r="S18" s="548" t="e">
        <f t="array" ref="S18">INDEX('Brake Pad Workorders'!$A$1:$Z$100,MATCH(S13&amp;S14,'Brake Pad Workorders'!$A$1:$A$100&amp;'Brake Pad Workorders'!$S$1:$S$100,0),25)</f>
        <v>#N/A</v>
      </c>
      <c r="T18" s="548" t="e">
        <f t="array" ref="T18">INDEX('Brake Pad Workorders'!$A$1:$Z$100,MATCH(T13&amp;T14,'Brake Pad Workorders'!$A$1:$A$100&amp;'Brake Pad Workorders'!$S$1:$S$100,0),25)</f>
        <v>#N/A</v>
      </c>
      <c r="U18" s="548" t="e">
        <f t="array" ref="U18">INDEX('Brake Pad Workorders'!$A$1:$Z$100,MATCH(U13&amp;U14,'Brake Pad Workorders'!$A$1:$A$100&amp;'Brake Pad Workorders'!$S$1:$S$100,0),25)</f>
        <v>#N/A</v>
      </c>
      <c r="V18" s="548" t="e">
        <f t="array" ref="V18">INDEX('Brake Pad Workorders'!$A$1:$Z$100,MATCH(V13&amp;V14,'Brake Pad Workorders'!$A$1:$A$100&amp;'Brake Pad Workorders'!$S$1:$S$100,0),25)</f>
        <v>#N/A</v>
      </c>
      <c r="W18" s="548" t="e">
        <f t="array" ref="W18">INDEX('Brake Pad Workorders'!$A$1:$Z$100,MATCH(W13&amp;W14,'Brake Pad Workorders'!$A$1:$A$100&amp;'Brake Pad Workorders'!$S$1:$S$100,0),25)</f>
        <v>#N/A</v>
      </c>
      <c r="X18" s="548" t="e">
        <f t="array" ref="X18">INDEX('Brake Pad Workorders'!$A$1:$Z$100,MATCH(X13&amp;X14,'Brake Pad Workorders'!$A$1:$A$100&amp;'Brake Pad Workorders'!$S$1:$S$100,0),25)</f>
        <v>#N/A</v>
      </c>
      <c r="Y18" s="548" t="e">
        <f t="array" ref="Y18">INDEX('Brake Pad Workorders'!$A$1:$Z$100,MATCH(Y13&amp;Y14,'Brake Pad Workorders'!$A$1:$A$100&amp;'Brake Pad Workorders'!$S$1:$S$100,0),25)</f>
        <v>#N/A</v>
      </c>
      <c r="Z18" s="548" t="e">
        <f t="array" ref="Z18">INDEX('Brake Pad Workorders'!$A$1:$Z$100,MATCH(Z13&amp;Z14,'Brake Pad Workorders'!$A$1:$A$100&amp;'Brake Pad Workorders'!$S$1:$S$100,0),25)</f>
        <v>#N/A</v>
      </c>
      <c r="AA18" s="548" t="e">
        <f t="array" ref="AA18">INDEX('Brake Pad Workorders'!$A$1:$Z$100,MATCH(AA13&amp;AA14,'Brake Pad Workorders'!$A$1:$A$100&amp;'Brake Pad Workorders'!$S$1:$S$100,0),25)</f>
        <v>#N/A</v>
      </c>
      <c r="AB18" s="548" t="e">
        <f t="array" ref="AB18">INDEX('Brake Pad Workorders'!$A$1:$Z$100,MATCH(AB13&amp;AB14,'Brake Pad Workorders'!$A$1:$A$100&amp;'Brake Pad Workorders'!$S$1:$S$100,0),25)</f>
        <v>#N/A</v>
      </c>
      <c r="AC18" s="548" t="e">
        <f t="array" ref="AC18">INDEX('Brake Pad Workorders'!$A$1:$Z$100,MATCH(AC13&amp;AC14,'Brake Pad Workorders'!$A$1:$A$100&amp;'Brake Pad Workorders'!$S$1:$S$100,0),25)</f>
        <v>#N/A</v>
      </c>
      <c r="AD18" s="548" t="e">
        <f t="array" ref="AD18">INDEX('Brake Pad Workorders'!$A$1:$Z$100,MATCH(AD13&amp;AD14,'Brake Pad Workorders'!$A$1:$A$100&amp;'Brake Pad Workorders'!$S$1:$S$100,0),25)</f>
        <v>#N/A</v>
      </c>
      <c r="AE18" s="548" t="e">
        <f t="array" ref="AE18">INDEX('Brake Pad Workorders'!$A$1:$Z$100,MATCH(AE13&amp;AE14,'Brake Pad Workorders'!$A$1:$A$100&amp;'Brake Pad Workorders'!$S$1:$S$100,0),25)</f>
        <v>#N/A</v>
      </c>
      <c r="AF18" s="548" t="e">
        <f t="array" ref="AF18">INDEX('Brake Pad Workorders'!$A$1:$Z$100,MATCH(AF13&amp;AF14,'Brake Pad Workorders'!$A$1:$A$100&amp;'Brake Pad Workorders'!$S$1:$S$100,0),25)</f>
        <v>#N/A</v>
      </c>
      <c r="AG18" s="548" t="e">
        <f t="array" ref="AG18">INDEX('Brake Pad Workorders'!$A$1:$Z$100,MATCH(AG13&amp;AG14,'Brake Pad Workorders'!$A$1:$A$100&amp;'Brake Pad Workorders'!$S$1:$S$100,0),25)</f>
        <v>#N/A</v>
      </c>
      <c r="AH18" s="548" t="e">
        <f t="array" ref="AH18">INDEX('Brake Pad Workorders'!$A$1:$Z$100,MATCH(AH13&amp;AH14,'Brake Pad Workorders'!$A$1:$A$100&amp;'Brake Pad Workorders'!$S$1:$S$100,0),25)</f>
        <v>#N/A</v>
      </c>
      <c r="AI18" s="548" t="e">
        <f t="array" ref="AI18">INDEX('Brake Pad Workorders'!$A$1:$Z$100,MATCH(AI13&amp;AI14,'Brake Pad Workorders'!$A$1:$A$100&amp;'Brake Pad Workorders'!$S$1:$S$100,0),25)</f>
        <v>#N/A</v>
      </c>
      <c r="AJ18" s="548" t="e">
        <f t="array" ref="AJ18">INDEX('Brake Pad Workorders'!$A$1:$Z$100,MATCH(AJ13&amp;AJ14,'Brake Pad Workorders'!$A$1:$A$100&amp;'Brake Pad Workorders'!$S$1:$S$100,0),25)</f>
        <v>#N/A</v>
      </c>
      <c r="AK18" s="548" t="str">
        <f t="array" ref="AK18">INDEX('Brake Pad Workorders'!$A$1:$Z$100,MATCH(AK13&amp;AK14,'Brake Pad Workorders'!$A$1:$A$100&amp;'Brake Pad Workorders'!$S$1:$S$100,0),25)</f>
        <v>TOPLAN</v>
      </c>
      <c r="AL18" s="548" t="str">
        <f t="array" ref="AL18">INDEX('Brake Pad Workorders'!$A$1:$Z$100,MATCH(AL13&amp;AL14,'Brake Pad Workorders'!$A$1:$A$100&amp;'Brake Pad Workorders'!$S$1:$S$100,0),25)</f>
        <v>CHECKED</v>
      </c>
      <c r="AM18" s="548" t="e">
        <f t="array" ref="AM18">INDEX('Brake Pad Workorders'!$A$1:$Z$100,MATCH(AM13&amp;AM14,'Brake Pad Workorders'!$A$1:$A$100&amp;'Brake Pad Workorders'!$S$1:$S$100,0),25)</f>
        <v>#N/A</v>
      </c>
      <c r="AN18" s="548" t="str">
        <f t="array" ref="AN18">INDEX('Brake Pad Workorders'!$A$1:$Z$100,MATCH(AN13&amp;AN14,'Brake Pad Workorders'!$A$1:$A$100&amp;'Brake Pad Workorders'!$S$1:$S$100,0),25)</f>
        <v>TOPLAN</v>
      </c>
      <c r="AO18" s="548" t="str">
        <f t="array" ref="AO18">INDEX('Brake Pad Workorders'!$A$1:$Z$100,MATCH(AO13&amp;AO14,'Brake Pad Workorders'!$A$1:$A$100&amp;'Brake Pad Workorders'!$S$1:$S$100,0),25)</f>
        <v>TOPLAN</v>
      </c>
      <c r="AP18" s="451" t="e">
        <f t="array" ref="AP18">INDEX('Brake Pad Workorders'!$A$1:$Z$100,MATCH(AP13&amp;AP14,'Brake Pad Workorders'!$A$1:$A$100&amp;'Brake Pad Workorders'!$T$1:$T$100,0),25)</f>
        <v>#N/A</v>
      </c>
    </row>
    <row r="19" spans="1:43" s="56" customFormat="1" ht="13.5" thickBot="1">
      <c r="A19" s="412" t="str">
        <f>IFERROR(VLOOKUP(A13,'220'!$X$2:$AF$79,9,FALSE),"")</f>
        <v/>
      </c>
      <c r="B19" s="413" t="str">
        <f>IFERROR(VLOOKUP(B13,'220'!$X$2:$AF$79,9,FALSE),"")</f>
        <v/>
      </c>
      <c r="C19" s="413" t="str">
        <f>IFERROR(VLOOKUP(C13,'220'!$X$2:$AF$79,9,FALSE),"")</f>
        <v/>
      </c>
      <c r="D19" s="468">
        <f ca="1">IFERROR(VLOOKUP(D13,'220'!$X$2:$AF$79,9,FALSE),"")</f>
        <v>36</v>
      </c>
      <c r="E19" s="490">
        <f ca="1">IFERROR(VLOOKUP(E13,'220'!$X$2:$AF$79,9,FALSE),"")</f>
        <v>29</v>
      </c>
      <c r="F19" s="287">
        <f ca="1">IFERROR(VLOOKUP(F13,'220'!$X$2:$AF$79,9,FALSE),"")</f>
        <v>39</v>
      </c>
      <c r="G19" s="287">
        <f ca="1">IFERROR(VLOOKUP(G13,'220'!$X$2:$AF$79,9,FALSE),"")</f>
        <v>36</v>
      </c>
      <c r="H19" s="287">
        <f ca="1">IFERROR(VLOOKUP(H13,'220'!$X$2:$AF$79,9,FALSE),"")</f>
        <v>32</v>
      </c>
      <c r="I19" s="287">
        <f ca="1">IFERROR(VLOOKUP(I13,'220'!$X$2:$AF$79,9,FALSE),"")</f>
        <v>31</v>
      </c>
      <c r="J19" s="287">
        <f ca="1">IFERROR(VLOOKUP(J13,'220'!$X$2:$AF$79,9,FALSE),"")</f>
        <v>33</v>
      </c>
      <c r="K19" s="287">
        <f ca="1">IFERROR(VLOOKUP(K13,'220'!$X$2:$AF$79,9,FALSE),"")</f>
        <v>32</v>
      </c>
      <c r="L19" s="287">
        <f ca="1">IFERROR(VLOOKUP(L13,'220'!$X$2:$AF$79,9,FALSE),"")</f>
        <v>26</v>
      </c>
      <c r="M19" s="287">
        <f ca="1">IFERROR(VLOOKUP(M13,'220'!$X$2:$AF$79,9,FALSE),"")</f>
        <v>25</v>
      </c>
      <c r="N19" s="287">
        <f ca="1">IFERROR(VLOOKUP(N13,'220'!$X$2:$AF$79,9,FALSE),"")</f>
        <v>26</v>
      </c>
      <c r="O19" s="287">
        <f ca="1">IFERROR(VLOOKUP(O13,'220'!$X$2:$AF$79,9,FALSE),"")</f>
        <v>29</v>
      </c>
      <c r="P19" s="287">
        <f ca="1">IFERROR(VLOOKUP(P13,'220'!$X$2:$AF$79,9,FALSE),"")</f>
        <v>23</v>
      </c>
      <c r="Q19" s="287">
        <f ca="1">IFERROR(VLOOKUP(Q13,'220'!$X$2:$AF$79,9,FALSE),"")</f>
        <v>21</v>
      </c>
      <c r="R19" s="287">
        <f ca="1">IFERROR(VLOOKUP(R13,'220'!$X$2:$AF$79,9,FALSE),"")</f>
        <v>21</v>
      </c>
      <c r="S19" s="287">
        <f ca="1">IFERROR(VLOOKUP(S13,'220'!$X$2:$AF$79,9,FALSE),"")</f>
        <v>22</v>
      </c>
      <c r="T19" s="287">
        <f ca="1">IFERROR(VLOOKUP(T13,'220'!$X$2:$AF$79,9,FALSE),"")</f>
        <v>19</v>
      </c>
      <c r="U19" s="287">
        <f ca="1">IFERROR(VLOOKUP(U13,'220'!$X$2:$AF$79,9,FALSE),"")</f>
        <v>11</v>
      </c>
      <c r="V19" s="287">
        <f ca="1">IFERROR(VLOOKUP(V13,'220'!$X$2:$AF$79,9,FALSE),"")</f>
        <v>18</v>
      </c>
      <c r="W19" s="287">
        <f ca="1">IFERROR(VLOOKUP(W13,'220'!$X$2:$AF$79,9,FALSE),"")</f>
        <v>19</v>
      </c>
      <c r="X19" s="287">
        <f ca="1">IFERROR(VLOOKUP(X13,'220'!$X$2:$AF$79,9,FALSE),"")</f>
        <v>17</v>
      </c>
      <c r="Y19" s="287">
        <f ca="1">IFERROR(VLOOKUP(Y13,'220'!$X$2:$AF$79,9,FALSE),"")</f>
        <v>16</v>
      </c>
      <c r="Z19" s="287">
        <f ca="1">IFERROR(VLOOKUP(Z13,'220'!$X$2:$AF$79,9,FALSE),"")</f>
        <v>13</v>
      </c>
      <c r="AA19" s="287">
        <f ca="1">IFERROR(VLOOKUP(AA13,'220'!$X$2:$AF$79,9,FALSE),"")</f>
        <v>12</v>
      </c>
      <c r="AB19" s="287">
        <f ca="1">IFERROR(VLOOKUP(AB13,'220'!$X$2:$AF$79,9,FALSE),"")</f>
        <v>9</v>
      </c>
      <c r="AC19" s="287">
        <f ca="1">IFERROR(VLOOKUP(AC13,'220'!$X$2:$AF$79,9,FALSE),"")</f>
        <v>9</v>
      </c>
      <c r="AD19" s="287">
        <f ca="1">IFERROR(VLOOKUP(AD13,'220'!$X$2:$AF$79,9,FALSE),"")</f>
        <v>11</v>
      </c>
      <c r="AE19" s="287">
        <f ca="1">IFERROR(VLOOKUP(AE13,'220'!$X$2:$AF$79,9,FALSE),"")</f>
        <v>4</v>
      </c>
      <c r="AF19" s="287">
        <f ca="1">IFERROR(VLOOKUP(AF13,'220'!$X$2:$AF$79,9,FALSE),"")</f>
        <v>3</v>
      </c>
      <c r="AG19" s="287">
        <f ca="1">IFERROR(VLOOKUP(AG13,'220'!$X$2:$AF$79,9,FALSE),"")</f>
        <v>5</v>
      </c>
      <c r="AH19" s="287">
        <f ca="1">IFERROR(VLOOKUP(AH13,'220'!$X$2:$AF$79,9,FALSE),"")</f>
        <v>6</v>
      </c>
      <c r="AI19" s="287">
        <f ca="1">IFERROR(VLOOKUP(AI13,'220'!$X$2:$AF$79,9,FALSE),"")</f>
        <v>7</v>
      </c>
      <c r="AJ19" s="287">
        <f ca="1">IFERROR(VLOOKUP(AJ13,'220'!$X$2:$AF$79,9,FALSE),"")</f>
        <v>1</v>
      </c>
      <c r="AK19" s="287">
        <f ca="1">IFERROR(VLOOKUP(AK13,'220'!$X$2:$AF$79,9,FALSE),"")</f>
        <v>31</v>
      </c>
      <c r="AL19" s="287">
        <f ca="1">IFERROR(VLOOKUP(AL13,'220'!$X$2:$AF$79,9,FALSE),"")</f>
        <v>33</v>
      </c>
      <c r="AM19" s="287">
        <f ca="1">IFERROR(VLOOKUP(AM13,'220'!$X$2:$AF$79,9,FALSE),"")</f>
        <v>1</v>
      </c>
      <c r="AN19" s="287">
        <f ca="1">IFERROR(VLOOKUP(AN13,'220'!$X$2:$AF$79,9,FALSE),"")</f>
        <v>36</v>
      </c>
      <c r="AO19" s="287">
        <f ca="1">IFERROR(VLOOKUP(AO13,'220'!$X$2:$AF$79,9,FALSE),"")</f>
        <v>32</v>
      </c>
      <c r="AP19" s="477">
        <f ca="1">IFERROR(VLOOKUP(AP13,'220'!$X$2:$AF$79,9,FALSE),"")</f>
        <v>34</v>
      </c>
    </row>
    <row r="20" spans="1:43" s="59" customFormat="1" ht="17.25" thickTop="1" thickBot="1">
      <c r="A20" s="811"/>
      <c r="B20" s="821"/>
      <c r="C20" s="821"/>
      <c r="D20" s="821"/>
      <c r="E20" s="489" t="str">
        <f>IF(E69&gt;2,"TOO MANY"," ")</f>
        <v xml:space="preserve"> </v>
      </c>
      <c r="F20" s="178" t="str">
        <f t="shared" ref="F20:AP20" si="7">IF(F69&gt;2,"TOO MANY"," ")</f>
        <v xml:space="preserve"> </v>
      </c>
      <c r="G20" s="178" t="str">
        <f>IF(G69&gt;2,"TOO MANY"," ")</f>
        <v xml:space="preserve"> </v>
      </c>
      <c r="H20" s="178" t="str">
        <f t="shared" si="7"/>
        <v xml:space="preserve"> </v>
      </c>
      <c r="I20" s="178" t="str">
        <f t="shared" si="7"/>
        <v xml:space="preserve"> </v>
      </c>
      <c r="J20" s="178" t="str">
        <f t="shared" si="7"/>
        <v xml:space="preserve"> </v>
      </c>
      <c r="K20" s="178" t="str">
        <f t="shared" si="7"/>
        <v xml:space="preserve"> </v>
      </c>
      <c r="L20" s="178" t="str">
        <f t="shared" si="7"/>
        <v xml:space="preserve"> </v>
      </c>
      <c r="M20" s="178" t="str">
        <f t="shared" si="7"/>
        <v xml:space="preserve"> </v>
      </c>
      <c r="N20" s="178" t="str">
        <f t="shared" si="7"/>
        <v xml:space="preserve"> </v>
      </c>
      <c r="O20" s="178" t="str">
        <f t="shared" si="7"/>
        <v>TOO MANY</v>
      </c>
      <c r="P20" s="178" t="str">
        <f t="shared" si="7"/>
        <v xml:space="preserve"> </v>
      </c>
      <c r="Q20" s="178" t="str">
        <f t="shared" si="7"/>
        <v xml:space="preserve"> </v>
      </c>
      <c r="R20" s="178" t="str">
        <f t="shared" si="7"/>
        <v xml:space="preserve"> </v>
      </c>
      <c r="S20" s="178" t="str">
        <f t="shared" si="7"/>
        <v xml:space="preserve"> </v>
      </c>
      <c r="T20" s="178" t="str">
        <f t="shared" si="7"/>
        <v xml:space="preserve"> </v>
      </c>
      <c r="U20" s="178" t="str">
        <f t="shared" si="7"/>
        <v>TOO MANY</v>
      </c>
      <c r="V20" s="178" t="str">
        <f t="shared" si="7"/>
        <v xml:space="preserve"> </v>
      </c>
      <c r="W20" s="178" t="str">
        <f t="shared" si="7"/>
        <v xml:space="preserve"> </v>
      </c>
      <c r="X20" s="178" t="str">
        <f t="shared" si="7"/>
        <v xml:space="preserve"> </v>
      </c>
      <c r="Y20" s="178" t="str">
        <f t="shared" si="7"/>
        <v>TOO MANY</v>
      </c>
      <c r="Z20" s="178"/>
      <c r="AA20" s="178" t="str">
        <f t="shared" si="7"/>
        <v xml:space="preserve"> </v>
      </c>
      <c r="AB20" s="178" t="str">
        <f t="shared" si="7"/>
        <v xml:space="preserve"> </v>
      </c>
      <c r="AC20" s="178" t="str">
        <f t="shared" si="7"/>
        <v xml:space="preserve"> </v>
      </c>
      <c r="AD20" s="178" t="str">
        <f t="shared" si="7"/>
        <v xml:space="preserve"> </v>
      </c>
      <c r="AE20" s="178" t="str">
        <f t="shared" si="7"/>
        <v xml:space="preserve"> </v>
      </c>
      <c r="AF20" s="178" t="str">
        <f t="shared" si="7"/>
        <v>TOO MANY</v>
      </c>
      <c r="AG20" s="178" t="str">
        <f t="shared" si="7"/>
        <v>TOO MANY</v>
      </c>
      <c r="AH20" s="178" t="str">
        <f t="shared" si="7"/>
        <v>TOO MANY</v>
      </c>
      <c r="AI20" s="178" t="str">
        <f t="shared" si="7"/>
        <v>TOO MANY</v>
      </c>
      <c r="AJ20" s="178" t="str">
        <f t="shared" si="7"/>
        <v xml:space="preserve"> </v>
      </c>
      <c r="AK20" s="178" t="str">
        <f t="shared" si="7"/>
        <v xml:space="preserve"> </v>
      </c>
      <c r="AL20" s="178" t="str">
        <f t="shared" si="7"/>
        <v xml:space="preserve"> </v>
      </c>
      <c r="AM20" s="178" t="str">
        <f t="shared" si="7"/>
        <v xml:space="preserve"> </v>
      </c>
      <c r="AN20" s="178" t="str">
        <f t="shared" si="7"/>
        <v xml:space="preserve"> </v>
      </c>
      <c r="AO20" s="178" t="str">
        <f t="shared" si="7"/>
        <v xml:space="preserve"> </v>
      </c>
      <c r="AP20" s="476" t="str">
        <f t="shared" si="7"/>
        <v xml:space="preserve"> </v>
      </c>
    </row>
    <row r="21" spans="1:43" ht="13.5" thickTop="1">
      <c r="A21" s="53"/>
      <c r="B21" s="53"/>
      <c r="C21" s="288"/>
      <c r="D21" s="502"/>
      <c r="E21" s="503"/>
      <c r="F21" s="286"/>
      <c r="G21" s="53"/>
      <c r="H21" s="53"/>
      <c r="I21" s="53"/>
      <c r="J21" s="53"/>
      <c r="K21" s="280"/>
      <c r="L21" s="53"/>
      <c r="M21" s="53"/>
      <c r="N21" s="53"/>
      <c r="O21" s="53">
        <v>220029</v>
      </c>
      <c r="P21" s="53"/>
      <c r="Q21" s="53"/>
      <c r="R21" s="53"/>
      <c r="S21" s="53"/>
      <c r="T21" s="53"/>
      <c r="U21" s="53">
        <v>220012</v>
      </c>
      <c r="V21" s="53"/>
      <c r="W21" s="53"/>
      <c r="X21" s="53"/>
      <c r="Y21" s="53">
        <v>221105</v>
      </c>
      <c r="Z21" s="53">
        <v>221141</v>
      </c>
      <c r="AA21" s="53"/>
      <c r="AB21" s="53"/>
      <c r="AC21" s="53"/>
      <c r="AD21" s="53"/>
      <c r="AE21" s="85"/>
      <c r="AF21" s="53">
        <v>220021</v>
      </c>
      <c r="AG21" s="53">
        <v>221138</v>
      </c>
      <c r="AH21" s="53">
        <v>221143</v>
      </c>
      <c r="AI21" s="460">
        <v>220027</v>
      </c>
      <c r="AJ21" s="171"/>
      <c r="AK21" s="171"/>
      <c r="AL21" s="171"/>
      <c r="AM21" s="55"/>
      <c r="AN21" s="179"/>
      <c r="AO21" s="279"/>
      <c r="AP21" s="478"/>
    </row>
    <row r="22" spans="1:43" ht="15">
      <c r="A22" s="328" t="str">
        <f>IF(A21&lt;220000,"",VLOOKUP(A21,'220'!$AG$2:$AO$79,7,FALSE))</f>
        <v/>
      </c>
      <c r="B22" s="173" t="str">
        <f>IF(B21&lt;220000,"",VLOOKUP(B21,'220'!$AG$2:$AO$79,7,FALSE))</f>
        <v/>
      </c>
      <c r="C22" s="173" t="str">
        <f>IF(C21&lt;220000,"",VLOOKUP(C21,'220'!$X$2:$AE$79,7,FALSE))</f>
        <v/>
      </c>
      <c r="D22" s="61" t="str">
        <f>IF(D21&lt;220000,"",VLOOKUP(D21,'220'!$X$2:$AE$79,7,FALSE))</f>
        <v/>
      </c>
      <c r="E22" s="484" t="str">
        <f>IF(E21&lt;220000,"",VLOOKUP(E21,'220'!$X$2:$AE$79,7,FALSE))</f>
        <v/>
      </c>
      <c r="F22" s="313" t="str">
        <f>IF(F21&lt;220000,"",VLOOKUP(F21,'220'!$X$2:$AE$79,7,FALSE))</f>
        <v/>
      </c>
      <c r="G22" s="313" t="str">
        <f>IF(G21&lt;220000,"",VLOOKUP(G21,'220'!$X$2:$AE$79,7,FALSE))</f>
        <v/>
      </c>
      <c r="H22" s="313" t="str">
        <f>IF(H21&lt;220000,"",VLOOKUP(H21,'220'!$X$2:$AE$79,7,FALSE))</f>
        <v/>
      </c>
      <c r="I22" s="313" t="str">
        <f>IF(I21&lt;220000,"",VLOOKUP(I21,'220'!$X$2:$AE$79,7,FALSE))</f>
        <v/>
      </c>
      <c r="J22" s="313" t="str">
        <f>IF(J21&lt;220000,"",VLOOKUP(J21,'220'!$X$2:$AE$79,7,FALSE))</f>
        <v/>
      </c>
      <c r="K22" s="313" t="str">
        <f>IF(K21&lt;220000,"",VLOOKUP(K21,'220'!$X$2:$AE$79,7,FALSE))</f>
        <v/>
      </c>
      <c r="L22" s="313" t="str">
        <f>IF(L21&lt;220000,"",VLOOKUP(L21,'220'!$X$2:$AE$79,7,FALSE))</f>
        <v/>
      </c>
      <c r="M22" s="313" t="str">
        <f>IF(M21&lt;220000,"",VLOOKUP(M21,'220'!$X$2:$AE$79,7,FALSE))</f>
        <v/>
      </c>
      <c r="N22" s="313" t="str">
        <f>IF(N21&lt;220000,"",VLOOKUP(N21,'220'!$X$2:$AE$79,7,FALSE))</f>
        <v/>
      </c>
      <c r="O22" s="313" t="str">
        <f>IF(O21&lt;220000,"",VLOOKUP(O21,'220'!$X$2:$AE$79,7,FALSE))</f>
        <v>C4</v>
      </c>
      <c r="P22" s="313" t="str">
        <f>IF(P21&lt;220000,"",VLOOKUP(P21,'220'!$X$2:$AE$79,7,FALSE))</f>
        <v/>
      </c>
      <c r="Q22" s="313" t="str">
        <f>IF(Q21&lt;220000,"",VLOOKUP(Q21,'220'!$X$2:$AE$79,7,FALSE))</f>
        <v/>
      </c>
      <c r="R22" s="313" t="str">
        <f>IF(R21&lt;220000,"",VLOOKUP(R21,'220'!$X$2:$AE$79,7,FALSE))</f>
        <v/>
      </c>
      <c r="S22" s="313" t="str">
        <f>IF(S21&lt;220000,"",VLOOKUP(S21,'220'!$X$2:$AE$79,7,FALSE))</f>
        <v/>
      </c>
      <c r="T22" s="313" t="str">
        <f>IF(T21&lt;220000,"",VLOOKUP(T21,'220'!$X$2:$AE$79,7,FALSE))</f>
        <v/>
      </c>
      <c r="U22" s="313" t="str">
        <f>IF(U21&lt;220000,"",VLOOKUP(U21,'220'!$X$2:$AE$79,7,FALSE))</f>
        <v>C3</v>
      </c>
      <c r="V22" s="313" t="str">
        <f>IF(V21&lt;220000,"",VLOOKUP(V21,'220'!$X$2:$AE$79,7,FALSE))</f>
        <v/>
      </c>
      <c r="W22" s="313" t="str">
        <f>IF(W21&lt;220000,"",VLOOKUP(W21,'220'!$X$2:$AE$79,7,FALSE))</f>
        <v/>
      </c>
      <c r="X22" s="313" t="str">
        <f>IF(X21&lt;220000,"",VLOOKUP(X21,'220'!$X$2:$AE$79,7,FALSE))</f>
        <v/>
      </c>
      <c r="Y22" s="313" t="str">
        <f>IF(Y21&lt;220000,"",VLOOKUP(Y21,'220'!$X$2:$AE$79,7,FALSE))</f>
        <v>C1</v>
      </c>
      <c r="Z22" s="313" t="str">
        <f>IF(Z21&lt;220000,"",VLOOKUP(Z21,'220'!$X$2:$AE$79,7,FALSE))</f>
        <v>C1</v>
      </c>
      <c r="AA22" s="313" t="str">
        <f>IF(AA21&lt;220000,"",VLOOKUP(AA21,'220'!$X$2:$AE$79,7,FALSE))</f>
        <v/>
      </c>
      <c r="AB22" s="313" t="str">
        <f>IF(AB21&lt;220000,"",VLOOKUP(AB21,'220'!$X$2:$AE$79,7,FALSE))</f>
        <v/>
      </c>
      <c r="AC22" s="313" t="str">
        <f>IF(AC21&lt;220000,"",VLOOKUP(AC21,'220'!$X$2:$AE$79,7,FALSE))</f>
        <v/>
      </c>
      <c r="AD22" s="313" t="str">
        <f>IF(AD21&lt;220000,"",VLOOKUP(AD21,'220'!$X$2:$AE$79,7,FALSE))</f>
        <v/>
      </c>
      <c r="AE22" s="313" t="str">
        <f>IF(AE21&lt;220000,"",VLOOKUP(AE21,'220'!$X$2:$AE$79,7,FALSE))</f>
        <v/>
      </c>
      <c r="AF22" s="313" t="str">
        <f>IF(AF21&lt;220000,"",VLOOKUP(AF21,'220'!$X$2:$AE$79,7,FALSE))</f>
        <v>C2</v>
      </c>
      <c r="AG22" s="313" t="str">
        <f>IF(AG21&lt;220000,"",VLOOKUP(AG21,'220'!$X$2:$AE$79,7,FALSE))</f>
        <v>C1</v>
      </c>
      <c r="AH22" s="313" t="str">
        <f>IF(AH21&lt;220000,"",VLOOKUP(AH21,'220'!$X$2:$AE$79,7,FALSE))</f>
        <v>C2</v>
      </c>
      <c r="AI22" s="313" t="str">
        <f>IF(AI21&lt;220000,"",VLOOKUP(AI21,'220'!$X$2:$AE$79,7,FALSE))</f>
        <v>C1</v>
      </c>
      <c r="AJ22" s="313" t="str">
        <f>IF(AJ21&lt;220000,"",VLOOKUP(AJ21,'220'!$X$2:$AE$79,7,FALSE))</f>
        <v/>
      </c>
      <c r="AK22" s="313" t="str">
        <f>IF(AK21&lt;220000,"",VLOOKUP(AK21,'220'!$X$2:$AE$79,7,FALSE))</f>
        <v/>
      </c>
      <c r="AL22" s="313" t="str">
        <f>IF(AL21&lt;220000,"",VLOOKUP(AL21,'220'!$X$2:$AE$79,7,FALSE))</f>
        <v/>
      </c>
      <c r="AM22" s="313" t="str">
        <f>IF(AM21&lt;220000,"",VLOOKUP(AM21,'220'!$X$2:$AE$79,7,FALSE))</f>
        <v/>
      </c>
      <c r="AN22" s="313" t="str">
        <f>IF(AN21&lt;220000,"",VLOOKUP(AN21,'220'!$X$2:$AE$79,7,FALSE))</f>
        <v/>
      </c>
      <c r="AO22" s="313" t="str">
        <f>IF(AO21&lt;220000,"",VLOOKUP(AO21,'220'!$X$2:$AE$79,7,FALSE))</f>
        <v/>
      </c>
      <c r="AP22" s="479" t="str">
        <f>IF(AP21&lt;220000,"",VLOOKUP(AP21,'220'!$X$2:$AE$79,7,FALSE))</f>
        <v/>
      </c>
    </row>
    <row r="23" spans="1:43">
      <c r="A23" s="1" t="str">
        <f>IF(A21&lt;220000,"",VLOOKUP(A21,'220'!$AG$2:$AO$79,8,FALSE))</f>
        <v/>
      </c>
      <c r="B23" s="1" t="str">
        <f>IF(B21&lt;220000,"",VLOOKUP(B21,'220'!$X$2:$AE$79,8,FALSE))</f>
        <v/>
      </c>
      <c r="C23" s="1" t="str">
        <f>IF(C21&lt;220000,"",VLOOKUP(C21,'220'!$X$2:$AE$79,8,FALSE))</f>
        <v/>
      </c>
      <c r="D23" s="7" t="str">
        <f>IF(D21&lt;220000,"",VLOOKUP(D21,'220'!$X$2:$AE$79,8,FALSE))</f>
        <v/>
      </c>
      <c r="E23" s="491" t="str">
        <f>IF(E21&lt;220000,"",VLOOKUP(E21,'220'!$X$2:$AE$79,8,FALSE))</f>
        <v/>
      </c>
      <c r="F23" s="312" t="str">
        <f>IF(F21&lt;220000,"",VLOOKUP(F21,'220'!$X$2:$AE$79,8,FALSE))</f>
        <v/>
      </c>
      <c r="G23" s="312" t="str">
        <f>IF(G21&lt;220000,"",VLOOKUP(G21,'220'!$X$2:$AE$79,8,FALSE))</f>
        <v/>
      </c>
      <c r="H23" s="312" t="str">
        <f>IF(H21&lt;220000,"",VLOOKUP(H21,'220'!$X$2:$AE$79,8,FALSE))</f>
        <v/>
      </c>
      <c r="I23" s="312" t="str">
        <f>IF(I21&lt;220000,"",VLOOKUP(I21,'220'!$X$2:$AE$79,8,FALSE))</f>
        <v/>
      </c>
      <c r="J23" s="312" t="str">
        <f>IF(J21&lt;220000,"",VLOOKUP(J21,'220'!$X$2:$AE$79,8,FALSE))</f>
        <v/>
      </c>
      <c r="K23" s="312" t="str">
        <f>IF(K21&lt;220000,"",VLOOKUP(K21,'220'!$X$2:$AE$79,8,FALSE))</f>
        <v/>
      </c>
      <c r="L23" s="312" t="str">
        <f>IF(L21&lt;220000,"",VLOOKUP(L21,'220'!$X$2:$AE$79,8,FALSE))</f>
        <v/>
      </c>
      <c r="M23" s="312" t="str">
        <f>IF(M21&lt;220000,"",VLOOKUP(M21,'220'!$X$2:$AE$79,8,FALSE))</f>
        <v/>
      </c>
      <c r="N23" s="312" t="str">
        <f>IF(N21&lt;220000,"",VLOOKUP(N21,'220'!$X$2:$AE$79,8,FALSE))</f>
        <v/>
      </c>
      <c r="O23" s="312">
        <f>IF(O21&lt;220000,"",VLOOKUP(O21,'220'!$X$2:$AE$79,8,FALSE))</f>
        <v>22243</v>
      </c>
      <c r="P23" s="312" t="str">
        <f>IF(P21&lt;220000,"",VLOOKUP(P21,'220'!$X$2:$AE$79,8,FALSE))</f>
        <v/>
      </c>
      <c r="Q23" s="312" t="str">
        <f>IF(Q21&lt;220000,"",VLOOKUP(Q21,'220'!$X$2:$AE$79,8,FALSE))</f>
        <v/>
      </c>
      <c r="R23" s="312" t="str">
        <f>IF(R21&lt;220000,"",VLOOKUP(R21,'220'!$X$2:$AE$79,8,FALSE))</f>
        <v/>
      </c>
      <c r="S23" s="312" t="str">
        <f>IF(S21&lt;220000,"",VLOOKUP(S21,'220'!$X$2:$AE$79,8,FALSE))</f>
        <v/>
      </c>
      <c r="T23" s="312" t="str">
        <f>IF(T21&lt;220000,"",VLOOKUP(T21,'220'!$X$2:$AE$79,8,FALSE))</f>
        <v/>
      </c>
      <c r="U23" s="312">
        <f>IF(U21&lt;220000,"",VLOOKUP(U21,'220'!$X$2:$AE$79,8,FALSE))</f>
        <v>15520</v>
      </c>
      <c r="V23" s="312" t="str">
        <f>IF(V21&lt;220000,"",VLOOKUP(V21,'220'!$X$2:$AE$79,8,FALSE))</f>
        <v/>
      </c>
      <c r="W23" s="312" t="str">
        <f>IF(W21&lt;220000,"",VLOOKUP(W21,'220'!$X$2:$AE$79,8,FALSE))</f>
        <v/>
      </c>
      <c r="X23" s="312" t="str">
        <f>IF(X21&lt;220000,"",VLOOKUP(X21,'220'!$X$2:$AE$79,8,FALSE))</f>
        <v/>
      </c>
      <c r="Y23" s="312">
        <f>IF(Y21&lt;220000,"",VLOOKUP(Y21,'220'!$X$2:$AE$79,8,FALSE))</f>
        <v>7400</v>
      </c>
      <c r="Z23" s="312">
        <f>IF(Z21&lt;220000,"",VLOOKUP(Z21,'220'!$X$2:$AE$79,8,FALSE))</f>
        <v>8512</v>
      </c>
      <c r="AA23" s="312" t="str">
        <f>IF(AA21&lt;220000,"",VLOOKUP(AA21,'220'!$X$2:$AE$79,8,FALSE))</f>
        <v/>
      </c>
      <c r="AB23" s="312" t="str">
        <f>IF(AB21&lt;220000,"",VLOOKUP(AB21,'220'!$X$2:$AE$79,8,FALSE))</f>
        <v/>
      </c>
      <c r="AC23" s="312" t="str">
        <f>IF(AC21&lt;220000,"",VLOOKUP(AC21,'220'!$X$2:$AE$79,8,FALSE))</f>
        <v/>
      </c>
      <c r="AD23" s="312" t="str">
        <f>IF(AD21&lt;220000,"",VLOOKUP(AD21,'220'!$X$2:$AE$79,8,FALSE))</f>
        <v/>
      </c>
      <c r="AE23" s="312" t="str">
        <f>IF(AE21&lt;220000,"",VLOOKUP(AE21,'220'!$X$2:$AE$79,8,FALSE))</f>
        <v/>
      </c>
      <c r="AF23" s="312">
        <f>IF(AF21&lt;220000,"",VLOOKUP(AF21,'220'!$X$2:$AE$79,8,FALSE))</f>
        <v>5518</v>
      </c>
      <c r="AG23" s="312">
        <f>IF(AG21&lt;220000,"",VLOOKUP(AG21,'220'!$X$2:$AE$79,8,FALSE))</f>
        <v>4039</v>
      </c>
      <c r="AH23" s="312">
        <f>IF(AH21&lt;220000,"",VLOOKUP(AH21,'220'!$X$2:$AE$79,8,FALSE))</f>
        <v>1722</v>
      </c>
      <c r="AI23" s="312">
        <f>IF(AI21&lt;220000,"",VLOOKUP(AI21,'220'!$X$2:$AE$79,8,FALSE))</f>
        <v>2532</v>
      </c>
      <c r="AJ23" s="312" t="str">
        <f>IF(AJ21&lt;220000,"",VLOOKUP(AJ21,'220'!$X$2:$AE$79,8,FALSE))</f>
        <v/>
      </c>
      <c r="AK23" s="312" t="str">
        <f>IF(AK21&lt;220000,"",VLOOKUP(AK21,'220'!$X$2:$AE$79,8,FALSE))</f>
        <v/>
      </c>
      <c r="AL23" s="312" t="str">
        <f>IF(AL21&lt;220000,"",VLOOKUP(AL21,'220'!$X$2:$AE$79,8,FALSE))</f>
        <v/>
      </c>
      <c r="AM23" s="312" t="str">
        <f>IF(AM21&lt;220000,"",VLOOKUP(AM21,'220'!$X$2:$AE$79,8,FALSE))</f>
        <v/>
      </c>
      <c r="AN23" s="312" t="str">
        <f>IF(AN21&lt;220000,"",VLOOKUP(AN21,'220'!$X$2:$AE$79,8,FALSE))</f>
        <v/>
      </c>
      <c r="AO23" s="312" t="str">
        <f>IF(AO21&lt;220000,"",VLOOKUP(AO21,'220'!$X$2:$AE$79,8,FALSE))</f>
        <v/>
      </c>
      <c r="AP23" s="473" t="str">
        <f>IF(AP21&lt;220000,"",VLOOKUP(AP21,'220'!$X$2:$AE$79,8,FALSE))</f>
        <v/>
      </c>
    </row>
    <row r="24" spans="1:43" s="54" customFormat="1">
      <c r="A24" s="3" t="str">
        <f>IF(A21&lt;220000,"",VLOOKUP(A21,'220'!$AG$2:$AO$79,6,FALSE))</f>
        <v/>
      </c>
      <c r="B24" s="3" t="str">
        <f>IF(B21&lt;220000,"",VLOOKUP(B21,'220'!$X$2:$AE$79,6,FALSE))</f>
        <v/>
      </c>
      <c r="C24" s="3" t="str">
        <f>IF(C21&lt;220000,"",VLOOKUP(C21,'220'!$X$2:$AE$79,6,FALSE))</f>
        <v/>
      </c>
      <c r="D24" s="465" t="str">
        <f>IF(D21&lt;220000,"",VLOOKUP(D21,'220'!$X$2:$AE$79,6,FALSE))</f>
        <v/>
      </c>
      <c r="E24" s="492" t="str">
        <f>IF(E21&lt;220000,"",VLOOKUP(E21,'220'!$X$2:$AE$79,6,FALSE))</f>
        <v/>
      </c>
      <c r="F24" s="3" t="str">
        <f>IF(F21&lt;220000,"",VLOOKUP(F21,'220'!$X$2:$AE$79,6,FALSE))</f>
        <v/>
      </c>
      <c r="G24" s="3" t="str">
        <f>IF(G21&lt;220000,"",VLOOKUP(G21,'220'!$X$2:$AE$79,6,FALSE))</f>
        <v/>
      </c>
      <c r="H24" s="3" t="str">
        <f>IF(H21&lt;220000,"",VLOOKUP(H21,'220'!$X$2:$AE$79,6,FALSE))</f>
        <v/>
      </c>
      <c r="I24" s="3" t="str">
        <f>IF(I21&lt;220000,"",VLOOKUP(I21,'220'!$X$2:$AE$79,6,FALSE))</f>
        <v/>
      </c>
      <c r="J24" s="3" t="str">
        <f>IF(J21&lt;220000,"",VLOOKUP(J21,'220'!$X$2:$AE$79,6,FALSE))</f>
        <v/>
      </c>
      <c r="K24" s="3" t="str">
        <f>IF(K21&lt;220000,"",VLOOKUP(K21,'220'!$X$2:$AE$79,6,FALSE))</f>
        <v/>
      </c>
      <c r="L24" s="3" t="str">
        <f>IF(L21&lt;220000,"",VLOOKUP(L21,'220'!$X$2:$AE$79,6,FALSE))</f>
        <v/>
      </c>
      <c r="M24" s="3" t="str">
        <f>IF(M21&lt;220000,"",VLOOKUP(M21,'220'!$X$2:$AE$79,6,FALSE))</f>
        <v/>
      </c>
      <c r="N24" s="3" t="str">
        <f>IF(N21&lt;220000,"",VLOOKUP(N21,'220'!$X$2:$AE$79,6,FALSE))</f>
        <v/>
      </c>
      <c r="O24" s="3">
        <f>IF(O21&lt;220000,"",VLOOKUP(O21,'220'!$X$2:$AE$79,6,FALSE))</f>
        <v>42944</v>
      </c>
      <c r="P24" s="3" t="str">
        <f>IF(P21&lt;220000,"",VLOOKUP(P21,'220'!$X$2:$AE$79,6,FALSE))</f>
        <v/>
      </c>
      <c r="Q24" s="3" t="str">
        <f>IF(Q21&lt;220000,"",VLOOKUP(Q21,'220'!$X$2:$AE$79,6,FALSE))</f>
        <v/>
      </c>
      <c r="R24" s="3" t="str">
        <f>IF(R21&lt;220000,"",VLOOKUP(R21,'220'!$X$2:$AE$79,6,FALSE))</f>
        <v/>
      </c>
      <c r="S24" s="3" t="str">
        <f>IF(S21&lt;220000,"",VLOOKUP(S21,'220'!$X$2:$AE$79,6,FALSE))</f>
        <v/>
      </c>
      <c r="T24" s="3" t="str">
        <f>IF(T21&lt;220000,"",VLOOKUP(T21,'220'!$X$2:$AE$79,6,FALSE))</f>
        <v/>
      </c>
      <c r="U24" s="3">
        <f>IF(U21&lt;220000,"",VLOOKUP(U21,'220'!$X$2:$AE$79,6,FALSE))</f>
        <v>42950</v>
      </c>
      <c r="V24" s="3" t="str">
        <f>IF(V21&lt;220000,"",VLOOKUP(V21,'220'!$X$2:$AE$79,6,FALSE))</f>
        <v/>
      </c>
      <c r="W24" s="3" t="str">
        <f>IF(W21&lt;220000,"",VLOOKUP(W21,'220'!$X$2:$AE$79,6,FALSE))</f>
        <v/>
      </c>
      <c r="X24" s="3" t="str">
        <f>IF(X21&lt;220000,"",VLOOKUP(X21,'220'!$X$2:$AE$79,6,FALSE))</f>
        <v/>
      </c>
      <c r="Y24" s="3">
        <f>IF(Y21&lt;220000,"",VLOOKUP(Y21,'220'!$X$2:$AE$79,6,FALSE))</f>
        <v>42952</v>
      </c>
      <c r="Z24" s="3">
        <f>IF(Z21&lt;220000,"",VLOOKUP(Z21,'220'!$X$2:$AE$79,6,FALSE))</f>
        <v>42952</v>
      </c>
      <c r="AA24" s="3" t="str">
        <f>IF(AA21&lt;220000,"",VLOOKUP(AA21,'220'!$X$2:$AE$79,6,FALSE))</f>
        <v/>
      </c>
      <c r="AB24" s="3" t="str">
        <f>IF(AB21&lt;220000,"",VLOOKUP(AB21,'220'!$X$2:$AE$79,6,FALSE))</f>
        <v/>
      </c>
      <c r="AC24" s="3" t="str">
        <f>IF(AC21&lt;220000,"",VLOOKUP(AC21,'220'!$X$2:$AE$79,6,FALSE))</f>
        <v/>
      </c>
      <c r="AD24" s="3" t="str">
        <f>IF(AD21&lt;220000,"",VLOOKUP(AD21,'220'!$X$2:$AE$79,6,FALSE))</f>
        <v/>
      </c>
      <c r="AE24" s="3" t="str">
        <f>IF(AE21&lt;220000,"",VLOOKUP(AE21,'220'!$X$2:$AE$79,6,FALSE))</f>
        <v/>
      </c>
      <c r="AF24" s="3">
        <f>IF(AF21&lt;220000,"",VLOOKUP(AF21,'220'!$X$2:$AE$79,6,FALSE))</f>
        <v>42960</v>
      </c>
      <c r="AG24" s="3">
        <f>IF(AG21&lt;220000,"",VLOOKUP(AG21,'220'!$X$2:$AE$79,6,FALSE))</f>
        <v>42962</v>
      </c>
      <c r="AH24" s="3">
        <f>IF(AH21&lt;220000,"",VLOOKUP(AH21,'220'!$X$2:$AE$79,6,FALSE))</f>
        <v>42962</v>
      </c>
      <c r="AI24" s="3">
        <f>IF(AI21&lt;220000,"",VLOOKUP(AI21,'220'!$X$2:$AE$79,6,FALSE))</f>
        <v>42963</v>
      </c>
      <c r="AJ24" s="3" t="str">
        <f>IF(AJ21&lt;220000,"",VLOOKUP(AJ21,'220'!$X$2:$AE$79,6,FALSE))</f>
        <v/>
      </c>
      <c r="AK24" s="3" t="str">
        <f>IF(AK21&lt;220000,"",VLOOKUP(AK21,'220'!$X$2:$AE$79,6,FALSE))</f>
        <v/>
      </c>
      <c r="AL24" s="3" t="str">
        <f>IF(AL21&lt;220000,"",VLOOKUP(AL21,'220'!$X$2:$AE$79,6,FALSE))</f>
        <v/>
      </c>
      <c r="AM24" s="3" t="str">
        <f>IF(AM21&lt;220000,"",VLOOKUP(AM21,'220'!$X$2:$AE$79,6,FALSE))</f>
        <v/>
      </c>
      <c r="AN24" s="3" t="str">
        <f>IF(AN21&lt;220000,"",VLOOKUP(AN21,'220'!$X$2:$AE$79,6,FALSE))</f>
        <v/>
      </c>
      <c r="AO24" s="3" t="str">
        <f>IF(AO21&lt;220000,"",VLOOKUP(AO21,'220'!$X$2:$AE$79,6,FALSE))</f>
        <v/>
      </c>
      <c r="AP24" s="452" t="str">
        <f>IF(AP21&lt;220000,"",VLOOKUP(AP21,'220'!$X$2:$AE$79,6,FALSE))</f>
        <v/>
      </c>
    </row>
    <row r="25" spans="1:43">
      <c r="A25" s="1" t="str">
        <f>IFERROR(75000-A23,"")</f>
        <v/>
      </c>
      <c r="B25" s="1" t="str">
        <f t="shared" ref="B25:T25" si="8">IFERROR(30330-B23,"")</f>
        <v/>
      </c>
      <c r="C25" s="1" t="str">
        <f t="shared" si="8"/>
        <v/>
      </c>
      <c r="D25" s="7" t="str">
        <f t="shared" si="8"/>
        <v/>
      </c>
      <c r="E25" s="528" t="str">
        <f t="shared" si="8"/>
        <v/>
      </c>
      <c r="F25" s="310" t="str">
        <f t="shared" si="8"/>
        <v/>
      </c>
      <c r="G25" s="310" t="str">
        <f>IFERROR(30330-G23,"")</f>
        <v/>
      </c>
      <c r="H25" s="310" t="str">
        <f>IFERROR(30330-H23,"")</f>
        <v/>
      </c>
      <c r="I25" s="310" t="str">
        <f t="shared" si="8"/>
        <v/>
      </c>
      <c r="J25" s="310" t="str">
        <f t="shared" si="8"/>
        <v/>
      </c>
      <c r="K25" s="310" t="str">
        <f t="shared" si="8"/>
        <v/>
      </c>
      <c r="L25" s="310" t="str">
        <f t="shared" si="8"/>
        <v/>
      </c>
      <c r="M25" s="310" t="str">
        <f t="shared" si="8"/>
        <v/>
      </c>
      <c r="N25" s="310" t="str">
        <f t="shared" si="8"/>
        <v/>
      </c>
      <c r="O25" s="310">
        <f t="shared" si="8"/>
        <v>8087</v>
      </c>
      <c r="P25" s="310" t="str">
        <f t="shared" si="8"/>
        <v/>
      </c>
      <c r="Q25" s="310" t="str">
        <f t="shared" si="8"/>
        <v/>
      </c>
      <c r="R25" s="310" t="str">
        <f t="shared" si="8"/>
        <v/>
      </c>
      <c r="S25" s="310" t="str">
        <f t="shared" si="8"/>
        <v/>
      </c>
      <c r="T25" s="310" t="str">
        <f t="shared" si="8"/>
        <v/>
      </c>
      <c r="U25" s="310">
        <f t="shared" ref="U25:AP25" si="9">IFERROR(30330-U23,"")</f>
        <v>14810</v>
      </c>
      <c r="V25" s="310" t="str">
        <f t="shared" si="9"/>
        <v/>
      </c>
      <c r="W25" s="310" t="str">
        <f t="shared" si="9"/>
        <v/>
      </c>
      <c r="X25" s="310" t="str">
        <f t="shared" si="9"/>
        <v/>
      </c>
      <c r="Y25" s="310">
        <f t="shared" si="9"/>
        <v>22930</v>
      </c>
      <c r="Z25" s="310">
        <f t="shared" si="9"/>
        <v>21818</v>
      </c>
      <c r="AA25" s="310" t="str">
        <f t="shared" si="9"/>
        <v/>
      </c>
      <c r="AB25" s="310" t="str">
        <f t="shared" si="9"/>
        <v/>
      </c>
      <c r="AC25" s="310" t="str">
        <f t="shared" si="9"/>
        <v/>
      </c>
      <c r="AD25" s="310" t="str">
        <f t="shared" si="9"/>
        <v/>
      </c>
      <c r="AE25" s="310" t="str">
        <f t="shared" si="9"/>
        <v/>
      </c>
      <c r="AF25" s="310">
        <f t="shared" si="9"/>
        <v>24812</v>
      </c>
      <c r="AG25" s="310">
        <f t="shared" si="9"/>
        <v>26291</v>
      </c>
      <c r="AH25" s="310">
        <f t="shared" si="9"/>
        <v>28608</v>
      </c>
      <c r="AI25" s="310">
        <f t="shared" si="9"/>
        <v>27798</v>
      </c>
      <c r="AJ25" s="310" t="str">
        <f t="shared" si="9"/>
        <v/>
      </c>
      <c r="AK25" s="310" t="str">
        <f t="shared" si="9"/>
        <v/>
      </c>
      <c r="AL25" s="310" t="str">
        <f t="shared" si="9"/>
        <v/>
      </c>
      <c r="AM25" s="310" t="str">
        <f t="shared" si="9"/>
        <v/>
      </c>
      <c r="AN25" s="310" t="str">
        <f t="shared" si="9"/>
        <v/>
      </c>
      <c r="AO25" s="310" t="str">
        <f t="shared" si="9"/>
        <v/>
      </c>
      <c r="AP25" s="480" t="str">
        <f t="shared" si="9"/>
        <v/>
      </c>
    </row>
    <row r="26" spans="1:43" ht="16.5" customHeight="1">
      <c r="A26" s="365" t="e">
        <f t="array" ref="A26">INDEX('Brake Pad Workorders'!$A$1:$Z$100,MATCH(A21&amp;A22,'Brake Pad Workorders'!$A$1:$A$100&amp;'Brake Pad Workorders'!$T$1:$T$100,0),25)</f>
        <v>#N/A</v>
      </c>
      <c r="B26" s="365" t="e">
        <f t="array" ref="B26">INDEX('Brake Pad Workorders'!$A$1:$Z$100,MATCH(B21&amp;B22,'Brake Pad Workorders'!$A$1:$A$100&amp;'Brake Pad Workorders'!$T$1:$T$100,0),25)</f>
        <v>#N/A</v>
      </c>
      <c r="C26" s="365" t="e">
        <f t="array" ref="C26">INDEX('Brake Pad Workorders'!$A$1:$Z$100,MATCH(C21&amp;C22,'Brake Pad Workorders'!$A$1:$A$100&amp;'Brake Pad Workorders'!$T$1:$T$100,0),25)</f>
        <v>#N/A</v>
      </c>
      <c r="D26" s="466" t="e">
        <f t="array" ref="D26">INDEX('Brake Pad Workorders'!$A$1:$Z$100,MATCH(D21&amp;D22,'Brake Pad Workorders'!$A$1:$A$100&amp;'Brake Pad Workorders'!$T$1:$T$100,0),25)</f>
        <v>#N/A</v>
      </c>
      <c r="E26" s="493" t="e">
        <f t="array" ref="E26">INDEX('Brake Pad Workorders'!$A$1:$Z$100,MATCH(E21&amp;E22,'Brake Pad Workorders'!$A$1:$A$100&amp;'Brake Pad Workorders'!$S$1:$S$100,0),25)</f>
        <v>#N/A</v>
      </c>
      <c r="F26" s="365" t="e">
        <f t="array" ref="F26">INDEX('Brake Pad Workorders'!$A$1:$Z$100,MATCH(F21&amp;F22,'Brake Pad Workorders'!$A$1:$A$100&amp;'Brake Pad Workorders'!$S$1:$S$100,0),25)</f>
        <v>#N/A</v>
      </c>
      <c r="G26" s="365" t="e">
        <f t="array" ref="G26">INDEX('Brake Pad Workorders'!$A$1:$Z$100,MATCH(G21&amp;G22,'Brake Pad Workorders'!$A$1:$A$100&amp;'Brake Pad Workorders'!$S$1:$S$100,0),25)</f>
        <v>#N/A</v>
      </c>
      <c r="H26" s="365" t="e">
        <f t="array" ref="H26">INDEX('Brake Pad Workorders'!$A$1:$Z$100,MATCH(H21&amp;H22,'Brake Pad Workorders'!$A$1:$A$100&amp;'Brake Pad Workorders'!$S$1:$S$100,0),25)</f>
        <v>#N/A</v>
      </c>
      <c r="I26" s="365" t="e">
        <f t="array" ref="I26">INDEX('Brake Pad Workorders'!$A$1:$Z$100,MATCH(I21&amp;I22,'Brake Pad Workorders'!$A$1:$A$100&amp;'Brake Pad Workorders'!$S$1:$S$100,0),25)</f>
        <v>#N/A</v>
      </c>
      <c r="J26" s="365" t="e">
        <f t="array" ref="J26">INDEX('Brake Pad Workorders'!$A$1:$Z$100,MATCH(J21&amp;J22,'Brake Pad Workorders'!$A$1:$A$100&amp;'Brake Pad Workorders'!$S$1:$S$100,0),25)</f>
        <v>#N/A</v>
      </c>
      <c r="K26" s="365" t="e">
        <f t="array" ref="K26">INDEX('Brake Pad Workorders'!$A$1:$Z$100,MATCH(K21&amp;K22,'Brake Pad Workorders'!$A$1:$A$100&amp;'Brake Pad Workorders'!$S$1:$S$100,0),25)</f>
        <v>#N/A</v>
      </c>
      <c r="L26" s="365" t="e">
        <f t="array" ref="L26">INDEX('Brake Pad Workorders'!$A$1:$Z$100,MATCH(L21&amp;L22,'Brake Pad Workorders'!$A$1:$A$100&amp;'Brake Pad Workorders'!$S$1:$S$100,0),25)</f>
        <v>#N/A</v>
      </c>
      <c r="M26" s="365" t="e">
        <f t="array" ref="M26">INDEX('Brake Pad Workorders'!$A$1:$Z$100,MATCH(M21&amp;M22,'Brake Pad Workorders'!$A$1:$A$100&amp;'Brake Pad Workorders'!$S$1:$S$100,0),25)</f>
        <v>#N/A</v>
      </c>
      <c r="N26" s="365" t="e">
        <f t="array" ref="N26">INDEX('Brake Pad Workorders'!$A$1:$Z$100,MATCH(N21&amp;N22,'Brake Pad Workorders'!$A$1:$A$100&amp;'Brake Pad Workorders'!$S$1:$S$100,0),25)</f>
        <v>#N/A</v>
      </c>
      <c r="O26" s="365" t="e">
        <f t="array" ref="O26">INDEX('Brake Pad Workorders'!$A$1:$Z$100,MATCH(O21&amp;O22,'Brake Pad Workorders'!$A$1:$A$100&amp;'Brake Pad Workorders'!$S$1:$S$100,0),25)</f>
        <v>#N/A</v>
      </c>
      <c r="P26" s="365" t="e">
        <f t="array" ref="P26">INDEX('Brake Pad Workorders'!$A$1:$Z$100,MATCH(P21&amp;P22,'Brake Pad Workorders'!$A$1:$A$100&amp;'Brake Pad Workorders'!$S$1:$S$100,0),25)</f>
        <v>#N/A</v>
      </c>
      <c r="Q26" s="365" t="e">
        <f t="array" ref="Q26">INDEX('Brake Pad Workorders'!$A$1:$Z$100,MATCH(Q21&amp;Q22,'Brake Pad Workorders'!$A$1:$A$100&amp;'Brake Pad Workorders'!$S$1:$S$100,0),25)</f>
        <v>#N/A</v>
      </c>
      <c r="R26" s="365" t="e">
        <f t="array" ref="R26">INDEX('Brake Pad Workorders'!$A$1:$Z$100,MATCH(R21&amp;R22,'Brake Pad Workorders'!$A$1:$A$100&amp;'Brake Pad Workorders'!$S$1:$S$100,0),25)</f>
        <v>#N/A</v>
      </c>
      <c r="S26" s="365" t="e">
        <f t="array" ref="S26">INDEX('Brake Pad Workorders'!$A$1:$Z$100,MATCH(S21&amp;S22,'Brake Pad Workorders'!$A$1:$A$100&amp;'Brake Pad Workorders'!$S$1:$S$100,0),25)</f>
        <v>#N/A</v>
      </c>
      <c r="T26" s="365" t="e">
        <f t="array" ref="T26">INDEX('Brake Pad Workorders'!$A$1:$Z$100,MATCH(T21&amp;T22,'Brake Pad Workorders'!$A$1:$A$100&amp;'Brake Pad Workorders'!$S$1:$S$100,0),25)</f>
        <v>#N/A</v>
      </c>
      <c r="U26" s="365" t="e">
        <f t="array" ref="U26">INDEX('Brake Pad Workorders'!$A$1:$Z$100,MATCH(U21&amp;U22,'Brake Pad Workorders'!$A$1:$A$100&amp;'Brake Pad Workorders'!$S$1:$S$100,0),25)</f>
        <v>#N/A</v>
      </c>
      <c r="V26" s="365" t="e">
        <f t="array" ref="V26">INDEX('Brake Pad Workorders'!$A$1:$Z$100,MATCH(V21&amp;V22,'Brake Pad Workorders'!$A$1:$A$100&amp;'Brake Pad Workorders'!$S$1:$S$100,0),25)</f>
        <v>#N/A</v>
      </c>
      <c r="W26" s="365" t="e">
        <f t="array" ref="W26">INDEX('Brake Pad Workorders'!$A$1:$Z$100,MATCH(W21&amp;W22,'Brake Pad Workorders'!$A$1:$A$100&amp;'Brake Pad Workorders'!$S$1:$S$100,0),25)</f>
        <v>#N/A</v>
      </c>
      <c r="X26" s="365" t="e">
        <f t="array" ref="X26">INDEX('Brake Pad Workorders'!$A$1:$Z$100,MATCH(X21&amp;X22,'Brake Pad Workorders'!$A$1:$A$100&amp;'Brake Pad Workorders'!$S$1:$S$100,0),25)</f>
        <v>#N/A</v>
      </c>
      <c r="Y26" s="365" t="e">
        <f t="array" ref="Y26">INDEX('Brake Pad Workorders'!$A$1:$Z$100,MATCH(Y21&amp;Y22,'Brake Pad Workorders'!$A$1:$A$100&amp;'Brake Pad Workorders'!$S$1:$S$100,0),25)</f>
        <v>#N/A</v>
      </c>
      <c r="Z26" s="365" t="e">
        <f t="array" ref="Z26">INDEX('Brake Pad Workorders'!$A$1:$Z$100,MATCH(Z21&amp;Z22,'Brake Pad Workorders'!$A$1:$A$100&amp;'Brake Pad Workorders'!$S$1:$S$100,0),25)</f>
        <v>#N/A</v>
      </c>
      <c r="AA26" s="365" t="e">
        <f t="array" ref="AA26">INDEX('Brake Pad Workorders'!$A$1:$Z$100,MATCH(AA21&amp;AA22,'Brake Pad Workorders'!$A$1:$A$100&amp;'Brake Pad Workorders'!$S$1:$S$100,0),25)</f>
        <v>#N/A</v>
      </c>
      <c r="AB26" s="365" t="e">
        <f t="array" ref="AB26">INDEX('Brake Pad Workorders'!$A$1:$Z$100,MATCH(AB21&amp;AB22,'Brake Pad Workorders'!$A$1:$A$100&amp;'Brake Pad Workorders'!$S$1:$S$100,0),25)</f>
        <v>#N/A</v>
      </c>
      <c r="AC26" s="365" t="e">
        <f t="array" ref="AC26">INDEX('Brake Pad Workorders'!$A$1:$Z$100,MATCH(AC21&amp;AC22,'Brake Pad Workorders'!$A$1:$A$100&amp;'Brake Pad Workorders'!$S$1:$S$100,0),25)</f>
        <v>#N/A</v>
      </c>
      <c r="AD26" s="365" t="e">
        <f t="array" ref="AD26">INDEX('Brake Pad Workorders'!$A$1:$Z$100,MATCH(AD21&amp;AD22,'Brake Pad Workorders'!$A$1:$A$100&amp;'Brake Pad Workorders'!$S$1:$S$100,0),25)</f>
        <v>#N/A</v>
      </c>
      <c r="AE26" s="365" t="e">
        <f t="array" ref="AE26">INDEX('Brake Pad Workorders'!$A$1:$Z$100,MATCH(AE21&amp;AE22,'Brake Pad Workorders'!$A$1:$A$100&amp;'Brake Pad Workorders'!$S$1:$S$100,0),25)</f>
        <v>#N/A</v>
      </c>
      <c r="AF26" s="365" t="e">
        <f t="array" ref="AF26">INDEX('Brake Pad Workorders'!$A$1:$Z$100,MATCH(AF21&amp;AF22,'Brake Pad Workorders'!$A$1:$A$100&amp;'Brake Pad Workorders'!$S$1:$S$100,0),25)</f>
        <v>#N/A</v>
      </c>
      <c r="AG26" s="365" t="e">
        <f t="array" ref="AG26">INDEX('Brake Pad Workorders'!$A$1:$Z$100,MATCH(AG21&amp;AG22,'Brake Pad Workorders'!$A$1:$A$100&amp;'Brake Pad Workorders'!$S$1:$S$100,0),25)</f>
        <v>#N/A</v>
      </c>
      <c r="AH26" s="365" t="e">
        <f t="array" ref="AH26">INDEX('Brake Pad Workorders'!$A$1:$Z$100,MATCH(AH21&amp;AH22,'Brake Pad Workorders'!$A$1:$A$100&amp;'Brake Pad Workorders'!$S$1:$S$100,0),25)</f>
        <v>#N/A</v>
      </c>
      <c r="AI26" s="365" t="e">
        <f t="array" ref="AI26">INDEX('Brake Pad Workorders'!$A$1:$Z$100,MATCH(AI21&amp;AI22,'Brake Pad Workorders'!$A$1:$A$100&amp;'Brake Pad Workorders'!$S$1:$S$100,0),25)</f>
        <v>#N/A</v>
      </c>
      <c r="AJ26" s="365" t="e">
        <f t="array" ref="AJ26">INDEX('Brake Pad Workorders'!$A$1:$Z$100,MATCH(AJ21&amp;AJ22,'Brake Pad Workorders'!$A$1:$A$100&amp;'Brake Pad Workorders'!$S$1:$S$100,0),25)</f>
        <v>#N/A</v>
      </c>
      <c r="AK26" s="365" t="e">
        <f t="array" ref="AK26">INDEX('Brake Pad Workorders'!$A$1:$Z$100,MATCH(AK21&amp;AK22,'Brake Pad Workorders'!$A$1:$A$100&amp;'Brake Pad Workorders'!$S$1:$S$100,0),25)</f>
        <v>#N/A</v>
      </c>
      <c r="AL26" s="365" t="e">
        <f t="array" ref="AL26">INDEX('Brake Pad Workorders'!$A$1:$Z$100,MATCH(AL21&amp;AL22,'Brake Pad Workorders'!$A$1:$A$100&amp;'Brake Pad Workorders'!$S$1:$S$100,0),25)</f>
        <v>#N/A</v>
      </c>
      <c r="AM26" s="365" t="e">
        <f t="array" ref="AM26">INDEX('Brake Pad Workorders'!$A$1:$Z$100,MATCH(AM21&amp;AM22,'Brake Pad Workorders'!$A$1:$A$100&amp;'Brake Pad Workorders'!$S$1:$S$100,0),25)</f>
        <v>#N/A</v>
      </c>
      <c r="AN26" s="365" t="e">
        <f t="array" ref="AN26">INDEX('Brake Pad Workorders'!$A$1:$Z$100,MATCH(AN21&amp;AN22,'Brake Pad Workorders'!$A$1:$A$100&amp;'Brake Pad Workorders'!$S$1:$S$100,0),25)</f>
        <v>#N/A</v>
      </c>
      <c r="AO26" s="365" t="e">
        <f t="array" ref="AO26">INDEX('Brake Pad Workorders'!$A$1:$Z$100,MATCH(AO21&amp;AO22,'Brake Pad Workorders'!$A$1:$A$100&amp;'Brake Pad Workorders'!$S$1:$S$100,0),25)</f>
        <v>#N/A</v>
      </c>
      <c r="AP26" s="451" t="e">
        <f t="array" ref="AP26">INDEX('Brake Pad Workorders'!$A$1:$Z$100,MATCH(AP21&amp;AP22,'Brake Pad Workorders'!$A$1:$A$100&amp;'Brake Pad Workorders'!$T$1:$T$100,0),25)</f>
        <v>#N/A</v>
      </c>
    </row>
    <row r="27" spans="1:43" s="56" customFormat="1" ht="13.5" thickBot="1">
      <c r="A27" s="334" t="str">
        <f>IFERROR(VLOOKUP(A21,'220'!$AG$2:$AO$79,9,FALSE),"")</f>
        <v/>
      </c>
      <c r="B27" s="413" t="str">
        <f>IFERROR(VLOOKUP(B21,'220'!$X$2:$AF$79,9,FALSE),"")</f>
        <v/>
      </c>
      <c r="C27" s="413" t="str">
        <f>IFERROR(VLOOKUP(C21,'220'!$X$2:$AF$79,9,FALSE),"")</f>
        <v/>
      </c>
      <c r="D27" s="468" t="str">
        <f>IFERROR(VLOOKUP(D21,'220'!$X$2:$AF$79,9,FALSE),"")</f>
        <v/>
      </c>
      <c r="E27" s="490" t="str">
        <f>IFERROR(VLOOKUP(E21,'220'!$X$2:$AF$79,9,FALSE),"")</f>
        <v/>
      </c>
      <c r="F27" s="287" t="str">
        <f>IFERROR(VLOOKUP(F21,'220'!$X$2:$AF$79,9,FALSE),"")</f>
        <v/>
      </c>
      <c r="G27" s="287" t="str">
        <f>IFERROR(VLOOKUP(G21,'220'!$X$2:$AF$79,9,FALSE),"")</f>
        <v/>
      </c>
      <c r="H27" s="287" t="str">
        <f>IFERROR(VLOOKUP(H21,'220'!$X$2:$AF$79,9,FALSE),"")</f>
        <v/>
      </c>
      <c r="I27" s="287" t="str">
        <f>IFERROR(VLOOKUP(I21,'220'!$X$2:$AF$79,9,FALSE),"")</f>
        <v/>
      </c>
      <c r="J27" s="287" t="str">
        <f>IFERROR(VLOOKUP(J21,'220'!$X$2:$AF$79,9,FALSE),"")</f>
        <v/>
      </c>
      <c r="K27" s="287" t="str">
        <f>IFERROR(VLOOKUP(K21,'220'!$X$2:$AF$79,9,FALSE),"")</f>
        <v/>
      </c>
      <c r="L27" s="287" t="str">
        <f>IFERROR(VLOOKUP(L21,'220'!$X$2:$AF$79,9,FALSE),"")</f>
        <v/>
      </c>
      <c r="M27" s="287" t="str">
        <f>IFERROR(VLOOKUP(M21,'220'!$X$2:$AF$79,9,FALSE),"")</f>
        <v/>
      </c>
      <c r="N27" s="287" t="str">
        <f>IFERROR(VLOOKUP(N21,'220'!$X$2:$AF$79,9,FALSE),"")</f>
        <v/>
      </c>
      <c r="O27" s="287">
        <f ca="1">IFERROR(VLOOKUP(O21,'220'!$X$2:$AF$79,9,FALSE),"")</f>
        <v>27</v>
      </c>
      <c r="P27" s="287" t="str">
        <f>IFERROR(VLOOKUP(P21,'220'!$X$2:$AF$79,9,FALSE),"")</f>
        <v/>
      </c>
      <c r="Q27" s="287" t="str">
        <f>IFERROR(VLOOKUP(Q21,'220'!$X$2:$AF$79,9,FALSE),"")</f>
        <v/>
      </c>
      <c r="R27" s="287" t="str">
        <f>IFERROR(VLOOKUP(R21,'220'!$X$2:$AF$79,9,FALSE),"")</f>
        <v/>
      </c>
      <c r="S27" s="287" t="str">
        <f>IFERROR(VLOOKUP(S21,'220'!$X$2:$AF$79,9,FALSE),"")</f>
        <v/>
      </c>
      <c r="T27" s="287" t="str">
        <f>IFERROR(VLOOKUP(T21,'220'!$X$2:$AF$79,9,FALSE),"")</f>
        <v/>
      </c>
      <c r="U27" s="287">
        <f ca="1">IFERROR(VLOOKUP(U21,'220'!$X$2:$AF$79,9,FALSE),"")</f>
        <v>18</v>
      </c>
      <c r="V27" s="287" t="str">
        <f>IFERROR(VLOOKUP(V21,'220'!$X$2:$AF$79,9,FALSE),"")</f>
        <v/>
      </c>
      <c r="W27" s="287" t="str">
        <f>IFERROR(VLOOKUP(W21,'220'!$X$2:$AF$79,9,FALSE),"")</f>
        <v/>
      </c>
      <c r="X27" s="287" t="str">
        <f>IFERROR(VLOOKUP(X21,'220'!$X$2:$AF$79,9,FALSE),"")</f>
        <v/>
      </c>
      <c r="Y27" s="287">
        <f ca="1">IFERROR(VLOOKUP(Y21,'220'!$X$2:$AF$79,9,FALSE),"")</f>
        <v>12</v>
      </c>
      <c r="Z27" s="287">
        <f ca="1">IFERROR(VLOOKUP(Z21,'220'!$X$2:$AF$79,9,FALSE),"")</f>
        <v>14</v>
      </c>
      <c r="AA27" s="287" t="str">
        <f>IFERROR(VLOOKUP(AA21,'220'!$X$2:$AF$79,9,FALSE),"")</f>
        <v/>
      </c>
      <c r="AB27" s="287" t="str">
        <f>IFERROR(VLOOKUP(AB21,'220'!$X$2:$AF$79,9,FALSE),"")</f>
        <v/>
      </c>
      <c r="AC27" s="287" t="str">
        <f>IFERROR(VLOOKUP(AC21,'220'!$X$2:$AF$79,9,FALSE),"")</f>
        <v/>
      </c>
      <c r="AD27" s="287" t="str">
        <f>IFERROR(VLOOKUP(AD21,'220'!$X$2:$AF$79,9,FALSE),"")</f>
        <v/>
      </c>
      <c r="AE27" s="287" t="str">
        <f>IFERROR(VLOOKUP(AE21,'220'!$X$2:$AF$79,9,FALSE),"")</f>
        <v/>
      </c>
      <c r="AF27" s="287">
        <f ca="1">IFERROR(VLOOKUP(AF21,'220'!$X$2:$AF$79,9,FALSE),"")</f>
        <v>8</v>
      </c>
      <c r="AG27" s="287">
        <f ca="1">IFERROR(VLOOKUP(AG21,'220'!$X$2:$AF$79,9,FALSE),"")</f>
        <v>5</v>
      </c>
      <c r="AH27" s="287">
        <f ca="1">IFERROR(VLOOKUP(AH21,'220'!$X$2:$AF$79,9,FALSE),"")</f>
        <v>1</v>
      </c>
      <c r="AI27" s="287">
        <f ca="1">IFERROR(VLOOKUP(AI21,'220'!$X$2:$AF$79,9,FALSE),"")</f>
        <v>4</v>
      </c>
      <c r="AJ27" s="287" t="str">
        <f>IFERROR(VLOOKUP(AJ21,'220'!$X$2:$AF$79,9,FALSE),"")</f>
        <v/>
      </c>
      <c r="AK27" s="287" t="str">
        <f>IFERROR(VLOOKUP(AK21,'220'!$X$2:$AF$79,9,FALSE),"")</f>
        <v/>
      </c>
      <c r="AL27" s="287" t="str">
        <f>IFERROR(VLOOKUP(AL21,'220'!$X$2:$AF$79,9,FALSE),"")</f>
        <v/>
      </c>
      <c r="AM27" s="287" t="str">
        <f>IFERROR(VLOOKUP(AM21,'220'!$X$2:$AF$79,9,FALSE),"")</f>
        <v/>
      </c>
      <c r="AN27" s="287" t="str">
        <f>IFERROR(VLOOKUP(AN21,'220'!$X$2:$AF$79,9,FALSE),"")</f>
        <v/>
      </c>
      <c r="AO27" s="287" t="str">
        <f>IFERROR(VLOOKUP(AO21,'220'!$X$2:$AF$79,9,FALSE),"")</f>
        <v/>
      </c>
      <c r="AP27" s="477" t="str">
        <f>IFERROR(VLOOKUP(AP21,'220'!$X$2:$AF$79,9,FALSE),"")</f>
        <v/>
      </c>
    </row>
    <row r="28" spans="1:43" s="59" customFormat="1" ht="17.25" thickTop="1" thickBot="1">
      <c r="A28" s="809" t="s">
        <v>119</v>
      </c>
      <c r="B28" s="810"/>
      <c r="C28" s="810"/>
      <c r="D28" s="810"/>
      <c r="E28" s="494"/>
      <c r="F28" s="51"/>
      <c r="G28" s="51"/>
      <c r="H28" s="51"/>
      <c r="I28" s="51"/>
      <c r="J28" s="51"/>
      <c r="K28" s="51"/>
      <c r="L28" s="51"/>
      <c r="M28" s="51"/>
      <c r="N28" s="51"/>
      <c r="O28" s="51"/>
      <c r="P28" s="51"/>
      <c r="Q28" s="51"/>
      <c r="R28" s="51"/>
      <c r="S28" s="52"/>
      <c r="T28" s="57"/>
      <c r="U28" s="58"/>
      <c r="V28" s="58"/>
      <c r="W28" s="58"/>
      <c r="X28" s="58"/>
      <c r="Y28" s="58"/>
      <c r="Z28" s="58"/>
      <c r="AA28" s="58"/>
      <c r="AB28" s="58"/>
      <c r="AC28" s="58"/>
      <c r="AD28" s="58"/>
      <c r="AE28" s="58"/>
      <c r="AF28" s="58"/>
      <c r="AG28" s="58"/>
      <c r="AH28" s="58"/>
      <c r="AI28" s="58"/>
      <c r="AJ28" s="58"/>
      <c r="AK28" s="58"/>
      <c r="AL28" s="58"/>
      <c r="AM28" s="58"/>
      <c r="AN28" s="57"/>
      <c r="AO28" s="57"/>
      <c r="AP28" s="481"/>
    </row>
    <row r="29" spans="1:43" ht="15" customHeight="1" thickTop="1">
      <c r="A29" s="84"/>
      <c r="B29" s="53">
        <v>221105</v>
      </c>
      <c r="C29" s="84">
        <v>221126</v>
      </c>
      <c r="D29" s="514">
        <v>221106</v>
      </c>
      <c r="E29" s="504">
        <v>221131</v>
      </c>
      <c r="F29" s="55">
        <v>221125</v>
      </c>
      <c r="G29" s="279">
        <v>220031</v>
      </c>
      <c r="H29" s="55">
        <v>221134</v>
      </c>
      <c r="I29" s="279">
        <v>221104</v>
      </c>
      <c r="J29" s="280">
        <v>220010</v>
      </c>
      <c r="K29" s="179">
        <v>221114</v>
      </c>
      <c r="L29" s="279">
        <v>220021</v>
      </c>
      <c r="M29" s="280">
        <v>220029</v>
      </c>
      <c r="N29" s="279">
        <v>220033</v>
      </c>
      <c r="O29" s="280"/>
      <c r="P29" s="279">
        <v>221111</v>
      </c>
      <c r="Q29" s="279">
        <v>220020</v>
      </c>
      <c r="R29" s="280">
        <v>221119</v>
      </c>
      <c r="S29" s="279">
        <v>221102</v>
      </c>
      <c r="T29" s="280">
        <v>221140</v>
      </c>
      <c r="U29" s="179"/>
      <c r="V29" s="279">
        <v>220015</v>
      </c>
      <c r="W29" s="55">
        <v>221141</v>
      </c>
      <c r="X29" s="179">
        <v>220002</v>
      </c>
      <c r="Y29" s="179">
        <v>220006</v>
      </c>
      <c r="Z29" s="279"/>
      <c r="AA29" s="179">
        <v>220017</v>
      </c>
      <c r="AB29" s="179">
        <v>221138</v>
      </c>
      <c r="AC29" s="179">
        <v>220034</v>
      </c>
      <c r="AD29" s="179">
        <v>221103</v>
      </c>
      <c r="AE29" s="179">
        <v>221135</v>
      </c>
      <c r="AF29" s="179">
        <v>221112</v>
      </c>
      <c r="AG29" s="533"/>
      <c r="AH29" s="460">
        <v>220001</v>
      </c>
      <c r="AI29" s="171">
        <v>220003</v>
      </c>
      <c r="AJ29" s="171">
        <v>220011</v>
      </c>
      <c r="AK29" s="171">
        <v>221107</v>
      </c>
      <c r="AL29" s="55">
        <v>220007</v>
      </c>
      <c r="AM29" s="179">
        <v>221143</v>
      </c>
      <c r="AN29" s="179">
        <v>220005</v>
      </c>
      <c r="AO29" s="279">
        <v>220022</v>
      </c>
      <c r="AP29" s="478"/>
    </row>
    <row r="30" spans="1:43" ht="15" customHeight="1">
      <c r="A30" s="328" t="str">
        <f>IF(A29&lt;220000,"",VLOOKUP(A29,'220'!$AG$2:$AO$79,7,FALSE))</f>
        <v/>
      </c>
      <c r="B30" s="173" t="str">
        <f>IF(B29&lt;220000,"",VLOOKUP(B29,'220'!$AG$2:$AO$79,7,FALSE))</f>
        <v>MV8</v>
      </c>
      <c r="C30" s="173" t="str">
        <f>IF(C29&lt;220000,"",VLOOKUP(C29,'220'!$AG$2:$AO$79,7,FALSE))</f>
        <v>MV7</v>
      </c>
      <c r="D30" s="61" t="str">
        <f>IF(D29&lt;220000,"",VLOOKUP(D29,'220'!$AG$2:$AO$79,7,FALSE))</f>
        <v>MV8</v>
      </c>
      <c r="E30" s="532" t="str">
        <f>IF(E29&lt;220000,"",VLOOKUP(E29,'220'!$AG$2:$AO$79,7,FALSE))</f>
        <v>MV6</v>
      </c>
      <c r="F30" s="314" t="str">
        <f>IF(F29&lt;220000,"",VLOOKUP(F29,'220'!$AG$2:$AO$79,7,FALSE))</f>
        <v>MV6</v>
      </c>
      <c r="G30" s="314" t="str">
        <f>IF(G29&lt;220000,"",VLOOKUP(G29,'220'!$AG$2:$AO$79,7,FALSE))</f>
        <v>MV1</v>
      </c>
      <c r="H30" s="314" t="str">
        <f>IF(H29&lt;220000,"",VLOOKUP(H29,'220'!$AG$2:$AO$79,7,FALSE))</f>
        <v>MV5</v>
      </c>
      <c r="I30" s="314" t="str">
        <f>IF(I29&lt;220000,"",VLOOKUP(I29,'220'!$AG$2:$AO$79,7,FALSE))</f>
        <v>MV8</v>
      </c>
      <c r="J30" s="314" t="str">
        <f>IF(J29&lt;220000,"",VLOOKUP(J29,'220'!$AG$2:$AO$79,7,FALSE))</f>
        <v>MV1</v>
      </c>
      <c r="K30" s="314" t="str">
        <f>IF(K29&lt;220000,"",VLOOKUP(K29,'220'!$AG$2:$AO$79,7,FALSE))</f>
        <v>MV1</v>
      </c>
      <c r="L30" s="314" t="str">
        <f>IF(L29&lt;220000,"",VLOOKUP(L29,'220'!$AG$2:$AO$79,7,FALSE))</f>
        <v>MV2</v>
      </c>
      <c r="M30" s="314" t="str">
        <f>IF(M29&lt;220000,"",VLOOKUP(M29,'220'!$AG$2:$AO$79,7,FALSE))</f>
        <v>MV1</v>
      </c>
      <c r="N30" s="314" t="str">
        <f>IF(N29&lt;220000,"",VLOOKUP(N29,'220'!$AG$2:$AO$79,7,FALSE))</f>
        <v>MV8</v>
      </c>
      <c r="O30" s="314" t="str">
        <f>IF(O29&lt;220000,"",VLOOKUP(O29,'220'!$AG$2:$AO$79,7,FALSE))</f>
        <v/>
      </c>
      <c r="P30" s="314" t="str">
        <f>IF(P29&lt;220000,"",VLOOKUP(P29,'220'!$AG$2:$AO$79,7,FALSE))</f>
        <v>MV8</v>
      </c>
      <c r="Q30" s="314" t="str">
        <f>IF(Q29&lt;220000,"",VLOOKUP(Q29,'220'!$AG$2:$AO$79,7,FALSE))</f>
        <v>MV2</v>
      </c>
      <c r="R30" s="314" t="str">
        <f>IF(R29&lt;220000,"",VLOOKUP(R29,'220'!$AG$2:$AO$79,7,FALSE))</f>
        <v>MV7</v>
      </c>
      <c r="S30" s="314" t="str">
        <f>IF(S29&lt;220000,"",VLOOKUP(S29,'220'!$AG$2:$AO$79,7,FALSE))</f>
        <v>MV1</v>
      </c>
      <c r="T30" s="314" t="str">
        <f>IF(T29&lt;220000,"",VLOOKUP(T29,'220'!$AG$2:$AO$79,7,FALSE))</f>
        <v>MV5</v>
      </c>
      <c r="U30" s="314" t="str">
        <f>IF(U29&lt;220000,"",VLOOKUP(U29,'220'!$AG$2:$AO$79,7,FALSE))</f>
        <v/>
      </c>
      <c r="V30" s="314" t="str">
        <f>IF(V29&lt;220000,"",VLOOKUP(V29,'220'!$AG$2:$AO$79,7,FALSE))</f>
        <v>MV8</v>
      </c>
      <c r="W30" s="314" t="str">
        <f>IF(W29&lt;220000,"",VLOOKUP(W29,'220'!$AG$2:$AO$79,7,FALSE))</f>
        <v>MV5</v>
      </c>
      <c r="X30" s="314" t="str">
        <f>IF(X29&lt;220000,"",VLOOKUP(X29,'220'!$AG$2:$AO$79,7,FALSE))</f>
        <v>MV3</v>
      </c>
      <c r="Y30" s="314" t="str">
        <f>IF(Y29&lt;220000,"",VLOOKUP(Y29,'220'!$AG$2:$AO$79,7,FALSE))</f>
        <v>MV2</v>
      </c>
      <c r="Z30" s="314" t="str">
        <f>IF(Z29&lt;220000,"",VLOOKUP(Z29,'220'!$AG$2:$AO$79,7,FALSE))</f>
        <v/>
      </c>
      <c r="AA30" s="314" t="str">
        <f>IF(AA29&lt;220000,"",VLOOKUP(AA29,'220'!$AG$2:$AO$79,7,FALSE))</f>
        <v>MV3</v>
      </c>
      <c r="AB30" s="314" t="str">
        <f>IF(AB29&lt;220000,"",VLOOKUP(AB29,'220'!$AG$2:$AO$79,7,FALSE))</f>
        <v>MV5</v>
      </c>
      <c r="AC30" s="314" t="str">
        <f>IF(AC29&lt;220000,"",VLOOKUP(AC29,'220'!$AG$2:$AO$79,7,FALSE))</f>
        <v>MV8</v>
      </c>
      <c r="AD30" s="314" t="str">
        <f>IF(AD29&lt;220000,"",VLOOKUP(AD29,'220'!$AG$2:$AO$79,7,FALSE))</f>
        <v>MV1</v>
      </c>
      <c r="AE30" s="314" t="str">
        <f>IF(AE29&lt;220000,"",VLOOKUP(AE29,'220'!$AG$2:$AO$79,7,FALSE))</f>
        <v>MV6</v>
      </c>
      <c r="AF30" s="314" t="str">
        <f>IF(AF29&lt;220000,"",VLOOKUP(AF29,'220'!$AG$2:$AO$79,7,FALSE))</f>
        <v>MV8</v>
      </c>
      <c r="AG30" s="314" t="str">
        <f>IF(AG29&lt;220000,"",VLOOKUP(AG29,'220'!$AG$2:$AO$79,7,FALSE))</f>
        <v/>
      </c>
      <c r="AH30" s="314" t="str">
        <f>IF(AH29&lt;220000,"",VLOOKUP(AH29,'220'!$AG$2:$AO$79,7,FALSE))</f>
        <v>MV3</v>
      </c>
      <c r="AI30" s="314" t="str">
        <f>IF(AI29&lt;220000,"",VLOOKUP(AI29,'220'!$AG$2:$AO$79,7,FALSE))</f>
        <v>MV3</v>
      </c>
      <c r="AJ30" s="314" t="str">
        <f>IF(AJ29&lt;220000,"",VLOOKUP(AJ29,'220'!$AG$2:$AO$79,7,FALSE))</f>
        <v>MV1</v>
      </c>
      <c r="AK30" s="314" t="str">
        <f>IF(AK29&lt;220000,"",VLOOKUP(AK29,'220'!$AG$2:$AO$79,7,FALSE))</f>
        <v>MV1</v>
      </c>
      <c r="AL30" s="314" t="str">
        <f>IF(AL29&lt;220000,"",VLOOKUP(AL29,'220'!$AG$2:$AO$79,7,FALSE))</f>
        <v>MV2</v>
      </c>
      <c r="AM30" s="314" t="str">
        <f>IF(AM29&lt;220000,"",VLOOKUP(AM29,'220'!$AG$2:$AO$79,7,FALSE))</f>
        <v>MV6</v>
      </c>
      <c r="AN30" s="516" t="str">
        <f>IF(AN29&lt;220000,"",VLOOKUP(AN29,'220'!$AG$2:$AO$79,7,FALSE))</f>
        <v>MV3</v>
      </c>
      <c r="AO30" s="314" t="str">
        <f>IF(AO29&lt;220000,"",VLOOKUP(AO29,'220'!$AG$2:$AO$79,7,FALSE))</f>
        <v>MV2</v>
      </c>
      <c r="AP30" s="472" t="str">
        <f>IF(AP29&lt;220000,"",VLOOKUP(AP29,'220'!$AG$2:$AO$79,7,FALSE))</f>
        <v/>
      </c>
      <c r="AQ30" s="55"/>
    </row>
    <row r="31" spans="1:43" ht="12.75" customHeight="1">
      <c r="A31" s="329" t="str">
        <f>IF(A29&lt;220000,"",VLOOKUP(A29,'220'!$AG$2:$AO$79,8,FALSE))</f>
        <v/>
      </c>
      <c r="B31" s="1">
        <f>IF(B29&lt;220000,"",VLOOKUP(B29,'220'!$AG$2:$AO$79,8,FALSE))</f>
        <v>66240</v>
      </c>
      <c r="C31" s="1">
        <f>IF(C29&lt;220000,"",VLOOKUP(C29,'220'!$AG$2:$AO$79,8,FALSE))</f>
        <v>71875</v>
      </c>
      <c r="D31" s="7">
        <f>IF(D29&lt;220000,"",VLOOKUP(D29,'220'!$AG$2:$AO$79,8,FALSE))</f>
        <v>73431</v>
      </c>
      <c r="E31" s="568">
        <f>IF(E29&lt;220000,"",VLOOKUP(E29,'220'!$AG$2:$AO$79,8,FALSE))</f>
        <v>73356</v>
      </c>
      <c r="F31" s="1">
        <f>IF(F29&lt;220000,"",VLOOKUP(F29,'220'!$AG$2:$AO$79,8,FALSE))</f>
        <v>69934</v>
      </c>
      <c r="G31" s="1">
        <f>IF(G29&lt;220000,"",VLOOKUP(G29,'220'!$AG$2:$AO$79,8,FALSE))</f>
        <v>68936</v>
      </c>
      <c r="H31" s="1">
        <f>IF(H29&lt;220000,"",VLOOKUP(H29,'220'!$AG$2:$AO$79,8,FALSE))</f>
        <v>71821</v>
      </c>
      <c r="I31" s="1">
        <f>IF(I29&lt;220000,"",VLOOKUP(I29,'220'!$AG$2:$AO$79,8,FALSE))</f>
        <v>77246</v>
      </c>
      <c r="J31" s="1">
        <f>IF(J29&lt;220000,"",VLOOKUP(J29,'220'!$AG$2:$AO$79,8,FALSE))</f>
        <v>69019</v>
      </c>
      <c r="K31" s="1">
        <f>IF(K29&lt;220000,"",VLOOKUP(K29,'220'!$AG$2:$AO$79,8,FALSE))</f>
        <v>72742</v>
      </c>
      <c r="L31" s="1">
        <f>IF(L29&lt;220000,"",VLOOKUP(L29,'220'!$AG$2:$AO$79,8,FALSE))</f>
        <v>53538</v>
      </c>
      <c r="M31" s="1">
        <f>IF(M29&lt;220000,"",VLOOKUP(M29,'220'!$AG$2:$AO$79,8,FALSE))</f>
        <v>66699</v>
      </c>
      <c r="N31" s="1">
        <f>IF(N29&lt;220000,"",VLOOKUP(N29,'220'!$AG$2:$AO$79,8,FALSE))</f>
        <v>60427</v>
      </c>
      <c r="O31" s="1" t="str">
        <f>IF(O29&lt;220000,"",VLOOKUP(O29,'220'!$AG$2:$AO$79,8,FALSE))</f>
        <v/>
      </c>
      <c r="P31" s="1">
        <f>IF(P29&lt;220000,"",VLOOKUP(P29,'220'!$AG$2:$AO$79,8,FALSE))</f>
        <v>69682</v>
      </c>
      <c r="Q31" s="1">
        <f>IF(Q29&lt;220000,"",VLOOKUP(Q29,'220'!$AG$2:$AO$79,8,FALSE))</f>
        <v>58622</v>
      </c>
      <c r="R31" s="1">
        <f>IF(R29&lt;220000,"",VLOOKUP(R29,'220'!$AG$2:$AO$79,8,FALSE))</f>
        <v>69799</v>
      </c>
      <c r="S31" s="1">
        <f>IF(S29&lt;220000,"",VLOOKUP(S29,'220'!$AG$2:$AO$79,8,FALSE))</f>
        <v>64369</v>
      </c>
      <c r="T31" s="1">
        <f>IF(T29&lt;220000,"",VLOOKUP(T29,'220'!$AG$2:$AO$79,8,FALSE))</f>
        <v>66831</v>
      </c>
      <c r="U31" s="1" t="str">
        <f>IF(U29&lt;220000,"",VLOOKUP(U29,'220'!$AG$2:$AO$79,8,FALSE))</f>
        <v/>
      </c>
      <c r="V31" s="1">
        <f>IF(V29&lt;220000,"",VLOOKUP(V29,'220'!$AG$2:$AO$79,8,FALSE))</f>
        <v>63358</v>
      </c>
      <c r="W31" s="1">
        <f>IF(W29&lt;220000,"",VLOOKUP(W29,'220'!$AG$2:$AO$79,8,FALSE))</f>
        <v>61544</v>
      </c>
      <c r="X31" s="1">
        <f>IF(X29&lt;220000,"",VLOOKUP(X29,'220'!$AG$2:$AO$79,8,FALSE))</f>
        <v>52916</v>
      </c>
      <c r="Y31" s="1">
        <f>IF(Y29&lt;220000,"",VLOOKUP(Y29,'220'!$AG$2:$AO$79,8,FALSE))</f>
        <v>57434</v>
      </c>
      <c r="Z31" s="1" t="str">
        <f>IF(Z29&lt;220000,"",VLOOKUP(Z29,'220'!$AG$2:$AO$79,8,FALSE))</f>
        <v/>
      </c>
      <c r="AA31" s="1">
        <f>IF(AA29&lt;220000,"",VLOOKUP(AA29,'220'!$AG$2:$AO$79,8,FALSE))</f>
        <v>57084</v>
      </c>
      <c r="AB31" s="1">
        <f>IF(AB29&lt;220000,"",VLOOKUP(AB29,'220'!$AG$2:$AO$79,8,FALSE))</f>
        <v>61249</v>
      </c>
      <c r="AC31" s="1">
        <f>IF(AC29&lt;220000,"",VLOOKUP(AC29,'220'!$AG$2:$AO$79,8,FALSE))</f>
        <v>51236</v>
      </c>
      <c r="AD31" s="1">
        <f>IF(AD29&lt;220000,"",VLOOKUP(AD29,'220'!$AG$2:$AO$79,8,FALSE))</f>
        <v>55201</v>
      </c>
      <c r="AE31" s="1">
        <f>IF(AE29&lt;220000,"",VLOOKUP(AE29,'220'!$AG$2:$AO$79,8,FALSE))</f>
        <v>71300</v>
      </c>
      <c r="AF31" s="1">
        <f>IF(AF29&lt;220000,"",VLOOKUP(AF29,'220'!$AG$2:$AO$79,8,FALSE))</f>
        <v>65587</v>
      </c>
      <c r="AG31" s="1" t="str">
        <f>IF(AG29&lt;220000,"",VLOOKUP(AG29,'220'!$AG$2:$AO$79,8,FALSE))</f>
        <v/>
      </c>
      <c r="AH31" s="1">
        <f>IF(AH29&lt;220000,"",VLOOKUP(AH29,'220'!$AG$2:$AO$79,8,FALSE))</f>
        <v>41141</v>
      </c>
      <c r="AI31" s="1">
        <f>IF(AI29&lt;220000,"",VLOOKUP(AI29,'220'!$AG$2:$AO$79,8,FALSE))</f>
        <v>57300</v>
      </c>
      <c r="AJ31" s="1">
        <f>IF(AJ29&lt;220000,"",VLOOKUP(AJ29,'220'!$AG$2:$AO$79,8,FALSE))</f>
        <v>57249</v>
      </c>
      <c r="AK31" s="1">
        <f>IF(AK29&lt;220000,"",VLOOKUP(AK29,'220'!$AG$2:$AO$79,8,FALSE))</f>
        <v>46230</v>
      </c>
      <c r="AL31" s="1">
        <f>IF(AL29&lt;220000,"",VLOOKUP(AL29,'220'!$AG$2:$AO$79,8,FALSE))</f>
        <v>64618</v>
      </c>
      <c r="AM31" s="1">
        <f>IF(AM29&lt;220000,"",VLOOKUP(AM29,'220'!$AG$2:$AO$79,8,FALSE))</f>
        <v>46326</v>
      </c>
      <c r="AN31" s="1">
        <f>IF(AN29&lt;220000,"",VLOOKUP(AN29,'220'!$AG$2:$AO$79,8,FALSE))</f>
        <v>56713</v>
      </c>
      <c r="AO31" s="1">
        <f>IF(AO29&lt;220000,"",VLOOKUP(AO29,'220'!$AG$2:$AO$79,8,FALSE))</f>
        <v>42068</v>
      </c>
      <c r="AP31" s="474" t="str">
        <f>IF(AP29&lt;220000,"",VLOOKUP(AP29,'220'!$AG$2:$AO$79,8,FALSE))</f>
        <v/>
      </c>
    </row>
    <row r="32" spans="1:43" s="54" customFormat="1">
      <c r="A32" s="330" t="str">
        <f>IF(A29&lt;220000,"",VLOOKUP(A29,'220'!$AG$2:$AO$79,6,FALSE))</f>
        <v/>
      </c>
      <c r="B32" s="3">
        <f>IF(B29&lt;220000,"",VLOOKUP(B29,'220'!$AG$2:$AO$79,6,FALSE))</f>
        <v>42926</v>
      </c>
      <c r="C32" s="3">
        <f>IF(C29&lt;220000,"",VLOOKUP(C29,'220'!$AG$2:$AO$79,6,FALSE))</f>
        <v>42929</v>
      </c>
      <c r="D32" s="465">
        <f>IF(D29&lt;220000,"",VLOOKUP(D29,'220'!$AG$2:$AO$79,6,FALSE))</f>
        <v>42931</v>
      </c>
      <c r="E32" s="569">
        <f>IF(E29&lt;220000,"",VLOOKUP(E29,'220'!$AG$2:$AO$79,6,FALSE))</f>
        <v>42932</v>
      </c>
      <c r="F32" s="182">
        <f>IF(F29&lt;220000,"",VLOOKUP(F29,'220'!$AG$2:$AO$79,6,FALSE))</f>
        <v>42933</v>
      </c>
      <c r="G32" s="182">
        <f>IF(G29&lt;220000,"",VLOOKUP(G29,'220'!$AG$2:$AO$79,6,FALSE))</f>
        <v>42935</v>
      </c>
      <c r="H32" s="182">
        <f>IF(H29&lt;220000,"",VLOOKUP(H29,'220'!$AG$2:$AO$79,6,FALSE))</f>
        <v>42936</v>
      </c>
      <c r="I32" s="182">
        <f>IF(I29&lt;220000,"",VLOOKUP(I29,'220'!$AG$2:$AO$79,6,FALSE))</f>
        <v>42934</v>
      </c>
      <c r="J32" s="182">
        <f>IF(J29&lt;220000,"",VLOOKUP(J29,'220'!$AG$2:$AO$79,6,FALSE))</f>
        <v>42938</v>
      </c>
      <c r="K32" s="182">
        <f>IF(K29&lt;220000,"",VLOOKUP(K29,'220'!$AG$2:$AO$79,6,FALSE))</f>
        <v>42939</v>
      </c>
      <c r="L32" s="4">
        <f>IF(L29&lt;220000,"",VLOOKUP(L29,'220'!$AG$2:$AO$79,6,FALSE))</f>
        <v>42940</v>
      </c>
      <c r="M32" s="4">
        <f>IF(M29&lt;220000,"",VLOOKUP(M29,'220'!$AG$2:$AO$79,6,FALSE))</f>
        <v>42942</v>
      </c>
      <c r="N32" s="4">
        <f>IF(N29&lt;220000,"",VLOOKUP(N29,'220'!$AG$2:$AO$79,6,FALSE))</f>
        <v>42943</v>
      </c>
      <c r="O32" s="4" t="str">
        <f>IF(O29&lt;220000,"",VLOOKUP(O29,'220'!$AG$2:$AO$79,6,FALSE))</f>
        <v/>
      </c>
      <c r="P32" s="4">
        <f>IF(P29&lt;220000,"",VLOOKUP(P29,'220'!$AG$2:$AO$79,6,FALSE))</f>
        <v>42941</v>
      </c>
      <c r="Q32" s="4">
        <f>IF(Q29&lt;220000,"",VLOOKUP(Q29,'220'!$AG$2:$AO$79,6,FALSE))</f>
        <v>42945</v>
      </c>
      <c r="R32" s="4">
        <f>IF(R29&lt;220000,"",VLOOKUP(R29,'220'!$AG$2:$AO$79,6,FALSE))</f>
        <v>42946</v>
      </c>
      <c r="S32" s="4">
        <f>IF(S29&lt;220000,"",VLOOKUP(S29,'220'!$AG$2:$AO$79,6,FALSE))</f>
        <v>42949</v>
      </c>
      <c r="T32" s="4">
        <f>IF(T29&lt;220000,"",VLOOKUP(T29,'220'!$AG$2:$AO$79,6,FALSE))</f>
        <v>42948</v>
      </c>
      <c r="U32" s="4" t="str">
        <f>IF(U29&lt;220000,"",VLOOKUP(U29,'220'!$AG$2:$AO$79,6,FALSE))</f>
        <v/>
      </c>
      <c r="V32" s="4">
        <f>IF(V29&lt;220000,"",VLOOKUP(V29,'220'!$AG$2:$AO$79,6,FALSE))</f>
        <v>42950</v>
      </c>
      <c r="W32" s="4">
        <f>IF(W29&lt;220000,"",VLOOKUP(W29,'220'!$AG$2:$AO$79,6,FALSE))</f>
        <v>42951</v>
      </c>
      <c r="X32" s="4">
        <f>IF(X29&lt;220000,"",VLOOKUP(X29,'220'!$AG$2:$AO$79,6,FALSE))</f>
        <v>42952</v>
      </c>
      <c r="Y32" s="4">
        <f>IF(Y29&lt;220000,"",VLOOKUP(Y29,'220'!$AG$2:$AO$79,6,FALSE))</f>
        <v>42953</v>
      </c>
      <c r="Z32" s="4" t="str">
        <f>IF(Z29&lt;220000,"",VLOOKUP(Z29,'220'!$AG$2:$AO$79,6,FALSE))</f>
        <v/>
      </c>
      <c r="AA32" s="4">
        <f>IF(AA29&lt;220000,"",VLOOKUP(AA29,'220'!$AG$2:$AO$79,6,FALSE))</f>
        <v>42955</v>
      </c>
      <c r="AB32" s="4">
        <f>IF(AB29&lt;220000,"",VLOOKUP(AB29,'220'!$AG$2:$AO$79,6,FALSE))</f>
        <v>42957</v>
      </c>
      <c r="AC32" s="4">
        <f>IF(AC29&lt;220000,"",VLOOKUP(AC29,'220'!$AG$2:$AO$79,6,FALSE))</f>
        <v>42959</v>
      </c>
      <c r="AD32" s="4">
        <f>IF(AD29&lt;220000,"",VLOOKUP(AD29,'220'!$AG$2:$AO$79,6,FALSE))</f>
        <v>42958</v>
      </c>
      <c r="AE32" s="4">
        <f>IF(AE29&lt;220000,"",VLOOKUP(AE29,'220'!$AG$2:$AO$79,6,FALSE))</f>
        <v>42960</v>
      </c>
      <c r="AF32" s="4">
        <f>IF(AF29&lt;220000,"",VLOOKUP(AF29,'220'!$AG$2:$AO$79,6,FALSE))</f>
        <v>42956</v>
      </c>
      <c r="AG32" s="4" t="str">
        <f>IF(AG29&lt;220000,"",VLOOKUP(AG29,'220'!$AG$2:$AO$79,6,FALSE))</f>
        <v/>
      </c>
      <c r="AH32" s="4">
        <f>IF(AH29&lt;220000,"",VLOOKUP(AH29,'220'!$AG$2:$AO$79,6,FALSE))</f>
        <v>42962</v>
      </c>
      <c r="AI32" s="4">
        <f>IF(AI29&lt;220000,"",VLOOKUP(AI29,'220'!$AG$2:$AO$79,6,FALSE))</f>
        <v>42963</v>
      </c>
      <c r="AJ32" s="4">
        <f>IF(AJ29&lt;220000,"",VLOOKUP(AJ29,'220'!$AG$2:$AO$79,6,FALSE))</f>
        <v>42964</v>
      </c>
      <c r="AK32" s="4">
        <f>IF(AK29&lt;220000,"",VLOOKUP(AK29,'220'!$AG$2:$AO$79,6,FALSE))</f>
        <v>42965</v>
      </c>
      <c r="AL32" s="4">
        <f>IF(AL29&lt;220000,"",VLOOKUP(AL29,'220'!$AG$2:$AO$79,6,FALSE))</f>
        <v>42966</v>
      </c>
      <c r="AM32" s="4">
        <f>IF(AM29&lt;220000,"",VLOOKUP(AM29,'220'!$AG$2:$AO$79,6,FALSE))</f>
        <v>42967</v>
      </c>
      <c r="AN32" s="4">
        <f>IF(AN29&lt;220000,"",VLOOKUP(AN29,'220'!$AG$2:$AO$79,6,FALSE))</f>
        <v>42969</v>
      </c>
      <c r="AO32" s="4">
        <f>IF(AO29&lt;220000,"",VLOOKUP(AO29,'220'!$AG$2:$AO$79,6,FALSE))</f>
        <v>42970</v>
      </c>
      <c r="AP32" s="452" t="str">
        <f>IF(AP29&lt;220000,"",VLOOKUP(AP29,'220'!$AG$2:$AO$79,6,FALSE))</f>
        <v/>
      </c>
      <c r="AQ32" s="54" t="s">
        <v>339</v>
      </c>
    </row>
    <row r="33" spans="1:44">
      <c r="A33" s="1" t="str">
        <f>IFERROR(75000-A31,"")</f>
        <v/>
      </c>
      <c r="B33" s="1">
        <f>IFERROR(75000-B31,"")</f>
        <v>8760</v>
      </c>
      <c r="C33" s="1">
        <f>IFERROR(75000-C31,"")</f>
        <v>3125</v>
      </c>
      <c r="D33" s="7">
        <f t="shared" ref="D33:AP33" si="10">IFERROR(75000-D31,"")</f>
        <v>1569</v>
      </c>
      <c r="E33" s="528">
        <f>IFERROR(75000-E31,"")</f>
        <v>1644</v>
      </c>
      <c r="F33" s="1">
        <f>IFERROR(75000-F31,"")</f>
        <v>5066</v>
      </c>
      <c r="G33" s="1">
        <f t="shared" si="10"/>
        <v>6064</v>
      </c>
      <c r="H33" s="1">
        <f t="shared" si="10"/>
        <v>3179</v>
      </c>
      <c r="I33" s="1">
        <f t="shared" si="10"/>
        <v>-2246</v>
      </c>
      <c r="J33" s="1">
        <f t="shared" si="10"/>
        <v>5981</v>
      </c>
      <c r="K33" s="1">
        <f t="shared" si="10"/>
        <v>2258</v>
      </c>
      <c r="L33" s="1">
        <f t="shared" si="10"/>
        <v>21462</v>
      </c>
      <c r="M33" s="1">
        <f t="shared" si="10"/>
        <v>8301</v>
      </c>
      <c r="N33" s="1">
        <f t="shared" si="10"/>
        <v>14573</v>
      </c>
      <c r="O33" s="1" t="str">
        <f t="shared" si="10"/>
        <v/>
      </c>
      <c r="P33" s="1">
        <f t="shared" si="10"/>
        <v>5318</v>
      </c>
      <c r="Q33" s="1">
        <f t="shared" si="10"/>
        <v>16378</v>
      </c>
      <c r="R33" s="1">
        <f>IFERROR(75000-R31,"")</f>
        <v>5201</v>
      </c>
      <c r="S33" s="1">
        <f t="shared" si="10"/>
        <v>10631</v>
      </c>
      <c r="T33" s="1">
        <f t="shared" si="10"/>
        <v>8169</v>
      </c>
      <c r="U33" s="1" t="str">
        <f t="shared" si="10"/>
        <v/>
      </c>
      <c r="V33" s="1">
        <f t="shared" si="10"/>
        <v>11642</v>
      </c>
      <c r="W33" s="1">
        <f t="shared" si="10"/>
        <v>13456</v>
      </c>
      <c r="X33" s="1">
        <f t="shared" si="10"/>
        <v>22084</v>
      </c>
      <c r="Y33" s="1">
        <f t="shared" si="10"/>
        <v>17566</v>
      </c>
      <c r="Z33" s="1" t="str">
        <f t="shared" si="10"/>
        <v/>
      </c>
      <c r="AA33" s="1">
        <f t="shared" si="10"/>
        <v>17916</v>
      </c>
      <c r="AB33" s="1">
        <f t="shared" si="10"/>
        <v>13751</v>
      </c>
      <c r="AC33" s="1">
        <f t="shared" si="10"/>
        <v>23764</v>
      </c>
      <c r="AD33" s="1">
        <f t="shared" si="10"/>
        <v>19799</v>
      </c>
      <c r="AE33" s="1">
        <f t="shared" si="10"/>
        <v>3700</v>
      </c>
      <c r="AF33" s="1">
        <f t="shared" si="10"/>
        <v>9413</v>
      </c>
      <c r="AG33" s="1" t="str">
        <f t="shared" si="10"/>
        <v/>
      </c>
      <c r="AH33" s="1">
        <f t="shared" si="10"/>
        <v>33859</v>
      </c>
      <c r="AI33" s="1">
        <f t="shared" si="10"/>
        <v>17700</v>
      </c>
      <c r="AJ33" s="1">
        <f t="shared" si="10"/>
        <v>17751</v>
      </c>
      <c r="AK33" s="1">
        <f t="shared" si="10"/>
        <v>28770</v>
      </c>
      <c r="AL33" s="1">
        <f t="shared" si="10"/>
        <v>10382</v>
      </c>
      <c r="AM33" s="1">
        <f t="shared" si="10"/>
        <v>28674</v>
      </c>
      <c r="AN33" s="1">
        <f t="shared" si="10"/>
        <v>18287</v>
      </c>
      <c r="AO33" s="1">
        <f t="shared" si="10"/>
        <v>32932</v>
      </c>
      <c r="AP33" s="474" t="str">
        <f t="shared" si="10"/>
        <v/>
      </c>
    </row>
    <row r="34" spans="1:44" ht="15.75" customHeight="1">
      <c r="A34" s="466" t="e">
        <f>INDEX('Brake Pad Workorders'!$A$1:$Z$100,MATCH(A29&amp;A30,'Brake Pad Workorders'!$A$1:$A$100&amp;'Brake Pad Workorders'!$S$1:$S$100,0),25)</f>
        <v>#N/A</v>
      </c>
      <c r="B34" s="466" t="e">
        <f>INDEX('Brake Pad Workorders'!$A$1:$Z$100,MATCH(B29&amp;B30,'Brake Pad Workorders'!$A$1:$A$100&amp;'Brake Pad Workorders'!$S$1:$S$100,0),25)</f>
        <v>#N/A</v>
      </c>
      <c r="C34" s="466" t="e">
        <f t="array" ref="C34">INDEX('Brake Pad Workorders'!$A$1:$Z$100,MATCH(C29&amp;C30,'Brake Pad Workorders'!$A$1:$A$100&amp;'Brake Pad Workorders'!$S$1:$S$100,0),25)</f>
        <v>#N/A</v>
      </c>
      <c r="D34" s="451" t="e">
        <f>INDEX('Brake Pad Workorders'!$A$1:$Z$100,MATCH(D29&amp;D30,'Brake Pad Workorders'!$A$1:$A$100&amp;'Brake Pad Workorders'!$S$1:$S$100,0),25)</f>
        <v>#N/A</v>
      </c>
      <c r="E34" s="543" t="str">
        <f t="array" ref="E34">INDEX('Brake Pad Workorders'!$A$1:$Z$100,MATCH(E29&amp;E30,'Brake Pad Workorders'!$A$1:$A$100&amp;'Brake Pad Workorders'!$S$1:$S$100,0),25)</f>
        <v>CHECKED</v>
      </c>
      <c r="F34" s="365" t="str">
        <f t="array" ref="F34">INDEX('Brake Pad Workorders'!$A$1:$Z$100,MATCH(F29&amp;F30,'Brake Pad Workorders'!$A$1:$A$100&amp;'Brake Pad Workorders'!$S$1:$S$100,0),25)</f>
        <v>CHECKED</v>
      </c>
      <c r="G34" s="365" t="str">
        <f t="array" ref="G34">INDEX('Brake Pad Workorders'!$A$1:$Z$100,MATCH(G29&amp;G30,'Brake Pad Workorders'!$A$1:$A$100&amp;'Brake Pad Workorders'!$S$1:$S$100,0),25)</f>
        <v>TOPLAN</v>
      </c>
      <c r="H34" s="365" t="str">
        <f t="array" ref="H34">INDEX('Brake Pad Workorders'!$A$1:$Z$100,MATCH(H29&amp;H30,'Brake Pad Workorders'!$A$1:$A$100&amp;'Brake Pad Workorders'!$S$1:$S$100,0),25)</f>
        <v>TOPLAN</v>
      </c>
      <c r="I34" s="365" t="str">
        <f t="array" ref="I34">INDEX('Brake Pad Workorders'!$A$1:$Z$100,MATCH(I29&amp;I30,'Brake Pad Workorders'!$A$1:$A$100&amp;'Brake Pad Workorders'!$S$1:$S$100,0),25)</f>
        <v>CHECKED</v>
      </c>
      <c r="J34" s="365" t="e">
        <f t="array" ref="J34">INDEX('Brake Pad Workorders'!$A$1:$Z$100,MATCH(J29&amp;J30,'Brake Pad Workorders'!$A$1:$A$100&amp;'Brake Pad Workorders'!$S$1:$S$100,0),25)</f>
        <v>#N/A</v>
      </c>
      <c r="K34" s="365" t="str">
        <f t="array" ref="K34">INDEX('Brake Pad Workorders'!$A$1:$Z$100,MATCH(K29&amp;K30,'Brake Pad Workorders'!$A$1:$A$100&amp;'Brake Pad Workorders'!$S$1:$S$100,0),25)</f>
        <v>TOPLAN</v>
      </c>
      <c r="L34" s="365" t="str">
        <f t="array" ref="L34">INDEX('Brake Pad Workorders'!$A$1:$Z$100,MATCH(L29&amp;L30,'Brake Pad Workorders'!$A$1:$A$100&amp;'Brake Pad Workorders'!$S$1:$S$100,0),25)</f>
        <v>TOPLAN</v>
      </c>
      <c r="M34" s="365" t="str">
        <f t="array" ref="M34">INDEX('Brake Pad Workorders'!$A$1:$Z$100,MATCH(M29&amp;M30,'Brake Pad Workorders'!$A$1:$A$100&amp;'Brake Pad Workorders'!$S$1:$S$100,0),25)</f>
        <v>TOPLAN</v>
      </c>
      <c r="N34" s="365" t="e">
        <f t="array" ref="N34">INDEX('Brake Pad Workorders'!$A$1:$Z$100,MATCH(N29&amp;N30,'Brake Pad Workorders'!$A$1:$A$100&amp;'Brake Pad Workorders'!$S$1:$S$100,0),25)</f>
        <v>#N/A</v>
      </c>
      <c r="O34" s="365" t="e">
        <f t="array" ref="O34">INDEX('Brake Pad Workorders'!$A$1:$Z$100,MATCH(O29&amp;O30,'Brake Pad Workorders'!$A$1:$A$100&amp;'Brake Pad Workorders'!$S$1:$S$100,0),25)</f>
        <v>#N/A</v>
      </c>
      <c r="P34" s="365" t="e">
        <f t="array" ref="P34">INDEX('Brake Pad Workorders'!$A$1:$Z$100,MATCH(P29&amp;P30,'Brake Pad Workorders'!$A$1:$A$100&amp;'Brake Pad Workorders'!$S$1:$S$100,0),25)</f>
        <v>#N/A</v>
      </c>
      <c r="Q34" s="365" t="e">
        <f t="array" ref="Q34">INDEX('Brake Pad Workorders'!$A$1:$Z$100,MATCH(Q29&amp;Q30,'Brake Pad Workorders'!$A$1:$A$100&amp;'Brake Pad Workorders'!$S$1:$S$100,0),25)</f>
        <v>#N/A</v>
      </c>
      <c r="R34" s="365" t="e">
        <f t="array" ref="R34">INDEX('Brake Pad Workorders'!$A$1:$Z$100,MATCH(R29&amp;R30,'Brake Pad Workorders'!$A$1:$A$100&amp;'Brake Pad Workorders'!$S$1:$S$100,0),25)</f>
        <v>#N/A</v>
      </c>
      <c r="S34" s="365" t="e">
        <f t="array" ref="S34">INDEX('Brake Pad Workorders'!$A$1:$Z$100,MATCH(S29&amp;S30,'Brake Pad Workorders'!$A$1:$A$100&amp;'Brake Pad Workorders'!$S$1:$S$100,0),25)</f>
        <v>#N/A</v>
      </c>
      <c r="T34" s="365" t="e">
        <f t="array" ref="T34">INDEX('Brake Pad Workorders'!$A$1:$Z$100,MATCH(T29&amp;T30,'Brake Pad Workorders'!$A$1:$A$100&amp;'Brake Pad Workorders'!$S$1:$S$100,0),25)</f>
        <v>#N/A</v>
      </c>
      <c r="U34" s="365" t="e">
        <f t="array" ref="U34">INDEX('Brake Pad Workorders'!$A$1:$Z$100,MATCH(U29&amp;U30,'Brake Pad Workorders'!$A$1:$A$100&amp;'Brake Pad Workorders'!$S$1:$S$100,0),25)</f>
        <v>#N/A</v>
      </c>
      <c r="V34" s="365" t="e">
        <f t="array" ref="V34">INDEX('Brake Pad Workorders'!$A$1:$Z$100,MATCH(V29&amp;V30,'Brake Pad Workorders'!$A$1:$A$100&amp;'Brake Pad Workorders'!$S$1:$S$100,0),25)</f>
        <v>#N/A</v>
      </c>
      <c r="W34" s="365" t="e">
        <f t="array" ref="W34">INDEX('Brake Pad Workorders'!$A$1:$Z$100,MATCH(W29&amp;W30,'Brake Pad Workorders'!$A$1:$A$100&amp;'Brake Pad Workorders'!$S$1:$S$100,0),25)</f>
        <v>#N/A</v>
      </c>
      <c r="X34" s="365" t="e">
        <f t="array" ref="X34">INDEX('Brake Pad Workorders'!$A$1:$Z$100,MATCH(X29&amp;X30,'Brake Pad Workorders'!$A$1:$A$100&amp;'Brake Pad Workorders'!$S$1:$S$100,0),25)</f>
        <v>#N/A</v>
      </c>
      <c r="Y34" s="365" t="e">
        <f t="array" ref="Y34">INDEX('Brake Pad Workorders'!$A$1:$Z$100,MATCH(Y29&amp;Y30,'Brake Pad Workorders'!$A$1:$A$100&amp;'Brake Pad Workorders'!$S$1:$S$100,0),25)</f>
        <v>#N/A</v>
      </c>
      <c r="Z34" s="365" t="e">
        <f t="array" ref="Z34">INDEX('Brake Pad Workorders'!$A$1:$Z$100,MATCH(Z29&amp;Z30,'Brake Pad Workorders'!$A$1:$A$100&amp;'Brake Pad Workorders'!$S$1:$S$100,0),25)</f>
        <v>#N/A</v>
      </c>
      <c r="AA34" s="365" t="e">
        <f t="array" ref="AA34">INDEX('Brake Pad Workorders'!$A$1:$Z$100,MATCH(AA29&amp;AA30,'Brake Pad Workorders'!$A$1:$A$100&amp;'Brake Pad Workorders'!$S$1:$S$100,0),25)</f>
        <v>#N/A</v>
      </c>
      <c r="AB34" s="365" t="e">
        <f t="array" ref="AB34">INDEX('Brake Pad Workorders'!$A$1:$Z$100,MATCH(AB29&amp;AB30,'Brake Pad Workorders'!$A$1:$A$100&amp;'Brake Pad Workorders'!$S$1:$S$100,0),25)</f>
        <v>#N/A</v>
      </c>
      <c r="AC34" s="365" t="e">
        <f t="array" ref="AC34">INDEX('Brake Pad Workorders'!$A$1:$Z$100,MATCH(AC29&amp;AC30,'Brake Pad Workorders'!$A$1:$A$100&amp;'Brake Pad Workorders'!$S$1:$S$100,0),25)</f>
        <v>#N/A</v>
      </c>
      <c r="AD34" s="365" t="e">
        <f t="array" ref="AD34">INDEX('Brake Pad Workorders'!$A$1:$Z$100,MATCH(AD29&amp;AD30,'Brake Pad Workorders'!$A$1:$A$100&amp;'Brake Pad Workorders'!$S$1:$S$100,0),25)</f>
        <v>#N/A</v>
      </c>
      <c r="AE34" s="365" t="e">
        <f t="array" ref="AE34">INDEX('Brake Pad Workorders'!$A$1:$Z$100,MATCH(AE29&amp;AE30,'Brake Pad Workorders'!$A$1:$A$100&amp;'Brake Pad Workorders'!$S$1:$S$100,0),25)</f>
        <v>#N/A</v>
      </c>
      <c r="AF34" s="365" t="e">
        <f t="array" ref="AF34">INDEX('Brake Pad Workorders'!$A$1:$Z$100,MATCH(AF29&amp;AF30,'Brake Pad Workorders'!$A$1:$A$100&amp;'Brake Pad Workorders'!$S$1:$S$100,0),25)</f>
        <v>#N/A</v>
      </c>
      <c r="AG34" s="365" t="e">
        <f t="array" ref="AG34">INDEX('Brake Pad Workorders'!$A$1:$Z$100,MATCH(AG29&amp;AG30,'Brake Pad Workorders'!$A$1:$A$100&amp;'Brake Pad Workorders'!$S$1:$S$100,0),25)</f>
        <v>#N/A</v>
      </c>
      <c r="AH34" s="365" t="e">
        <f t="array" ref="AH34">INDEX('Brake Pad Workorders'!$A$1:$Z$100,MATCH(AH29&amp;AH30,'Brake Pad Workorders'!$A$1:$A$100&amp;'Brake Pad Workorders'!$S$1:$S$100,0),25)</f>
        <v>#N/A</v>
      </c>
      <c r="AI34" s="365" t="e">
        <f t="array" ref="AI34">INDEX('Brake Pad Workorders'!$A$1:$Z$100,MATCH(AI29&amp;AI30,'Brake Pad Workorders'!$A$1:$A$100&amp;'Brake Pad Workorders'!$S$1:$S$100,0),25)</f>
        <v>#N/A</v>
      </c>
      <c r="AJ34" s="365" t="e">
        <f t="array" ref="AJ34">INDEX('Brake Pad Workorders'!$A$1:$Z$100,MATCH(AJ29&amp;AJ30,'Brake Pad Workorders'!$A$1:$A$100&amp;'Brake Pad Workorders'!$S$1:$S$100,0),25)</f>
        <v>#N/A</v>
      </c>
      <c r="AK34" s="365" t="e">
        <f t="array" ref="AK34">INDEX('Brake Pad Workorders'!$A$1:$Z$100,MATCH(AK29&amp;AK30,'Brake Pad Workorders'!$A$1:$A$100&amp;'Brake Pad Workorders'!$S$1:$S$100,0),25)</f>
        <v>#N/A</v>
      </c>
      <c r="AL34" s="365" t="str">
        <f t="array" ref="AL34">INDEX('Brake Pad Workorders'!$A$1:$Z$100,MATCH(AL29&amp;AL30,'Brake Pad Workorders'!$A$1:$A$100&amp;'Brake Pad Workorders'!$S$1:$S$100,0),25)</f>
        <v>CHECKED</v>
      </c>
      <c r="AM34" s="365" t="e">
        <f t="array" ref="AM34">INDEX('Brake Pad Workorders'!$A$1:$Z$100,MATCH(AM29&amp;AM30,'Brake Pad Workorders'!$A$1:$A$100&amp;'Brake Pad Workorders'!$S$1:$S$100,0),25)</f>
        <v>#N/A</v>
      </c>
      <c r="AN34" s="365" t="e">
        <f t="array" ref="AN34">INDEX('Brake Pad Workorders'!$A$1:$Z$100,MATCH(AN29&amp;AN30,'Brake Pad Workorders'!$A$1:$A$100&amp;'Brake Pad Workorders'!$S$1:$S$100,0),25)</f>
        <v>#N/A</v>
      </c>
      <c r="AO34" s="365" t="e">
        <f t="array" ref="AO34">INDEX('Brake Pad Workorders'!$A$1:$Z$100,MATCH(AO29&amp;AO30,'Brake Pad Workorders'!$A$1:$A$100&amp;'Brake Pad Workorders'!$S$1:$S$100,0),25)</f>
        <v>#N/A</v>
      </c>
      <c r="AP34" s="451" t="e">
        <f t="array" ref="AP34">INDEX('Brake Pad Workorders'!$A$1:$Z$100,MATCH(AP29&amp;AP30,'Brake Pad Workorders'!$A$1:$A$100&amp;'Brake Pad Workorders'!$T$1:$T$100,0),25)</f>
        <v>#N/A</v>
      </c>
    </row>
    <row r="35" spans="1:44" s="56" customFormat="1" ht="13.5" thickBot="1">
      <c r="A35" s="333" t="str">
        <f>IFERROR(VLOOKUP(A29,'220'!$AG$2:$AO$79,9,FALSE),"")</f>
        <v/>
      </c>
      <c r="B35" s="334">
        <f ca="1">IFERROR(VLOOKUP(B29,'220'!$AG$2:$AO$79,9,FALSE),"")</f>
        <v>91</v>
      </c>
      <c r="C35" s="334">
        <f ca="1">IFERROR(VLOOKUP(C29,'220'!$AG$2:$AO$79,9,FALSE),"")</f>
        <v>93</v>
      </c>
      <c r="D35" s="469">
        <f ca="1">IFERROR(VLOOKUP(D29,'220'!$AG$2:$AO$79,9,FALSE),"")</f>
        <v>90</v>
      </c>
      <c r="E35" s="490">
        <f ca="1">IFERROR(VLOOKUP(E29,'220'!$AG$2:$AO$79,9,FALSE),"")</f>
        <v>89</v>
      </c>
      <c r="F35" s="6">
        <f ca="1">IFERROR(VLOOKUP(F29,'220'!$AG$2:$AO$79,9,FALSE),"")</f>
        <v>87</v>
      </c>
      <c r="G35" s="6">
        <f ca="1">IFERROR(VLOOKUP(G29,'220'!$AG$2:$AO$79,9,FALSE),"")</f>
        <v>86</v>
      </c>
      <c r="H35" s="6">
        <f ca="1">IFERROR(VLOOKUP(H29,'220'!$AG$2:$AO$79,9,FALSE),"")</f>
        <v>85</v>
      </c>
      <c r="I35" s="6">
        <f ca="1">IFERROR(VLOOKUP(I29,'220'!$AG$2:$AO$79,9,FALSE),"")</f>
        <v>85</v>
      </c>
      <c r="J35" s="6">
        <f ca="1">IFERROR(VLOOKUP(J29,'220'!$AG$2:$AO$79,9,FALSE),"")</f>
        <v>82</v>
      </c>
      <c r="K35" s="6">
        <f ca="1">IFERROR(VLOOKUP(K29,'220'!$AG$2:$AO$79,9,FALSE),"")</f>
        <v>85</v>
      </c>
      <c r="L35" s="6">
        <f ca="1">IFERROR(VLOOKUP(L29,'220'!$AG$2:$AO$79,9,FALSE),"")</f>
        <v>71</v>
      </c>
      <c r="M35" s="6">
        <f ca="1">IFERROR(VLOOKUP(M29,'220'!$AG$2:$AO$79,9,FALSE),"")</f>
        <v>80</v>
      </c>
      <c r="N35" s="6">
        <f ca="1">IFERROR(VLOOKUP(N29,'220'!$AG$2:$AO$79,9,FALSE),"")</f>
        <v>78</v>
      </c>
      <c r="O35" s="6" t="str">
        <f>IFERROR(VLOOKUP(O29,'220'!$AG$2:$AO$79,9,FALSE),"")</f>
        <v/>
      </c>
      <c r="P35" s="6">
        <f ca="1">IFERROR(VLOOKUP(P29,'220'!$AG$2:$AO$79,9,FALSE),"")</f>
        <v>77</v>
      </c>
      <c r="Q35" s="6">
        <f ca="1">IFERROR(VLOOKUP(Q29,'220'!$AG$2:$AO$79,9,FALSE),"")</f>
        <v>76</v>
      </c>
      <c r="R35" s="6">
        <f ca="1">IFERROR(VLOOKUP(R29,'220'!$AG$2:$AO$79,9,FALSE),"")</f>
        <v>74</v>
      </c>
      <c r="S35" s="6">
        <f ca="1">IFERROR(VLOOKUP(S29,'220'!$AG$2:$AO$79,9,FALSE),"")</f>
        <v>71</v>
      </c>
      <c r="T35" s="6">
        <f ca="1">IFERROR(VLOOKUP(T29,'220'!$AG$2:$AO$79,9,FALSE),"")</f>
        <v>72</v>
      </c>
      <c r="U35" s="6" t="str">
        <f>IFERROR(VLOOKUP(U29,'220'!$AG$2:$AO$79,9,FALSE),"")</f>
        <v/>
      </c>
      <c r="V35" s="6">
        <f ca="1">IFERROR(VLOOKUP(V29,'220'!$AG$2:$AO$79,9,FALSE),"")</f>
        <v>74</v>
      </c>
      <c r="W35" s="6">
        <f ca="1">IFERROR(VLOOKUP(W29,'220'!$AG$2:$AO$79,9,FALSE),"")</f>
        <v>74</v>
      </c>
      <c r="X35" s="6">
        <f ca="1">IFERROR(VLOOKUP(X29,'220'!$AG$2:$AO$79,9,FALSE),"")</f>
        <v>71</v>
      </c>
      <c r="Y35" s="6">
        <f ca="1">IFERROR(VLOOKUP(Y29,'220'!$AG$2:$AO$79,9,FALSE),"")</f>
        <v>70</v>
      </c>
      <c r="Z35" s="6" t="str">
        <f>IFERROR(VLOOKUP(Z29,'220'!$AG$2:$AO$79,9,FALSE),"")</f>
        <v/>
      </c>
      <c r="AA35" s="6">
        <f ca="1">IFERROR(VLOOKUP(AA29,'220'!$AG$2:$AO$79,9,FALSE),"")</f>
        <v>67</v>
      </c>
      <c r="AB35" s="6">
        <f ca="1">IFERROR(VLOOKUP(AB29,'220'!$AG$2:$AO$79,9,FALSE),"")</f>
        <v>66</v>
      </c>
      <c r="AC35" s="6">
        <f ca="1">IFERROR(VLOOKUP(AC29,'220'!$AG$2:$AO$79,9,FALSE),"")</f>
        <v>65</v>
      </c>
      <c r="AD35" s="6">
        <f ca="1">IFERROR(VLOOKUP(AD29,'220'!$AG$2:$AO$79,9,FALSE),"")</f>
        <v>64</v>
      </c>
      <c r="AE35" s="6">
        <f ca="1">IFERROR(VLOOKUP(AE29,'220'!$AG$2:$AO$79,9,FALSE),"")</f>
        <v>64</v>
      </c>
      <c r="AF35" s="6">
        <f ca="1">IFERROR(VLOOKUP(AF29,'220'!$AG$2:$AO$79,9,FALSE),"")</f>
        <v>63</v>
      </c>
      <c r="AG35" s="6" t="str">
        <f>IFERROR(VLOOKUP(AG29,'220'!$AG$2:$AO$79,9,FALSE),"")</f>
        <v/>
      </c>
      <c r="AH35" s="6">
        <f ca="1">IFERROR(VLOOKUP(AH29,'220'!$AG$2:$AO$79,9,FALSE),"")</f>
        <v>53</v>
      </c>
      <c r="AI35" s="6">
        <f ca="1">IFERROR(VLOOKUP(AI29,'220'!$AG$2:$AO$79,9,FALSE),"")</f>
        <v>60</v>
      </c>
      <c r="AJ35" s="6">
        <f ca="1">IFERROR(VLOOKUP(AJ29,'220'!$AG$2:$AO$79,9,FALSE),"")</f>
        <v>59</v>
      </c>
      <c r="AK35" s="6">
        <f ca="1">IFERROR(VLOOKUP(AK29,'220'!$AG$2:$AO$79,9,FALSE),"")</f>
        <v>56</v>
      </c>
      <c r="AL35" s="6">
        <f ca="1">IFERROR(VLOOKUP(AL29,'220'!$AG$2:$AO$79,9,FALSE),"")</f>
        <v>58</v>
      </c>
      <c r="AM35" s="6">
        <f ca="1">IFERROR(VLOOKUP(AM29,'220'!$AG$2:$AO$79,9,FALSE),"")</f>
        <v>55</v>
      </c>
      <c r="AN35" s="6">
        <f ca="1">IFERROR(VLOOKUP(AN29,'220'!$AG$2:$AO$79,9,FALSE),"")</f>
        <v>56</v>
      </c>
      <c r="AO35" s="6">
        <f ca="1">IFERROR(VLOOKUP(AO29,'220'!$AG$2:$AO$79,9,FALSE),"")</f>
        <v>52</v>
      </c>
      <c r="AP35" s="477" t="str">
        <f>IFERROR(VLOOKUP(AP29,'220'!$AG$2:$AO$79,9,FALSE),"")</f>
        <v/>
      </c>
    </row>
    <row r="36" spans="1:44" ht="17.25" thickTop="1" thickBot="1">
      <c r="A36" s="811" t="s">
        <v>120</v>
      </c>
      <c r="B36" s="812"/>
      <c r="C36" s="812"/>
      <c r="D36" s="812"/>
      <c r="E36" s="489" t="str">
        <f>IF(E72&gt;3,"TOO MANY"," ")</f>
        <v xml:space="preserve"> </v>
      </c>
      <c r="F36" s="178" t="str">
        <f t="shared" ref="F36:AO36" si="11">IF(F72&gt;3,"TOO MANY"," ")</f>
        <v xml:space="preserve"> </v>
      </c>
      <c r="G36" s="178" t="str">
        <f t="shared" si="11"/>
        <v xml:space="preserve"> </v>
      </c>
      <c r="H36" s="178" t="str">
        <f t="shared" si="11"/>
        <v>TOO MANY</v>
      </c>
      <c r="I36" s="178" t="str">
        <f t="shared" si="11"/>
        <v xml:space="preserve"> </v>
      </c>
      <c r="J36" s="178" t="str">
        <f t="shared" si="11"/>
        <v xml:space="preserve"> </v>
      </c>
      <c r="K36" s="178" t="str">
        <f>IF(K72&gt;3,"TOO MANY"," ")</f>
        <v xml:space="preserve"> </v>
      </c>
      <c r="L36" s="178" t="str">
        <f t="shared" si="11"/>
        <v xml:space="preserve"> </v>
      </c>
      <c r="M36" s="178" t="str">
        <f t="shared" si="11"/>
        <v>TOO MANY</v>
      </c>
      <c r="N36" s="178" t="str">
        <f t="shared" si="11"/>
        <v>TOO MANY</v>
      </c>
      <c r="O36" s="178" t="str">
        <f t="shared" si="11"/>
        <v xml:space="preserve"> </v>
      </c>
      <c r="P36" s="178" t="str">
        <f t="shared" si="11"/>
        <v>TOO MANY</v>
      </c>
      <c r="Q36" s="178" t="str">
        <f t="shared" si="11"/>
        <v xml:space="preserve"> </v>
      </c>
      <c r="R36" s="178" t="str">
        <f t="shared" si="11"/>
        <v xml:space="preserve"> </v>
      </c>
      <c r="S36" s="178" t="str">
        <f t="shared" si="11"/>
        <v xml:space="preserve"> </v>
      </c>
      <c r="T36" s="178" t="str">
        <f t="shared" si="11"/>
        <v>TOO MANY</v>
      </c>
      <c r="U36" s="178" t="str">
        <f t="shared" si="11"/>
        <v xml:space="preserve"> </v>
      </c>
      <c r="V36" s="178" t="str">
        <f t="shared" si="11"/>
        <v>TOO MANY</v>
      </c>
      <c r="W36" s="178" t="str">
        <f t="shared" si="11"/>
        <v>TOO MANY</v>
      </c>
      <c r="X36" s="178" t="str">
        <f t="shared" si="11"/>
        <v>TOO MANY</v>
      </c>
      <c r="Y36" s="178" t="str">
        <f t="shared" si="11"/>
        <v>TOO MANY</v>
      </c>
      <c r="Z36" s="178" t="str">
        <f t="shared" si="11"/>
        <v xml:space="preserve"> </v>
      </c>
      <c r="AA36" s="178" t="str">
        <f t="shared" si="11"/>
        <v xml:space="preserve"> </v>
      </c>
      <c r="AB36" s="178" t="str">
        <f t="shared" si="11"/>
        <v xml:space="preserve"> </v>
      </c>
      <c r="AC36" s="178" t="str">
        <f t="shared" si="11"/>
        <v>TOO MANY</v>
      </c>
      <c r="AD36" s="178" t="str">
        <f t="shared" si="11"/>
        <v>TOO MANY</v>
      </c>
      <c r="AE36" s="178" t="str">
        <f t="shared" si="11"/>
        <v>TOO MANY</v>
      </c>
      <c r="AF36" s="178" t="str">
        <f t="shared" si="11"/>
        <v xml:space="preserve"> </v>
      </c>
      <c r="AG36" s="178" t="str">
        <f t="shared" si="11"/>
        <v xml:space="preserve"> </v>
      </c>
      <c r="AH36" s="178" t="str">
        <f t="shared" si="11"/>
        <v>TOO MANY</v>
      </c>
      <c r="AI36" s="178" t="str">
        <f t="shared" si="11"/>
        <v xml:space="preserve"> </v>
      </c>
      <c r="AJ36" s="178" t="str">
        <f t="shared" si="11"/>
        <v>TOO MANY</v>
      </c>
      <c r="AK36" s="178" t="str">
        <f t="shared" si="11"/>
        <v>TOO MANY</v>
      </c>
      <c r="AL36" s="178" t="str">
        <f t="shared" si="11"/>
        <v>TOO MANY</v>
      </c>
      <c r="AM36" s="178" t="str">
        <f t="shared" si="11"/>
        <v xml:space="preserve"> </v>
      </c>
      <c r="AN36" s="178" t="str">
        <f t="shared" si="11"/>
        <v xml:space="preserve"> </v>
      </c>
      <c r="AO36" s="178" t="str">
        <f t="shared" si="11"/>
        <v>TOO MANY</v>
      </c>
      <c r="AP36" s="476"/>
    </row>
    <row r="37" spans="1:44" ht="13.5" thickTop="1">
      <c r="A37" s="327"/>
      <c r="B37" s="86"/>
      <c r="C37" s="125"/>
      <c r="D37" s="179"/>
      <c r="E37" s="504">
        <v>220008</v>
      </c>
      <c r="F37" s="279">
        <v>221119</v>
      </c>
      <c r="G37" s="281">
        <v>221114</v>
      </c>
      <c r="H37" s="173">
        <v>221117</v>
      </c>
      <c r="I37" s="280">
        <v>220006</v>
      </c>
      <c r="J37" s="279">
        <v>221101</v>
      </c>
      <c r="K37" s="279">
        <v>221136</v>
      </c>
      <c r="L37" s="279">
        <v>221140</v>
      </c>
      <c r="M37" s="280">
        <v>221116</v>
      </c>
      <c r="N37" s="179">
        <v>221102</v>
      </c>
      <c r="O37" s="179">
        <v>221141</v>
      </c>
      <c r="P37" s="179">
        <v>220004</v>
      </c>
      <c r="Q37" s="279">
        <v>221120</v>
      </c>
      <c r="R37" s="279">
        <v>221112</v>
      </c>
      <c r="S37" s="280">
        <v>220026</v>
      </c>
      <c r="T37" s="279">
        <v>221118</v>
      </c>
      <c r="U37" s="279">
        <v>221103</v>
      </c>
      <c r="V37" s="179">
        <v>221135</v>
      </c>
      <c r="W37" s="179">
        <v>221142</v>
      </c>
      <c r="X37" s="179">
        <v>221143</v>
      </c>
      <c r="Y37" s="179">
        <v>221138</v>
      </c>
      <c r="Z37" s="279">
        <v>220014</v>
      </c>
      <c r="AA37" s="280">
        <v>221132</v>
      </c>
      <c r="AB37" s="279">
        <v>221107</v>
      </c>
      <c r="AC37" s="280">
        <v>221130</v>
      </c>
      <c r="AD37" s="279">
        <v>221109</v>
      </c>
      <c r="AE37" s="280">
        <v>221122</v>
      </c>
      <c r="AF37" s="179">
        <v>221108</v>
      </c>
      <c r="AG37" s="179">
        <v>220007</v>
      </c>
      <c r="AH37" s="53">
        <v>221133</v>
      </c>
      <c r="AI37" s="460">
        <v>221113</v>
      </c>
      <c r="AJ37" s="498">
        <v>221105</v>
      </c>
      <c r="AK37" s="498">
        <v>221106</v>
      </c>
      <c r="AL37" s="171">
        <v>221110</v>
      </c>
      <c r="AM37" s="55">
        <v>221125</v>
      </c>
      <c r="AN37" s="179">
        <v>220027</v>
      </c>
      <c r="AO37" s="179">
        <v>220016</v>
      </c>
      <c r="AP37" s="515">
        <v>221115</v>
      </c>
    </row>
    <row r="38" spans="1:44" ht="15">
      <c r="A38" s="331" t="str">
        <f>IF(A37&lt;220000,"",VLOOKUP(A37,'220'!$P:$W,3))</f>
        <v/>
      </c>
      <c r="B38" s="323" t="str">
        <f>IF(B37&lt;220000,"",VLOOKUP(B37,'220'!$P:$W,3))</f>
        <v/>
      </c>
      <c r="C38" s="457" t="str">
        <f>IF(C37&lt;220000,"",VLOOKUP(C37,'220'!$P:$W,3))</f>
        <v/>
      </c>
      <c r="D38" s="470"/>
      <c r="E38" s="495" t="str">
        <f>IF(E37&lt;220000,"",VLOOKUP(E37,'220'!$P:$W,3))</f>
        <v>S1A</v>
      </c>
      <c r="F38" s="324" t="str">
        <f>IF(F37&lt;220000,"",VLOOKUP(F37,'220'!$P:$W,3))</f>
        <v>S4A</v>
      </c>
      <c r="G38" s="324" t="str">
        <f>IF(G37&lt;220000,"",VLOOKUP(G37,'220'!$P:$W,3))</f>
        <v>S8A</v>
      </c>
      <c r="H38" s="324" t="str">
        <f>IF(H37&lt;220000,"",VLOOKUP(H37,'220'!$P:$W,3))</f>
        <v>S1A</v>
      </c>
      <c r="I38" s="324" t="str">
        <f>IF(I37&lt;220000,"",VLOOKUP(I37,'220'!$P:$W,3))</f>
        <v>S2A</v>
      </c>
      <c r="J38" s="324" t="str">
        <f>IF(J37&lt;220000,"",VLOOKUP(J37,'220'!$P:$W,3))</f>
        <v>S3A</v>
      </c>
      <c r="K38" s="324" t="str">
        <f>IF(K37&lt;220000,"",VLOOKUP(K37,'220'!$P:$W,3))</f>
        <v>S2A</v>
      </c>
      <c r="L38" s="324" t="str">
        <f>IF(L37&lt;220000,"",VLOOKUP(L37,'220'!$P:$W,3))</f>
        <v>S1A</v>
      </c>
      <c r="M38" s="324" t="str">
        <f>IF(M37&lt;220000,"",VLOOKUP(M37,'220'!$P:$W,3))</f>
        <v>S7A</v>
      </c>
      <c r="N38" s="324" t="str">
        <f>IF(N37&lt;220000,"",VLOOKUP(N37,'220'!$P:$W,3))</f>
        <v>S8A</v>
      </c>
      <c r="O38" s="324" t="str">
        <f>IF(O37&lt;220000,"",VLOOKUP(O37,'220'!$P:$W,3))</f>
        <v>S1A</v>
      </c>
      <c r="P38" s="324" t="str">
        <f>IF(P37&lt;220000,"",VLOOKUP(P37,'220'!$P:$W,3))</f>
        <v>S3A</v>
      </c>
      <c r="Q38" s="324" t="str">
        <f>IF(Q37&lt;220000,"",VLOOKUP(Q37,'220'!$P:$W,3))</f>
        <v>S5A</v>
      </c>
      <c r="R38" s="324" t="str">
        <f>IF(R37&lt;220000,"",VLOOKUP(R37,'220'!$P:$W,3))</f>
        <v>S6A</v>
      </c>
      <c r="S38" s="324" t="str">
        <f>IF(S37&lt;220000,"",VLOOKUP(S37,'220'!$P:$W,3))</f>
        <v>S3A</v>
      </c>
      <c r="T38" s="324" t="str">
        <f>IF(T37&lt;220000,"",VLOOKUP(T37,'220'!$P:$W,3))</f>
        <v>S7A</v>
      </c>
      <c r="U38" s="324" t="str">
        <f>IF(U37&lt;220000,"",VLOOKUP(U37,'220'!$P:$W,3))</f>
        <v>S8A</v>
      </c>
      <c r="V38" s="324" t="str">
        <f>IF(V37&lt;220000,"",VLOOKUP(V37,'220'!$P:$W,3))</f>
        <v>S2A</v>
      </c>
      <c r="W38" s="324" t="str">
        <f>IF(W37&lt;220000,"",VLOOKUP(W37,'220'!$P:$W,3))</f>
        <v>S2A</v>
      </c>
      <c r="X38" s="324" t="str">
        <f>IF(X37&lt;220000,"",VLOOKUP(X37,'220'!$P:$W,3))</f>
        <v>S1A</v>
      </c>
      <c r="Y38" s="324" t="str">
        <f>IF(Y37&lt;220000,"",VLOOKUP(Y37,'220'!$P:$W,3))</f>
        <v>S1A</v>
      </c>
      <c r="Z38" s="324" t="str">
        <f>IF(Z37&lt;220000,"",VLOOKUP(Z37,'220'!$P:$W,3))</f>
        <v>S7A</v>
      </c>
      <c r="AA38" s="324" t="str">
        <f>IF(AA37&lt;220000,"",VLOOKUP(AA37,'220'!$P:$W,3))</f>
        <v>S3A</v>
      </c>
      <c r="AB38" s="324" t="str">
        <f>IF(AB37&lt;220000,"",VLOOKUP(AB37,'220'!$P:$W,3))</f>
        <v>S8A</v>
      </c>
      <c r="AC38" s="324" t="str">
        <f>IF(AC37&lt;220000,"",VLOOKUP(AC37,'220'!$P:$W,3))</f>
        <v>S3A</v>
      </c>
      <c r="AD38" s="324" t="str">
        <f>IF(AD37&lt;220000,"",VLOOKUP(AD37,'220'!$P:$W,3))</f>
        <v>S1A</v>
      </c>
      <c r="AE38" s="324" t="str">
        <f>IF(AE37&lt;220000,"",VLOOKUP(AE37,'220'!$P:$W,3))</f>
        <v>S5A</v>
      </c>
      <c r="AF38" s="324" t="str">
        <f>IF(AF37&lt;220000,"",VLOOKUP(AF37,'220'!$P:$W,3))</f>
        <v>S7A</v>
      </c>
      <c r="AG38" s="324" t="str">
        <f>IF(AG37&lt;220000,"",VLOOKUP(AG37,'220'!$P:$W,3))</f>
        <v>S2A</v>
      </c>
      <c r="AH38" s="324" t="str">
        <f>IF(AH37&lt;220000,"",VLOOKUP(AH37,'220'!$P:$W,3))</f>
        <v>S2A</v>
      </c>
      <c r="AI38" s="324" t="str">
        <f>IF(AI37&lt;220000,"",VLOOKUP(AI37,'220'!$P:$W,3))</f>
        <v>S8A</v>
      </c>
      <c r="AJ38" s="324" t="str">
        <f>IF(AJ37&lt;220000,"",VLOOKUP(AJ37,'220'!$P:$W,3))</f>
        <v>S7A</v>
      </c>
      <c r="AK38" s="324" t="str">
        <f>IF(AK37&lt;220000,"",VLOOKUP(AK37,'220'!$P:$W,3))</f>
        <v>S7A</v>
      </c>
      <c r="AL38" s="324" t="str">
        <f>IF(AL37&lt;220000,"",VLOOKUP(AL37,'220'!$P:$W,3))</f>
        <v>S1A</v>
      </c>
      <c r="AM38" s="324" t="str">
        <f>IF(AM37&lt;220000,"",VLOOKUP(AM37,'220'!$P:$W,3))</f>
        <v>S3A</v>
      </c>
      <c r="AN38" s="517" t="str">
        <f>IF(AN37&lt;220000,"",VLOOKUP(AN37,'220'!$P:$W,3))</f>
        <v>S1A</v>
      </c>
      <c r="AO38" s="520" t="str">
        <f>IF(AO37&lt;220000,"",VLOOKUP(AO37,'220'!$P:$W,3))</f>
        <v>S4A</v>
      </c>
      <c r="AP38" s="482" t="str">
        <f>IF(AP37&lt;220000,"",VLOOKUP(AP37,'220'!$P:$W,3))</f>
        <v>S2A</v>
      </c>
      <c r="AQ38" s="55"/>
    </row>
    <row r="39" spans="1:44" s="54" customFormat="1">
      <c r="A39" s="332" t="str">
        <f>IF(A37&lt;220000,"",VLOOKUP(A37,'220'!$P:$W,2))</f>
        <v/>
      </c>
      <c r="B39" s="3" t="str">
        <f>IF(B37&lt;220000,"",VLOOKUP(B37,'220'!$P:$W,2))</f>
        <v/>
      </c>
      <c r="C39" s="283" t="str">
        <f>IF(C37&lt;220000,"",VLOOKUP(C37,'220'!$P:$W,2))</f>
        <v/>
      </c>
      <c r="D39" s="283" t="str">
        <f>IF(D37&lt;220000,"",VLOOKUP(D37,'220'!$P:$W,2))</f>
        <v/>
      </c>
      <c r="E39" s="492">
        <f>IF(E37&lt;220000,"",VLOOKUP(E37,'220'!$P:$W,2))</f>
        <v>42934</v>
      </c>
      <c r="F39" s="4">
        <f>IF(F37&lt;220000,"",VLOOKUP(F37,'220'!$P:$W,2))</f>
        <v>42934</v>
      </c>
      <c r="G39" s="4">
        <f>IF(G37&lt;220000,"",VLOOKUP(G37,'220'!$P:$W,2))</f>
        <v>42934</v>
      </c>
      <c r="H39" s="4">
        <f>IF(H37&lt;220000,"",VLOOKUP(H37,'220'!$P:$W,2))</f>
        <v>42935</v>
      </c>
      <c r="I39" s="4">
        <f>IF(I37&lt;220000,"",VLOOKUP(I37,'220'!$P:$W,2))</f>
        <v>42938</v>
      </c>
      <c r="J39" s="4">
        <f>IF(J37&lt;220000,"",VLOOKUP(J37,'220'!$P:$W,2))</f>
        <v>42938</v>
      </c>
      <c r="K39" s="4">
        <f>IF(K37&lt;220000,"",VLOOKUP(K37,'220'!$P:$W,2))</f>
        <v>42939</v>
      </c>
      <c r="L39" s="4">
        <f>IF(L37&lt;220000,"",VLOOKUP(L37,'220'!$P:$W,2))</f>
        <v>42940</v>
      </c>
      <c r="M39" s="4">
        <f>IF(M37&lt;220000,"",VLOOKUP(M37,'220'!$P:$W,2))</f>
        <v>42941</v>
      </c>
      <c r="N39" s="4">
        <f>IF(N37&lt;220000,"",VLOOKUP(N37,'220'!$P:$W,2))</f>
        <v>42942</v>
      </c>
      <c r="O39" s="4">
        <f>IF(O37&lt;220000,"",VLOOKUP(O37,'220'!$P:$W,2))</f>
        <v>42943</v>
      </c>
      <c r="P39" s="4">
        <f>IF(P37&lt;220000,"",VLOOKUP(P37,'220'!$P:$W,2))</f>
        <v>42944</v>
      </c>
      <c r="Q39" s="4">
        <f>IF(Q37&lt;220000,"",VLOOKUP(Q37,'220'!$P:$W,2))</f>
        <v>42943</v>
      </c>
      <c r="R39" s="4">
        <f>IF(R37&lt;220000,"",VLOOKUP(R37,'220'!$P:$W,2))</f>
        <v>42947</v>
      </c>
      <c r="S39" s="4">
        <f>IF(S37&lt;220000,"",VLOOKUP(S37,'220'!$P:$W,2))</f>
        <v>42947</v>
      </c>
      <c r="T39" s="4">
        <f>IF(T37&lt;220000,"",VLOOKUP(T37,'220'!$P:$W,2))</f>
        <v>42949</v>
      </c>
      <c r="U39" s="4">
        <f>IF(U37&lt;220000,"",VLOOKUP(U37,'220'!$P:$W,2))</f>
        <v>42949</v>
      </c>
      <c r="V39" s="4">
        <f>IF(V37&lt;220000,"",VLOOKUP(V37,'220'!$P:$W,2))</f>
        <v>42951</v>
      </c>
      <c r="W39" s="4">
        <f>IF(W37&lt;220000,"",VLOOKUP(W37,'220'!$P:$W,2))</f>
        <v>42951</v>
      </c>
      <c r="X39" s="4">
        <f>IF(X37&lt;220000,"",VLOOKUP(X37,'220'!$P:$W,2))</f>
        <v>42904</v>
      </c>
      <c r="Y39" s="4">
        <f>IF(Y37&lt;220000,"",VLOOKUP(Y37,'220'!$P:$W,2))</f>
        <v>42952</v>
      </c>
      <c r="Z39" s="4">
        <f>IF(Z37&lt;220000,"",VLOOKUP(Z37,'220'!$P:$W,2))</f>
        <v>42954</v>
      </c>
      <c r="AA39" s="4">
        <f>IF(AA37&lt;220000,"",VLOOKUP(AA37,'220'!$P:$W,2))</f>
        <v>42956</v>
      </c>
      <c r="AB39" s="4">
        <f>IF(AB37&lt;220000,"",VLOOKUP(AB37,'220'!$P:$W,2))</f>
        <v>42957</v>
      </c>
      <c r="AC39" s="4">
        <f>IF(AC37&lt;220000,"",VLOOKUP(AC37,'220'!$P:$W,2))</f>
        <v>42955</v>
      </c>
      <c r="AD39" s="4">
        <f>IF(AD37&lt;220000,"",VLOOKUP(AD37,'220'!$P:$W,2))</f>
        <v>42958</v>
      </c>
      <c r="AE39" s="4">
        <f>IF(AE37&lt;220000,"",VLOOKUP(AE37,'220'!$P:$W,2))</f>
        <v>42960</v>
      </c>
      <c r="AF39" s="4">
        <f>IF(AF37&lt;220000,"",VLOOKUP(AF37,'220'!$P:$W,2))</f>
        <v>42960</v>
      </c>
      <c r="AG39" s="4">
        <f>IF(AG37&lt;220000,"",VLOOKUP(AG37,'220'!$P:$W,2))</f>
        <v>42961</v>
      </c>
      <c r="AH39" s="4">
        <f>IF(AH37&lt;220000,"",VLOOKUP(AH37,'220'!$P:$W,2))</f>
        <v>42962</v>
      </c>
      <c r="AI39" s="4">
        <f>IF(AI37&lt;220000,"",VLOOKUP(AI37,'220'!$P:$W,2))</f>
        <v>42962</v>
      </c>
      <c r="AJ39" s="4">
        <f>IF(AJ37&lt;220000,"",VLOOKUP(AJ37,'220'!$P:$W,2))</f>
        <v>42964</v>
      </c>
      <c r="AK39" s="4">
        <f>IF(AK37&lt;220000,"",VLOOKUP(AK37,'220'!$P:$W,2))</f>
        <v>42965</v>
      </c>
      <c r="AL39" s="4">
        <f>IF(AL37&lt;220000,"",VLOOKUP(AL37,'220'!$P:$W,2))</f>
        <v>42966</v>
      </c>
      <c r="AM39" s="4">
        <f>IF(AM37&lt;220000,"",VLOOKUP(AM37,'220'!$P:$W,2))</f>
        <v>42967</v>
      </c>
      <c r="AN39" s="465">
        <f>IF(AN37&lt;220000,"",VLOOKUP(AN37,'220'!$P:$W,2))</f>
        <v>42968</v>
      </c>
      <c r="AO39" s="283">
        <f>IF(AO37&lt;220000,"",VLOOKUP(AO37,'220'!$P:$W,2))</f>
        <v>42969</v>
      </c>
      <c r="AP39" s="452">
        <f>IF(AP37&lt;220000,"",VLOOKUP(AP37,'220'!$P:$W,2))</f>
        <v>42970</v>
      </c>
    </row>
    <row r="40" spans="1:44">
      <c r="A40" s="543" t="e">
        <f t="array" ref="A40">INDEX('Brake Pad Workorders'!$A$1:$Z$100,MATCH(A37&amp;A38,'Brake Pad Workorders'!$A$1:$A$100&amp;'Brake Pad Workorders'!$S$1:$S$100,0),25)</f>
        <v>#N/A</v>
      </c>
      <c r="B40" s="543" t="e">
        <f t="array" ref="B40">INDEX('Brake Pad Workorders'!$A$1:$Z$100,MATCH(B37&amp;B38,'Brake Pad Workorders'!$A$1:$A$100&amp;'Brake Pad Workorders'!$S$1:$S$100,0),25)</f>
        <v>#N/A</v>
      </c>
      <c r="C40" s="543" t="e">
        <f t="array" ref="C40">INDEX('Brake Pad Workorders'!$A$1:$Z$100,MATCH(C37&amp;C38,'Brake Pad Workorders'!$A$1:$A$100&amp;'Brake Pad Workorders'!$S$1:$S$100,0),25)</f>
        <v>#N/A</v>
      </c>
      <c r="D40" s="466" t="e">
        <f t="array" ref="D40">INDEX('Brake Pad Workorders'!$A$1:$Z$100,MATCH(D37&amp;D38,'Brake Pad Workorders'!$A$1:$A$100&amp;'Brake Pad Workorders'!$S$1:$S$100,0),25)</f>
        <v>#N/A</v>
      </c>
      <c r="E40" s="487" t="str">
        <f t="array" ref="E40">INDEX('Brake Pad Workorders'!$A$1:$Z$100,MATCH(E37&amp;E38,'Brake Pad Workorders'!$A$1:$A$100&amp;'Brake Pad Workorders'!$S$1:$S$100,0),25)</f>
        <v>CHECKED</v>
      </c>
      <c r="F40" s="543" t="str">
        <f t="array" ref="F40">INDEX('Brake Pad Workorders'!$A$1:$Z$100,MATCH(F37&amp;F38,'Brake Pad Workorders'!$A$1:$A$100&amp;'Brake Pad Workorders'!$S$1:$S$100,0),25)</f>
        <v>CHECKED</v>
      </c>
      <c r="G40" s="543" t="str">
        <f t="array" ref="G40">INDEX('Brake Pad Workorders'!$A$1:$Z$100,MATCH(G37&amp;G38,'Brake Pad Workorders'!$A$1:$A$100&amp;'Brake Pad Workorders'!$S$1:$S$100,0),25)</f>
        <v>TOPLAN</v>
      </c>
      <c r="H40" s="543" t="e">
        <f t="array" ref="H40">INDEX('Brake Pad Workorders'!$A$1:$Z$100,MATCH(H37&amp;H38,'Brake Pad Workorders'!$A$1:$A$100&amp;'Brake Pad Workorders'!$S$1:$S$100,0),25)</f>
        <v>#N/A</v>
      </c>
      <c r="I40" s="543" t="e">
        <f t="array" ref="I40">INDEX('Brake Pad Workorders'!$A$1:$Z$100,MATCH(I37&amp;I38,'Brake Pad Workorders'!$A$1:$A$100&amp;'Brake Pad Workorders'!$S$1:$S$100,0),25)</f>
        <v>#N/A</v>
      </c>
      <c r="J40" s="543" t="e">
        <f t="array" ref="J40">INDEX('Brake Pad Workorders'!$A$1:$Z$100,MATCH(J37&amp;J38,'Brake Pad Workorders'!$A$1:$A$100&amp;'Brake Pad Workorders'!$S$1:$S$100,0),25)</f>
        <v>#N/A</v>
      </c>
      <c r="K40" s="543" t="e">
        <f t="array" ref="K40">INDEX('Brake Pad Workorders'!$A$1:$Z$100,MATCH(K37&amp;K38,'Brake Pad Workorders'!$A$1:$A$100&amp;'Brake Pad Workorders'!$S$1:$S$100,0),25)</f>
        <v>#N/A</v>
      </c>
      <c r="L40" s="543" t="e">
        <f t="array" ref="L40">INDEX('Brake Pad Workorders'!$A$1:$Z$100,MATCH(L37&amp;L38,'Brake Pad Workorders'!$A$1:$A$100&amp;'Brake Pad Workorders'!$S$1:$S$100,0),25)</f>
        <v>#N/A</v>
      </c>
      <c r="M40" s="543" t="e">
        <f t="array" ref="M40">INDEX('Brake Pad Workorders'!$A$1:$Z$100,MATCH(M37&amp;M38,'Brake Pad Workorders'!$A$1:$A$100&amp;'Brake Pad Workorders'!$S$1:$S$100,0),25)</f>
        <v>#N/A</v>
      </c>
      <c r="N40" s="543" t="e">
        <f t="array" ref="N40">INDEX('Brake Pad Workorders'!$A$1:$Z$100,MATCH(N37&amp;N38,'Brake Pad Workorders'!$A$1:$A$100&amp;'Brake Pad Workorders'!$S$1:$S$100,0),25)</f>
        <v>#N/A</v>
      </c>
      <c r="O40" s="543" t="e">
        <f t="array" ref="O40">INDEX('Brake Pad Workorders'!$A$1:$Z$100,MATCH(O37&amp;O38,'Brake Pad Workorders'!$A$1:$A$100&amp;'Brake Pad Workorders'!$S$1:$S$100,0),25)</f>
        <v>#N/A</v>
      </c>
      <c r="P40" s="543" t="e">
        <f t="array" ref="P40">INDEX('Brake Pad Workorders'!$A$1:$Z$100,MATCH(P37&amp;P38,'Brake Pad Workorders'!$A$1:$A$100&amp;'Brake Pad Workorders'!$S$1:$S$100,0),25)</f>
        <v>#N/A</v>
      </c>
      <c r="Q40" s="543" t="e">
        <f t="array" ref="Q40">INDEX('Brake Pad Workorders'!$A$1:$Z$100,MATCH(Q37&amp;Q38,'Brake Pad Workorders'!$A$1:$A$100&amp;'Brake Pad Workorders'!$S$1:$S$100,0),25)</f>
        <v>#N/A</v>
      </c>
      <c r="R40" s="543" t="e">
        <f t="array" ref="R40">INDEX('Brake Pad Workorders'!$A$1:$Z$100,MATCH(R37&amp;R38,'Brake Pad Workorders'!$A$1:$A$100&amp;'Brake Pad Workorders'!$S$1:$S$100,0),25)</f>
        <v>#N/A</v>
      </c>
      <c r="S40" s="543" t="e">
        <f t="array" ref="S40">INDEX('Brake Pad Workorders'!$A$1:$Z$100,MATCH(S37&amp;S38,'Brake Pad Workorders'!$A$1:$A$100&amp;'Brake Pad Workorders'!$S$1:$S$100,0),25)</f>
        <v>#N/A</v>
      </c>
      <c r="T40" s="543" t="e">
        <f t="array" ref="T40">INDEX('Brake Pad Workorders'!$A$1:$Z$100,MATCH(T37&amp;T38,'Brake Pad Workorders'!$A$1:$A$100&amp;'Brake Pad Workorders'!$S$1:$S$100,0),25)</f>
        <v>#N/A</v>
      </c>
      <c r="U40" s="543" t="e">
        <f t="array" ref="U40">INDEX('Brake Pad Workorders'!$A$1:$Z$100,MATCH(U37&amp;U38,'Brake Pad Workorders'!$A$1:$A$100&amp;'Brake Pad Workorders'!$S$1:$S$100,0),25)</f>
        <v>#N/A</v>
      </c>
      <c r="V40" s="543" t="e">
        <f t="array" ref="V40">INDEX('Brake Pad Workorders'!$A$1:$Z$100,MATCH(V37&amp;V38,'Brake Pad Workorders'!$A$1:$A$100&amp;'Brake Pad Workorders'!$S$1:$S$100,0),25)</f>
        <v>#N/A</v>
      </c>
      <c r="W40" s="543" t="e">
        <f t="array" ref="W40">INDEX('Brake Pad Workorders'!$A$1:$Z$100,MATCH(W37&amp;W38,'Brake Pad Workorders'!$A$1:$A$100&amp;'Brake Pad Workorders'!$S$1:$S$100,0),25)</f>
        <v>#N/A</v>
      </c>
      <c r="X40" s="543" t="e">
        <f t="array" ref="X40">INDEX('Brake Pad Workorders'!$A$1:$Z$100,MATCH(X37&amp;X38,'Brake Pad Workorders'!$A$1:$A$100&amp;'Brake Pad Workorders'!$S$1:$S$100,0),25)</f>
        <v>#N/A</v>
      </c>
      <c r="Y40" s="543" t="e">
        <f t="array" ref="Y40">INDEX('Brake Pad Workorders'!$A$1:$Z$100,MATCH(Y37&amp;Y38,'Brake Pad Workorders'!$A$1:$A$100&amp;'Brake Pad Workorders'!$S$1:$S$100,0),25)</f>
        <v>#N/A</v>
      </c>
      <c r="Z40" s="543" t="e">
        <f t="array" ref="Z40">INDEX('Brake Pad Workorders'!$A$1:$Z$100,MATCH(Z37&amp;Z38,'Brake Pad Workorders'!$A$1:$A$100&amp;'Brake Pad Workorders'!$S$1:$S$100,0),25)</f>
        <v>#N/A</v>
      </c>
      <c r="AA40" s="543" t="e">
        <f t="array" ref="AA40">INDEX('Brake Pad Workorders'!$A$1:$Z$100,MATCH(AA37&amp;AA38,'Brake Pad Workorders'!$A$1:$A$100&amp;'Brake Pad Workorders'!$S$1:$S$100,0),25)</f>
        <v>#N/A</v>
      </c>
      <c r="AB40" s="543" t="e">
        <f t="array" ref="AB40">INDEX('Brake Pad Workorders'!$A$1:$Z$100,MATCH(AB37&amp;AB38,'Brake Pad Workorders'!$A$1:$A$100&amp;'Brake Pad Workorders'!$S$1:$S$100,0),25)</f>
        <v>#N/A</v>
      </c>
      <c r="AC40" s="543" t="e">
        <f t="array" ref="AC40">INDEX('Brake Pad Workorders'!$A$1:$Z$100,MATCH(AC37&amp;AC38,'Brake Pad Workorders'!$A$1:$A$100&amp;'Brake Pad Workorders'!$S$1:$S$100,0),25)</f>
        <v>#N/A</v>
      </c>
      <c r="AD40" s="543" t="e">
        <f t="array" ref="AD40">INDEX('Brake Pad Workorders'!$A$1:$Z$100,MATCH(AD37&amp;AD38,'Brake Pad Workorders'!$A$1:$A$100&amp;'Brake Pad Workorders'!$S$1:$S$100,0),25)</f>
        <v>#N/A</v>
      </c>
      <c r="AE40" s="543" t="e">
        <f t="array" ref="AE40">INDEX('Brake Pad Workorders'!$A$1:$Z$100,MATCH(AE37&amp;AE38,'Brake Pad Workorders'!$A$1:$A$100&amp;'Brake Pad Workorders'!$S$1:$S$100,0),25)</f>
        <v>#N/A</v>
      </c>
      <c r="AF40" s="543" t="e">
        <f t="array" ref="AF40">INDEX('Brake Pad Workorders'!$A$1:$Z$100,MATCH(AF37&amp;AF38,'Brake Pad Workorders'!$A$1:$A$100&amp;'Brake Pad Workorders'!$S$1:$S$100,0),25)</f>
        <v>#N/A</v>
      </c>
      <c r="AG40" s="543" t="e">
        <f t="array" ref="AG40">INDEX('Brake Pad Workorders'!$A$1:$Z$100,MATCH(AG37&amp;AG38,'Brake Pad Workorders'!$A$1:$A$100&amp;'Brake Pad Workorders'!$S$1:$S$100,0),25)</f>
        <v>#N/A</v>
      </c>
      <c r="AH40" s="543" t="e">
        <f t="array" ref="AH40">INDEX('Brake Pad Workorders'!$A$1:$Z$100,MATCH(AH37&amp;AH38,'Brake Pad Workorders'!$A$1:$A$100&amp;'Brake Pad Workorders'!$S$1:$S$100,0),25)</f>
        <v>#N/A</v>
      </c>
      <c r="AI40" s="543" t="e">
        <f t="array" ref="AI40">INDEX('Brake Pad Workorders'!$A$1:$Z$100,MATCH(AI37&amp;AI38,'Brake Pad Workorders'!$A$1:$A$100&amp;'Brake Pad Workorders'!$S$1:$S$100,0),25)</f>
        <v>#N/A</v>
      </c>
      <c r="AJ40" s="543" t="e">
        <f t="array" ref="AJ40">INDEX('Brake Pad Workorders'!$A$1:$Z$100,MATCH(AJ37&amp;AJ38,'Brake Pad Workorders'!$A$1:$A$100&amp;'Brake Pad Workorders'!$S$1:$S$100,0),25)</f>
        <v>#N/A</v>
      </c>
      <c r="AK40" s="543" t="e">
        <f t="array" ref="AK40">INDEX('Brake Pad Workorders'!$A$1:$Z$100,MATCH(AK37&amp;AK38,'Brake Pad Workorders'!$A$1:$A$100&amp;'Brake Pad Workorders'!$S$1:$S$100,0),25)</f>
        <v>#N/A</v>
      </c>
      <c r="AL40" s="543" t="e">
        <f t="array" ref="AL40">INDEX('Brake Pad Workorders'!$A$1:$Z$100,MATCH(AL37&amp;AL38,'Brake Pad Workorders'!$A$1:$A$100&amp;'Brake Pad Workorders'!$S$1:$S$100,0),25)</f>
        <v>#N/A</v>
      </c>
      <c r="AM40" s="543" t="e">
        <f t="array" ref="AM40">INDEX('Brake Pad Workorders'!$A$1:$Z$100,MATCH(AM37&amp;AM38,'Brake Pad Workorders'!$A$1:$A$100&amp;'Brake Pad Workorders'!$S$1:$S$100,0),25)</f>
        <v>#N/A</v>
      </c>
      <c r="AN40" s="543" t="e">
        <f t="array" ref="AN40">INDEX('Brake Pad Workorders'!$A$1:$Z$100,MATCH(AN37&amp;AN38,'Brake Pad Workorders'!$A$1:$A$100&amp;'Brake Pad Workorders'!$S$1:$S$100,0),25)</f>
        <v>#N/A</v>
      </c>
      <c r="AO40" s="543" t="e">
        <f t="array" ref="AO40">INDEX('Brake Pad Workorders'!$A$1:$Z$100,MATCH(AO37&amp;AO38,'Brake Pad Workorders'!$A$1:$A$100&amp;'Brake Pad Workorders'!$S$1:$S$100,0),25)</f>
        <v>#N/A</v>
      </c>
      <c r="AP40" s="451" t="e">
        <f t="array" ref="AP40">INDEX('Brake Pad Workorders'!$A$1:$Z$100,MATCH(AP37&amp;AP38,'Brake Pad Workorders'!$A$1:$A$100&amp;'Brake Pad Workorders'!$S$1:$S$100,0),25)</f>
        <v>#N/A</v>
      </c>
    </row>
    <row r="41" spans="1:44" s="54" customFormat="1" ht="13.5" thickBot="1">
      <c r="A41" s="329" t="s">
        <v>334</v>
      </c>
      <c r="B41" s="7" t="str">
        <f>IF(B37&lt;220000,"",VLOOKUP(B37,'220'!$P:$W,8))</f>
        <v/>
      </c>
      <c r="C41" s="7" t="str">
        <f>IF(C37&lt;220000,"",VLOOKUP(C37,'220'!$P:$W,8))</f>
        <v/>
      </c>
      <c r="D41" s="471" t="str">
        <f>IF(D37&lt;220000,"",VLOOKUP(D37,'220'!$P:$W,8))</f>
        <v/>
      </c>
      <c r="E41" s="496">
        <f ca="1">IF(E37&lt;220000,"",(E3-TODAY()+(VLOOKUP(E37,'220'!$P:$W,8))))</f>
        <v>44</v>
      </c>
      <c r="F41" s="379">
        <f ca="1">IF(F37&lt;220000,"",(F3-TODAY()+(VLOOKUP(F37,'220'!$P:$W,8))))</f>
        <v>47</v>
      </c>
      <c r="G41" s="379">
        <f ca="1">IF(G37&lt;220000,"",(G3-TODAY()+(VLOOKUP(G37,'220'!$P:$W,8))))</f>
        <v>47</v>
      </c>
      <c r="H41" s="379">
        <f ca="1">IF(H37&lt;220000,"",(H3-TODAY()+(VLOOKUP(H37,'220'!$P:$W,8))))</f>
        <v>46</v>
      </c>
      <c r="I41" s="379">
        <f ca="1">IF(I37&lt;220000,"",(I3-TODAY()+(VLOOKUP(I37,'220'!$P:$W,8))))</f>
        <v>47</v>
      </c>
      <c r="J41" s="379">
        <f ca="1">IF(J37&lt;220000,"",(J3-TODAY()+(VLOOKUP(J37,'220'!$P:$W,8))))</f>
        <v>46</v>
      </c>
      <c r="K41" s="379">
        <f ca="1">IF(K37&lt;220000,"",(K3-TODAY()+(VLOOKUP(K37,'220'!$P:$W,8))))</f>
        <v>46</v>
      </c>
      <c r="L41" s="379">
        <f ca="1">IF(L37&lt;220000,"",(L3-TODAY()+(VLOOKUP(L37,'220'!$P:$W,8))))</f>
        <v>44</v>
      </c>
      <c r="M41" s="379">
        <f ca="1">IF(M37&lt;220000,"",(M3-TODAY()+(VLOOKUP(M37,'220'!$P:$W,8))))</f>
        <v>45</v>
      </c>
      <c r="N41" s="379">
        <f ca="1">IF(N37&lt;220000,"",(N3-TODAY()+(VLOOKUP(N37,'220'!$P:$W,8))))</f>
        <v>47</v>
      </c>
      <c r="O41" s="379">
        <f ca="1">IF(O37&lt;220000,"",(O3-TODAY()+(VLOOKUP(O37,'220'!$P:$W,8))))</f>
        <v>46</v>
      </c>
      <c r="P41" s="379">
        <f ca="1">IF(P37&lt;220000,"",(P3-TODAY()+(VLOOKUP(P37,'220'!$P:$W,8))))</f>
        <v>47</v>
      </c>
      <c r="Q41" s="379">
        <f ca="1">IF(Q37&lt;220000,"",(Q3-TODAY()+(VLOOKUP(Q37,'220'!$P:$W,8))))</f>
        <v>47</v>
      </c>
      <c r="R41" s="379">
        <f ca="1">IF(R37&lt;220000,"",(R3-TODAY()+(VLOOKUP(R37,'220'!$P:$W,8))))</f>
        <v>45</v>
      </c>
      <c r="S41" s="379">
        <f ca="1">IF(S37&lt;220000,"",(S3-TODAY()+(VLOOKUP(S37,'220'!$P:$W,8))))</f>
        <v>46</v>
      </c>
      <c r="T41" s="379">
        <f ca="1">IF(T37&lt;220000,"",(T3-TODAY()+(VLOOKUP(T37,'220'!$P:$W,8))))</f>
        <v>45</v>
      </c>
      <c r="U41" s="379">
        <f ca="1">IF(U37&lt;220000,"",(U3-TODAY()+(VLOOKUP(U37,'220'!$P:$W,8))))</f>
        <v>45</v>
      </c>
      <c r="V41" s="379">
        <f ca="1">IF(V37&lt;220000,"",(V3-TODAY()+(VLOOKUP(V37,'220'!$P:$W,8))))</f>
        <v>43</v>
      </c>
      <c r="W41" s="379">
        <f ca="1">IF(W37&lt;220000,"",(W3-TODAY()+(VLOOKUP(W37,'220'!$P:$W,8))))</f>
        <v>44</v>
      </c>
      <c r="X41" s="379">
        <f ca="1">IF(X37&lt;220000,"",(X3-TODAY()+(VLOOKUP(X37,'220'!$P:$W,8))))</f>
        <v>19</v>
      </c>
      <c r="Y41" s="379">
        <f ca="1">IF(Y37&lt;220000,"",(Y3-TODAY()+(VLOOKUP(Y37,'220'!$P:$W,8))))</f>
        <v>47</v>
      </c>
      <c r="Z41" s="379">
        <f ca="1">IF(Z37&lt;220000,"",(Z3-TODAY()+(VLOOKUP(Z37,'220'!$P:$W,8))))</f>
        <v>46</v>
      </c>
      <c r="AA41" s="379">
        <f ca="1">IF(AA37&lt;220000,"",(AA3-TODAY()+(VLOOKUP(AA37,'220'!$P:$W,8))))</f>
        <v>45</v>
      </c>
      <c r="AB41" s="379">
        <f ca="1">IF(AB37&lt;220000,"",(AB3-TODAY()+(VLOOKUP(AB37,'220'!$P:$W,8))))</f>
        <v>41</v>
      </c>
      <c r="AC41" s="379">
        <f ca="1">IF(AC37&lt;220000,"",(AC3-TODAY()+(VLOOKUP(AC37,'220'!$P:$W,8))))</f>
        <v>46</v>
      </c>
      <c r="AD41" s="379">
        <f ca="1">IF(AD37&lt;220000,"",(AD3-TODAY()+(VLOOKUP(AD37,'220'!$P:$W,8))))</f>
        <v>44</v>
      </c>
      <c r="AE41" s="379">
        <f ca="1">IF(AE37&lt;220000,"",(AE3-TODAY()+(VLOOKUP(AE37,'220'!$P:$W,8))))</f>
        <v>47</v>
      </c>
      <c r="AF41" s="379">
        <f ca="1">IF(AF37&lt;220000,"",(AF3-TODAY()+(VLOOKUP(AF37,'220'!$P:$W,8))))</f>
        <v>47</v>
      </c>
      <c r="AG41" s="379">
        <f ca="1">IF(AG37&lt;220000,"",(AG3-TODAY()+(VLOOKUP(AG37,'220'!$P:$W,8))))</f>
        <v>45</v>
      </c>
      <c r="AH41" s="379">
        <f ca="1">IF(AH37&lt;220000,"",(AH3-TODAY()+(VLOOKUP(AH37,'220'!$P:$W,8))))</f>
        <v>44</v>
      </c>
      <c r="AI41" s="379">
        <f ca="1">IF(AI37&lt;220000,"",(AI3-TODAY()+(VLOOKUP(AI37,'220'!$P:$W,8))))</f>
        <v>44</v>
      </c>
      <c r="AJ41" s="379">
        <f ca="1">IF(AJ37&lt;220000,"",(AJ3-TODAY()+(VLOOKUP(AJ37,'220'!$P:$W,8))))</f>
        <v>46</v>
      </c>
      <c r="AK41" s="379">
        <f ca="1">IF(AK37&lt;220000,"",(AK3-TODAY()+(VLOOKUP(AK37,'220'!$P:$W,8))))</f>
        <v>45</v>
      </c>
      <c r="AL41" s="379">
        <f ca="1">IF(AL37&lt;220000,"",(AL3-TODAY()+(VLOOKUP(AL37,'220'!$P:$W,8))))</f>
        <v>45</v>
      </c>
      <c r="AM41" s="379">
        <f ca="1">IF(AM37&lt;220000,"",(AM3-TODAY()+(VLOOKUP(AM37,'220'!$P:$W,8))))</f>
        <v>45</v>
      </c>
      <c r="AN41" s="518">
        <f ca="1">IF(AN37&lt;220000,"",(AN3-TODAY()+(VLOOKUP(AN37,'220'!$P:$W,8))))</f>
        <v>44</v>
      </c>
      <c r="AO41" s="521">
        <f ca="1">IF(AO37&lt;220000,"",(AO3-TODAY()+(VLOOKUP(AO37,'220'!$P:$W,8))))</f>
        <v>45</v>
      </c>
      <c r="AP41" s="483">
        <f ca="1">IF(AP37&lt;220000,"",(AP3-TODAY()+(VLOOKUP(AP37,'220'!$P:$W,8))))</f>
        <v>45</v>
      </c>
    </row>
    <row r="42" spans="1:44" ht="14.25" customHeight="1" thickTop="1">
      <c r="A42" s="327"/>
      <c r="B42" s="86"/>
      <c r="C42" s="86"/>
      <c r="D42" s="174"/>
      <c r="E42" s="505"/>
      <c r="F42" s="377"/>
      <c r="G42" s="61"/>
      <c r="H42" s="173">
        <v>220020</v>
      </c>
      <c r="I42" s="61">
        <v>221128</v>
      </c>
      <c r="J42" s="173">
        <v>220015</v>
      </c>
      <c r="K42" s="173"/>
      <c r="L42" s="61">
        <v>220029</v>
      </c>
      <c r="M42" s="174">
        <v>220019</v>
      </c>
      <c r="N42" s="174">
        <v>220028</v>
      </c>
      <c r="O42" s="173">
        <v>221137</v>
      </c>
      <c r="P42" s="173">
        <v>220002</v>
      </c>
      <c r="Q42" s="173">
        <v>220017</v>
      </c>
      <c r="R42" s="174">
        <v>221121</v>
      </c>
      <c r="S42" s="173">
        <v>220034</v>
      </c>
      <c r="T42" s="61">
        <v>221139</v>
      </c>
      <c r="U42" s="174">
        <v>220023</v>
      </c>
      <c r="V42" s="378">
        <v>220024</v>
      </c>
      <c r="W42" s="378">
        <v>221127</v>
      </c>
      <c r="X42" s="378">
        <v>220001</v>
      </c>
      <c r="Y42" s="378">
        <v>220009</v>
      </c>
      <c r="Z42" s="378"/>
      <c r="AA42" s="378">
        <v>220003</v>
      </c>
      <c r="AB42" s="378"/>
      <c r="AC42" s="378">
        <v>220022</v>
      </c>
      <c r="AD42" s="378">
        <v>220005</v>
      </c>
      <c r="AE42" s="378">
        <v>220011</v>
      </c>
      <c r="AF42" s="378"/>
      <c r="AG42" s="378">
        <v>221124</v>
      </c>
      <c r="AH42" s="53">
        <v>221123</v>
      </c>
      <c r="AI42" s="460"/>
      <c r="AJ42" s="498">
        <v>220013</v>
      </c>
      <c r="AK42" s="498">
        <v>220018</v>
      </c>
      <c r="AL42" s="498">
        <v>221131</v>
      </c>
      <c r="AM42" s="509"/>
      <c r="AN42" s="510"/>
      <c r="AO42" s="460">
        <v>221126</v>
      </c>
      <c r="AP42" s="522"/>
      <c r="AQ42" s="56"/>
      <c r="AR42" s="56"/>
    </row>
    <row r="43" spans="1:44" ht="14.25" customHeight="1">
      <c r="A43" s="331" t="str">
        <f>IF(A42&lt;220000,"",VLOOKUP(A42,'220'!$P:$W,3))</f>
        <v/>
      </c>
      <c r="B43" s="323" t="str">
        <f>IF(B42&lt;220000,"",VLOOKUP(B42,'220'!$P:$W,3))</f>
        <v/>
      </c>
      <c r="C43" s="323" t="str">
        <f>IF(C42&lt;220000,"",VLOOKUP(C42,'220'!$P:$W,3))</f>
        <v/>
      </c>
      <c r="D43" s="323" t="str">
        <f>IF(D42&lt;220000,"",VLOOKUP(D42,'220'!$P:$W,3))</f>
        <v/>
      </c>
      <c r="E43" s="497" t="str">
        <f>IF(E42&lt;220000,"",VLOOKUP(E42,'220'!$P:$W,3))</f>
        <v/>
      </c>
      <c r="F43" s="324" t="str">
        <f>IF(F42&lt;220000,"",VLOOKUP(F42,'220'!$P:$W,3))</f>
        <v/>
      </c>
      <c r="G43" s="324" t="str">
        <f>IF(G42&lt;220000,"",VLOOKUP(G42,'220'!$P:$W,3))</f>
        <v/>
      </c>
      <c r="H43" s="324" t="str">
        <f>IF(H42&lt;220000,"",VLOOKUP(H42,'220'!$P:$W,3))</f>
        <v>S2A</v>
      </c>
      <c r="I43" s="324" t="str">
        <f>IF(I42&lt;220000,"",VLOOKUP(I42,'220'!$P:$W,3))</f>
        <v>S3A</v>
      </c>
      <c r="J43" s="324" t="str">
        <f>IF(J42&lt;220000,"",VLOOKUP(J42,'220'!$P:$W,3))</f>
        <v>S6A</v>
      </c>
      <c r="K43" s="324" t="str">
        <f>IF(K42&lt;220000,"",VLOOKUP(K42,'220'!$P:$W,3))</f>
        <v/>
      </c>
      <c r="L43" s="324" t="str">
        <f>IF(L42&lt;220000,"",VLOOKUP(L42,'220'!$P:$W,3))</f>
        <v>S8A</v>
      </c>
      <c r="M43" s="324" t="str">
        <f>IF(M42&lt;220000,"",VLOOKUP(M42,'220'!$P:$W,3))</f>
        <v>S6A</v>
      </c>
      <c r="N43" s="324" t="str">
        <f>IF(N42&lt;220000,"",VLOOKUP(N42,'220'!$P:$W,3))</f>
        <v>S1A</v>
      </c>
      <c r="O43" s="324" t="str">
        <f>IF(O42&lt;220000,"",VLOOKUP(O42,'220'!$P:$W,3))</f>
        <v>S2A</v>
      </c>
      <c r="P43" s="324" t="str">
        <f>IF(P42&lt;220000,"",VLOOKUP(P42,'220'!$P:$W,3))</f>
        <v>S4A</v>
      </c>
      <c r="Q43" s="324" t="str">
        <f>IF(Q42&lt;220000,"",VLOOKUP(Q42,'220'!$P:$W,3))</f>
        <v>S4A</v>
      </c>
      <c r="R43" s="324" t="str">
        <f>IF(R42&lt;220000,"",VLOOKUP(R42,'220'!$P:$W,3))</f>
        <v>S3A</v>
      </c>
      <c r="S43" s="324" t="str">
        <f>IF(S42&lt;220000,"",VLOOKUP(S42,'220'!$P:$W,3))</f>
        <v>S6A</v>
      </c>
      <c r="T43" s="324" t="str">
        <f>IF(T42&lt;220000,"",VLOOKUP(T42,'220'!$P:$W,3))</f>
        <v>S2A</v>
      </c>
      <c r="U43" s="324" t="str">
        <f>IF(U42&lt;220000,"",VLOOKUP(U42,'220'!$P:$W,3))</f>
        <v>S1A</v>
      </c>
      <c r="V43" s="324" t="str">
        <f>IF(V42&lt;220000,"",VLOOKUP(V42,'220'!$P:$W,3))</f>
        <v>S1A</v>
      </c>
      <c r="W43" s="324" t="str">
        <f>IF(W42&lt;220000,"",VLOOKUP(W42,'220'!$P:$W,3))</f>
        <v>S3A</v>
      </c>
      <c r="X43" s="324" t="str">
        <f>IF(X42&lt;220000,"",VLOOKUP(X42,'220'!$P:$W,3))</f>
        <v>S4A</v>
      </c>
      <c r="Y43" s="324" t="str">
        <f>IF(Y42&lt;220000,"",VLOOKUP(Y42,'220'!$P:$W,3))</f>
        <v>S1A</v>
      </c>
      <c r="Z43" s="324" t="str">
        <f>IF(Z42&lt;220000,"",VLOOKUP(Z42,'220'!$P:$W,3))</f>
        <v/>
      </c>
      <c r="AA43" s="324" t="str">
        <f>IF(AA42&lt;220000,"",VLOOKUP(AA42,'220'!$P:$W,3))</f>
        <v>S4A</v>
      </c>
      <c r="AB43" s="324" t="str">
        <f>IF(AB42&lt;220000,"",VLOOKUP(AB42,'220'!$P:$W,3))</f>
        <v/>
      </c>
      <c r="AC43" s="324" t="str">
        <f>IF(AC42&lt;220000,"",VLOOKUP(AC42,'220'!$P:$W,3))</f>
        <v>S2A</v>
      </c>
      <c r="AD43" s="324" t="str">
        <f>IF(AD42&lt;220000,"",VLOOKUP(AD42,'220'!$P:$W,3))</f>
        <v>S4A</v>
      </c>
      <c r="AE43" s="324" t="str">
        <f>IF(AE42&lt;220000,"",VLOOKUP(AE42,'220'!$P:$W,3))</f>
        <v>S8A</v>
      </c>
      <c r="AF43" s="324" t="str">
        <f>IF(AF42&lt;220000,"",VLOOKUP(AF42,'220'!$P:$W,3))</f>
        <v/>
      </c>
      <c r="AG43" s="324" t="str">
        <f>IF(AG42&lt;220000,"",VLOOKUP(AG42,'220'!$P:$W,3))</f>
        <v>S5A</v>
      </c>
      <c r="AH43" s="324" t="str">
        <f>IF(AH42&lt;220000,"",VLOOKUP(AH42,'220'!$P:$W,3))</f>
        <v>S5A</v>
      </c>
      <c r="AI43" s="324" t="str">
        <f>IF(AI42&lt;220000,"",VLOOKUP(AI42,'220'!$P:$W,3))</f>
        <v/>
      </c>
      <c r="AJ43" s="324" t="str">
        <f>IF(AJ42&lt;220000,"",VLOOKUP(AJ42,'220'!$P:$W,3))</f>
        <v>S8A</v>
      </c>
      <c r="AK43" s="324" t="str">
        <f>IF(AK42&lt;220000,"",VLOOKUP(AK42,'220'!$P:$W,3))</f>
        <v>S4A</v>
      </c>
      <c r="AL43" s="324" t="str">
        <f>IF(AL42&lt;220000,"",VLOOKUP(AL42,'220'!$P:$W,3))</f>
        <v>S3A</v>
      </c>
      <c r="AM43" s="324" t="str">
        <f>IF(AM42&lt;220000,"",VLOOKUP(AM42,'220'!$P:$W,3))</f>
        <v/>
      </c>
      <c r="AN43" s="517" t="str">
        <f>IF(AN42&lt;220000,"",VLOOKUP(AN42,'220'!$P:$W,3))</f>
        <v/>
      </c>
      <c r="AO43" s="519" t="str">
        <f>IF(AO42&lt;220000,"",VLOOKUP(AO42,'220'!$P:$W,3))</f>
        <v>S5A</v>
      </c>
      <c r="AP43" s="482" t="str">
        <f>IF(AP42&lt;220000,"",VLOOKUP(AP42,'220'!$P:$W,3))</f>
        <v/>
      </c>
    </row>
    <row r="44" spans="1:44" s="54" customFormat="1" ht="14.25" customHeight="1">
      <c r="A44" s="330" t="str">
        <f>IF(A42&lt;220000,"",VLOOKUP(A42,'220'!$P:$W,2))</f>
        <v/>
      </c>
      <c r="B44" s="283" t="str">
        <f>IF(B42&lt;220000,"",VLOOKUP(B42,'220'!$P:$W,2))</f>
        <v/>
      </c>
      <c r="C44" s="3" t="str">
        <f>IF(C42&lt;220000,"",VLOOKUP(C42,'220'!$P:$W,2))</f>
        <v/>
      </c>
      <c r="D44" s="283" t="str">
        <f>IF(D42&lt;220000,"",VLOOKUP(D42,'220'!$P:$W,2))</f>
        <v/>
      </c>
      <c r="E44" s="492" t="str">
        <f>IF(E42&lt;220000,"",VLOOKUP(E42,'220'!$P:$W,2))</f>
        <v/>
      </c>
      <c r="F44" s="4" t="str">
        <f>IF(F42&lt;220000,"",VLOOKUP(F42,'220'!$P:$W,2))</f>
        <v/>
      </c>
      <c r="G44" s="4" t="str">
        <f>IF(G42&lt;220000,"",VLOOKUP(G42,'220'!$P:$W,2))</f>
        <v/>
      </c>
      <c r="H44" s="4">
        <f>IF(H42&lt;220000,"",VLOOKUP(H42,'220'!$P:$W,2))</f>
        <v>42934</v>
      </c>
      <c r="I44" s="4">
        <f>IF(I42&lt;220000,"",VLOOKUP(I42,'220'!$P:$W,2))</f>
        <v>42937</v>
      </c>
      <c r="J44" s="4">
        <f>IF(J42&lt;220000,"",VLOOKUP(J42,'220'!$P:$W,2))</f>
        <v>42938</v>
      </c>
      <c r="K44" s="4" t="str">
        <f>IF(K42&lt;220000,"",VLOOKUP(K42,'220'!$P:$W,2))</f>
        <v/>
      </c>
      <c r="L44" s="4">
        <f>IF(L42&lt;220000,"",VLOOKUP(L42,'220'!$P:$W,2))</f>
        <v>42939</v>
      </c>
      <c r="M44" s="4">
        <f>IF(M42&lt;220000,"",VLOOKUP(M42,'220'!$P:$W,2))</f>
        <v>42941</v>
      </c>
      <c r="N44" s="4">
        <f>IF(N42&lt;220000,"",VLOOKUP(N42,'220'!$P:$W,2))</f>
        <v>42941</v>
      </c>
      <c r="O44" s="4">
        <f>IF(O42&lt;220000,"",VLOOKUP(O42,'220'!$P:$W,2))</f>
        <v>42942</v>
      </c>
      <c r="P44" s="4">
        <f>IF(P42&lt;220000,"",VLOOKUP(P42,'220'!$P:$W,2))</f>
        <v>42944</v>
      </c>
      <c r="Q44" s="4">
        <f>IF(Q42&lt;220000,"",VLOOKUP(Q42,'220'!$P:$W,2))</f>
        <v>42945</v>
      </c>
      <c r="R44" s="4">
        <f>IF(R42&lt;220000,"",VLOOKUP(R42,'220'!$P:$W,2))</f>
        <v>42945</v>
      </c>
      <c r="S44" s="4">
        <f>IF(S42&lt;220000,"",VLOOKUP(S42,'220'!$P:$W,2))</f>
        <v>42947</v>
      </c>
      <c r="T44" s="4">
        <f>IF(T42&lt;220000,"",VLOOKUP(T42,'220'!$P:$W,2))</f>
        <v>42948</v>
      </c>
      <c r="U44" s="4">
        <f>IF(U42&lt;220000,"",VLOOKUP(U42,'220'!$P:$W,2))</f>
        <v>42948</v>
      </c>
      <c r="V44" s="4">
        <f>IF(V42&lt;220000,"",VLOOKUP(V42,'220'!$P:$W,2))</f>
        <v>42950</v>
      </c>
      <c r="W44" s="4">
        <f>IF(W42&lt;220000,"",VLOOKUP(W42,'220'!$P:$W,2))</f>
        <v>42950</v>
      </c>
      <c r="X44" s="4">
        <f>IF(X42&lt;220000,"",VLOOKUP(X42,'220'!$P:$W,2))</f>
        <v>42952</v>
      </c>
      <c r="Y44" s="4">
        <f>IF(Y42&lt;220000,"",VLOOKUP(Y42,'220'!$P:$W,2))</f>
        <v>42953</v>
      </c>
      <c r="Z44" s="4" t="str">
        <f>IF(Z42&lt;220000,"",VLOOKUP(Z42,'220'!$P:$W,2))</f>
        <v/>
      </c>
      <c r="AA44" s="4">
        <f>IF(AA42&lt;220000,"",VLOOKUP(AA42,'220'!$P:$W,2))</f>
        <v>42954</v>
      </c>
      <c r="AB44" s="4" t="str">
        <f>IF(AB42&lt;220000,"",VLOOKUP(AB42,'220'!$P:$W,2))</f>
        <v/>
      </c>
      <c r="AC44" s="4">
        <f>IF(AC42&lt;220000,"",VLOOKUP(AC42,'220'!$P:$W,2))</f>
        <v>42958</v>
      </c>
      <c r="AD44" s="4">
        <f>IF(AD42&lt;220000,"",VLOOKUP(AD42,'220'!$P:$W,2))</f>
        <v>42958</v>
      </c>
      <c r="AE44" s="4">
        <f>IF(AE42&lt;220000,"",VLOOKUP(AE42,'220'!$P:$W,2))</f>
        <v>42960</v>
      </c>
      <c r="AF44" s="4" t="str">
        <f>IF(AF42&lt;220000,"",VLOOKUP(AF42,'220'!$P:$W,2))</f>
        <v/>
      </c>
      <c r="AG44" s="4">
        <f>IF(AG42&lt;220000,"",VLOOKUP(AG42,'220'!$P:$W,2))</f>
        <v>42961</v>
      </c>
      <c r="AH44" s="4">
        <f>IF(AH42&lt;220000,"",VLOOKUP(AH42,'220'!$P:$W,2))</f>
        <v>42962</v>
      </c>
      <c r="AI44" s="4" t="str">
        <f>IF(AI42&lt;220000,"",VLOOKUP(AI42,'220'!$P:$W,2))</f>
        <v/>
      </c>
      <c r="AJ44" s="4">
        <f>IF(AJ42&lt;220000,"",VLOOKUP(AJ42,'220'!$P:$W,2))</f>
        <v>42964</v>
      </c>
      <c r="AK44" s="4">
        <f>IF(AK42&lt;220000,"",VLOOKUP(AK42,'220'!$P:$W,2))</f>
        <v>42963</v>
      </c>
      <c r="AL44" s="4">
        <f>IF(AL42&lt;220000,"",VLOOKUP(AL42,'220'!$P:$W,2))</f>
        <v>42966</v>
      </c>
      <c r="AM44" s="4" t="str">
        <f>IF(AM42&lt;220000,"",VLOOKUP(AM42,'220'!$P:$W,2))</f>
        <v/>
      </c>
      <c r="AN44" s="465" t="str">
        <f>IF(AN42&lt;220000,"",VLOOKUP(AN42,'220'!$P:$W,2))</f>
        <v/>
      </c>
      <c r="AO44" s="3">
        <f>IF(AO42&lt;220000,"",VLOOKUP(AO42,'220'!$P:$W,2))</f>
        <v>42969</v>
      </c>
      <c r="AP44" s="452" t="str">
        <f>IF(AP42&lt;220000,"",VLOOKUP(AP42,'220'!$P:$W,2))</f>
        <v/>
      </c>
    </row>
    <row r="45" spans="1:44" ht="14.25" customHeight="1">
      <c r="A45" s="411" t="str">
        <f>IF(A42&lt;22000,"",(VLOOKUP(A42,'220'!$A:$AR,43,FALSE)))</f>
        <v/>
      </c>
      <c r="B45" s="365" t="str">
        <f>IF(B42&lt;22000,"",(VLOOKUP(B42,'220'!$A:$AR,43,FALSE)))</f>
        <v/>
      </c>
      <c r="C45" s="365" t="str">
        <f>IF(C42&lt;22000,"",(VLOOKUP(C42,'220'!$A:$AR,43,FALSE)))</f>
        <v/>
      </c>
      <c r="D45" s="466" t="str">
        <f>IF(D42&lt;22000,"",(VLOOKUP(D42,'220'!$A:$AR,43,FALSE)))</f>
        <v/>
      </c>
      <c r="E45" s="487" t="e">
        <f t="array" ref="E45">INDEX('Brake Pad Workorders'!$A$1:$Z$100,MATCH(E42&amp;E43,'Brake Pad Workorders'!$A$1:$A$100&amp;'Brake Pad Workorders'!$S$1:$S$100,0),25)</f>
        <v>#N/A</v>
      </c>
      <c r="F45" s="543" t="e">
        <f t="array" ref="F45">INDEX('Brake Pad Workorders'!$A$1:$Z$100,MATCH(F42&amp;F43,'Brake Pad Workorders'!$A$1:$A$100&amp;'Brake Pad Workorders'!$S$1:$S$100,0),25)</f>
        <v>#N/A</v>
      </c>
      <c r="G45" s="543" t="e">
        <f t="array" ref="G45">INDEX('Brake Pad Workorders'!$A$1:$Z$100,MATCH(G42&amp;G43,'Brake Pad Workorders'!$A$1:$A$100&amp;'Brake Pad Workorders'!$S$1:$S$100,0),25)</f>
        <v>#N/A</v>
      </c>
      <c r="H45" s="543" t="str">
        <f t="array" ref="H45">INDEX('Brake Pad Workorders'!$A$1:$Z$100,MATCH(H42&amp;H43,'Brake Pad Workorders'!$A$1:$A$100&amp;'Brake Pad Workorders'!$S$1:$S$100,0),25)</f>
        <v>CHECKED</v>
      </c>
      <c r="I45" s="543" t="e">
        <f t="array" ref="I45">INDEX('Brake Pad Workorders'!$A$1:$Z$100,MATCH(I42&amp;I43,'Brake Pad Workorders'!$A$1:$A$100&amp;'Brake Pad Workorders'!$S$1:$S$100,0),25)</f>
        <v>#N/A</v>
      </c>
      <c r="J45" s="543" t="e">
        <f t="array" ref="J45">INDEX('Brake Pad Workorders'!$A$1:$Z$100,MATCH(J42&amp;J43,'Brake Pad Workorders'!$A$1:$A$100&amp;'Brake Pad Workorders'!$S$1:$S$100,0),25)</f>
        <v>#N/A</v>
      </c>
      <c r="K45" s="543" t="e">
        <f t="array" ref="K45">INDEX('Brake Pad Workorders'!$A$1:$Z$100,MATCH(K42&amp;K43,'Brake Pad Workorders'!$A$1:$A$100&amp;'Brake Pad Workorders'!$S$1:$S$100,0),25)</f>
        <v>#N/A</v>
      </c>
      <c r="L45" s="543" t="e">
        <f t="array" ref="L45">INDEX('Brake Pad Workorders'!$A$1:$Z$100,MATCH(L42&amp;L43,'Brake Pad Workorders'!$A$1:$A$100&amp;'Brake Pad Workorders'!$S$1:$S$100,0),25)</f>
        <v>#N/A</v>
      </c>
      <c r="M45" s="543" t="e">
        <f t="array" ref="M45">INDEX('Brake Pad Workorders'!$A$1:$Z$100,MATCH(M42&amp;M43,'Brake Pad Workorders'!$A$1:$A$100&amp;'Brake Pad Workorders'!$S$1:$S$100,0),25)</f>
        <v>#N/A</v>
      </c>
      <c r="N45" s="543" t="e">
        <f t="array" ref="N45">INDEX('Brake Pad Workorders'!$A$1:$Z$100,MATCH(N42&amp;N43,'Brake Pad Workorders'!$A$1:$A$100&amp;'Brake Pad Workorders'!$S$1:$S$100,0),25)</f>
        <v>#N/A</v>
      </c>
      <c r="O45" s="543" t="e">
        <f t="array" ref="O45">INDEX('Brake Pad Workorders'!$A$1:$Z$100,MATCH(O42&amp;O43,'Brake Pad Workorders'!$A$1:$A$100&amp;'Brake Pad Workorders'!$S$1:$S$100,0),25)</f>
        <v>#N/A</v>
      </c>
      <c r="P45" s="543" t="e">
        <f t="array" ref="P45">INDEX('Brake Pad Workorders'!$A$1:$Z$100,MATCH(P42&amp;P43,'Brake Pad Workorders'!$A$1:$A$100&amp;'Brake Pad Workorders'!$S$1:$S$100,0),25)</f>
        <v>#N/A</v>
      </c>
      <c r="Q45" s="543" t="e">
        <f t="array" ref="Q45">INDEX('Brake Pad Workorders'!$A$1:$Z$100,MATCH(Q42&amp;Q43,'Brake Pad Workorders'!$A$1:$A$100&amp;'Brake Pad Workorders'!$S$1:$S$100,0),25)</f>
        <v>#N/A</v>
      </c>
      <c r="R45" s="543" t="e">
        <f t="array" ref="R45">INDEX('Brake Pad Workorders'!$A$1:$Z$100,MATCH(R42&amp;R43,'Brake Pad Workorders'!$A$1:$A$100&amp;'Brake Pad Workorders'!$S$1:$S$100,0),25)</f>
        <v>#N/A</v>
      </c>
      <c r="S45" s="543" t="e">
        <f t="array" ref="S45">INDEX('Brake Pad Workorders'!$A$1:$Z$100,MATCH(S42&amp;S43,'Brake Pad Workorders'!$A$1:$A$100&amp;'Brake Pad Workorders'!$S$1:$S$100,0),25)</f>
        <v>#N/A</v>
      </c>
      <c r="T45" s="543" t="e">
        <f t="array" ref="T45">INDEX('Brake Pad Workorders'!$A$1:$Z$100,MATCH(T42&amp;T43,'Brake Pad Workorders'!$A$1:$A$100&amp;'Brake Pad Workorders'!$S$1:$S$100,0),25)</f>
        <v>#N/A</v>
      </c>
      <c r="U45" s="543" t="e">
        <f t="array" ref="U45">INDEX('Brake Pad Workorders'!$A$1:$Z$100,MATCH(U42&amp;U43,'Brake Pad Workorders'!$A$1:$A$100&amp;'Brake Pad Workorders'!$S$1:$S$100,0),25)</f>
        <v>#N/A</v>
      </c>
      <c r="V45" s="543" t="e">
        <f t="array" ref="V45">INDEX('Brake Pad Workorders'!$A$1:$Z$100,MATCH(V42&amp;V43,'Brake Pad Workorders'!$A$1:$A$100&amp;'Brake Pad Workorders'!$S$1:$S$100,0),25)</f>
        <v>#N/A</v>
      </c>
      <c r="W45" s="543" t="e">
        <f t="array" ref="W45">INDEX('Brake Pad Workorders'!$A$1:$Z$100,MATCH(W42&amp;W43,'Brake Pad Workorders'!$A$1:$A$100&amp;'Brake Pad Workorders'!$S$1:$S$100,0),25)</f>
        <v>#N/A</v>
      </c>
      <c r="X45" s="543" t="e">
        <f t="array" ref="X45">INDEX('Brake Pad Workorders'!$A$1:$Z$100,MATCH(X42&amp;X43,'Brake Pad Workorders'!$A$1:$A$100&amp;'Brake Pad Workorders'!$S$1:$S$100,0),25)</f>
        <v>#N/A</v>
      </c>
      <c r="Y45" s="543" t="e">
        <f t="array" ref="Y45">INDEX('Brake Pad Workorders'!$A$1:$Z$100,MATCH(Y42&amp;Y43,'Brake Pad Workorders'!$A$1:$A$100&amp;'Brake Pad Workorders'!$S$1:$S$100,0),25)</f>
        <v>#N/A</v>
      </c>
      <c r="Z45" s="543" t="e">
        <f t="array" ref="Z45">INDEX('Brake Pad Workorders'!$A$1:$Z$100,MATCH(Z42&amp;Z43,'Brake Pad Workorders'!$A$1:$A$100&amp;'Brake Pad Workorders'!$S$1:$S$100,0),25)</f>
        <v>#N/A</v>
      </c>
      <c r="AA45" s="543" t="e">
        <f t="array" ref="AA45">INDEX('Brake Pad Workorders'!$A$1:$Z$100,MATCH(AA42&amp;AA43,'Brake Pad Workorders'!$A$1:$A$100&amp;'Brake Pad Workorders'!$S$1:$S$100,0),25)</f>
        <v>#N/A</v>
      </c>
      <c r="AB45" s="543" t="e">
        <f t="array" ref="AB45">INDEX('Brake Pad Workorders'!$A$1:$Z$100,MATCH(AB42&amp;AB43,'Brake Pad Workorders'!$A$1:$A$100&amp;'Brake Pad Workorders'!$S$1:$S$100,0),25)</f>
        <v>#N/A</v>
      </c>
      <c r="AC45" s="543" t="e">
        <f t="array" ref="AC45">INDEX('Brake Pad Workorders'!$A$1:$Z$100,MATCH(AC42&amp;AC43,'Brake Pad Workorders'!$A$1:$A$100&amp;'Brake Pad Workorders'!$S$1:$S$100,0),25)</f>
        <v>#N/A</v>
      </c>
      <c r="AD45" s="543" t="e">
        <f t="array" ref="AD45">INDEX('Brake Pad Workorders'!$A$1:$Z$100,MATCH(AD42&amp;AD43,'Brake Pad Workorders'!$A$1:$A$100&amp;'Brake Pad Workorders'!$S$1:$S$100,0),25)</f>
        <v>#N/A</v>
      </c>
      <c r="AE45" s="543" t="e">
        <f t="array" ref="AE45">INDEX('Brake Pad Workorders'!$A$1:$Z$100,MATCH(AE42&amp;AE43,'Brake Pad Workorders'!$A$1:$A$100&amp;'Brake Pad Workorders'!$S$1:$S$100,0),25)</f>
        <v>#N/A</v>
      </c>
      <c r="AF45" s="543" t="e">
        <f t="array" ref="AF45">INDEX('Brake Pad Workorders'!$A$1:$Z$100,MATCH(AF42&amp;AF43,'Brake Pad Workorders'!$A$1:$A$100&amp;'Brake Pad Workorders'!$S$1:$S$100,0),25)</f>
        <v>#N/A</v>
      </c>
      <c r="AG45" s="543" t="e">
        <f t="array" ref="AG45">INDEX('Brake Pad Workorders'!$A$1:$Z$100,MATCH(AG42&amp;AG43,'Brake Pad Workorders'!$A$1:$A$100&amp;'Brake Pad Workorders'!$S$1:$S$100,0),25)</f>
        <v>#N/A</v>
      </c>
      <c r="AH45" s="543" t="e">
        <f t="array" ref="AH45">INDEX('Brake Pad Workorders'!$A$1:$Z$100,MATCH(AH42&amp;AH43,'Brake Pad Workorders'!$A$1:$A$100&amp;'Brake Pad Workorders'!$S$1:$S$100,0),25)</f>
        <v>#N/A</v>
      </c>
      <c r="AI45" s="543" t="e">
        <f t="array" ref="AI45">INDEX('Brake Pad Workorders'!$A$1:$Z$100,MATCH(AI42&amp;AI43,'Brake Pad Workorders'!$A$1:$A$100&amp;'Brake Pad Workorders'!$S$1:$S$100,0),25)</f>
        <v>#N/A</v>
      </c>
      <c r="AJ45" s="543" t="e">
        <f t="array" ref="AJ45">INDEX('Brake Pad Workorders'!$A$1:$Z$100,MATCH(AJ42&amp;AJ43,'Brake Pad Workorders'!$A$1:$A$100&amp;'Brake Pad Workorders'!$S$1:$S$100,0),25)</f>
        <v>#N/A</v>
      </c>
      <c r="AK45" s="543" t="e">
        <f t="array" ref="AK45">INDEX('Brake Pad Workorders'!$A$1:$Z$100,MATCH(AK42&amp;AK43,'Brake Pad Workorders'!$A$1:$A$100&amp;'Brake Pad Workorders'!$S$1:$S$100,0),25)</f>
        <v>#N/A</v>
      </c>
      <c r="AL45" s="543" t="e">
        <f t="array" ref="AL45">INDEX('Brake Pad Workorders'!$A$1:$Z$100,MATCH(AL42&amp;AL43,'Brake Pad Workorders'!$A$1:$A$100&amp;'Brake Pad Workorders'!$S$1:$S$100,0),25)</f>
        <v>#N/A</v>
      </c>
      <c r="AM45" s="543" t="e">
        <f t="array" ref="AM45">INDEX('Brake Pad Workorders'!$A$1:$Z$100,MATCH(AM42&amp;AM43,'Brake Pad Workorders'!$A$1:$A$100&amp;'Brake Pad Workorders'!$S$1:$S$100,0),25)</f>
        <v>#N/A</v>
      </c>
      <c r="AN45" s="543" t="e">
        <f t="array" ref="AN45">INDEX('Brake Pad Workorders'!$A$1:$Z$100,MATCH(AN42&amp;AN43,'Brake Pad Workorders'!$A$1:$A$100&amp;'Brake Pad Workorders'!$S$1:$S$100,0),25)</f>
        <v>#N/A</v>
      </c>
      <c r="AO45" s="543" t="e">
        <f t="array" ref="AO45">INDEX('Brake Pad Workorders'!$A$1:$Z$100,MATCH(AO42&amp;AO43,'Brake Pad Workorders'!$A$1:$A$100&amp;'Brake Pad Workorders'!$S$1:$S$100,0),25)</f>
        <v>#N/A</v>
      </c>
      <c r="AP45" s="451" t="e">
        <f t="array" ref="AP45">INDEX('Brake Pad Workorders'!$A$1:$Z$100,MATCH(AP42&amp;AP43,'Brake Pad Workorders'!$A$1:$A$100&amp;'Brake Pad Workorders'!$T$1:$T$100,0),25)</f>
        <v>#N/A</v>
      </c>
    </row>
    <row r="46" spans="1:44" s="54" customFormat="1" ht="13.5" thickBot="1">
      <c r="A46" s="368" t="str">
        <f>IF(A42&lt;220000,"",VLOOKUP(A42,'220'!$P:$W,8))</f>
        <v/>
      </c>
      <c r="B46" s="369" t="str">
        <f>IF(B42&lt;220000,"",VLOOKUP(B42,'220'!$P:$W,8))</f>
        <v/>
      </c>
      <c r="C46" s="370" t="str">
        <f>IF(C42&lt;220000,"",VLOOKUP(C42,'220'!$P:$W,8))</f>
        <v/>
      </c>
      <c r="D46" s="536" t="str">
        <f>IF(D42&lt;220000,"",VLOOKUP(D42,'220'!$P:$W,8))</f>
        <v/>
      </c>
      <c r="E46" s="496" t="str">
        <f ca="1">IF(E42&lt;220000,"",(E3-TODAY()+(VLOOKUP(E42,'220'!$P:$W,8))))</f>
        <v/>
      </c>
      <c r="F46" s="379" t="str">
        <f ca="1">IF(F42&lt;220000,"",(F3-TODAY()+(VLOOKUP(F42,'220'!$P:$W,8))))</f>
        <v/>
      </c>
      <c r="G46" s="379" t="str">
        <f ca="1">IF(G42&lt;220000,"",(G3-TODAY()+(VLOOKUP(G42,'220'!$P:$W,8))))</f>
        <v/>
      </c>
      <c r="H46" s="379">
        <f ca="1">IF(H42&lt;220000,"",(H3-TODAY()+(VLOOKUP(H42,'220'!$P:$W,8))))</f>
        <v>43</v>
      </c>
      <c r="I46" s="379">
        <f ca="1">IF(I42&lt;220000,"",(I3-TODAY()+(VLOOKUP(I42,'220'!$P:$W,8))))</f>
        <v>46</v>
      </c>
      <c r="J46" s="379">
        <f ca="1">IF(J42&lt;220000,"",(J3-TODAY()+(VLOOKUP(J42,'220'!$P:$W,8))))</f>
        <v>47</v>
      </c>
      <c r="K46" s="379" t="str">
        <f ca="1">IF(K42&lt;220000,"",(K3-TODAY()+(VLOOKUP(K42,'220'!$P:$W,8))))</f>
        <v/>
      </c>
      <c r="L46" s="379">
        <f ca="1">IF(L42&lt;220000,"",(L3-TODAY()+(VLOOKUP(L42,'220'!$P:$W,8))))</f>
        <v>46</v>
      </c>
      <c r="M46" s="379">
        <f ca="1">IF(M42&lt;220000,"",(M3-TODAY()+(VLOOKUP(M42,'220'!$P:$W,8))))</f>
        <v>46</v>
      </c>
      <c r="N46" s="379">
        <f ca="1">IF(N42&lt;220000,"",(N3-TODAY()+(VLOOKUP(N42,'220'!$P:$W,8))))</f>
        <v>46</v>
      </c>
      <c r="O46" s="379">
        <f ca="1">IF(O42&lt;220000,"",(O3-TODAY()+(VLOOKUP(O42,'220'!$P:$W,8))))</f>
        <v>43</v>
      </c>
      <c r="P46" s="379">
        <f ca="1">IF(P42&lt;220000,"",(P3-TODAY()+(VLOOKUP(P42,'220'!$P:$W,8))))</f>
        <v>46</v>
      </c>
      <c r="Q46" s="379">
        <f ca="1">IF(Q42&lt;220000,"",(Q3-TODAY()+(VLOOKUP(Q42,'220'!$P:$W,8))))</f>
        <v>46</v>
      </c>
      <c r="R46" s="379">
        <f ca="1">IF(R42&lt;220000,"",(R3-TODAY()+(VLOOKUP(R42,'220'!$P:$W,8))))</f>
        <v>46</v>
      </c>
      <c r="S46" s="379">
        <f ca="1">IF(S42&lt;220000,"",(S3-TODAY()+(VLOOKUP(S42,'220'!$P:$W,8))))</f>
        <v>45</v>
      </c>
      <c r="T46" s="379">
        <f ca="1">IF(T42&lt;220000,"",(T3-TODAY()+(VLOOKUP(T42,'220'!$P:$W,8))))</f>
        <v>46</v>
      </c>
      <c r="U46" s="379">
        <f ca="1">IF(U42&lt;220000,"",(U3-TODAY()+(VLOOKUP(U42,'220'!$P:$W,8))))</f>
        <v>46</v>
      </c>
      <c r="V46" s="379">
        <f ca="1">IF(V42&lt;220000,"",(V3-TODAY()+(VLOOKUP(V42,'220'!$P:$W,8))))</f>
        <v>46</v>
      </c>
      <c r="W46" s="379">
        <f ca="1">IF(W42&lt;220000,"",(W3-TODAY()+(VLOOKUP(W42,'220'!$P:$W,8))))</f>
        <v>46</v>
      </c>
      <c r="X46" s="379">
        <f ca="1">IF(X42&lt;220000,"",(X3-TODAY()+(VLOOKUP(X42,'220'!$P:$W,8))))</f>
        <v>42</v>
      </c>
      <c r="Y46" s="379">
        <f ca="1">IF(Y42&lt;220000,"",(Y3-TODAY()+(VLOOKUP(Y42,'220'!$P:$W,8))))</f>
        <v>44</v>
      </c>
      <c r="Z46" s="379" t="str">
        <f ca="1">IF(Z42&lt;220000,"",(Z3-TODAY()+(VLOOKUP(Z42,'220'!$P:$W,8))))</f>
        <v/>
      </c>
      <c r="AA46" s="379">
        <f ca="1">IF(AA42&lt;220000,"",(AA3-TODAY()+(VLOOKUP(AA42,'220'!$P:$W,8))))</f>
        <v>44</v>
      </c>
      <c r="AB46" s="379" t="str">
        <f ca="1">IF(AB42&lt;220000,"",(AB3-TODAY()+(VLOOKUP(AB42,'220'!$P:$W,8))))</f>
        <v/>
      </c>
      <c r="AC46" s="379">
        <f ca="1">IF(AC42&lt;220000,"",(AC3-TODAY()+(VLOOKUP(AC42,'220'!$P:$W,8))))</f>
        <v>45</v>
      </c>
      <c r="AD46" s="379">
        <f ca="1">IF(AD42&lt;220000,"",(AD3-TODAY()+(VLOOKUP(AD42,'220'!$P:$W,8))))</f>
        <v>45</v>
      </c>
      <c r="AE46" s="379">
        <f ca="1">IF(AE42&lt;220000,"",(AE3-TODAY()+(VLOOKUP(AE42,'220'!$P:$W,8))))</f>
        <v>44</v>
      </c>
      <c r="AF46" s="379" t="str">
        <f ca="1">IF(AF42&lt;220000,"",(AF3-TODAY()+(VLOOKUP(AF42,'220'!$P:$W,8))))</f>
        <v/>
      </c>
      <c r="AG46" s="379">
        <f ca="1">IF(AG42&lt;220000,"",(AG3-TODAY()+(VLOOKUP(AG42,'220'!$P:$W,8))))</f>
        <v>45</v>
      </c>
      <c r="AH46" s="379">
        <f ca="1">IF(AH42&lt;220000,"",(AH3-TODAY()+(VLOOKUP(AH42,'220'!$P:$W,8))))</f>
        <v>45</v>
      </c>
      <c r="AI46" s="379" t="str">
        <f ca="1">IF(AI42&lt;220000,"",(AI3-TODAY()+(VLOOKUP(AI42,'220'!$P:$W,8))))</f>
        <v/>
      </c>
      <c r="AJ46" s="379">
        <f ca="1">IF(AJ42&lt;220000,"",(AJ3-TODAY()+(VLOOKUP(AJ42,'220'!$P:$W,8))))</f>
        <v>46</v>
      </c>
      <c r="AK46" s="379">
        <f ca="1">IF(AK42&lt;220000,"",(AK3-TODAY()+(VLOOKUP(AK42,'220'!$P:$W,8))))</f>
        <v>45</v>
      </c>
      <c r="AL46" s="379">
        <f ca="1">IF(AL42&lt;220000,"",(AL3-TODAY()+(VLOOKUP(AL42,'220'!$P:$W,8))))</f>
        <v>43</v>
      </c>
      <c r="AM46" s="525" t="str">
        <f ca="1">IF(AM42&lt;220000,"",(AM3-TODAY()+(VLOOKUP(AM42,'220'!$P:$W,8))))</f>
        <v/>
      </c>
      <c r="AN46" s="523" t="str">
        <f ca="1">IF(AN42&lt;220000,"",(AN3-TODAY()+(VLOOKUP(AN42,'220'!$P:$W,8))))</f>
        <v/>
      </c>
      <c r="AO46" s="524">
        <f ca="1">IF(AO42&lt;220000,"",(AO3-TODAY()+(VLOOKUP(AO42,'220'!$P:$W,8))))</f>
        <v>44</v>
      </c>
      <c r="AP46" s="483" t="str">
        <f ca="1">IF(AP42&lt;220000,"",(AP3-TODAY()+(VLOOKUP(AP42,'220'!$P:$W,8))))</f>
        <v/>
      </c>
    </row>
    <row r="47" spans="1:44" ht="60.75" customHeight="1" thickTop="1" thickBot="1">
      <c r="A47" s="805" t="s">
        <v>729</v>
      </c>
      <c r="B47" s="805"/>
      <c r="C47" s="806"/>
      <c r="D47" s="537" t="s">
        <v>983</v>
      </c>
      <c r="E47" s="534" t="s">
        <v>774</v>
      </c>
      <c r="F47" s="322" t="s">
        <v>783</v>
      </c>
      <c r="G47" s="322" t="s">
        <v>1047</v>
      </c>
      <c r="H47" s="322" t="s">
        <v>918</v>
      </c>
      <c r="I47" s="188" t="s">
        <v>1043</v>
      </c>
      <c r="J47" s="284" t="s">
        <v>1048</v>
      </c>
      <c r="K47" s="188" t="s">
        <v>951</v>
      </c>
      <c r="L47" s="322" t="s">
        <v>976</v>
      </c>
      <c r="M47" s="322"/>
      <c r="N47" s="322" t="s">
        <v>899</v>
      </c>
      <c r="O47" s="322"/>
      <c r="P47" s="322" t="s">
        <v>833</v>
      </c>
      <c r="Q47" s="322"/>
      <c r="R47" s="322" t="s">
        <v>864</v>
      </c>
      <c r="S47" s="322"/>
      <c r="T47" s="322" t="s">
        <v>832</v>
      </c>
      <c r="U47" s="322" t="s">
        <v>856</v>
      </c>
      <c r="V47" s="322"/>
      <c r="W47" s="322" t="s">
        <v>945</v>
      </c>
      <c r="X47" s="322"/>
      <c r="Y47" s="322" t="s">
        <v>865</v>
      </c>
      <c r="Z47" s="322"/>
      <c r="AA47" s="322" t="s">
        <v>948</v>
      </c>
      <c r="AB47" s="322"/>
      <c r="AC47" s="322"/>
      <c r="AD47" s="322"/>
      <c r="AE47" s="322"/>
      <c r="AF47" s="322"/>
      <c r="AG47" s="322"/>
      <c r="AH47" s="322"/>
      <c r="AI47" s="506"/>
      <c r="AJ47" s="322"/>
      <c r="AK47" s="322"/>
      <c r="AL47" s="322"/>
      <c r="AM47" s="526"/>
      <c r="AN47" s="527"/>
      <c r="AO47" s="527"/>
      <c r="AP47" s="508"/>
      <c r="AQ47" s="459"/>
      <c r="AR47" s="50"/>
    </row>
    <row r="48" spans="1:44" ht="81.75" customHeight="1" thickBot="1">
      <c r="A48" s="807" t="s">
        <v>730</v>
      </c>
      <c r="B48" s="807"/>
      <c r="C48" s="808"/>
      <c r="D48" s="538" t="s">
        <v>1052</v>
      </c>
      <c r="E48" s="188" t="s">
        <v>949</v>
      </c>
      <c r="F48" s="62" t="s">
        <v>1046</v>
      </c>
      <c r="G48" s="322" t="s">
        <v>1042</v>
      </c>
      <c r="H48" s="322" t="s">
        <v>985</v>
      </c>
      <c r="I48" s="653" t="s">
        <v>980</v>
      </c>
      <c r="J48" s="62" t="s">
        <v>1049</v>
      </c>
      <c r="K48" s="188" t="s">
        <v>934</v>
      </c>
      <c r="L48" s="188" t="s">
        <v>989</v>
      </c>
      <c r="M48" s="172"/>
      <c r="N48" s="188"/>
      <c r="O48" s="188" t="s">
        <v>900</v>
      </c>
      <c r="P48" s="188"/>
      <c r="Q48" s="186"/>
      <c r="R48" s="172" t="s">
        <v>977</v>
      </c>
      <c r="S48" s="188"/>
      <c r="T48" s="188"/>
      <c r="U48" s="284"/>
      <c r="V48" s="284"/>
      <c r="W48" s="186"/>
      <c r="X48" s="188" t="s">
        <v>946</v>
      </c>
      <c r="Y48" s="186" t="s">
        <v>947</v>
      </c>
      <c r="Z48" s="188"/>
      <c r="AA48" s="188"/>
      <c r="AB48" s="186"/>
      <c r="AC48" s="186"/>
      <c r="AD48" s="187"/>
      <c r="AE48" s="187"/>
      <c r="AF48" s="186"/>
      <c r="AG48" s="187"/>
      <c r="AH48" s="186"/>
      <c r="AI48" s="499"/>
      <c r="AJ48" s="464"/>
      <c r="AK48" s="464"/>
      <c r="AL48" s="464"/>
      <c r="AM48" s="499"/>
      <c r="AN48" s="464"/>
      <c r="AO48" s="464"/>
      <c r="AP48" s="461"/>
      <c r="AQ48" s="55"/>
    </row>
    <row r="49" spans="1:45" ht="73.5" customHeight="1" thickBot="1">
      <c r="A49" s="807" t="s">
        <v>731</v>
      </c>
      <c r="B49" s="807"/>
      <c r="C49" s="808"/>
      <c r="D49" s="538" t="s">
        <v>982</v>
      </c>
      <c r="E49" s="62" t="s">
        <v>950</v>
      </c>
      <c r="F49" s="535" t="s">
        <v>1053</v>
      </c>
      <c r="G49" s="62" t="s">
        <v>1051</v>
      </c>
      <c r="H49" s="322"/>
      <c r="I49" s="322" t="s">
        <v>986</v>
      </c>
      <c r="J49" s="285" t="s">
        <v>1045</v>
      </c>
      <c r="K49" s="322" t="s">
        <v>943</v>
      </c>
      <c r="L49" s="285"/>
      <c r="M49" s="172"/>
      <c r="N49" s="61"/>
      <c r="O49" s="186"/>
      <c r="P49" s="186"/>
      <c r="Q49" s="186"/>
      <c r="R49" s="188" t="s">
        <v>901</v>
      </c>
      <c r="S49" s="62"/>
      <c r="T49" s="62"/>
      <c r="U49" s="62"/>
      <c r="V49" s="62"/>
      <c r="W49" s="62"/>
      <c r="X49" s="282"/>
      <c r="Y49" s="186"/>
      <c r="Z49" s="322"/>
      <c r="AA49" s="187"/>
      <c r="AB49" s="187"/>
      <c r="AC49" s="187"/>
      <c r="AD49" s="63"/>
      <c r="AE49" s="63"/>
      <c r="AF49" s="63"/>
      <c r="AG49" s="63"/>
      <c r="AH49" s="464"/>
      <c r="AI49" s="499"/>
      <c r="AJ49" s="464"/>
      <c r="AK49" s="464"/>
      <c r="AL49" s="464"/>
      <c r="AM49" s="499"/>
      <c r="AN49" s="464"/>
      <c r="AO49" s="464"/>
      <c r="AP49" s="461"/>
      <c r="AQ49" s="183"/>
      <c r="AR49" s="64"/>
      <c r="AS49" s="64"/>
    </row>
    <row r="50" spans="1:45" ht="70.5" customHeight="1" thickBot="1">
      <c r="A50" s="807" t="s">
        <v>732</v>
      </c>
      <c r="B50" s="807"/>
      <c r="C50" s="808"/>
      <c r="D50" s="538" t="s">
        <v>981</v>
      </c>
      <c r="E50" s="535" t="s">
        <v>967</v>
      </c>
      <c r="F50" s="535" t="s">
        <v>968</v>
      </c>
      <c r="G50" s="322" t="s">
        <v>969</v>
      </c>
      <c r="H50" s="285" t="s">
        <v>970</v>
      </c>
      <c r="I50" s="285" t="s">
        <v>1044</v>
      </c>
      <c r="J50" s="285"/>
      <c r="K50" s="185" t="s">
        <v>944</v>
      </c>
      <c r="L50" s="426"/>
      <c r="M50" s="172"/>
      <c r="N50" s="187"/>
      <c r="O50" s="187"/>
      <c r="P50" s="285"/>
      <c r="Q50" s="172"/>
      <c r="R50" s="172"/>
      <c r="S50" s="184"/>
      <c r="T50" s="184"/>
      <c r="U50" s="184"/>
      <c r="V50" s="62"/>
      <c r="W50" s="62"/>
      <c r="X50" s="282"/>
      <c r="Y50" s="186"/>
      <c r="Z50" s="187"/>
      <c r="AA50" s="458"/>
      <c r="AB50" s="458"/>
      <c r="AC50" s="186"/>
      <c r="AD50" s="186"/>
      <c r="AE50" s="62"/>
      <c r="AF50" s="62"/>
      <c r="AG50" s="62"/>
      <c r="AH50" s="186"/>
      <c r="AI50" s="500"/>
      <c r="AJ50" s="186"/>
      <c r="AK50" s="186"/>
      <c r="AL50" s="186"/>
      <c r="AM50" s="500"/>
      <c r="AN50" s="186"/>
      <c r="AO50" s="186"/>
      <c r="AP50" s="462"/>
    </row>
    <row r="51" spans="1:45" s="64" customFormat="1" ht="78.75" customHeight="1" thickBot="1">
      <c r="A51" s="807" t="s">
        <v>716</v>
      </c>
      <c r="B51" s="807"/>
      <c r="C51" s="808"/>
      <c r="D51" s="539"/>
      <c r="E51" s="541" t="s">
        <v>855</v>
      </c>
      <c r="F51" s="418" t="s">
        <v>971</v>
      </c>
      <c r="G51" s="418" t="s">
        <v>972</v>
      </c>
      <c r="H51" s="419" t="s">
        <v>973</v>
      </c>
      <c r="I51" s="418" t="s">
        <v>974</v>
      </c>
      <c r="J51" s="418" t="s">
        <v>975</v>
      </c>
      <c r="K51" s="418"/>
      <c r="L51" s="418"/>
      <c r="M51" s="419"/>
      <c r="N51" s="418"/>
      <c r="O51" s="418"/>
      <c r="P51" s="418"/>
      <c r="Q51" s="418"/>
      <c r="R51" s="418"/>
      <c r="S51" s="418"/>
      <c r="T51" s="418"/>
      <c r="U51" s="418"/>
      <c r="V51" s="418"/>
      <c r="W51" s="418"/>
      <c r="X51" s="419"/>
      <c r="Y51" s="418"/>
      <c r="Z51" s="418"/>
      <c r="AA51" s="418"/>
      <c r="AB51" s="418"/>
      <c r="AC51" s="418"/>
      <c r="AD51" s="418"/>
      <c r="AE51" s="418"/>
      <c r="AF51" s="418"/>
      <c r="AG51" s="419"/>
      <c r="AH51" s="418"/>
      <c r="AI51" s="501"/>
      <c r="AJ51" s="418"/>
      <c r="AK51" s="418"/>
      <c r="AL51" s="418"/>
      <c r="AM51" s="501"/>
      <c r="AN51" s="418"/>
      <c r="AO51" s="418"/>
      <c r="AP51" s="463"/>
      <c r="AQ51" s="183"/>
      <c r="AR51" s="183"/>
    </row>
    <row r="52" spans="1:45" ht="60.75" customHeight="1" thickTop="1" thickBot="1">
      <c r="A52" s="805" t="s">
        <v>705</v>
      </c>
      <c r="B52" s="805"/>
      <c r="C52" s="806"/>
      <c r="D52" s="537" t="s">
        <v>1040</v>
      </c>
      <c r="E52" s="534" t="s">
        <v>773</v>
      </c>
      <c r="F52" s="322" t="s">
        <v>952</v>
      </c>
      <c r="G52" s="322"/>
      <c r="H52" s="322" t="s">
        <v>939</v>
      </c>
      <c r="I52" s="188"/>
      <c r="J52" s="284"/>
      <c r="K52" s="188" t="s">
        <v>746</v>
      </c>
      <c r="L52" s="322" t="s">
        <v>1050</v>
      </c>
      <c r="M52" s="322" t="s">
        <v>862</v>
      </c>
      <c r="N52" s="322"/>
      <c r="O52" s="322" t="s">
        <v>834</v>
      </c>
      <c r="P52" s="322" t="s">
        <v>902</v>
      </c>
      <c r="Q52" s="322"/>
      <c r="R52" s="322"/>
      <c r="S52" s="322"/>
      <c r="T52" s="322"/>
      <c r="U52" s="322" t="s">
        <v>747</v>
      </c>
      <c r="V52" s="322"/>
      <c r="W52" s="322"/>
      <c r="X52" s="322"/>
      <c r="Y52" s="322"/>
      <c r="Z52" s="322"/>
      <c r="AA52" s="322"/>
      <c r="AB52" s="322"/>
      <c r="AC52" s="322"/>
      <c r="AD52" s="322"/>
      <c r="AE52" s="322"/>
      <c r="AF52" s="322"/>
      <c r="AG52" s="322"/>
      <c r="AH52" s="322"/>
      <c r="AI52" s="506"/>
      <c r="AJ52" s="322"/>
      <c r="AK52" s="322"/>
      <c r="AL52" s="322"/>
      <c r="AM52" s="526"/>
      <c r="AN52" s="527"/>
      <c r="AO52" s="527"/>
      <c r="AP52" s="508"/>
      <c r="AQ52" s="459"/>
      <c r="AR52" s="50"/>
    </row>
    <row r="53" spans="1:45" ht="66" customHeight="1" thickBot="1">
      <c r="A53" s="807" t="s">
        <v>706</v>
      </c>
      <c r="B53" s="807"/>
      <c r="C53" s="808"/>
      <c r="D53" s="538"/>
      <c r="E53" s="188" t="s">
        <v>862</v>
      </c>
      <c r="F53" s="62" t="s">
        <v>1041</v>
      </c>
      <c r="G53" s="322"/>
      <c r="H53" s="322"/>
      <c r="I53" s="284" t="s">
        <v>987</v>
      </c>
      <c r="J53" s="285"/>
      <c r="K53" s="185" t="s">
        <v>888</v>
      </c>
      <c r="L53" s="62"/>
      <c r="M53" s="172"/>
      <c r="N53" s="188"/>
      <c r="O53" s="188"/>
      <c r="P53" s="188"/>
      <c r="Q53" s="186"/>
      <c r="R53" s="172"/>
      <c r="S53" s="184"/>
      <c r="T53" s="186"/>
      <c r="U53" s="284"/>
      <c r="V53" s="284"/>
      <c r="W53" s="186"/>
      <c r="X53" s="188"/>
      <c r="Y53" s="186"/>
      <c r="Z53" s="188"/>
      <c r="AA53" s="188"/>
      <c r="AB53" s="186"/>
      <c r="AC53" s="186"/>
      <c r="AD53" s="187"/>
      <c r="AE53" s="187"/>
      <c r="AF53" s="186"/>
      <c r="AG53" s="187"/>
      <c r="AH53" s="186"/>
      <c r="AI53" s="499"/>
      <c r="AJ53" s="464"/>
      <c r="AK53" s="464"/>
      <c r="AL53" s="464"/>
      <c r="AM53" s="499"/>
      <c r="AN53" s="464"/>
      <c r="AO53" s="464"/>
      <c r="AP53" s="461"/>
      <c r="AQ53" s="55"/>
    </row>
    <row r="54" spans="1:45" ht="73.5" customHeight="1" thickBot="1">
      <c r="A54" s="807" t="s">
        <v>707</v>
      </c>
      <c r="B54" s="807"/>
      <c r="C54" s="808"/>
      <c r="D54" s="538"/>
      <c r="E54" s="62" t="s">
        <v>984</v>
      </c>
      <c r="G54" s="62" t="s">
        <v>988</v>
      </c>
      <c r="H54" s="172"/>
      <c r="I54" s="322"/>
      <c r="J54" s="285"/>
      <c r="K54" s="62"/>
      <c r="M54" s="186"/>
      <c r="N54" s="61"/>
      <c r="O54" s="187" t="s">
        <v>857</v>
      </c>
      <c r="P54" s="186"/>
      <c r="Q54" s="188"/>
      <c r="R54" s="62"/>
      <c r="S54" s="62"/>
      <c r="T54" s="62"/>
      <c r="U54" s="62"/>
      <c r="V54" s="62"/>
      <c r="W54" s="62"/>
      <c r="X54" s="282"/>
      <c r="Y54" s="186"/>
      <c r="Z54" s="322"/>
      <c r="AA54" s="187"/>
      <c r="AB54" s="187"/>
      <c r="AC54" s="187"/>
      <c r="AD54" s="63"/>
      <c r="AE54" s="63"/>
      <c r="AF54" s="63"/>
      <c r="AG54" s="63"/>
      <c r="AH54" s="464"/>
      <c r="AI54" s="499"/>
      <c r="AJ54" s="464"/>
      <c r="AK54" s="464"/>
      <c r="AL54" s="464"/>
      <c r="AM54" s="499"/>
      <c r="AN54" s="464"/>
      <c r="AO54" s="464"/>
      <c r="AP54" s="461"/>
      <c r="AQ54" s="183"/>
      <c r="AR54" s="64"/>
      <c r="AS54" s="64"/>
    </row>
    <row r="55" spans="1:45" ht="70.5" customHeight="1" thickBot="1">
      <c r="A55" s="807" t="s">
        <v>708</v>
      </c>
      <c r="B55" s="807"/>
      <c r="C55" s="808"/>
      <c r="D55" s="538"/>
      <c r="E55" s="535"/>
      <c r="F55" s="62"/>
      <c r="G55" s="186"/>
      <c r="H55" s="284"/>
      <c r="I55" s="284"/>
      <c r="J55" s="284"/>
      <c r="K55" s="186"/>
      <c r="L55" s="62"/>
      <c r="M55" s="62"/>
      <c r="N55" s="186"/>
      <c r="O55" s="186"/>
      <c r="P55" s="284"/>
      <c r="Q55" s="62"/>
      <c r="R55" s="62"/>
      <c r="S55" s="186"/>
      <c r="T55" s="186"/>
      <c r="U55" s="184"/>
      <c r="V55" s="62"/>
      <c r="W55" s="62"/>
      <c r="X55" s="282"/>
      <c r="Y55" s="186"/>
      <c r="Z55" s="187"/>
      <c r="AA55" s="458"/>
      <c r="AB55" s="458"/>
      <c r="AC55" s="186"/>
      <c r="AD55" s="186"/>
      <c r="AE55" s="62"/>
      <c r="AF55" s="62"/>
      <c r="AG55" s="62"/>
      <c r="AH55" s="186"/>
      <c r="AI55" s="500"/>
      <c r="AJ55" s="186"/>
      <c r="AK55" s="186"/>
      <c r="AL55" s="186"/>
      <c r="AM55" s="500"/>
      <c r="AN55" s="186"/>
      <c r="AO55" s="186"/>
      <c r="AP55" s="462"/>
    </row>
    <row r="56" spans="1:45" s="64" customFormat="1" ht="78.75" customHeight="1" thickBot="1">
      <c r="A56" s="807" t="s">
        <v>709</v>
      </c>
      <c r="B56" s="807"/>
      <c r="C56" s="808"/>
      <c r="D56" s="539"/>
      <c r="E56" s="541" t="s">
        <v>978</v>
      </c>
      <c r="F56" s="418" t="s">
        <v>979</v>
      </c>
      <c r="G56" s="654"/>
      <c r="H56" s="419"/>
      <c r="I56" s="418"/>
      <c r="J56" s="418"/>
      <c r="K56" s="418"/>
      <c r="L56" s="418"/>
      <c r="M56" s="418"/>
      <c r="N56" s="418"/>
      <c r="O56" s="418"/>
      <c r="P56" s="418"/>
      <c r="Q56" s="418"/>
      <c r="R56" s="418"/>
      <c r="S56" s="418"/>
      <c r="T56" s="418"/>
      <c r="U56" s="418"/>
      <c r="V56" s="418"/>
      <c r="W56" s="418"/>
      <c r="X56" s="419"/>
      <c r="Y56" s="418"/>
      <c r="Z56" s="418"/>
      <c r="AA56" s="418"/>
      <c r="AB56" s="418"/>
      <c r="AC56" s="418"/>
      <c r="AD56" s="418"/>
      <c r="AE56" s="418"/>
      <c r="AF56" s="418"/>
      <c r="AG56" s="418"/>
      <c r="AH56" s="418"/>
      <c r="AI56" s="501"/>
      <c r="AJ56" s="418"/>
      <c r="AK56" s="418"/>
      <c r="AL56" s="418"/>
      <c r="AM56" s="501"/>
      <c r="AN56" s="418"/>
      <c r="AO56" s="418"/>
      <c r="AP56" s="463"/>
      <c r="AQ56" s="183"/>
      <c r="AR56" s="183"/>
    </row>
    <row r="57" spans="1:45">
      <c r="A57" s="68"/>
      <c r="B57" s="66"/>
      <c r="C57" s="49"/>
      <c r="D57" s="54"/>
      <c r="E57" s="65"/>
      <c r="F57" s="69"/>
      <c r="G57" s="65"/>
      <c r="H57" s="49"/>
      <c r="I57" s="49"/>
      <c r="J57" s="49"/>
      <c r="K57" s="49"/>
      <c r="L57" s="49"/>
      <c r="M57" s="49"/>
      <c r="N57" s="49"/>
      <c r="O57" s="49"/>
      <c r="P57" s="49"/>
      <c r="Q57" s="49"/>
      <c r="R57" s="49"/>
      <c r="S57" s="49"/>
      <c r="T57" s="49"/>
      <c r="U57" s="49"/>
      <c r="V57" s="49"/>
      <c r="W57" s="49"/>
      <c r="X57" s="49"/>
      <c r="Y57" s="49"/>
      <c r="Z57" s="49"/>
      <c r="AA57" s="49"/>
    </row>
    <row r="58" spans="1:45">
      <c r="A58" s="60"/>
      <c r="B58" s="49"/>
      <c r="C58" s="66"/>
      <c r="D58" s="54">
        <f>D57-D56</f>
        <v>0</v>
      </c>
      <c r="E58" s="65"/>
      <c r="F58" s="65"/>
      <c r="G58" s="70"/>
      <c r="H58" s="49"/>
      <c r="I58" s="49"/>
      <c r="J58" s="49"/>
      <c r="K58" s="49"/>
      <c r="L58" s="49"/>
      <c r="M58" s="49"/>
      <c r="N58" s="49"/>
      <c r="O58" s="49"/>
      <c r="P58" s="49"/>
      <c r="Q58" s="49"/>
      <c r="R58" s="49"/>
      <c r="S58" s="49"/>
      <c r="T58" s="49"/>
      <c r="U58" s="49"/>
      <c r="V58" s="49"/>
      <c r="W58" s="49"/>
      <c r="X58" s="49"/>
      <c r="Y58" s="49"/>
      <c r="Z58" s="49"/>
      <c r="AA58" s="49"/>
    </row>
    <row r="59" spans="1:45">
      <c r="A59" s="60"/>
      <c r="B59" s="49"/>
      <c r="C59" s="66"/>
      <c r="D59" s="49"/>
      <c r="E59" s="65"/>
      <c r="F59" s="71"/>
      <c r="G59" s="65"/>
      <c r="H59" s="49"/>
      <c r="I59" s="49"/>
      <c r="J59" s="49"/>
      <c r="K59" s="49"/>
      <c r="L59" s="49"/>
      <c r="M59" s="49"/>
      <c r="N59" s="49"/>
      <c r="O59" s="49"/>
      <c r="P59" s="49"/>
      <c r="Q59" s="49"/>
      <c r="R59" s="49"/>
      <c r="S59" s="49"/>
      <c r="T59" s="49"/>
      <c r="U59" s="49"/>
      <c r="V59" s="49"/>
      <c r="W59" s="49"/>
      <c r="X59" s="49"/>
      <c r="Y59" s="49"/>
      <c r="Z59" s="49"/>
      <c r="AA59" s="49"/>
    </row>
    <row r="60" spans="1:45">
      <c r="A60" s="60"/>
      <c r="B60" s="49"/>
      <c r="C60" s="49"/>
      <c r="D60" s="49"/>
      <c r="E60" s="65"/>
      <c r="F60" s="72"/>
      <c r="G60" s="70"/>
      <c r="H60" s="49"/>
      <c r="I60" s="49"/>
      <c r="J60" s="49"/>
      <c r="K60" s="49"/>
      <c r="L60" s="49"/>
      <c r="M60" s="49"/>
      <c r="N60" s="49"/>
      <c r="O60" s="49"/>
      <c r="P60" s="49"/>
      <c r="Q60" s="49"/>
      <c r="R60" s="49"/>
      <c r="S60" s="49"/>
      <c r="T60" s="49"/>
      <c r="U60" s="49"/>
      <c r="V60" s="49"/>
      <c r="W60" s="49"/>
      <c r="X60" s="49"/>
      <c r="Y60" s="49"/>
      <c r="Z60" s="49"/>
      <c r="AA60" s="49"/>
    </row>
    <row r="61" spans="1:45">
      <c r="C61" s="49"/>
      <c r="D61" s="160" t="s">
        <v>75</v>
      </c>
      <c r="E61" s="159"/>
      <c r="F61" s="71"/>
      <c r="G61" s="65"/>
      <c r="H61" s="49"/>
      <c r="I61" s="49"/>
      <c r="J61" s="49"/>
      <c r="K61" s="49"/>
      <c r="L61" s="49"/>
      <c r="M61" s="49"/>
      <c r="N61" s="49"/>
      <c r="O61" s="49"/>
      <c r="P61" s="49"/>
      <c r="Q61" s="49"/>
      <c r="R61" s="49"/>
      <c r="S61" s="49"/>
      <c r="T61" s="49"/>
      <c r="U61" s="49"/>
      <c r="V61" s="49"/>
      <c r="W61" s="49"/>
      <c r="X61" s="49"/>
      <c r="Y61" s="49"/>
      <c r="Z61" s="49"/>
      <c r="AA61" s="49"/>
    </row>
    <row r="62" spans="1:45">
      <c r="D62" s="170" t="s">
        <v>76</v>
      </c>
      <c r="E62" s="161">
        <f t="shared" ref="E62:AP62" si="12">E5</f>
        <v>221116</v>
      </c>
      <c r="F62" s="162">
        <f t="shared" si="12"/>
        <v>221136</v>
      </c>
      <c r="G62" s="162">
        <f>G5</f>
        <v>221107</v>
      </c>
      <c r="H62" s="162">
        <f t="shared" si="12"/>
        <v>221111</v>
      </c>
      <c r="I62" s="162">
        <f t="shared" si="12"/>
        <v>221132</v>
      </c>
      <c r="J62" s="162">
        <f t="shared" si="12"/>
        <v>220018</v>
      </c>
      <c r="K62" s="162">
        <f t="shared" si="12"/>
        <v>221114</v>
      </c>
      <c r="L62" s="162">
        <f t="shared" si="12"/>
        <v>220010</v>
      </c>
      <c r="M62" s="162">
        <f t="shared" si="12"/>
        <v>221118</v>
      </c>
      <c r="N62" s="162">
        <f t="shared" si="12"/>
        <v>221142</v>
      </c>
      <c r="O62" s="162">
        <f t="shared" si="12"/>
        <v>221113</v>
      </c>
      <c r="P62" s="162">
        <f t="shared" si="12"/>
        <v>221115</v>
      </c>
      <c r="Q62" s="162">
        <f t="shared" si="12"/>
        <v>221119</v>
      </c>
      <c r="R62" s="162">
        <f t="shared" si="12"/>
        <v>220034</v>
      </c>
      <c r="S62" s="162">
        <f t="shared" si="12"/>
        <v>220009</v>
      </c>
      <c r="T62" s="162">
        <f t="shared" si="12"/>
        <v>221102</v>
      </c>
      <c r="U62" s="162">
        <f t="shared" si="12"/>
        <v>220016</v>
      </c>
      <c r="V62" s="162">
        <f t="shared" si="12"/>
        <v>221108</v>
      </c>
      <c r="W62" s="162">
        <f t="shared" si="12"/>
        <v>221112</v>
      </c>
      <c r="X62" s="162">
        <f t="shared" si="12"/>
        <v>221109</v>
      </c>
      <c r="Y62" s="162">
        <f t="shared" si="12"/>
        <v>221129</v>
      </c>
      <c r="Z62" s="162">
        <f t="shared" si="12"/>
        <v>220030</v>
      </c>
      <c r="AA62" s="162">
        <f t="shared" si="12"/>
        <v>221122</v>
      </c>
      <c r="AB62" s="162">
        <f t="shared" si="12"/>
        <v>221128</v>
      </c>
      <c r="AC62" s="162">
        <f t="shared" si="12"/>
        <v>221106</v>
      </c>
      <c r="AD62" s="162">
        <f t="shared" si="12"/>
        <v>221110</v>
      </c>
      <c r="AE62" s="162">
        <f t="shared" si="12"/>
        <v>221103</v>
      </c>
      <c r="AF62" s="162">
        <f t="shared" si="12"/>
        <v>221101</v>
      </c>
      <c r="AG62" s="162">
        <f t="shared" si="12"/>
        <v>221121</v>
      </c>
      <c r="AH62" s="162">
        <f t="shared" si="12"/>
        <v>221104</v>
      </c>
      <c r="AI62" s="162">
        <f t="shared" si="12"/>
        <v>220004</v>
      </c>
      <c r="AJ62" s="162">
        <f t="shared" si="12"/>
        <v>220011</v>
      </c>
      <c r="AK62" s="162">
        <f t="shared" si="12"/>
        <v>221133</v>
      </c>
      <c r="AL62" s="162">
        <f t="shared" si="12"/>
        <v>220008</v>
      </c>
      <c r="AM62" s="162">
        <f t="shared" si="12"/>
        <v>220020</v>
      </c>
      <c r="AN62" s="162">
        <f t="shared" si="12"/>
        <v>220026</v>
      </c>
      <c r="AO62" s="162">
        <f t="shared" si="12"/>
        <v>221111</v>
      </c>
      <c r="AP62" s="163">
        <f t="shared" si="12"/>
        <v>220019</v>
      </c>
    </row>
    <row r="63" spans="1:45">
      <c r="D63" s="171" t="s">
        <v>77</v>
      </c>
      <c r="E63" s="5">
        <f t="shared" ref="E63:AP63" si="13">E13</f>
        <v>220028</v>
      </c>
      <c r="F63" s="7">
        <f t="shared" si="13"/>
        <v>220019</v>
      </c>
      <c r="G63" s="7">
        <f>G13</f>
        <v>220031</v>
      </c>
      <c r="H63" s="7">
        <f t="shared" si="13"/>
        <v>220006</v>
      </c>
      <c r="I63" s="7">
        <f t="shared" si="13"/>
        <v>221134</v>
      </c>
      <c r="J63" s="7">
        <f t="shared" si="13"/>
        <v>220014</v>
      </c>
      <c r="K63" s="7">
        <f t="shared" si="13"/>
        <v>221127</v>
      </c>
      <c r="L63" s="7">
        <f t="shared" si="13"/>
        <v>220013</v>
      </c>
      <c r="M63" s="7">
        <f t="shared" si="13"/>
        <v>221130</v>
      </c>
      <c r="N63" s="7">
        <f t="shared" si="13"/>
        <v>220023</v>
      </c>
      <c r="O63" s="7">
        <f t="shared" si="13"/>
        <v>221120</v>
      </c>
      <c r="P63" s="7">
        <f t="shared" si="13"/>
        <v>221137</v>
      </c>
      <c r="Q63" s="7">
        <f t="shared" si="13"/>
        <v>221139</v>
      </c>
      <c r="R63" s="7">
        <f t="shared" si="13"/>
        <v>220024</v>
      </c>
      <c r="S63" s="7">
        <f t="shared" si="13"/>
        <v>220032</v>
      </c>
      <c r="T63" s="7">
        <f t="shared" si="13"/>
        <v>221140</v>
      </c>
      <c r="U63" s="7">
        <f t="shared" si="13"/>
        <v>220007</v>
      </c>
      <c r="V63" s="7">
        <f t="shared" si="13"/>
        <v>221131</v>
      </c>
      <c r="W63" s="7">
        <f t="shared" si="13"/>
        <v>221135</v>
      </c>
      <c r="X63" s="7">
        <f t="shared" si="13"/>
        <v>221125</v>
      </c>
      <c r="Y63" s="7">
        <f t="shared" si="13"/>
        <v>220022</v>
      </c>
      <c r="Z63" s="7">
        <f t="shared" si="13"/>
        <v>220002</v>
      </c>
      <c r="AA63" s="7">
        <f t="shared" si="13"/>
        <v>221123</v>
      </c>
      <c r="AB63" s="7">
        <f t="shared" si="13"/>
        <v>221124</v>
      </c>
      <c r="AC63" s="7">
        <f t="shared" si="13"/>
        <v>220017</v>
      </c>
      <c r="AD63" s="7">
        <f t="shared" si="13"/>
        <v>220025</v>
      </c>
      <c r="AE63" s="7">
        <f t="shared" si="13"/>
        <v>220033</v>
      </c>
      <c r="AF63" s="7">
        <f t="shared" si="13"/>
        <v>220003</v>
      </c>
      <c r="AG63" s="7">
        <f t="shared" si="13"/>
        <v>220001</v>
      </c>
      <c r="AH63" s="7">
        <f t="shared" si="13"/>
        <v>220015</v>
      </c>
      <c r="AI63" s="7">
        <f t="shared" si="13"/>
        <v>221126</v>
      </c>
      <c r="AJ63" s="7">
        <f t="shared" si="13"/>
        <v>221117</v>
      </c>
      <c r="AK63" s="7">
        <f t="shared" si="13"/>
        <v>221107</v>
      </c>
      <c r="AL63" s="7">
        <f t="shared" si="13"/>
        <v>221116</v>
      </c>
      <c r="AM63" s="7">
        <f t="shared" si="13"/>
        <v>220005</v>
      </c>
      <c r="AN63" s="7">
        <f t="shared" si="13"/>
        <v>220031</v>
      </c>
      <c r="AO63" s="7">
        <f t="shared" si="13"/>
        <v>221127</v>
      </c>
      <c r="AP63" s="2">
        <f t="shared" si="13"/>
        <v>221136</v>
      </c>
    </row>
    <row r="64" spans="1:45">
      <c r="D64" s="124" t="s">
        <v>78</v>
      </c>
      <c r="E64" s="164">
        <f>E21</f>
        <v>0</v>
      </c>
      <c r="F64" s="165">
        <f>F21</f>
        <v>0</v>
      </c>
      <c r="G64" s="165">
        <f>G21</f>
        <v>0</v>
      </c>
      <c r="H64" s="165">
        <f t="shared" ref="H64:AP64" si="14">H21</f>
        <v>0</v>
      </c>
      <c r="I64" s="165">
        <f t="shared" si="14"/>
        <v>0</v>
      </c>
      <c r="J64" s="165">
        <f t="shared" si="14"/>
        <v>0</v>
      </c>
      <c r="K64" s="165">
        <f t="shared" si="14"/>
        <v>0</v>
      </c>
      <c r="L64" s="165">
        <f t="shared" si="14"/>
        <v>0</v>
      </c>
      <c r="M64" s="165">
        <f t="shared" si="14"/>
        <v>0</v>
      </c>
      <c r="N64" s="165">
        <f t="shared" si="14"/>
        <v>0</v>
      </c>
      <c r="O64" s="165">
        <f t="shared" si="14"/>
        <v>220029</v>
      </c>
      <c r="P64" s="165">
        <f t="shared" si="14"/>
        <v>0</v>
      </c>
      <c r="Q64" s="165">
        <f t="shared" si="14"/>
        <v>0</v>
      </c>
      <c r="R64" s="165">
        <f t="shared" si="14"/>
        <v>0</v>
      </c>
      <c r="S64" s="165">
        <f t="shared" si="14"/>
        <v>0</v>
      </c>
      <c r="T64" s="165">
        <f t="shared" si="14"/>
        <v>0</v>
      </c>
      <c r="U64" s="165">
        <f t="shared" si="14"/>
        <v>220012</v>
      </c>
      <c r="V64" s="165">
        <f t="shared" si="14"/>
        <v>0</v>
      </c>
      <c r="W64" s="165">
        <f t="shared" si="14"/>
        <v>0</v>
      </c>
      <c r="X64" s="165">
        <f t="shared" si="14"/>
        <v>0</v>
      </c>
      <c r="Y64" s="165">
        <f t="shared" si="14"/>
        <v>221105</v>
      </c>
      <c r="Z64" s="165">
        <f t="shared" si="14"/>
        <v>221141</v>
      </c>
      <c r="AA64" s="165">
        <f t="shared" si="14"/>
        <v>0</v>
      </c>
      <c r="AB64" s="165">
        <f t="shared" si="14"/>
        <v>0</v>
      </c>
      <c r="AC64" s="165">
        <f t="shared" si="14"/>
        <v>0</v>
      </c>
      <c r="AD64" s="165">
        <f t="shared" si="14"/>
        <v>0</v>
      </c>
      <c r="AE64" s="165">
        <f t="shared" si="14"/>
        <v>0</v>
      </c>
      <c r="AF64" s="165">
        <f t="shared" si="14"/>
        <v>220021</v>
      </c>
      <c r="AG64" s="165">
        <f t="shared" si="14"/>
        <v>221138</v>
      </c>
      <c r="AH64" s="165">
        <f t="shared" si="14"/>
        <v>221143</v>
      </c>
      <c r="AI64" s="165">
        <f t="shared" si="14"/>
        <v>220027</v>
      </c>
      <c r="AJ64" s="165">
        <f t="shared" si="14"/>
        <v>0</v>
      </c>
      <c r="AK64" s="165">
        <f t="shared" si="14"/>
        <v>0</v>
      </c>
      <c r="AL64" s="165">
        <f t="shared" si="14"/>
        <v>0</v>
      </c>
      <c r="AM64" s="165">
        <f t="shared" si="14"/>
        <v>0</v>
      </c>
      <c r="AN64" s="165">
        <f t="shared" si="14"/>
        <v>0</v>
      </c>
      <c r="AO64" s="165">
        <f t="shared" si="14"/>
        <v>0</v>
      </c>
      <c r="AP64" s="166">
        <f t="shared" si="14"/>
        <v>0</v>
      </c>
    </row>
    <row r="65" spans="4:42">
      <c r="D65" s="62" t="s">
        <v>79</v>
      </c>
      <c r="E65" s="167">
        <f t="shared" ref="E65:AP65" si="15">E29</f>
        <v>221131</v>
      </c>
      <c r="F65" s="168">
        <f t="shared" si="15"/>
        <v>221125</v>
      </c>
      <c r="G65" s="168">
        <f t="shared" si="15"/>
        <v>220031</v>
      </c>
      <c r="H65" s="168">
        <f t="shared" si="15"/>
        <v>221134</v>
      </c>
      <c r="I65" s="168">
        <f t="shared" si="15"/>
        <v>221104</v>
      </c>
      <c r="J65" s="168">
        <f t="shared" si="15"/>
        <v>220010</v>
      </c>
      <c r="K65" s="168">
        <f t="shared" si="15"/>
        <v>221114</v>
      </c>
      <c r="L65" s="168">
        <f t="shared" si="15"/>
        <v>220021</v>
      </c>
      <c r="M65" s="168">
        <f t="shared" si="15"/>
        <v>220029</v>
      </c>
      <c r="N65" s="168">
        <f t="shared" si="15"/>
        <v>220033</v>
      </c>
      <c r="O65" s="168">
        <f t="shared" si="15"/>
        <v>0</v>
      </c>
      <c r="P65" s="168">
        <f t="shared" si="15"/>
        <v>221111</v>
      </c>
      <c r="Q65" s="168">
        <f t="shared" si="15"/>
        <v>220020</v>
      </c>
      <c r="R65" s="168">
        <f t="shared" si="15"/>
        <v>221119</v>
      </c>
      <c r="S65" s="168">
        <f t="shared" si="15"/>
        <v>221102</v>
      </c>
      <c r="T65" s="168">
        <f t="shared" si="15"/>
        <v>221140</v>
      </c>
      <c r="U65" s="168">
        <f t="shared" si="15"/>
        <v>0</v>
      </c>
      <c r="V65" s="168">
        <f t="shared" si="15"/>
        <v>220015</v>
      </c>
      <c r="W65" s="168">
        <f t="shared" si="15"/>
        <v>221141</v>
      </c>
      <c r="X65" s="168">
        <f t="shared" si="15"/>
        <v>220002</v>
      </c>
      <c r="Y65" s="168">
        <f t="shared" si="15"/>
        <v>220006</v>
      </c>
      <c r="Z65" s="168">
        <f t="shared" si="15"/>
        <v>0</v>
      </c>
      <c r="AA65" s="168">
        <f t="shared" si="15"/>
        <v>220017</v>
      </c>
      <c r="AB65" s="168">
        <f t="shared" si="15"/>
        <v>221138</v>
      </c>
      <c r="AC65" s="168">
        <f t="shared" si="15"/>
        <v>220034</v>
      </c>
      <c r="AD65" s="168">
        <f t="shared" si="15"/>
        <v>221103</v>
      </c>
      <c r="AE65" s="168">
        <f t="shared" si="15"/>
        <v>221135</v>
      </c>
      <c r="AF65" s="168">
        <f t="shared" si="15"/>
        <v>221112</v>
      </c>
      <c r="AG65" s="168">
        <f t="shared" si="15"/>
        <v>0</v>
      </c>
      <c r="AH65" s="168">
        <f t="shared" si="15"/>
        <v>220001</v>
      </c>
      <c r="AI65" s="168">
        <f t="shared" si="15"/>
        <v>220003</v>
      </c>
      <c r="AJ65" s="168">
        <f t="shared" si="15"/>
        <v>220011</v>
      </c>
      <c r="AK65" s="168">
        <f t="shared" si="15"/>
        <v>221107</v>
      </c>
      <c r="AL65" s="168">
        <f t="shared" si="15"/>
        <v>220007</v>
      </c>
      <c r="AM65" s="168">
        <f>AM29</f>
        <v>221143</v>
      </c>
      <c r="AN65" s="168">
        <f>AN29</f>
        <v>220005</v>
      </c>
      <c r="AO65" s="168">
        <f>AO29</f>
        <v>220022</v>
      </c>
      <c r="AP65" s="169">
        <f t="shared" si="15"/>
        <v>0</v>
      </c>
    </row>
    <row r="66" spans="4:42">
      <c r="D66" s="172" t="s">
        <v>80</v>
      </c>
      <c r="E66" s="161">
        <f t="shared" ref="E66:AP66" si="16">E37</f>
        <v>220008</v>
      </c>
      <c r="F66" s="162">
        <f t="shared" si="16"/>
        <v>221119</v>
      </c>
      <c r="G66" s="162">
        <f t="shared" si="16"/>
        <v>221114</v>
      </c>
      <c r="H66" s="162">
        <f t="shared" si="16"/>
        <v>221117</v>
      </c>
      <c r="I66" s="162">
        <f t="shared" si="16"/>
        <v>220006</v>
      </c>
      <c r="J66" s="162">
        <f t="shared" si="16"/>
        <v>221101</v>
      </c>
      <c r="K66" s="162">
        <f t="shared" si="16"/>
        <v>221136</v>
      </c>
      <c r="L66" s="162">
        <f t="shared" si="16"/>
        <v>221140</v>
      </c>
      <c r="M66" s="162">
        <f t="shared" si="16"/>
        <v>221116</v>
      </c>
      <c r="N66" s="162">
        <f t="shared" si="16"/>
        <v>221102</v>
      </c>
      <c r="O66" s="162">
        <f t="shared" si="16"/>
        <v>221141</v>
      </c>
      <c r="P66" s="162">
        <f t="shared" si="16"/>
        <v>220004</v>
      </c>
      <c r="Q66" s="162">
        <f t="shared" si="16"/>
        <v>221120</v>
      </c>
      <c r="R66" s="162">
        <f t="shared" si="16"/>
        <v>221112</v>
      </c>
      <c r="S66" s="162">
        <f t="shared" si="16"/>
        <v>220026</v>
      </c>
      <c r="T66" s="162">
        <f t="shared" si="16"/>
        <v>221118</v>
      </c>
      <c r="U66" s="162">
        <f t="shared" si="16"/>
        <v>221103</v>
      </c>
      <c r="V66" s="162">
        <f t="shared" si="16"/>
        <v>221135</v>
      </c>
      <c r="W66" s="162">
        <f t="shared" si="16"/>
        <v>221142</v>
      </c>
      <c r="X66" s="162">
        <f t="shared" si="16"/>
        <v>221143</v>
      </c>
      <c r="Y66" s="162">
        <f t="shared" si="16"/>
        <v>221138</v>
      </c>
      <c r="Z66" s="162">
        <f t="shared" si="16"/>
        <v>220014</v>
      </c>
      <c r="AA66" s="162">
        <f t="shared" si="16"/>
        <v>221132</v>
      </c>
      <c r="AB66" s="162">
        <f t="shared" si="16"/>
        <v>221107</v>
      </c>
      <c r="AC66" s="162">
        <f t="shared" si="16"/>
        <v>221130</v>
      </c>
      <c r="AD66" s="162">
        <f t="shared" si="16"/>
        <v>221109</v>
      </c>
      <c r="AE66" s="162">
        <f t="shared" si="16"/>
        <v>221122</v>
      </c>
      <c r="AF66" s="162">
        <f t="shared" si="16"/>
        <v>221108</v>
      </c>
      <c r="AG66" s="162">
        <f t="shared" si="16"/>
        <v>220007</v>
      </c>
      <c r="AH66" s="162">
        <f t="shared" si="16"/>
        <v>221133</v>
      </c>
      <c r="AI66" s="162">
        <f t="shared" si="16"/>
        <v>221113</v>
      </c>
      <c r="AJ66" s="162">
        <f t="shared" si="16"/>
        <v>221105</v>
      </c>
      <c r="AK66" s="162">
        <f t="shared" si="16"/>
        <v>221106</v>
      </c>
      <c r="AL66" s="162">
        <f t="shared" si="16"/>
        <v>221110</v>
      </c>
      <c r="AM66" s="162">
        <f t="shared" si="16"/>
        <v>221125</v>
      </c>
      <c r="AN66" s="162">
        <f t="shared" si="16"/>
        <v>220027</v>
      </c>
      <c r="AO66" s="162">
        <f t="shared" si="16"/>
        <v>220016</v>
      </c>
      <c r="AP66" s="163">
        <f t="shared" si="16"/>
        <v>221115</v>
      </c>
    </row>
    <row r="67" spans="4:42">
      <c r="D67" s="173" t="s">
        <v>81</v>
      </c>
      <c r="E67" s="5">
        <f t="shared" ref="E67:AP67" si="17">E42</f>
        <v>0</v>
      </c>
      <c r="F67" s="7">
        <f t="shared" si="17"/>
        <v>0</v>
      </c>
      <c r="G67" s="7">
        <f t="shared" si="17"/>
        <v>0</v>
      </c>
      <c r="H67" s="7">
        <f t="shared" si="17"/>
        <v>220020</v>
      </c>
      <c r="I67" s="7">
        <f>I42</f>
        <v>221128</v>
      </c>
      <c r="J67" s="7">
        <f t="shared" si="17"/>
        <v>220015</v>
      </c>
      <c r="K67" s="7">
        <f t="shared" si="17"/>
        <v>0</v>
      </c>
      <c r="L67" s="7">
        <f t="shared" si="17"/>
        <v>220029</v>
      </c>
      <c r="M67" s="7">
        <f t="shared" si="17"/>
        <v>220019</v>
      </c>
      <c r="N67" s="7">
        <f t="shared" si="17"/>
        <v>220028</v>
      </c>
      <c r="O67" s="7">
        <f t="shared" si="17"/>
        <v>221137</v>
      </c>
      <c r="P67" s="7">
        <f t="shared" si="17"/>
        <v>220002</v>
      </c>
      <c r="Q67" s="7">
        <f t="shared" si="17"/>
        <v>220017</v>
      </c>
      <c r="R67" s="7">
        <f t="shared" si="17"/>
        <v>221121</v>
      </c>
      <c r="S67" s="7">
        <f t="shared" si="17"/>
        <v>220034</v>
      </c>
      <c r="T67" s="7">
        <f t="shared" si="17"/>
        <v>221139</v>
      </c>
      <c r="U67" s="7">
        <f t="shared" si="17"/>
        <v>220023</v>
      </c>
      <c r="V67" s="7">
        <f t="shared" si="17"/>
        <v>220024</v>
      </c>
      <c r="W67" s="7">
        <f t="shared" si="17"/>
        <v>221127</v>
      </c>
      <c r="X67" s="7">
        <f t="shared" si="17"/>
        <v>220001</v>
      </c>
      <c r="Y67" s="7">
        <f t="shared" si="17"/>
        <v>220009</v>
      </c>
      <c r="Z67" s="7">
        <f t="shared" si="17"/>
        <v>0</v>
      </c>
      <c r="AA67" s="7">
        <f t="shared" si="17"/>
        <v>220003</v>
      </c>
      <c r="AB67" s="7">
        <f t="shared" si="17"/>
        <v>0</v>
      </c>
      <c r="AC67" s="7">
        <f t="shared" si="17"/>
        <v>220022</v>
      </c>
      <c r="AD67" s="7">
        <f t="shared" si="17"/>
        <v>220005</v>
      </c>
      <c r="AE67" s="7">
        <f t="shared" si="17"/>
        <v>220011</v>
      </c>
      <c r="AF67" s="7">
        <f t="shared" si="17"/>
        <v>0</v>
      </c>
      <c r="AG67" s="7">
        <f t="shared" si="17"/>
        <v>221124</v>
      </c>
      <c r="AH67" s="7">
        <f t="shared" si="17"/>
        <v>221123</v>
      </c>
      <c r="AI67" s="7">
        <f t="shared" si="17"/>
        <v>0</v>
      </c>
      <c r="AJ67" s="7">
        <f t="shared" si="17"/>
        <v>220013</v>
      </c>
      <c r="AK67" s="7">
        <f t="shared" si="17"/>
        <v>220018</v>
      </c>
      <c r="AL67" s="7">
        <f t="shared" si="17"/>
        <v>221131</v>
      </c>
      <c r="AM67" s="7">
        <f t="shared" si="17"/>
        <v>0</v>
      </c>
      <c r="AN67" s="7">
        <f t="shared" si="17"/>
        <v>0</v>
      </c>
      <c r="AO67" s="7">
        <f t="shared" si="17"/>
        <v>221126</v>
      </c>
      <c r="AP67" s="2">
        <f t="shared" si="17"/>
        <v>0</v>
      </c>
    </row>
    <row r="68" spans="4:42" ht="13.5" thickBot="1">
      <c r="D68" s="173" t="s">
        <v>82</v>
      </c>
      <c r="E68" s="5" t="e">
        <f>#REF!</f>
        <v>#REF!</v>
      </c>
      <c r="F68" s="7" t="e">
        <f>#REF!</f>
        <v>#REF!</v>
      </c>
      <c r="G68" s="7" t="e">
        <f>#REF!</f>
        <v>#REF!</v>
      </c>
      <c r="H68" s="7" t="e">
        <f>#REF!</f>
        <v>#REF!</v>
      </c>
      <c r="I68" s="7" t="e">
        <f>#REF!</f>
        <v>#REF!</v>
      </c>
      <c r="J68" s="7" t="e">
        <f>#REF!</f>
        <v>#REF!</v>
      </c>
      <c r="K68" s="7" t="e">
        <f>#REF!</f>
        <v>#REF!</v>
      </c>
      <c r="L68" s="7" t="e">
        <f>#REF!</f>
        <v>#REF!</v>
      </c>
      <c r="M68" s="7" t="e">
        <f>#REF!</f>
        <v>#REF!</v>
      </c>
      <c r="N68" s="7" t="e">
        <f>#REF!</f>
        <v>#REF!</v>
      </c>
      <c r="O68" s="7" t="e">
        <f>#REF!</f>
        <v>#REF!</v>
      </c>
      <c r="P68" s="7" t="e">
        <f>#REF!</f>
        <v>#REF!</v>
      </c>
      <c r="Q68" s="7" t="e">
        <f>#REF!</f>
        <v>#REF!</v>
      </c>
      <c r="R68" s="7" t="e">
        <f>#REF!</f>
        <v>#REF!</v>
      </c>
      <c r="S68" s="7" t="e">
        <f>#REF!</f>
        <v>#REF!</v>
      </c>
      <c r="T68" s="7" t="e">
        <f>#REF!</f>
        <v>#REF!</v>
      </c>
      <c r="U68" s="7" t="e">
        <f>#REF!</f>
        <v>#REF!</v>
      </c>
      <c r="V68" s="7" t="e">
        <f>#REF!</f>
        <v>#REF!</v>
      </c>
      <c r="W68" s="7" t="e">
        <f>#REF!</f>
        <v>#REF!</v>
      </c>
      <c r="X68" s="7" t="e">
        <f>#REF!</f>
        <v>#REF!</v>
      </c>
      <c r="Y68" s="7" t="e">
        <f>#REF!</f>
        <v>#REF!</v>
      </c>
      <c r="Z68" s="7" t="e">
        <f>#REF!</f>
        <v>#REF!</v>
      </c>
      <c r="AA68" s="7" t="e">
        <f>#REF!</f>
        <v>#REF!</v>
      </c>
      <c r="AB68" s="7" t="e">
        <f>#REF!</f>
        <v>#REF!</v>
      </c>
      <c r="AC68" s="7" t="e">
        <f>#REF!</f>
        <v>#REF!</v>
      </c>
      <c r="AD68" s="7" t="e">
        <f>#REF!</f>
        <v>#REF!</v>
      </c>
      <c r="AE68" s="7" t="e">
        <f>#REF!</f>
        <v>#REF!</v>
      </c>
      <c r="AF68" s="7" t="e">
        <f>#REF!</f>
        <v>#REF!</v>
      </c>
      <c r="AG68" s="7" t="e">
        <f>#REF!</f>
        <v>#REF!</v>
      </c>
      <c r="AH68" s="7" t="e">
        <f>#REF!</f>
        <v>#REF!</v>
      </c>
      <c r="AI68" s="7" t="e">
        <f>#REF!</f>
        <v>#REF!</v>
      </c>
      <c r="AJ68" s="7" t="e">
        <f>#REF!</f>
        <v>#REF!</v>
      </c>
      <c r="AK68" s="7" t="e">
        <f>#REF!</f>
        <v>#REF!</v>
      </c>
      <c r="AL68" s="7" t="e">
        <f>#REF!</f>
        <v>#REF!</v>
      </c>
      <c r="AM68" s="7" t="e">
        <f>#REF!</f>
        <v>#REF!</v>
      </c>
      <c r="AN68" s="7" t="e">
        <f>#REF!</f>
        <v>#REF!</v>
      </c>
      <c r="AO68" s="7" t="e">
        <f>#REF!</f>
        <v>#REF!</v>
      </c>
      <c r="AP68" s="2" t="e">
        <f>#REF!</f>
        <v>#REF!</v>
      </c>
    </row>
    <row r="69" spans="4:42" ht="13.5" thickBot="1">
      <c r="D69" s="175" t="s">
        <v>86</v>
      </c>
      <c r="E69" s="176">
        <f>COUNTIF(E62:E64,"&gt;0")</f>
        <v>2</v>
      </c>
      <c r="F69" s="176">
        <f t="shared" ref="F69:AP69" si="18">COUNTIF(F62:F64,"&gt;0")</f>
        <v>2</v>
      </c>
      <c r="G69" s="176">
        <f t="shared" si="18"/>
        <v>2</v>
      </c>
      <c r="H69" s="176">
        <f t="shared" si="18"/>
        <v>2</v>
      </c>
      <c r="I69" s="176">
        <f t="shared" si="18"/>
        <v>2</v>
      </c>
      <c r="J69" s="176">
        <f t="shared" si="18"/>
        <v>2</v>
      </c>
      <c r="K69" s="176">
        <f t="shared" si="18"/>
        <v>2</v>
      </c>
      <c r="L69" s="176">
        <f t="shared" si="18"/>
        <v>2</v>
      </c>
      <c r="M69" s="176">
        <f t="shared" si="18"/>
        <v>2</v>
      </c>
      <c r="N69" s="176">
        <f t="shared" si="18"/>
        <v>2</v>
      </c>
      <c r="O69" s="176">
        <f t="shared" si="18"/>
        <v>3</v>
      </c>
      <c r="P69" s="176">
        <f t="shared" si="18"/>
        <v>2</v>
      </c>
      <c r="Q69" s="176">
        <f t="shared" si="18"/>
        <v>2</v>
      </c>
      <c r="R69" s="176">
        <f t="shared" si="18"/>
        <v>2</v>
      </c>
      <c r="S69" s="176">
        <f t="shared" si="18"/>
        <v>2</v>
      </c>
      <c r="T69" s="176">
        <f t="shared" si="18"/>
        <v>2</v>
      </c>
      <c r="U69" s="176">
        <f t="shared" si="18"/>
        <v>3</v>
      </c>
      <c r="V69" s="176">
        <f t="shared" si="18"/>
        <v>2</v>
      </c>
      <c r="W69" s="176">
        <f t="shared" si="18"/>
        <v>2</v>
      </c>
      <c r="X69" s="176">
        <f t="shared" si="18"/>
        <v>2</v>
      </c>
      <c r="Y69" s="176">
        <f t="shared" si="18"/>
        <v>3</v>
      </c>
      <c r="Z69" s="176">
        <f t="shared" si="18"/>
        <v>3</v>
      </c>
      <c r="AA69" s="176">
        <f t="shared" si="18"/>
        <v>2</v>
      </c>
      <c r="AB69" s="176">
        <f t="shared" si="18"/>
        <v>2</v>
      </c>
      <c r="AC69" s="176">
        <f t="shared" si="18"/>
        <v>2</v>
      </c>
      <c r="AD69" s="176">
        <f t="shared" si="18"/>
        <v>2</v>
      </c>
      <c r="AE69" s="176">
        <f t="shared" si="18"/>
        <v>2</v>
      </c>
      <c r="AF69" s="176">
        <f t="shared" si="18"/>
        <v>3</v>
      </c>
      <c r="AG69" s="176">
        <f t="shared" si="18"/>
        <v>3</v>
      </c>
      <c r="AH69" s="176">
        <f t="shared" si="18"/>
        <v>3</v>
      </c>
      <c r="AI69" s="176">
        <f t="shared" si="18"/>
        <v>3</v>
      </c>
      <c r="AJ69" s="176">
        <f t="shared" si="18"/>
        <v>2</v>
      </c>
      <c r="AK69" s="176">
        <f t="shared" si="18"/>
        <v>2</v>
      </c>
      <c r="AL69" s="176">
        <f t="shared" si="18"/>
        <v>2</v>
      </c>
      <c r="AM69" s="176">
        <f t="shared" si="18"/>
        <v>2</v>
      </c>
      <c r="AN69" s="176">
        <f t="shared" si="18"/>
        <v>2</v>
      </c>
      <c r="AO69" s="176">
        <f t="shared" si="18"/>
        <v>2</v>
      </c>
      <c r="AP69" s="177">
        <f t="shared" si="18"/>
        <v>2</v>
      </c>
    </row>
    <row r="70" spans="4:42" ht="25.5">
      <c r="D70" s="174" t="s">
        <v>83</v>
      </c>
      <c r="E70" s="7">
        <f>COUNTIF(E65:E68,"&gt;0")</f>
        <v>2</v>
      </c>
      <c r="F70" s="7">
        <f>COUNTIF(F65:F68,"&gt;0")</f>
        <v>2</v>
      </c>
      <c r="G70" s="7">
        <f>COUNTIF(G65:G68,"&gt;0")</f>
        <v>2</v>
      </c>
      <c r="H70" s="7">
        <f t="shared" ref="H70:AP70" si="19">COUNTIF(H65:H68,"&gt;0")</f>
        <v>3</v>
      </c>
      <c r="I70" s="7">
        <f t="shared" si="19"/>
        <v>3</v>
      </c>
      <c r="J70" s="7">
        <f t="shared" si="19"/>
        <v>3</v>
      </c>
      <c r="K70" s="7">
        <f t="shared" si="19"/>
        <v>2</v>
      </c>
      <c r="L70" s="7">
        <f t="shared" si="19"/>
        <v>3</v>
      </c>
      <c r="M70" s="7">
        <f t="shared" si="19"/>
        <v>3</v>
      </c>
      <c r="N70" s="7">
        <f t="shared" si="19"/>
        <v>3</v>
      </c>
      <c r="O70" s="7">
        <f t="shared" si="19"/>
        <v>2</v>
      </c>
      <c r="P70" s="7">
        <f t="shared" si="19"/>
        <v>3</v>
      </c>
      <c r="Q70" s="7">
        <f t="shared" si="19"/>
        <v>3</v>
      </c>
      <c r="R70" s="7">
        <f t="shared" si="19"/>
        <v>3</v>
      </c>
      <c r="S70" s="7">
        <f t="shared" si="19"/>
        <v>3</v>
      </c>
      <c r="T70" s="7">
        <f t="shared" si="19"/>
        <v>3</v>
      </c>
      <c r="U70" s="7">
        <f t="shared" si="19"/>
        <v>2</v>
      </c>
      <c r="V70" s="7">
        <f t="shared" si="19"/>
        <v>3</v>
      </c>
      <c r="W70" s="7">
        <f t="shared" si="19"/>
        <v>3</v>
      </c>
      <c r="X70" s="7">
        <f t="shared" si="19"/>
        <v>3</v>
      </c>
      <c r="Y70" s="7">
        <f t="shared" si="19"/>
        <v>3</v>
      </c>
      <c r="Z70" s="7">
        <f t="shared" si="19"/>
        <v>1</v>
      </c>
      <c r="AA70" s="7">
        <f t="shared" si="19"/>
        <v>3</v>
      </c>
      <c r="AB70" s="7">
        <f t="shared" si="19"/>
        <v>2</v>
      </c>
      <c r="AC70" s="7">
        <f t="shared" si="19"/>
        <v>3</v>
      </c>
      <c r="AD70" s="7">
        <f t="shared" si="19"/>
        <v>3</v>
      </c>
      <c r="AE70" s="7">
        <f t="shared" si="19"/>
        <v>3</v>
      </c>
      <c r="AF70" s="7">
        <f t="shared" si="19"/>
        <v>2</v>
      </c>
      <c r="AG70" s="7">
        <f t="shared" si="19"/>
        <v>2</v>
      </c>
      <c r="AH70" s="7">
        <f t="shared" si="19"/>
        <v>3</v>
      </c>
      <c r="AI70" s="7">
        <f t="shared" si="19"/>
        <v>2</v>
      </c>
      <c r="AJ70" s="7">
        <f t="shared" si="19"/>
        <v>3</v>
      </c>
      <c r="AK70" s="7">
        <f t="shared" si="19"/>
        <v>3</v>
      </c>
      <c r="AL70" s="7">
        <f t="shared" si="19"/>
        <v>3</v>
      </c>
      <c r="AM70" s="7">
        <f t="shared" si="19"/>
        <v>2</v>
      </c>
      <c r="AN70" s="7">
        <f t="shared" si="19"/>
        <v>2</v>
      </c>
      <c r="AO70" s="7">
        <f t="shared" si="19"/>
        <v>3</v>
      </c>
      <c r="AP70" s="2">
        <f t="shared" si="19"/>
        <v>1</v>
      </c>
    </row>
    <row r="71" spans="4:42" ht="13.5" thickBot="1">
      <c r="D71" s="174" t="s">
        <v>84</v>
      </c>
      <c r="E71" s="189">
        <f>COUNTIF(E62:E64,"&gt;221100")-COUNTIF(E62:E64,"&gt;221118")+COUNTIF(E62:E64,"&gt;221141")</f>
        <v>1</v>
      </c>
      <c r="F71" s="189">
        <f t="shared" ref="F71:AH71" si="20">COUNTIF(F62:F64,"&gt;221100")-COUNTIF(F62:F64,"&gt;221118")+COUNTIF(F62:F64,"&gt;221141")</f>
        <v>0</v>
      </c>
      <c r="G71" s="189">
        <f t="shared" si="20"/>
        <v>1</v>
      </c>
      <c r="H71" s="189">
        <f t="shared" si="20"/>
        <v>1</v>
      </c>
      <c r="I71" s="189">
        <f t="shared" si="20"/>
        <v>0</v>
      </c>
      <c r="J71" s="189">
        <f t="shared" si="20"/>
        <v>0</v>
      </c>
      <c r="K71" s="189">
        <f t="shared" si="20"/>
        <v>1</v>
      </c>
      <c r="L71" s="189">
        <f t="shared" si="20"/>
        <v>0</v>
      </c>
      <c r="M71" s="189">
        <f t="shared" si="20"/>
        <v>1</v>
      </c>
      <c r="N71" s="189">
        <f t="shared" si="20"/>
        <v>1</v>
      </c>
      <c r="O71" s="189">
        <f t="shared" si="20"/>
        <v>1</v>
      </c>
      <c r="P71" s="189">
        <f t="shared" si="20"/>
        <v>1</v>
      </c>
      <c r="Q71" s="189">
        <f t="shared" si="20"/>
        <v>0</v>
      </c>
      <c r="R71" s="189">
        <f t="shared" si="20"/>
        <v>0</v>
      </c>
      <c r="S71" s="189">
        <f t="shared" si="20"/>
        <v>0</v>
      </c>
      <c r="T71" s="189">
        <f t="shared" si="20"/>
        <v>1</v>
      </c>
      <c r="U71" s="189">
        <f t="shared" si="20"/>
        <v>0</v>
      </c>
      <c r="V71" s="189">
        <f t="shared" si="20"/>
        <v>1</v>
      </c>
      <c r="W71" s="189">
        <f t="shared" si="20"/>
        <v>1</v>
      </c>
      <c r="X71" s="189">
        <f t="shared" si="20"/>
        <v>1</v>
      </c>
      <c r="Y71" s="189">
        <f t="shared" si="20"/>
        <v>1</v>
      </c>
      <c r="Z71" s="189">
        <f t="shared" si="20"/>
        <v>0</v>
      </c>
      <c r="AA71" s="189">
        <f t="shared" si="20"/>
        <v>0</v>
      </c>
      <c r="AB71" s="189">
        <f t="shared" si="20"/>
        <v>0</v>
      </c>
      <c r="AC71" s="189">
        <f t="shared" si="20"/>
        <v>1</v>
      </c>
      <c r="AD71" s="189">
        <f t="shared" si="20"/>
        <v>1</v>
      </c>
      <c r="AE71" s="189">
        <f t="shared" si="20"/>
        <v>1</v>
      </c>
      <c r="AF71" s="189">
        <f t="shared" si="20"/>
        <v>1</v>
      </c>
      <c r="AG71" s="189">
        <f t="shared" si="20"/>
        <v>0</v>
      </c>
      <c r="AH71" s="189">
        <f t="shared" si="20"/>
        <v>2</v>
      </c>
      <c r="AI71" s="189">
        <f>COUNTIF(AI62:AI64,"&gt;221100")-COUNTIF(AI62:AI64,"&gt;221118")+COUNTIF(AI62:AI64,"&gt;221141")</f>
        <v>0</v>
      </c>
      <c r="AJ71" s="189">
        <f t="shared" ref="AJ71:AP71" si="21">COUNTIF(AJ62:AJ64,"&gt;221100")-COUNTIF(AJ62:AJ64,"&gt;221118")+COUNTIF(AJ62:AJ64,"&gt;221141")</f>
        <v>1</v>
      </c>
      <c r="AK71" s="189">
        <f t="shared" si="21"/>
        <v>1</v>
      </c>
      <c r="AL71" s="189">
        <f t="shared" si="21"/>
        <v>1</v>
      </c>
      <c r="AM71" s="189">
        <f t="shared" si="21"/>
        <v>0</v>
      </c>
      <c r="AN71" s="189">
        <f t="shared" si="21"/>
        <v>0</v>
      </c>
      <c r="AO71" s="189">
        <f t="shared" si="21"/>
        <v>1</v>
      </c>
      <c r="AP71" s="190">
        <f t="shared" si="21"/>
        <v>0</v>
      </c>
    </row>
    <row r="72" spans="4:42" ht="13.5" thickBot="1">
      <c r="D72" s="175" t="s">
        <v>85</v>
      </c>
      <c r="E72" s="176">
        <f>SUM(E70:E71)</f>
        <v>3</v>
      </c>
      <c r="F72" s="176">
        <f t="shared" ref="F72:AP72" si="22">SUM(F70:F71)</f>
        <v>2</v>
      </c>
      <c r="G72" s="176">
        <f t="shared" si="22"/>
        <v>3</v>
      </c>
      <c r="H72" s="176">
        <f t="shared" si="22"/>
        <v>4</v>
      </c>
      <c r="I72" s="176">
        <f t="shared" si="22"/>
        <v>3</v>
      </c>
      <c r="J72" s="176">
        <f t="shared" si="22"/>
        <v>3</v>
      </c>
      <c r="K72" s="176">
        <f t="shared" si="22"/>
        <v>3</v>
      </c>
      <c r="L72" s="176">
        <f t="shared" si="22"/>
        <v>3</v>
      </c>
      <c r="M72" s="176">
        <f t="shared" si="22"/>
        <v>4</v>
      </c>
      <c r="N72" s="176">
        <f t="shared" si="22"/>
        <v>4</v>
      </c>
      <c r="O72" s="176">
        <f t="shared" si="22"/>
        <v>3</v>
      </c>
      <c r="P72" s="176">
        <f t="shared" si="22"/>
        <v>4</v>
      </c>
      <c r="Q72" s="176">
        <f t="shared" si="22"/>
        <v>3</v>
      </c>
      <c r="R72" s="176">
        <f t="shared" si="22"/>
        <v>3</v>
      </c>
      <c r="S72" s="176">
        <f t="shared" si="22"/>
        <v>3</v>
      </c>
      <c r="T72" s="176">
        <f t="shared" si="22"/>
        <v>4</v>
      </c>
      <c r="U72" s="176">
        <f t="shared" si="22"/>
        <v>2</v>
      </c>
      <c r="V72" s="176">
        <f t="shared" si="22"/>
        <v>4</v>
      </c>
      <c r="W72" s="176">
        <f t="shared" si="22"/>
        <v>4</v>
      </c>
      <c r="X72" s="176">
        <f t="shared" si="22"/>
        <v>4</v>
      </c>
      <c r="Y72" s="176">
        <f t="shared" si="22"/>
        <v>4</v>
      </c>
      <c r="Z72" s="176">
        <f t="shared" si="22"/>
        <v>1</v>
      </c>
      <c r="AA72" s="176">
        <f t="shared" si="22"/>
        <v>3</v>
      </c>
      <c r="AB72" s="176">
        <f t="shared" si="22"/>
        <v>2</v>
      </c>
      <c r="AC72" s="176">
        <f t="shared" si="22"/>
        <v>4</v>
      </c>
      <c r="AD72" s="176">
        <f t="shared" si="22"/>
        <v>4</v>
      </c>
      <c r="AE72" s="176">
        <f t="shared" si="22"/>
        <v>4</v>
      </c>
      <c r="AF72" s="176">
        <f t="shared" si="22"/>
        <v>3</v>
      </c>
      <c r="AG72" s="176">
        <f t="shared" si="22"/>
        <v>2</v>
      </c>
      <c r="AH72" s="176">
        <f t="shared" si="22"/>
        <v>5</v>
      </c>
      <c r="AI72" s="176">
        <f t="shared" si="22"/>
        <v>2</v>
      </c>
      <c r="AJ72" s="176">
        <f t="shared" si="22"/>
        <v>4</v>
      </c>
      <c r="AK72" s="176">
        <f t="shared" si="22"/>
        <v>4</v>
      </c>
      <c r="AL72" s="176">
        <f t="shared" si="22"/>
        <v>4</v>
      </c>
      <c r="AM72" s="176">
        <f t="shared" si="22"/>
        <v>2</v>
      </c>
      <c r="AN72" s="176">
        <f t="shared" si="22"/>
        <v>2</v>
      </c>
      <c r="AO72" s="176">
        <f t="shared" si="22"/>
        <v>4</v>
      </c>
      <c r="AP72" s="177">
        <f t="shared" si="22"/>
        <v>1</v>
      </c>
    </row>
    <row r="73" spans="4:42">
      <c r="D73" s="49"/>
    </row>
    <row r="74" spans="4:42">
      <c r="D74" s="49"/>
    </row>
    <row r="412" spans="1:1">
      <c r="A412" s="67" t="s">
        <v>346</v>
      </c>
    </row>
  </sheetData>
  <autoFilter ref="A2:AS74"/>
  <mergeCells count="17">
    <mergeCell ref="C1:D1"/>
    <mergeCell ref="C3:D3"/>
    <mergeCell ref="A4:D4"/>
    <mergeCell ref="A12:D12"/>
    <mergeCell ref="A20:D20"/>
    <mergeCell ref="A50:C50"/>
    <mergeCell ref="A51:C51"/>
    <mergeCell ref="A28:D28"/>
    <mergeCell ref="A36:D36"/>
    <mergeCell ref="A47:C47"/>
    <mergeCell ref="A48:C48"/>
    <mergeCell ref="A49:C49"/>
    <mergeCell ref="A52:C52"/>
    <mergeCell ref="A53:C53"/>
    <mergeCell ref="A54:C54"/>
    <mergeCell ref="A55:C55"/>
    <mergeCell ref="A56:C56"/>
  </mergeCells>
  <phoneticPr fontId="96" type="noConversion"/>
  <conditionalFormatting sqref="A9:C9 B25:D25 A33:C33">
    <cfRule type="cellIs" dxfId="9933" priority="10044" stopIfTrue="1" operator="lessThan">
      <formula>1200</formula>
    </cfRule>
  </conditionalFormatting>
  <conditionalFormatting sqref="E62:AP64 A5:C6 AP30 C5:D5 B21:AN21 F5:AP5 C22:D22 S48:AO48 A29:AN29 A42:AN42 A37:AN37 A30:D30 D6:AP6 A13:D14">
    <cfRule type="cellIs" dxfId="9932" priority="10045" stopIfTrue="1" operator="between">
      <formula>221101</formula>
      <formula>221118</formula>
    </cfRule>
    <cfRule type="cellIs" dxfId="9931" priority="10046" stopIfTrue="1" operator="between">
      <formula>221142</formula>
      <formula>221144</formula>
    </cfRule>
    <cfRule type="cellIs" dxfId="9930" priority="10047" stopIfTrue="1" operator="between">
      <formula>220001</formula>
      <formula>221144</formula>
    </cfRule>
  </conditionalFormatting>
  <conditionalFormatting sqref="T28:AP28">
    <cfRule type="cellIs" dxfId="9929" priority="10048" stopIfTrue="1" operator="greaterThan">
      <formula>""""""""</formula>
    </cfRule>
  </conditionalFormatting>
  <conditionalFormatting sqref="E69:AP69">
    <cfRule type="cellIs" dxfId="9928" priority="10042" stopIfTrue="1" operator="greaterThan">
      <formula>2</formula>
    </cfRule>
  </conditionalFormatting>
  <conditionalFormatting sqref="E72:AP72">
    <cfRule type="cellIs" dxfId="9927" priority="10040" stopIfTrue="1" operator="greaterThan">
      <formula>3</formula>
    </cfRule>
  </conditionalFormatting>
  <conditionalFormatting sqref="E65:AP65">
    <cfRule type="cellIs" dxfId="9926" priority="10038" stopIfTrue="1" operator="between">
      <formula>221101</formula>
      <formula>221118</formula>
    </cfRule>
    <cfRule type="cellIs" dxfId="9925" priority="10039" stopIfTrue="1" operator="between">
      <formula>221142</formula>
      <formula>221144</formula>
    </cfRule>
  </conditionalFormatting>
  <conditionalFormatting sqref="E14">
    <cfRule type="cellIs" dxfId="9924" priority="10034" stopIfTrue="1" operator="between">
      <formula>221101</formula>
      <formula>221118</formula>
    </cfRule>
    <cfRule type="cellIs" dxfId="9923" priority="10035" stopIfTrue="1" operator="between">
      <formula>221142</formula>
      <formula>221144</formula>
    </cfRule>
    <cfRule type="cellIs" dxfId="9922" priority="10036" stopIfTrue="1" operator="between">
      <formula>220001</formula>
      <formula>221144</formula>
    </cfRule>
  </conditionalFormatting>
  <conditionalFormatting sqref="F14:AO14">
    <cfRule type="cellIs" dxfId="9921" priority="10031" stopIfTrue="1" operator="between">
      <formula>221142</formula>
      <formula>221144</formula>
    </cfRule>
    <cfRule type="cellIs" dxfId="9920" priority="10032" stopIfTrue="1" operator="between">
      <formula>220001</formula>
      <formula>221144</formula>
    </cfRule>
    <cfRule type="cellIs" dxfId="9919" priority="10033" stopIfTrue="1" operator="between">
      <formula>221101</formula>
      <formula>221118</formula>
    </cfRule>
  </conditionalFormatting>
  <conditionalFormatting sqref="AP14">
    <cfRule type="cellIs" dxfId="9918" priority="10028" stopIfTrue="1" operator="between">
      <formula>221101</formula>
      <formula>221118</formula>
    </cfRule>
    <cfRule type="cellIs" dxfId="9917" priority="10029" stopIfTrue="1" operator="between">
      <formula>221142</formula>
      <formula>221144</formula>
    </cfRule>
    <cfRule type="cellIs" dxfId="9916" priority="10030" stopIfTrue="1" operator="between">
      <formula>220001</formula>
      <formula>221144</formula>
    </cfRule>
  </conditionalFormatting>
  <conditionalFormatting sqref="E22">
    <cfRule type="cellIs" dxfId="9915" priority="10025" stopIfTrue="1" operator="between">
      <formula>221101</formula>
      <formula>221118</formula>
    </cfRule>
    <cfRule type="cellIs" dxfId="9914" priority="10026" stopIfTrue="1" operator="between">
      <formula>221142</formula>
      <formula>221144</formula>
    </cfRule>
    <cfRule type="cellIs" dxfId="9913" priority="10027" stopIfTrue="1" operator="between">
      <formula>220001</formula>
      <formula>221144</formula>
    </cfRule>
  </conditionalFormatting>
  <conditionalFormatting sqref="F21:F22 G22:AP22">
    <cfRule type="cellIs" dxfId="9912" priority="10022" stopIfTrue="1" operator="between">
      <formula>221101</formula>
      <formula>221118</formula>
    </cfRule>
    <cfRule type="cellIs" dxfId="9911" priority="10023" stopIfTrue="1" operator="between">
      <formula>221142</formula>
      <formula>221144</formula>
    </cfRule>
    <cfRule type="cellIs" dxfId="9910" priority="10024" stopIfTrue="1" operator="between">
      <formula>220001</formula>
      <formula>221144</formula>
    </cfRule>
  </conditionalFormatting>
  <conditionalFormatting sqref="E30:I30">
    <cfRule type="cellIs" dxfId="9909" priority="10019" stopIfTrue="1" operator="between">
      <formula>221101</formula>
      <formula>221118</formula>
    </cfRule>
    <cfRule type="cellIs" dxfId="9908" priority="10020" stopIfTrue="1" operator="between">
      <formula>221142</formula>
      <formula>221144</formula>
    </cfRule>
    <cfRule type="cellIs" dxfId="9907" priority="10021" stopIfTrue="1" operator="between">
      <formula>220001</formula>
      <formula>221144</formula>
    </cfRule>
  </conditionalFormatting>
  <conditionalFormatting sqref="J30:AO30">
    <cfRule type="cellIs" dxfId="9906" priority="10013" stopIfTrue="1" operator="between">
      <formula>221101</formula>
      <formula>221118</formula>
    </cfRule>
    <cfRule type="cellIs" dxfId="9905" priority="10014" stopIfTrue="1" operator="between">
      <formula>221142</formula>
      <formula>221144</formula>
    </cfRule>
    <cfRule type="cellIs" dxfId="9904" priority="10015" stopIfTrue="1" operator="between">
      <formula>220001</formula>
      <formula>221144</formula>
    </cfRule>
  </conditionalFormatting>
  <conditionalFormatting sqref="D9">
    <cfRule type="cellIs" dxfId="9903" priority="10009" stopIfTrue="1" operator="lessThan">
      <formula>1200</formula>
    </cfRule>
  </conditionalFormatting>
  <conditionalFormatting sqref="D5">
    <cfRule type="cellIs" dxfId="9902" priority="10010" stopIfTrue="1" operator="between">
      <formula>221101</formula>
      <formula>221118</formula>
    </cfRule>
    <cfRule type="cellIs" dxfId="9901" priority="10011" stopIfTrue="1" operator="between">
      <formula>221142</formula>
      <formula>221144</formula>
    </cfRule>
    <cfRule type="cellIs" dxfId="9900" priority="10012" stopIfTrue="1" operator="between">
      <formula>220001</formula>
      <formula>221144</formula>
    </cfRule>
  </conditionalFormatting>
  <conditionalFormatting sqref="A9:D9 H9:AP9 A33:AP33">
    <cfRule type="cellIs" dxfId="9899" priority="9997" stopIfTrue="1" operator="lessThan">
      <formula>0</formula>
    </cfRule>
  </conditionalFormatting>
  <conditionalFormatting sqref="A17:C17">
    <cfRule type="cellIs" dxfId="9898" priority="9996" stopIfTrue="1" operator="lessThan">
      <formula>1200</formula>
    </cfRule>
  </conditionalFormatting>
  <conditionalFormatting sqref="D17">
    <cfRule type="cellIs" dxfId="9897" priority="9995" stopIfTrue="1" operator="lessThan">
      <formula>1200</formula>
    </cfRule>
  </conditionalFormatting>
  <conditionalFormatting sqref="A17:AP17">
    <cfRule type="cellIs" dxfId="9896" priority="9994" stopIfTrue="1" operator="lessThan">
      <formula>0</formula>
    </cfRule>
  </conditionalFormatting>
  <conditionalFormatting sqref="D33">
    <cfRule type="cellIs" dxfId="9895" priority="9992" stopIfTrue="1" operator="lessThan">
      <formula>1200</formula>
    </cfRule>
  </conditionalFormatting>
  <conditionalFormatting sqref="F41:AP41 A41:D41">
    <cfRule type="cellIs" dxfId="9894" priority="9988" stopIfTrue="1" operator="between">
      <formula>48</formula>
      <formula>80</formula>
    </cfRule>
  </conditionalFormatting>
  <conditionalFormatting sqref="A46:D46">
    <cfRule type="cellIs" dxfId="9893" priority="9987" stopIfTrue="1" operator="between">
      <formula>47</formula>
      <formula>80</formula>
    </cfRule>
  </conditionalFormatting>
  <conditionalFormatting sqref="E41:F41">
    <cfRule type="cellIs" dxfId="9892" priority="9978" stopIfTrue="1" operator="between">
      <formula>48</formula>
      <formula>80</formula>
    </cfRule>
  </conditionalFormatting>
  <conditionalFormatting sqref="E46:AP46">
    <cfRule type="cellIs" dxfId="9891" priority="9977" stopIfTrue="1" operator="between">
      <formula>48</formula>
      <formula>80</formula>
    </cfRule>
  </conditionalFormatting>
  <conditionalFormatting sqref="E26:AP26">
    <cfRule type="containsText" dxfId="9890" priority="9967" stopIfTrue="1" operator="containsText" text="Check">
      <formula>NOT(ISERROR(SEARCH("Check",E26)))</formula>
    </cfRule>
    <cfRule type="containsText" dxfId="9889" priority="9968" stopIfTrue="1" operator="containsText" text="Plan">
      <formula>NOT(ISERROR(SEARCH("Plan",E26)))</formula>
    </cfRule>
  </conditionalFormatting>
  <conditionalFormatting sqref="A40:C40">
    <cfRule type="containsText" dxfId="9888" priority="9963" stopIfTrue="1" operator="containsText" text="Check">
      <formula>NOT(ISERROR(SEARCH("Check",A40)))</formula>
    </cfRule>
    <cfRule type="containsText" dxfId="9887" priority="9964" stopIfTrue="1" operator="containsText" text="Plan">
      <formula>NOT(ISERROR(SEARCH("Plan",A40)))</formula>
    </cfRule>
  </conditionalFormatting>
  <conditionalFormatting sqref="A45:D45">
    <cfRule type="containsText" dxfId="9886" priority="9961" stopIfTrue="1" operator="containsText" text="Check">
      <formula>NOT(ISERROR(SEARCH("Check",A45)))</formula>
    </cfRule>
    <cfRule type="containsText" dxfId="9885" priority="9962" stopIfTrue="1" operator="containsText" text="Plan">
      <formula>NOT(ISERROR(SEARCH("Plan",A45)))</formula>
    </cfRule>
  </conditionalFormatting>
  <conditionalFormatting sqref="B13:D13">
    <cfRule type="cellIs" dxfId="9884" priority="9952" stopIfTrue="1" operator="between">
      <formula>221101</formula>
      <formula>221118</formula>
    </cfRule>
    <cfRule type="cellIs" dxfId="9883" priority="9953" stopIfTrue="1" operator="between">
      <formula>221142</formula>
      <formula>221144</formula>
    </cfRule>
    <cfRule type="cellIs" dxfId="9882" priority="9954" stopIfTrue="1" operator="between">
      <formula>220001</formula>
      <formula>221144</formula>
    </cfRule>
  </conditionalFormatting>
  <conditionalFormatting sqref="AP45">
    <cfRule type="containsText" dxfId="9881" priority="9930" stopIfTrue="1" operator="containsText" text="Check">
      <formula>NOT(ISERROR(SEARCH("Check",AP45)))</formula>
    </cfRule>
    <cfRule type="containsText" dxfId="9880" priority="9931" stopIfTrue="1" operator="containsText" text="Plan">
      <formula>NOT(ISERROR(SEARCH("Plan",AP45)))</formula>
    </cfRule>
  </conditionalFormatting>
  <conditionalFormatting sqref="E34:AP34">
    <cfRule type="containsText" dxfId="9879" priority="9924" stopIfTrue="1" operator="containsText" text="Check">
      <formula>NOT(ISERROR(SEARCH("Check",E34)))</formula>
    </cfRule>
    <cfRule type="containsText" dxfId="9878" priority="9925" stopIfTrue="1" operator="containsText" text="Plan">
      <formula>NOT(ISERROR(SEARCH("Plan",E34)))</formula>
    </cfRule>
  </conditionalFormatting>
  <conditionalFormatting sqref="E18:AP18">
    <cfRule type="containsText" dxfId="9877" priority="9922" stopIfTrue="1" operator="containsText" text="Check">
      <formula>NOT(ISERROR(SEARCH("Check",E18)))</formula>
    </cfRule>
    <cfRule type="containsText" dxfId="9876" priority="9923" stopIfTrue="1" operator="containsText" text="Plan">
      <formula>NOT(ISERROR(SEARCH("Plan",E18)))</formula>
    </cfRule>
  </conditionalFormatting>
  <conditionalFormatting sqref="A10:AP10">
    <cfRule type="containsText" dxfId="9875" priority="9920" stopIfTrue="1" operator="containsText" text="Check">
      <formula>NOT(ISERROR(SEARCH("Check",A10)))</formula>
    </cfRule>
    <cfRule type="containsText" dxfId="9874" priority="9921" stopIfTrue="1" operator="containsText" text="Plan">
      <formula>NOT(ISERROR(SEARCH("Plan",A10)))</formula>
    </cfRule>
  </conditionalFormatting>
  <conditionalFormatting sqref="A18:D18">
    <cfRule type="containsText" dxfId="9873" priority="9918" stopIfTrue="1" operator="containsText" text="Check">
      <formula>NOT(ISERROR(SEARCH("Check",A18)))</formula>
    </cfRule>
    <cfRule type="containsText" dxfId="9872" priority="9919" stopIfTrue="1" operator="containsText" text="Plan">
      <formula>NOT(ISERROR(SEARCH("Plan",A18)))</formula>
    </cfRule>
  </conditionalFormatting>
  <conditionalFormatting sqref="B26:D26">
    <cfRule type="containsText" dxfId="9871" priority="9914" stopIfTrue="1" operator="containsText" text="Check">
      <formula>NOT(ISERROR(SEARCH("Check",B26)))</formula>
    </cfRule>
    <cfRule type="containsText" dxfId="9870" priority="9915" stopIfTrue="1" operator="containsText" text="Plan">
      <formula>NOT(ISERROR(SEARCH("Plan",B26)))</formula>
    </cfRule>
  </conditionalFormatting>
  <conditionalFormatting sqref="B13:AN13">
    <cfRule type="cellIs" dxfId="9869" priority="9907" stopIfTrue="1" operator="between">
      <formula>221101</formula>
      <formula>221118</formula>
    </cfRule>
    <cfRule type="cellIs" dxfId="9868" priority="9908" stopIfTrue="1" operator="between">
      <formula>221142</formula>
      <formula>221144</formula>
    </cfRule>
    <cfRule type="cellIs" dxfId="9867" priority="9909" stopIfTrue="1" operator="between">
      <formula>220001</formula>
      <formula>221144</formula>
    </cfRule>
  </conditionalFormatting>
  <conditionalFormatting sqref="F13">
    <cfRule type="cellIs" dxfId="9866" priority="9901" stopIfTrue="1" operator="between">
      <formula>221101</formula>
      <formula>221118</formula>
    </cfRule>
    <cfRule type="cellIs" dxfId="9865" priority="9902" stopIfTrue="1" operator="between">
      <formula>221142</formula>
      <formula>221144</formula>
    </cfRule>
    <cfRule type="cellIs" dxfId="9864" priority="9903" stopIfTrue="1" operator="between">
      <formula>220001</formula>
      <formula>221144</formula>
    </cfRule>
  </conditionalFormatting>
  <conditionalFormatting sqref="AF13">
    <cfRule type="cellIs" dxfId="9863" priority="9898" stopIfTrue="1" operator="between">
      <formula>221101</formula>
      <formula>221118</formula>
    </cfRule>
    <cfRule type="cellIs" dxfId="9862" priority="9899" stopIfTrue="1" operator="between">
      <formula>221142</formula>
      <formula>221144</formula>
    </cfRule>
    <cfRule type="cellIs" dxfId="9861" priority="9900" stopIfTrue="1" operator="between">
      <formula>220001</formula>
      <formula>221144</formula>
    </cfRule>
  </conditionalFormatting>
  <conditionalFormatting sqref="A21 B22">
    <cfRule type="cellIs" dxfId="9860" priority="9888" stopIfTrue="1" operator="between">
      <formula>221101</formula>
      <formula>221118</formula>
    </cfRule>
    <cfRule type="cellIs" dxfId="9859" priority="9889" stopIfTrue="1" operator="between">
      <formula>221142</formula>
      <formula>221144</formula>
    </cfRule>
    <cfRule type="cellIs" dxfId="9858" priority="9890" stopIfTrue="1" operator="between">
      <formula>220001</formula>
      <formula>221144</formula>
    </cfRule>
  </conditionalFormatting>
  <conditionalFormatting sqref="A25">
    <cfRule type="cellIs" dxfId="9857" priority="9887" stopIfTrue="1" operator="lessThan">
      <formula>1200</formula>
    </cfRule>
  </conditionalFormatting>
  <conditionalFormatting sqref="A25">
    <cfRule type="cellIs" dxfId="9856" priority="9886" stopIfTrue="1" operator="lessThan">
      <formula>0</formula>
    </cfRule>
  </conditionalFormatting>
  <conditionalFormatting sqref="A26">
    <cfRule type="containsText" dxfId="9855" priority="9884" stopIfTrue="1" operator="containsText" text="Check">
      <formula>NOT(ISERROR(SEARCH("Check",A26)))</formula>
    </cfRule>
    <cfRule type="containsText" dxfId="9854" priority="9885" stopIfTrue="1" operator="containsText" text="Plan">
      <formula>NOT(ISERROR(SEARCH("Plan",A26)))</formula>
    </cfRule>
  </conditionalFormatting>
  <conditionalFormatting sqref="E69">
    <cfRule type="colorScale" priority="10043">
      <colorScale>
        <cfvo type="num" val="&quot;&gt;2&quot;"/>
        <cfvo type="max"/>
        <color rgb="FFFF7128"/>
        <color rgb="FFFFEF9C"/>
      </colorScale>
    </cfRule>
  </conditionalFormatting>
  <conditionalFormatting sqref="E72">
    <cfRule type="colorScale" priority="10041">
      <colorScale>
        <cfvo type="num" val="&quot;&gt;2&quot;"/>
        <cfvo type="max"/>
        <color rgb="FFFF7128"/>
        <color rgb="FFFFEF9C"/>
      </colorScale>
    </cfRule>
  </conditionalFormatting>
  <conditionalFormatting sqref="D13">
    <cfRule type="cellIs" dxfId="9853" priority="9878" stopIfTrue="1" operator="between">
      <formula>221101</formula>
      <formula>221118</formula>
    </cfRule>
    <cfRule type="cellIs" dxfId="9852" priority="9879" stopIfTrue="1" operator="between">
      <formula>221142</formula>
      <formula>221144</formula>
    </cfRule>
    <cfRule type="cellIs" dxfId="9851" priority="9880" stopIfTrue="1" operator="between">
      <formula>220001</formula>
      <formula>221144</formula>
    </cfRule>
  </conditionalFormatting>
  <conditionalFormatting sqref="AE13">
    <cfRule type="cellIs" dxfId="9850" priority="9872" stopIfTrue="1" operator="between">
      <formula>221101</formula>
      <formula>221118</formula>
    </cfRule>
    <cfRule type="cellIs" dxfId="9849" priority="9873" stopIfTrue="1" operator="between">
      <formula>221142</formula>
      <formula>221144</formula>
    </cfRule>
    <cfRule type="cellIs" dxfId="9848" priority="9874" stopIfTrue="1" operator="between">
      <formula>220001</formula>
      <formula>221144</formula>
    </cfRule>
  </conditionalFormatting>
  <conditionalFormatting sqref="D21">
    <cfRule type="cellIs" dxfId="9847" priority="9869" stopIfTrue="1" operator="between">
      <formula>221101</formula>
      <formula>221118</formula>
    </cfRule>
    <cfRule type="cellIs" dxfId="9846" priority="9870" stopIfTrue="1" operator="between">
      <formula>221142</formula>
      <formula>221144</formula>
    </cfRule>
    <cfRule type="cellIs" dxfId="9845" priority="9871" stopIfTrue="1" operator="between">
      <formula>220001</formula>
      <formula>221144</formula>
    </cfRule>
  </conditionalFormatting>
  <conditionalFormatting sqref="D13">
    <cfRule type="cellIs" dxfId="9844" priority="9845" stopIfTrue="1" operator="between">
      <formula>221101</formula>
      <formula>221118</formula>
    </cfRule>
    <cfRule type="cellIs" dxfId="9843" priority="9846" stopIfTrue="1" operator="between">
      <formula>221142</formula>
      <formula>221144</formula>
    </cfRule>
    <cfRule type="cellIs" dxfId="9842" priority="9847" stopIfTrue="1" operator="between">
      <formula>220001</formula>
      <formula>221144</formula>
    </cfRule>
  </conditionalFormatting>
  <conditionalFormatting sqref="D29">
    <cfRule type="cellIs" dxfId="9841" priority="9842" stopIfTrue="1" operator="between">
      <formula>221101</formula>
      <formula>221118</formula>
    </cfRule>
    <cfRule type="cellIs" dxfId="9840" priority="9843" stopIfTrue="1" operator="between">
      <formula>221142</formula>
      <formula>221144</formula>
    </cfRule>
    <cfRule type="cellIs" dxfId="9839" priority="9844" stopIfTrue="1" operator="between">
      <formula>220001</formula>
      <formula>221144</formula>
    </cfRule>
  </conditionalFormatting>
  <conditionalFormatting sqref="AO13">
    <cfRule type="cellIs" dxfId="9838" priority="9836" stopIfTrue="1" operator="between">
      <formula>221101</formula>
      <formula>221118</formula>
    </cfRule>
    <cfRule type="cellIs" dxfId="9837" priority="9837" stopIfTrue="1" operator="between">
      <formula>221142</formula>
      <formula>221144</formula>
    </cfRule>
    <cfRule type="cellIs" dxfId="9836" priority="9838" stopIfTrue="1" operator="between">
      <formula>220001</formula>
      <formula>221144</formula>
    </cfRule>
  </conditionalFormatting>
  <conditionalFormatting sqref="AP13">
    <cfRule type="cellIs" dxfId="9835" priority="9833" stopIfTrue="1" operator="between">
      <formula>221101</formula>
      <formula>221118</formula>
    </cfRule>
    <cfRule type="cellIs" dxfId="9834" priority="9834" stopIfTrue="1" operator="between">
      <formula>221142</formula>
      <formula>221144</formula>
    </cfRule>
    <cfRule type="cellIs" dxfId="9833" priority="9835" stopIfTrue="1" operator="between">
      <formula>220001</formula>
      <formula>221144</formula>
    </cfRule>
  </conditionalFormatting>
  <conditionalFormatting sqref="AP21">
    <cfRule type="cellIs" dxfId="9832" priority="9830" stopIfTrue="1" operator="between">
      <formula>221101</formula>
      <formula>221118</formula>
    </cfRule>
    <cfRule type="cellIs" dxfId="9831" priority="9831" stopIfTrue="1" operator="between">
      <formula>221142</formula>
      <formula>221144</formula>
    </cfRule>
    <cfRule type="cellIs" dxfId="9830" priority="9832" stopIfTrue="1" operator="between">
      <formula>220001</formula>
      <formula>221144</formula>
    </cfRule>
  </conditionalFormatting>
  <conditionalFormatting sqref="AP29">
    <cfRule type="cellIs" dxfId="9829" priority="9824" stopIfTrue="1" operator="between">
      <formula>221101</formula>
      <formula>221118</formula>
    </cfRule>
    <cfRule type="cellIs" dxfId="9828" priority="9825" stopIfTrue="1" operator="between">
      <formula>221142</formula>
      <formula>221144</formula>
    </cfRule>
    <cfRule type="cellIs" dxfId="9827" priority="9826" stopIfTrue="1" operator="between">
      <formula>220001</formula>
      <formula>221144</formula>
    </cfRule>
  </conditionalFormatting>
  <conditionalFormatting sqref="AP37">
    <cfRule type="cellIs" dxfId="9826" priority="9821" stopIfTrue="1" operator="between">
      <formula>221101</formula>
      <formula>221118</formula>
    </cfRule>
    <cfRule type="cellIs" dxfId="9825" priority="9822" stopIfTrue="1" operator="between">
      <formula>221142</formula>
      <formula>221144</formula>
    </cfRule>
    <cfRule type="cellIs" dxfId="9824" priority="9823" stopIfTrue="1" operator="between">
      <formula>220001</formula>
      <formula>221144</formula>
    </cfRule>
  </conditionalFormatting>
  <conditionalFormatting sqref="AP42">
    <cfRule type="cellIs" dxfId="9823" priority="9818" stopIfTrue="1" operator="between">
      <formula>221101</formula>
      <formula>221118</formula>
    </cfRule>
    <cfRule type="cellIs" dxfId="9822" priority="9819" stopIfTrue="1" operator="between">
      <formula>221142</formula>
      <formula>221144</formula>
    </cfRule>
    <cfRule type="cellIs" dxfId="9821" priority="9820" stopIfTrue="1" operator="between">
      <formula>220001</formula>
      <formula>221144</formula>
    </cfRule>
  </conditionalFormatting>
  <conditionalFormatting sqref="AO29">
    <cfRule type="cellIs" dxfId="9820" priority="9815" stopIfTrue="1" operator="between">
      <formula>221101</formula>
      <formula>221118</formula>
    </cfRule>
    <cfRule type="cellIs" dxfId="9819" priority="9816" stopIfTrue="1" operator="between">
      <formula>221142</formula>
      <formula>221144</formula>
    </cfRule>
    <cfRule type="cellIs" dxfId="9818" priority="9817" stopIfTrue="1" operator="between">
      <formula>220001</formula>
      <formula>221144</formula>
    </cfRule>
  </conditionalFormatting>
  <conditionalFormatting sqref="AO37">
    <cfRule type="cellIs" dxfId="9817" priority="9812" stopIfTrue="1" operator="between">
      <formula>221101</formula>
      <formula>221118</formula>
    </cfRule>
    <cfRule type="cellIs" dxfId="9816" priority="9813" stopIfTrue="1" operator="between">
      <formula>221142</formula>
      <formula>221144</formula>
    </cfRule>
    <cfRule type="cellIs" dxfId="9815" priority="9814" stopIfTrue="1" operator="between">
      <formula>220001</formula>
      <formula>221144</formula>
    </cfRule>
  </conditionalFormatting>
  <conditionalFormatting sqref="AO42">
    <cfRule type="cellIs" dxfId="9814" priority="9809" stopIfTrue="1" operator="between">
      <formula>221101</formula>
      <formula>221118</formula>
    </cfRule>
    <cfRule type="cellIs" dxfId="9813" priority="9810" stopIfTrue="1" operator="between">
      <formula>221142</formula>
      <formula>221144</formula>
    </cfRule>
    <cfRule type="cellIs" dxfId="9812" priority="9811" stopIfTrue="1" operator="between">
      <formula>220001</formula>
      <formula>221144</formula>
    </cfRule>
  </conditionalFormatting>
  <conditionalFormatting sqref="C5">
    <cfRule type="cellIs" dxfId="9811" priority="9806" stopIfTrue="1" operator="between">
      <formula>221101</formula>
      <formula>221118</formula>
    </cfRule>
    <cfRule type="cellIs" dxfId="9810" priority="9807" stopIfTrue="1" operator="between">
      <formula>221142</formula>
      <formula>221144</formula>
    </cfRule>
    <cfRule type="cellIs" dxfId="9809" priority="9808" stopIfTrue="1" operator="between">
      <formula>220001</formula>
      <formula>221144</formula>
    </cfRule>
  </conditionalFormatting>
  <conditionalFormatting sqref="D5">
    <cfRule type="cellIs" dxfId="9808" priority="9803" stopIfTrue="1" operator="between">
      <formula>221101</formula>
      <formula>221118</formula>
    </cfRule>
    <cfRule type="cellIs" dxfId="9807" priority="9804" stopIfTrue="1" operator="between">
      <formula>221142</formula>
      <formula>221144</formula>
    </cfRule>
    <cfRule type="cellIs" dxfId="9806" priority="9805" stopIfTrue="1" operator="between">
      <formula>220001</formula>
      <formula>221144</formula>
    </cfRule>
  </conditionalFormatting>
  <conditionalFormatting sqref="D13">
    <cfRule type="cellIs" dxfId="9805" priority="9800" stopIfTrue="1" operator="between">
      <formula>221101</formula>
      <formula>221118</formula>
    </cfRule>
    <cfRule type="cellIs" dxfId="9804" priority="9801" stopIfTrue="1" operator="between">
      <formula>221142</formula>
      <formula>221144</formula>
    </cfRule>
    <cfRule type="cellIs" dxfId="9803" priority="9802" stopIfTrue="1" operator="between">
      <formula>220001</formula>
      <formula>221144</formula>
    </cfRule>
  </conditionalFormatting>
  <conditionalFormatting sqref="AE13">
    <cfRule type="cellIs" dxfId="9802" priority="9794" stopIfTrue="1" operator="between">
      <formula>221101</formula>
      <formula>221118</formula>
    </cfRule>
    <cfRule type="cellIs" dxfId="9801" priority="9795" stopIfTrue="1" operator="between">
      <formula>221142</formula>
      <formula>221144</formula>
    </cfRule>
    <cfRule type="cellIs" dxfId="9800" priority="9796" stopIfTrue="1" operator="between">
      <formula>220001</formula>
      <formula>221144</formula>
    </cfRule>
  </conditionalFormatting>
  <conditionalFormatting sqref="C13">
    <cfRule type="cellIs" dxfId="9799" priority="9791" stopIfTrue="1" operator="between">
      <formula>221101</formula>
      <formula>221118</formula>
    </cfRule>
    <cfRule type="cellIs" dxfId="9798" priority="9792" stopIfTrue="1" operator="between">
      <formula>221142</formula>
      <formula>221144</formula>
    </cfRule>
    <cfRule type="cellIs" dxfId="9797" priority="9793" stopIfTrue="1" operator="between">
      <formula>220001</formula>
      <formula>221144</formula>
    </cfRule>
  </conditionalFormatting>
  <conditionalFormatting sqref="D13">
    <cfRule type="cellIs" dxfId="9796" priority="9788" stopIfTrue="1" operator="between">
      <formula>221101</formula>
      <formula>221118</formula>
    </cfRule>
    <cfRule type="cellIs" dxfId="9795" priority="9789" stopIfTrue="1" operator="between">
      <formula>221142</formula>
      <formula>221144</formula>
    </cfRule>
    <cfRule type="cellIs" dxfId="9794" priority="9790" stopIfTrue="1" operator="between">
      <formula>220001</formula>
      <formula>221144</formula>
    </cfRule>
  </conditionalFormatting>
  <conditionalFormatting sqref="AD13">
    <cfRule type="cellIs" dxfId="9793" priority="9785" stopIfTrue="1" operator="between">
      <formula>221101</formula>
      <formula>221118</formula>
    </cfRule>
    <cfRule type="cellIs" dxfId="9792" priority="9786" stopIfTrue="1" operator="between">
      <formula>221142</formula>
      <formula>221144</formula>
    </cfRule>
    <cfRule type="cellIs" dxfId="9791" priority="9787" stopIfTrue="1" operator="between">
      <formula>220001</formula>
      <formula>221144</formula>
    </cfRule>
  </conditionalFormatting>
  <conditionalFormatting sqref="D13">
    <cfRule type="cellIs" dxfId="9790" priority="9782" stopIfTrue="1" operator="between">
      <formula>221101</formula>
      <formula>221118</formula>
    </cfRule>
    <cfRule type="cellIs" dxfId="9789" priority="9783" stopIfTrue="1" operator="between">
      <formula>221142</formula>
      <formula>221144</formula>
    </cfRule>
    <cfRule type="cellIs" dxfId="9788" priority="9784" stopIfTrue="1" operator="between">
      <formula>220001</formula>
      <formula>221144</formula>
    </cfRule>
  </conditionalFormatting>
  <conditionalFormatting sqref="D13">
    <cfRule type="cellIs" dxfId="9787" priority="9779" stopIfTrue="1" operator="between">
      <formula>221101</formula>
      <formula>221118</formula>
    </cfRule>
    <cfRule type="cellIs" dxfId="9786" priority="9780" stopIfTrue="1" operator="between">
      <formula>221142</formula>
      <formula>221144</formula>
    </cfRule>
    <cfRule type="cellIs" dxfId="9785" priority="9781" stopIfTrue="1" operator="between">
      <formula>220001</formula>
      <formula>221144</formula>
    </cfRule>
  </conditionalFormatting>
  <conditionalFormatting sqref="D13">
    <cfRule type="cellIs" dxfId="9784" priority="9776" stopIfTrue="1" operator="between">
      <formula>221101</formula>
      <formula>221118</formula>
    </cfRule>
    <cfRule type="cellIs" dxfId="9783" priority="9777" stopIfTrue="1" operator="between">
      <formula>221142</formula>
      <formula>221144</formula>
    </cfRule>
    <cfRule type="cellIs" dxfId="9782" priority="9778" stopIfTrue="1" operator="between">
      <formula>220001</formula>
      <formula>221144</formula>
    </cfRule>
  </conditionalFormatting>
  <conditionalFormatting sqref="C13">
    <cfRule type="cellIs" dxfId="9781" priority="9773" stopIfTrue="1" operator="between">
      <formula>221101</formula>
      <formula>221118</formula>
    </cfRule>
    <cfRule type="cellIs" dxfId="9780" priority="9774" stopIfTrue="1" operator="between">
      <formula>221142</formula>
      <formula>221144</formula>
    </cfRule>
    <cfRule type="cellIs" dxfId="9779" priority="9775" stopIfTrue="1" operator="between">
      <formula>220001</formula>
      <formula>221144</formula>
    </cfRule>
  </conditionalFormatting>
  <conditionalFormatting sqref="AN13">
    <cfRule type="cellIs" dxfId="9778" priority="9770" stopIfTrue="1" operator="between">
      <formula>221101</formula>
      <formula>221118</formula>
    </cfRule>
    <cfRule type="cellIs" dxfId="9777" priority="9771" stopIfTrue="1" operator="between">
      <formula>221142</formula>
      <formula>221144</formula>
    </cfRule>
    <cfRule type="cellIs" dxfId="9776" priority="9772" stopIfTrue="1" operator="between">
      <formula>220001</formula>
      <formula>221144</formula>
    </cfRule>
  </conditionalFormatting>
  <conditionalFormatting sqref="AO13">
    <cfRule type="cellIs" dxfId="9775" priority="9767" stopIfTrue="1" operator="between">
      <formula>221101</formula>
      <formula>221118</formula>
    </cfRule>
    <cfRule type="cellIs" dxfId="9774" priority="9768" stopIfTrue="1" operator="between">
      <formula>221142</formula>
      <formula>221144</formula>
    </cfRule>
    <cfRule type="cellIs" dxfId="9773" priority="9769" stopIfTrue="1" operator="between">
      <formula>220001</formula>
      <formula>221144</formula>
    </cfRule>
  </conditionalFormatting>
  <conditionalFormatting sqref="C21">
    <cfRule type="cellIs" dxfId="9772" priority="9761" stopIfTrue="1" operator="between">
      <formula>221101</formula>
      <formula>221118</formula>
    </cfRule>
    <cfRule type="cellIs" dxfId="9771" priority="9762" stopIfTrue="1" operator="between">
      <formula>221142</formula>
      <formula>221144</formula>
    </cfRule>
    <cfRule type="cellIs" dxfId="9770" priority="9763" stopIfTrue="1" operator="between">
      <formula>220001</formula>
      <formula>221144</formula>
    </cfRule>
  </conditionalFormatting>
  <conditionalFormatting sqref="D21">
    <cfRule type="cellIs" dxfId="9769" priority="9758" stopIfTrue="1" operator="between">
      <formula>221101</formula>
      <formula>221118</formula>
    </cfRule>
    <cfRule type="cellIs" dxfId="9768" priority="9759" stopIfTrue="1" operator="between">
      <formula>221142</formula>
      <formula>221144</formula>
    </cfRule>
    <cfRule type="cellIs" dxfId="9767" priority="9760" stopIfTrue="1" operator="between">
      <formula>220001</formula>
      <formula>221144</formula>
    </cfRule>
  </conditionalFormatting>
  <conditionalFormatting sqref="D21">
    <cfRule type="cellIs" dxfId="9766" priority="9755" stopIfTrue="1" operator="between">
      <formula>221101</formula>
      <formula>221118</formula>
    </cfRule>
    <cfRule type="cellIs" dxfId="9765" priority="9756" stopIfTrue="1" operator="between">
      <formula>221142</formula>
      <formula>221144</formula>
    </cfRule>
    <cfRule type="cellIs" dxfId="9764" priority="9757" stopIfTrue="1" operator="between">
      <formula>220001</formula>
      <formula>221144</formula>
    </cfRule>
  </conditionalFormatting>
  <conditionalFormatting sqref="AN21">
    <cfRule type="cellIs" dxfId="9763" priority="9749" stopIfTrue="1" operator="between">
      <formula>221101</formula>
      <formula>221118</formula>
    </cfRule>
    <cfRule type="cellIs" dxfId="9762" priority="9750" stopIfTrue="1" operator="between">
      <formula>221142</formula>
      <formula>221144</formula>
    </cfRule>
    <cfRule type="cellIs" dxfId="9761" priority="9751" stopIfTrue="1" operator="between">
      <formula>220001</formula>
      <formula>221144</formula>
    </cfRule>
  </conditionalFormatting>
  <conditionalFormatting sqref="C29">
    <cfRule type="cellIs" dxfId="9760" priority="9746" stopIfTrue="1" operator="between">
      <formula>221101</formula>
      <formula>221118</formula>
    </cfRule>
    <cfRule type="cellIs" dxfId="9759" priority="9747" stopIfTrue="1" operator="between">
      <formula>221142</formula>
      <formula>221144</formula>
    </cfRule>
    <cfRule type="cellIs" dxfId="9758" priority="9748" stopIfTrue="1" operator="between">
      <formula>220001</formula>
      <formula>221144</formula>
    </cfRule>
  </conditionalFormatting>
  <conditionalFormatting sqref="AO29">
    <cfRule type="cellIs" dxfId="9757" priority="9743" stopIfTrue="1" operator="between">
      <formula>221101</formula>
      <formula>221118</formula>
    </cfRule>
    <cfRule type="cellIs" dxfId="9756" priority="9744" stopIfTrue="1" operator="between">
      <formula>221142</formula>
      <formula>221144</formula>
    </cfRule>
    <cfRule type="cellIs" dxfId="9755" priority="9745" stopIfTrue="1" operator="between">
      <formula>220001</formula>
      <formula>221144</formula>
    </cfRule>
  </conditionalFormatting>
  <conditionalFormatting sqref="AN29">
    <cfRule type="cellIs" dxfId="9754" priority="9740" stopIfTrue="1" operator="between">
      <formula>221101</formula>
      <formula>221118</formula>
    </cfRule>
    <cfRule type="cellIs" dxfId="9753" priority="9741" stopIfTrue="1" operator="between">
      <formula>221142</formula>
      <formula>221144</formula>
    </cfRule>
    <cfRule type="cellIs" dxfId="9752" priority="9742" stopIfTrue="1" operator="between">
      <formula>220001</formula>
      <formula>221144</formula>
    </cfRule>
  </conditionalFormatting>
  <conditionalFormatting sqref="AO37">
    <cfRule type="cellIs" dxfId="9751" priority="9737" stopIfTrue="1" operator="between">
      <formula>221101</formula>
      <formula>221118</formula>
    </cfRule>
    <cfRule type="cellIs" dxfId="9750" priority="9738" stopIfTrue="1" operator="between">
      <formula>221142</formula>
      <formula>221144</formula>
    </cfRule>
    <cfRule type="cellIs" dxfId="9749" priority="9739" stopIfTrue="1" operator="between">
      <formula>220001</formula>
      <formula>221144</formula>
    </cfRule>
  </conditionalFormatting>
  <conditionalFormatting sqref="AN37">
    <cfRule type="cellIs" dxfId="9748" priority="9734" stopIfTrue="1" operator="between">
      <formula>221101</formula>
      <formula>221118</formula>
    </cfRule>
    <cfRule type="cellIs" dxfId="9747" priority="9735" stopIfTrue="1" operator="between">
      <formula>221142</formula>
      <formula>221144</formula>
    </cfRule>
    <cfRule type="cellIs" dxfId="9746" priority="9736" stopIfTrue="1" operator="between">
      <formula>220001</formula>
      <formula>221144</formula>
    </cfRule>
  </conditionalFormatting>
  <conditionalFormatting sqref="AO42">
    <cfRule type="cellIs" dxfId="9745" priority="9731" stopIfTrue="1" operator="between">
      <formula>221101</formula>
      <formula>221118</formula>
    </cfRule>
    <cfRule type="cellIs" dxfId="9744" priority="9732" stopIfTrue="1" operator="between">
      <formula>221142</formula>
      <formula>221144</formula>
    </cfRule>
    <cfRule type="cellIs" dxfId="9743" priority="9733" stopIfTrue="1" operator="between">
      <formula>220001</formula>
      <formula>221144</formula>
    </cfRule>
  </conditionalFormatting>
  <conditionalFormatting sqref="AN42">
    <cfRule type="cellIs" dxfId="9742" priority="9728" stopIfTrue="1" operator="between">
      <formula>221101</formula>
      <formula>221118</formula>
    </cfRule>
    <cfRule type="cellIs" dxfId="9741" priority="9729" stopIfTrue="1" operator="between">
      <formula>221142</formula>
      <formula>221144</formula>
    </cfRule>
    <cfRule type="cellIs" dxfId="9740" priority="9730" stopIfTrue="1" operator="between">
      <formula>220001</formula>
      <formula>221144</formula>
    </cfRule>
  </conditionalFormatting>
  <conditionalFormatting sqref="E13">
    <cfRule type="cellIs" dxfId="9739" priority="9719" stopIfTrue="1" operator="between">
      <formula>221101</formula>
      <formula>221118</formula>
    </cfRule>
    <cfRule type="cellIs" dxfId="9738" priority="9720" stopIfTrue="1" operator="between">
      <formula>221142</formula>
      <formula>221144</formula>
    </cfRule>
    <cfRule type="cellIs" dxfId="9737" priority="9721" stopIfTrue="1" operator="between">
      <formula>220001</formula>
      <formula>221144</formula>
    </cfRule>
  </conditionalFormatting>
  <conditionalFormatting sqref="E13">
    <cfRule type="cellIs" dxfId="9736" priority="9716" stopIfTrue="1" operator="between">
      <formula>221101</formula>
      <formula>221118</formula>
    </cfRule>
    <cfRule type="cellIs" dxfId="9735" priority="9717" stopIfTrue="1" operator="between">
      <formula>221142</formula>
      <formula>221144</formula>
    </cfRule>
    <cfRule type="cellIs" dxfId="9734" priority="9718" stopIfTrue="1" operator="between">
      <formula>220001</formula>
      <formula>221144</formula>
    </cfRule>
  </conditionalFormatting>
  <conditionalFormatting sqref="E13">
    <cfRule type="cellIs" dxfId="9733" priority="9713" stopIfTrue="1" operator="between">
      <formula>221101</formula>
      <formula>221118</formula>
    </cfRule>
    <cfRule type="cellIs" dxfId="9732" priority="9714" stopIfTrue="1" operator="between">
      <formula>221142</formula>
      <formula>221144</formula>
    </cfRule>
    <cfRule type="cellIs" dxfId="9731" priority="9715" stopIfTrue="1" operator="between">
      <formula>220001</formula>
      <formula>221144</formula>
    </cfRule>
  </conditionalFormatting>
  <conditionalFormatting sqref="E13">
    <cfRule type="cellIs" dxfId="9730" priority="9710" stopIfTrue="1" operator="between">
      <formula>221101</formula>
      <formula>221118</formula>
    </cfRule>
    <cfRule type="cellIs" dxfId="9729" priority="9711" stopIfTrue="1" operator="between">
      <formula>221142</formula>
      <formula>221144</formula>
    </cfRule>
    <cfRule type="cellIs" dxfId="9728" priority="9712" stopIfTrue="1" operator="between">
      <formula>220001</formula>
      <formula>221144</formula>
    </cfRule>
  </conditionalFormatting>
  <conditionalFormatting sqref="E21">
    <cfRule type="cellIs" dxfId="9727" priority="9707" stopIfTrue="1" operator="between">
      <formula>221101</formula>
      <formula>221118</formula>
    </cfRule>
    <cfRule type="cellIs" dxfId="9726" priority="9708" stopIfTrue="1" operator="between">
      <formula>221142</formula>
      <formula>221144</formula>
    </cfRule>
    <cfRule type="cellIs" dxfId="9725" priority="9709" stopIfTrue="1" operator="between">
      <formula>220001</formula>
      <formula>221144</formula>
    </cfRule>
  </conditionalFormatting>
  <conditionalFormatting sqref="E21">
    <cfRule type="cellIs" dxfId="9724" priority="9704" stopIfTrue="1" operator="between">
      <formula>221101</formula>
      <formula>221118</formula>
    </cfRule>
    <cfRule type="cellIs" dxfId="9723" priority="9705" stopIfTrue="1" operator="between">
      <formula>221142</formula>
      <formula>221144</formula>
    </cfRule>
    <cfRule type="cellIs" dxfId="9722" priority="9706" stopIfTrue="1" operator="between">
      <formula>220001</formula>
      <formula>221144</formula>
    </cfRule>
  </conditionalFormatting>
  <conditionalFormatting sqref="E21">
    <cfRule type="cellIs" dxfId="9721" priority="9701" stopIfTrue="1" operator="between">
      <formula>221101</formula>
      <formula>221118</formula>
    </cfRule>
    <cfRule type="cellIs" dxfId="9720" priority="9702" stopIfTrue="1" operator="between">
      <formula>221142</formula>
      <formula>221144</formula>
    </cfRule>
    <cfRule type="cellIs" dxfId="9719" priority="9703" stopIfTrue="1" operator="between">
      <formula>220001</formula>
      <formula>221144</formula>
    </cfRule>
  </conditionalFormatting>
  <conditionalFormatting sqref="E21">
    <cfRule type="cellIs" dxfId="9718" priority="9698" stopIfTrue="1" operator="between">
      <formula>221101</formula>
      <formula>221118</formula>
    </cfRule>
    <cfRule type="cellIs" dxfId="9717" priority="9699" stopIfTrue="1" operator="between">
      <formula>221142</formula>
      <formula>221144</formula>
    </cfRule>
    <cfRule type="cellIs" dxfId="9716" priority="9700" stopIfTrue="1" operator="between">
      <formula>220001</formula>
      <formula>221144</formula>
    </cfRule>
  </conditionalFormatting>
  <conditionalFormatting sqref="E29">
    <cfRule type="cellIs" dxfId="9715" priority="9695" stopIfTrue="1" operator="between">
      <formula>221101</formula>
      <formula>221118</formula>
    </cfRule>
    <cfRule type="cellIs" dxfId="9714" priority="9696" stopIfTrue="1" operator="between">
      <formula>221142</formula>
      <formula>221144</formula>
    </cfRule>
    <cfRule type="cellIs" dxfId="9713" priority="9697" stopIfTrue="1" operator="between">
      <formula>220001</formula>
      <formula>221144</formula>
    </cfRule>
  </conditionalFormatting>
  <conditionalFormatting sqref="E29">
    <cfRule type="cellIs" dxfId="9712" priority="9692" stopIfTrue="1" operator="between">
      <formula>221101</formula>
      <formula>221118</formula>
    </cfRule>
    <cfRule type="cellIs" dxfId="9711" priority="9693" stopIfTrue="1" operator="between">
      <formula>221142</formula>
      <formula>221144</formula>
    </cfRule>
    <cfRule type="cellIs" dxfId="9710" priority="9694" stopIfTrue="1" operator="between">
      <formula>220001</formula>
      <formula>221144</formula>
    </cfRule>
  </conditionalFormatting>
  <conditionalFormatting sqref="E29">
    <cfRule type="cellIs" dxfId="9709" priority="9689" stopIfTrue="1" operator="between">
      <formula>221101</formula>
      <formula>221118</formula>
    </cfRule>
    <cfRule type="cellIs" dxfId="9708" priority="9690" stopIfTrue="1" operator="between">
      <formula>221142</formula>
      <formula>221144</formula>
    </cfRule>
    <cfRule type="cellIs" dxfId="9707" priority="9691" stopIfTrue="1" operator="between">
      <formula>220001</formula>
      <formula>221144</formula>
    </cfRule>
  </conditionalFormatting>
  <conditionalFormatting sqref="E29">
    <cfRule type="cellIs" dxfId="9706" priority="9686" stopIfTrue="1" operator="between">
      <formula>221101</formula>
      <formula>221118</formula>
    </cfRule>
    <cfRule type="cellIs" dxfId="9705" priority="9687" stopIfTrue="1" operator="between">
      <formula>221142</formula>
      <formula>221144</formula>
    </cfRule>
    <cfRule type="cellIs" dxfId="9704" priority="9688" stopIfTrue="1" operator="between">
      <formula>220001</formula>
      <formula>221144</formula>
    </cfRule>
  </conditionalFormatting>
  <conditionalFormatting sqref="E37">
    <cfRule type="cellIs" dxfId="9703" priority="9683" stopIfTrue="1" operator="between">
      <formula>221101</formula>
      <formula>221118</formula>
    </cfRule>
    <cfRule type="cellIs" dxfId="9702" priority="9684" stopIfTrue="1" operator="between">
      <formula>221142</formula>
      <formula>221144</formula>
    </cfRule>
    <cfRule type="cellIs" dxfId="9701" priority="9685" stopIfTrue="1" operator="between">
      <formula>220001</formula>
      <formula>221144</formula>
    </cfRule>
  </conditionalFormatting>
  <conditionalFormatting sqref="E37">
    <cfRule type="cellIs" dxfId="9700" priority="9680" stopIfTrue="1" operator="between">
      <formula>221101</formula>
      <formula>221118</formula>
    </cfRule>
    <cfRule type="cellIs" dxfId="9699" priority="9681" stopIfTrue="1" operator="between">
      <formula>221142</formula>
      <formula>221144</formula>
    </cfRule>
    <cfRule type="cellIs" dxfId="9698" priority="9682" stopIfTrue="1" operator="between">
      <formula>220001</formula>
      <formula>221144</formula>
    </cfRule>
  </conditionalFormatting>
  <conditionalFormatting sqref="E37">
    <cfRule type="cellIs" dxfId="9697" priority="9677" stopIfTrue="1" operator="between">
      <formula>221101</formula>
      <formula>221118</formula>
    </cfRule>
    <cfRule type="cellIs" dxfId="9696" priority="9678" stopIfTrue="1" operator="between">
      <formula>221142</formula>
      <formula>221144</formula>
    </cfRule>
    <cfRule type="cellIs" dxfId="9695" priority="9679" stopIfTrue="1" operator="between">
      <formula>220001</formula>
      <formula>221144</formula>
    </cfRule>
  </conditionalFormatting>
  <conditionalFormatting sqref="E37">
    <cfRule type="cellIs" dxfId="9694" priority="9674" stopIfTrue="1" operator="between">
      <formula>221101</formula>
      <formula>221118</formula>
    </cfRule>
    <cfRule type="cellIs" dxfId="9693" priority="9675" stopIfTrue="1" operator="between">
      <formula>221142</formula>
      <formula>221144</formula>
    </cfRule>
    <cfRule type="cellIs" dxfId="9692" priority="9676" stopIfTrue="1" operator="between">
      <formula>220001</formula>
      <formula>221144</formula>
    </cfRule>
  </conditionalFormatting>
  <conditionalFormatting sqref="E42">
    <cfRule type="cellIs" dxfId="9691" priority="9671" stopIfTrue="1" operator="between">
      <formula>221101</formula>
      <formula>221118</formula>
    </cfRule>
    <cfRule type="cellIs" dxfId="9690" priority="9672" stopIfTrue="1" operator="between">
      <formula>221142</formula>
      <formula>221144</formula>
    </cfRule>
    <cfRule type="cellIs" dxfId="9689" priority="9673" stopIfTrue="1" operator="between">
      <formula>220001</formula>
      <formula>221144</formula>
    </cfRule>
  </conditionalFormatting>
  <conditionalFormatting sqref="E42">
    <cfRule type="cellIs" dxfId="9688" priority="9668" stopIfTrue="1" operator="between">
      <formula>221101</formula>
      <formula>221118</formula>
    </cfRule>
    <cfRule type="cellIs" dxfId="9687" priority="9669" stopIfTrue="1" operator="between">
      <formula>221142</formula>
      <formula>221144</formula>
    </cfRule>
    <cfRule type="cellIs" dxfId="9686" priority="9670" stopIfTrue="1" operator="between">
      <formula>220001</formula>
      <formula>221144</formula>
    </cfRule>
  </conditionalFormatting>
  <conditionalFormatting sqref="E42">
    <cfRule type="cellIs" dxfId="9685" priority="9665" stopIfTrue="1" operator="between">
      <formula>221101</formula>
      <formula>221118</formula>
    </cfRule>
    <cfRule type="cellIs" dxfId="9684" priority="9666" stopIfTrue="1" operator="between">
      <formula>221142</formula>
      <formula>221144</formula>
    </cfRule>
    <cfRule type="cellIs" dxfId="9683" priority="9667" stopIfTrue="1" operator="between">
      <formula>220001</formula>
      <formula>221144</formula>
    </cfRule>
  </conditionalFormatting>
  <conditionalFormatting sqref="E42">
    <cfRule type="cellIs" dxfId="9682" priority="9662" stopIfTrue="1" operator="between">
      <formula>221101</formula>
      <formula>221118</formula>
    </cfRule>
    <cfRule type="cellIs" dxfId="9681" priority="9663" stopIfTrue="1" operator="between">
      <formula>221142</formula>
      <formula>221144</formula>
    </cfRule>
    <cfRule type="cellIs" dxfId="9680" priority="9664" stopIfTrue="1" operator="between">
      <formula>220001</formula>
      <formula>221144</formula>
    </cfRule>
  </conditionalFormatting>
  <conditionalFormatting sqref="C5">
    <cfRule type="cellIs" dxfId="9679" priority="9659" stopIfTrue="1" operator="between">
      <formula>221101</formula>
      <formula>221118</formula>
    </cfRule>
    <cfRule type="cellIs" dxfId="9678" priority="9660" stopIfTrue="1" operator="between">
      <formula>221142</formula>
      <formula>221144</formula>
    </cfRule>
    <cfRule type="cellIs" dxfId="9677" priority="9661" stopIfTrue="1" operator="between">
      <formula>220001</formula>
      <formula>221144</formula>
    </cfRule>
  </conditionalFormatting>
  <conditionalFormatting sqref="D5">
    <cfRule type="cellIs" dxfId="9676" priority="9656" stopIfTrue="1" operator="between">
      <formula>221101</formula>
      <formula>221118</formula>
    </cfRule>
    <cfRule type="cellIs" dxfId="9675" priority="9657" stopIfTrue="1" operator="between">
      <formula>221142</formula>
      <formula>221144</formula>
    </cfRule>
    <cfRule type="cellIs" dxfId="9674" priority="9658" stopIfTrue="1" operator="between">
      <formula>220001</formula>
      <formula>221144</formula>
    </cfRule>
  </conditionalFormatting>
  <conditionalFormatting sqref="C5">
    <cfRule type="cellIs" dxfId="9673" priority="9653" stopIfTrue="1" operator="between">
      <formula>221101</formula>
      <formula>221118</formula>
    </cfRule>
    <cfRule type="cellIs" dxfId="9672" priority="9654" stopIfTrue="1" operator="between">
      <formula>221142</formula>
      <formula>221144</formula>
    </cfRule>
    <cfRule type="cellIs" dxfId="9671" priority="9655" stopIfTrue="1" operator="between">
      <formula>220001</formula>
      <formula>221144</formula>
    </cfRule>
  </conditionalFormatting>
  <conditionalFormatting sqref="D5">
    <cfRule type="cellIs" dxfId="9670" priority="9650" stopIfTrue="1" operator="between">
      <formula>221101</formula>
      <formula>221118</formula>
    </cfRule>
    <cfRule type="cellIs" dxfId="9669" priority="9651" stopIfTrue="1" operator="between">
      <formula>221142</formula>
      <formula>221144</formula>
    </cfRule>
    <cfRule type="cellIs" dxfId="9668" priority="9652" stopIfTrue="1" operator="between">
      <formula>220001</formula>
      <formula>221144</formula>
    </cfRule>
  </conditionalFormatting>
  <conditionalFormatting sqref="D5">
    <cfRule type="cellIs" dxfId="9667" priority="9647" stopIfTrue="1" operator="between">
      <formula>221101</formula>
      <formula>221118</formula>
    </cfRule>
    <cfRule type="cellIs" dxfId="9666" priority="9648" stopIfTrue="1" operator="between">
      <formula>221142</formula>
      <formula>221144</formula>
    </cfRule>
    <cfRule type="cellIs" dxfId="9665" priority="9649" stopIfTrue="1" operator="between">
      <formula>220001</formula>
      <formula>221144</formula>
    </cfRule>
  </conditionalFormatting>
  <conditionalFormatting sqref="E13">
    <cfRule type="cellIs" dxfId="9664" priority="9644" stopIfTrue="1" operator="between">
      <formula>221101</formula>
      <formula>221118</formula>
    </cfRule>
    <cfRule type="cellIs" dxfId="9663" priority="9645" stopIfTrue="1" operator="between">
      <formula>221142</formula>
      <formula>221144</formula>
    </cfRule>
    <cfRule type="cellIs" dxfId="9662" priority="9646" stopIfTrue="1" operator="between">
      <formula>220001</formula>
      <formula>221144</formula>
    </cfRule>
  </conditionalFormatting>
  <conditionalFormatting sqref="AE13">
    <cfRule type="cellIs" dxfId="9661" priority="9641" stopIfTrue="1" operator="between">
      <formula>221101</formula>
      <formula>221118</formula>
    </cfRule>
    <cfRule type="cellIs" dxfId="9660" priority="9642" stopIfTrue="1" operator="between">
      <formula>221142</formula>
      <formula>221144</formula>
    </cfRule>
    <cfRule type="cellIs" dxfId="9659" priority="9643" stopIfTrue="1" operator="between">
      <formula>220001</formula>
      <formula>221144</formula>
    </cfRule>
  </conditionalFormatting>
  <conditionalFormatting sqref="C13">
    <cfRule type="cellIs" dxfId="9658" priority="9638" stopIfTrue="1" operator="between">
      <formula>221101</formula>
      <formula>221118</formula>
    </cfRule>
    <cfRule type="cellIs" dxfId="9657" priority="9639" stopIfTrue="1" operator="between">
      <formula>221142</formula>
      <formula>221144</formula>
    </cfRule>
    <cfRule type="cellIs" dxfId="9656" priority="9640" stopIfTrue="1" operator="between">
      <formula>220001</formula>
      <formula>221144</formula>
    </cfRule>
  </conditionalFormatting>
  <conditionalFormatting sqref="AD13">
    <cfRule type="cellIs" dxfId="9655" priority="9635" stopIfTrue="1" operator="between">
      <formula>221101</formula>
      <formula>221118</formula>
    </cfRule>
    <cfRule type="cellIs" dxfId="9654" priority="9636" stopIfTrue="1" operator="between">
      <formula>221142</formula>
      <formula>221144</formula>
    </cfRule>
    <cfRule type="cellIs" dxfId="9653" priority="9637" stopIfTrue="1" operator="between">
      <formula>220001</formula>
      <formula>221144</formula>
    </cfRule>
  </conditionalFormatting>
  <conditionalFormatting sqref="C13">
    <cfRule type="cellIs" dxfId="9652" priority="9632" stopIfTrue="1" operator="between">
      <formula>221101</formula>
      <formula>221118</formula>
    </cfRule>
    <cfRule type="cellIs" dxfId="9651" priority="9633" stopIfTrue="1" operator="between">
      <formula>221142</formula>
      <formula>221144</formula>
    </cfRule>
    <cfRule type="cellIs" dxfId="9650" priority="9634" stopIfTrue="1" operator="between">
      <formula>220001</formula>
      <formula>221144</formula>
    </cfRule>
  </conditionalFormatting>
  <conditionalFormatting sqref="AN13">
    <cfRule type="cellIs" dxfId="9649" priority="9629" stopIfTrue="1" operator="between">
      <formula>221101</formula>
      <formula>221118</formula>
    </cfRule>
    <cfRule type="cellIs" dxfId="9648" priority="9630" stopIfTrue="1" operator="between">
      <formula>221142</formula>
      <formula>221144</formula>
    </cfRule>
    <cfRule type="cellIs" dxfId="9647" priority="9631" stopIfTrue="1" operator="between">
      <formula>220001</formula>
      <formula>221144</formula>
    </cfRule>
  </conditionalFormatting>
  <conditionalFormatting sqref="AO13">
    <cfRule type="cellIs" dxfId="9646" priority="9626" stopIfTrue="1" operator="between">
      <formula>221101</formula>
      <formula>221118</formula>
    </cfRule>
    <cfRule type="cellIs" dxfId="9645" priority="9627" stopIfTrue="1" operator="between">
      <formula>221142</formula>
      <formula>221144</formula>
    </cfRule>
    <cfRule type="cellIs" dxfId="9644" priority="9628" stopIfTrue="1" operator="between">
      <formula>220001</formula>
      <formula>221144</formula>
    </cfRule>
  </conditionalFormatting>
  <conditionalFormatting sqref="C13">
    <cfRule type="cellIs" dxfId="9643" priority="9623" stopIfTrue="1" operator="between">
      <formula>221101</formula>
      <formula>221118</formula>
    </cfRule>
    <cfRule type="cellIs" dxfId="9642" priority="9624" stopIfTrue="1" operator="between">
      <formula>221142</formula>
      <formula>221144</formula>
    </cfRule>
    <cfRule type="cellIs" dxfId="9641" priority="9625" stopIfTrue="1" operator="between">
      <formula>220001</formula>
      <formula>221144</formula>
    </cfRule>
  </conditionalFormatting>
  <conditionalFormatting sqref="AD13">
    <cfRule type="cellIs" dxfId="9640" priority="9620" stopIfTrue="1" operator="between">
      <formula>221101</formula>
      <formula>221118</formula>
    </cfRule>
    <cfRule type="cellIs" dxfId="9639" priority="9621" stopIfTrue="1" operator="between">
      <formula>221142</formula>
      <formula>221144</formula>
    </cfRule>
    <cfRule type="cellIs" dxfId="9638" priority="9622" stopIfTrue="1" operator="between">
      <formula>220001</formula>
      <formula>221144</formula>
    </cfRule>
  </conditionalFormatting>
  <conditionalFormatting sqref="C13">
    <cfRule type="cellIs" dxfId="9637" priority="9617" stopIfTrue="1" operator="between">
      <formula>221101</formula>
      <formula>221118</formula>
    </cfRule>
    <cfRule type="cellIs" dxfId="9636" priority="9618" stopIfTrue="1" operator="between">
      <formula>221142</formula>
      <formula>221144</formula>
    </cfRule>
    <cfRule type="cellIs" dxfId="9635" priority="9619" stopIfTrue="1" operator="between">
      <formula>220001</formula>
      <formula>221144</formula>
    </cfRule>
  </conditionalFormatting>
  <conditionalFormatting sqref="AC13">
    <cfRule type="cellIs" dxfId="9634" priority="9614" stopIfTrue="1" operator="between">
      <formula>221101</formula>
      <formula>221118</formula>
    </cfRule>
    <cfRule type="cellIs" dxfId="9633" priority="9615" stopIfTrue="1" operator="between">
      <formula>221142</formula>
      <formula>221144</formula>
    </cfRule>
    <cfRule type="cellIs" dxfId="9632" priority="9616" stopIfTrue="1" operator="between">
      <formula>220001</formula>
      <formula>221144</formula>
    </cfRule>
  </conditionalFormatting>
  <conditionalFormatting sqref="C13">
    <cfRule type="cellIs" dxfId="9631" priority="9611" stopIfTrue="1" operator="between">
      <formula>221101</formula>
      <formula>221118</formula>
    </cfRule>
    <cfRule type="cellIs" dxfId="9630" priority="9612" stopIfTrue="1" operator="between">
      <formula>221142</formula>
      <formula>221144</formula>
    </cfRule>
    <cfRule type="cellIs" dxfId="9629" priority="9613" stopIfTrue="1" operator="between">
      <formula>220001</formula>
      <formula>221144</formula>
    </cfRule>
  </conditionalFormatting>
  <conditionalFormatting sqref="C13">
    <cfRule type="cellIs" dxfId="9628" priority="9608" stopIfTrue="1" operator="between">
      <formula>221101</formula>
      <formula>221118</formula>
    </cfRule>
    <cfRule type="cellIs" dxfId="9627" priority="9609" stopIfTrue="1" operator="between">
      <formula>221142</formula>
      <formula>221144</formula>
    </cfRule>
    <cfRule type="cellIs" dxfId="9626" priority="9610" stopIfTrue="1" operator="between">
      <formula>220001</formula>
      <formula>221144</formula>
    </cfRule>
  </conditionalFormatting>
  <conditionalFormatting sqref="C13">
    <cfRule type="cellIs" dxfId="9625" priority="9605" stopIfTrue="1" operator="between">
      <formula>221101</formula>
      <formula>221118</formula>
    </cfRule>
    <cfRule type="cellIs" dxfId="9624" priority="9606" stopIfTrue="1" operator="between">
      <formula>221142</formula>
      <formula>221144</formula>
    </cfRule>
    <cfRule type="cellIs" dxfId="9623" priority="9607" stopIfTrue="1" operator="between">
      <formula>220001</formula>
      <formula>221144</formula>
    </cfRule>
  </conditionalFormatting>
  <conditionalFormatting sqref="AM13">
    <cfRule type="cellIs" dxfId="9622" priority="9602" stopIfTrue="1" operator="between">
      <formula>221101</formula>
      <formula>221118</formula>
    </cfRule>
    <cfRule type="cellIs" dxfId="9621" priority="9603" stopIfTrue="1" operator="between">
      <formula>221142</formula>
      <formula>221144</formula>
    </cfRule>
    <cfRule type="cellIs" dxfId="9620" priority="9604" stopIfTrue="1" operator="between">
      <formula>220001</formula>
      <formula>221144</formula>
    </cfRule>
  </conditionalFormatting>
  <conditionalFormatting sqref="AN13">
    <cfRule type="cellIs" dxfId="9619" priority="9599" stopIfTrue="1" operator="between">
      <formula>221101</formula>
      <formula>221118</formula>
    </cfRule>
    <cfRule type="cellIs" dxfId="9618" priority="9600" stopIfTrue="1" operator="between">
      <formula>221142</formula>
      <formula>221144</formula>
    </cfRule>
    <cfRule type="cellIs" dxfId="9617" priority="9601" stopIfTrue="1" operator="between">
      <formula>220001</formula>
      <formula>221144</formula>
    </cfRule>
  </conditionalFormatting>
  <conditionalFormatting sqref="D13">
    <cfRule type="cellIs" dxfId="9616" priority="9596" stopIfTrue="1" operator="between">
      <formula>221101</formula>
      <formula>221118</formula>
    </cfRule>
    <cfRule type="cellIs" dxfId="9615" priority="9597" stopIfTrue="1" operator="between">
      <formula>221142</formula>
      <formula>221144</formula>
    </cfRule>
    <cfRule type="cellIs" dxfId="9614" priority="9598" stopIfTrue="1" operator="between">
      <formula>220001</formula>
      <formula>221144</formula>
    </cfRule>
  </conditionalFormatting>
  <conditionalFormatting sqref="D13">
    <cfRule type="cellIs" dxfId="9613" priority="9593" stopIfTrue="1" operator="between">
      <formula>221101</formula>
      <formula>221118</formula>
    </cfRule>
    <cfRule type="cellIs" dxfId="9612" priority="9594" stopIfTrue="1" operator="between">
      <formula>221142</formula>
      <formula>221144</formula>
    </cfRule>
    <cfRule type="cellIs" dxfId="9611" priority="9595" stopIfTrue="1" operator="between">
      <formula>220001</formula>
      <formula>221144</formula>
    </cfRule>
  </conditionalFormatting>
  <conditionalFormatting sqref="D13">
    <cfRule type="cellIs" dxfId="9610" priority="9590" stopIfTrue="1" operator="between">
      <formula>221101</formula>
      <formula>221118</formula>
    </cfRule>
    <cfRule type="cellIs" dxfId="9609" priority="9591" stopIfTrue="1" operator="between">
      <formula>221142</formula>
      <formula>221144</formula>
    </cfRule>
    <cfRule type="cellIs" dxfId="9608" priority="9592" stopIfTrue="1" operator="between">
      <formula>220001</formula>
      <formula>221144</formula>
    </cfRule>
  </conditionalFormatting>
  <conditionalFormatting sqref="D13">
    <cfRule type="cellIs" dxfId="9607" priority="9587" stopIfTrue="1" operator="between">
      <formula>221101</formula>
      <formula>221118</formula>
    </cfRule>
    <cfRule type="cellIs" dxfId="9606" priority="9588" stopIfTrue="1" operator="between">
      <formula>221142</formula>
      <formula>221144</formula>
    </cfRule>
    <cfRule type="cellIs" dxfId="9605" priority="9589" stopIfTrue="1" operator="between">
      <formula>220001</formula>
      <formula>221144</formula>
    </cfRule>
  </conditionalFormatting>
  <conditionalFormatting sqref="E21">
    <cfRule type="cellIs" dxfId="9604" priority="9584" stopIfTrue="1" operator="between">
      <formula>221101</formula>
      <formula>221118</formula>
    </cfRule>
    <cfRule type="cellIs" dxfId="9603" priority="9585" stopIfTrue="1" operator="between">
      <formula>221142</formula>
      <formula>221144</formula>
    </cfRule>
    <cfRule type="cellIs" dxfId="9602" priority="9586" stopIfTrue="1" operator="between">
      <formula>220001</formula>
      <formula>221144</formula>
    </cfRule>
  </conditionalFormatting>
  <conditionalFormatting sqref="C21">
    <cfRule type="cellIs" dxfId="9601" priority="9581" stopIfTrue="1" operator="between">
      <formula>221101</formula>
      <formula>221118</formula>
    </cfRule>
    <cfRule type="cellIs" dxfId="9600" priority="9582" stopIfTrue="1" operator="between">
      <formula>221142</formula>
      <formula>221144</formula>
    </cfRule>
    <cfRule type="cellIs" dxfId="9599" priority="9583" stopIfTrue="1" operator="between">
      <formula>220001</formula>
      <formula>221144</formula>
    </cfRule>
  </conditionalFormatting>
  <conditionalFormatting sqref="AN21">
    <cfRule type="cellIs" dxfId="9598" priority="9575" stopIfTrue="1" operator="between">
      <formula>221101</formula>
      <formula>221118</formula>
    </cfRule>
    <cfRule type="cellIs" dxfId="9597" priority="9576" stopIfTrue="1" operator="between">
      <formula>221142</formula>
      <formula>221144</formula>
    </cfRule>
    <cfRule type="cellIs" dxfId="9596" priority="9577" stopIfTrue="1" operator="between">
      <formula>220001</formula>
      <formula>221144</formula>
    </cfRule>
  </conditionalFormatting>
  <conditionalFormatting sqref="C21">
    <cfRule type="cellIs" dxfId="9595" priority="9572" stopIfTrue="1" operator="between">
      <formula>221101</formula>
      <formula>221118</formula>
    </cfRule>
    <cfRule type="cellIs" dxfId="9594" priority="9573" stopIfTrue="1" operator="between">
      <formula>221142</formula>
      <formula>221144</formula>
    </cfRule>
    <cfRule type="cellIs" dxfId="9593" priority="9574" stopIfTrue="1" operator="between">
      <formula>220001</formula>
      <formula>221144</formula>
    </cfRule>
  </conditionalFormatting>
  <conditionalFormatting sqref="C21">
    <cfRule type="cellIs" dxfId="9592" priority="9569" stopIfTrue="1" operator="between">
      <formula>221101</formula>
      <formula>221118</formula>
    </cfRule>
    <cfRule type="cellIs" dxfId="9591" priority="9570" stopIfTrue="1" operator="between">
      <formula>221142</formula>
      <formula>221144</formula>
    </cfRule>
    <cfRule type="cellIs" dxfId="9590" priority="9571" stopIfTrue="1" operator="between">
      <formula>220001</formula>
      <formula>221144</formula>
    </cfRule>
  </conditionalFormatting>
  <conditionalFormatting sqref="AN21">
    <cfRule type="cellIs" dxfId="9589" priority="9566" stopIfTrue="1" operator="between">
      <formula>221101</formula>
      <formula>221118</formula>
    </cfRule>
    <cfRule type="cellIs" dxfId="9588" priority="9567" stopIfTrue="1" operator="between">
      <formula>221142</formula>
      <formula>221144</formula>
    </cfRule>
    <cfRule type="cellIs" dxfId="9587" priority="9568" stopIfTrue="1" operator="between">
      <formula>220001</formula>
      <formula>221144</formula>
    </cfRule>
  </conditionalFormatting>
  <conditionalFormatting sqref="AM21">
    <cfRule type="cellIs" dxfId="9586" priority="9563" stopIfTrue="1" operator="between">
      <formula>221101</formula>
      <formula>221118</formula>
    </cfRule>
    <cfRule type="cellIs" dxfId="9585" priority="9564" stopIfTrue="1" operator="between">
      <formula>221142</formula>
      <formula>221144</formula>
    </cfRule>
    <cfRule type="cellIs" dxfId="9584" priority="9565" stopIfTrue="1" operator="between">
      <formula>220001</formula>
      <formula>221144</formula>
    </cfRule>
  </conditionalFormatting>
  <conditionalFormatting sqref="D21">
    <cfRule type="cellIs" dxfId="9583" priority="9560" stopIfTrue="1" operator="between">
      <formula>221101</formula>
      <formula>221118</formula>
    </cfRule>
    <cfRule type="cellIs" dxfId="9582" priority="9561" stopIfTrue="1" operator="between">
      <formula>221142</formula>
      <formula>221144</formula>
    </cfRule>
    <cfRule type="cellIs" dxfId="9581" priority="9562" stopIfTrue="1" operator="between">
      <formula>220001</formula>
      <formula>221144</formula>
    </cfRule>
  </conditionalFormatting>
  <conditionalFormatting sqref="D21">
    <cfRule type="cellIs" dxfId="9580" priority="9557" stopIfTrue="1" operator="between">
      <formula>221101</formula>
      <formula>221118</formula>
    </cfRule>
    <cfRule type="cellIs" dxfId="9579" priority="9558" stopIfTrue="1" operator="between">
      <formula>221142</formula>
      <formula>221144</formula>
    </cfRule>
    <cfRule type="cellIs" dxfId="9578" priority="9559" stopIfTrue="1" operator="between">
      <formula>220001</formula>
      <formula>221144</formula>
    </cfRule>
  </conditionalFormatting>
  <conditionalFormatting sqref="D21">
    <cfRule type="cellIs" dxfId="9577" priority="9554" stopIfTrue="1" operator="between">
      <formula>221101</formula>
      <formula>221118</formula>
    </cfRule>
    <cfRule type="cellIs" dxfId="9576" priority="9555" stopIfTrue="1" operator="between">
      <formula>221142</formula>
      <formula>221144</formula>
    </cfRule>
    <cfRule type="cellIs" dxfId="9575" priority="9556" stopIfTrue="1" operator="between">
      <formula>220001</formula>
      <formula>221144</formula>
    </cfRule>
  </conditionalFormatting>
  <conditionalFormatting sqref="D21">
    <cfRule type="cellIs" dxfId="9574" priority="9551" stopIfTrue="1" operator="between">
      <formula>221101</formula>
      <formula>221118</formula>
    </cfRule>
    <cfRule type="cellIs" dxfId="9573" priority="9552" stopIfTrue="1" operator="between">
      <formula>221142</formula>
      <formula>221144</formula>
    </cfRule>
    <cfRule type="cellIs" dxfId="9572" priority="9553" stopIfTrue="1" operator="between">
      <formula>220001</formula>
      <formula>221144</formula>
    </cfRule>
  </conditionalFormatting>
  <conditionalFormatting sqref="C29">
    <cfRule type="cellIs" dxfId="9571" priority="9548" stopIfTrue="1" operator="between">
      <formula>221101</formula>
      <formula>221118</formula>
    </cfRule>
    <cfRule type="cellIs" dxfId="9570" priority="9549" stopIfTrue="1" operator="between">
      <formula>221142</formula>
      <formula>221144</formula>
    </cfRule>
    <cfRule type="cellIs" dxfId="9569" priority="9550" stopIfTrue="1" operator="between">
      <formula>220001</formula>
      <formula>221144</formula>
    </cfRule>
  </conditionalFormatting>
  <conditionalFormatting sqref="AO29">
    <cfRule type="cellIs" dxfId="9568" priority="9545" stopIfTrue="1" operator="between">
      <formula>221101</formula>
      <formula>221118</formula>
    </cfRule>
    <cfRule type="cellIs" dxfId="9567" priority="9546" stopIfTrue="1" operator="between">
      <formula>221142</formula>
      <formula>221144</formula>
    </cfRule>
    <cfRule type="cellIs" dxfId="9566" priority="9547" stopIfTrue="1" operator="between">
      <formula>220001</formula>
      <formula>221144</formula>
    </cfRule>
  </conditionalFormatting>
  <conditionalFormatting sqref="AN29">
    <cfRule type="cellIs" dxfId="9565" priority="9542" stopIfTrue="1" operator="between">
      <formula>221101</formula>
      <formula>221118</formula>
    </cfRule>
    <cfRule type="cellIs" dxfId="9564" priority="9543" stopIfTrue="1" operator="between">
      <formula>221142</formula>
      <formula>221144</formula>
    </cfRule>
    <cfRule type="cellIs" dxfId="9563" priority="9544" stopIfTrue="1" operator="between">
      <formula>220001</formula>
      <formula>221144</formula>
    </cfRule>
  </conditionalFormatting>
  <conditionalFormatting sqref="B29">
    <cfRule type="cellIs" dxfId="9562" priority="9539" stopIfTrue="1" operator="between">
      <formula>221101</formula>
      <formula>221118</formula>
    </cfRule>
    <cfRule type="cellIs" dxfId="9561" priority="9540" stopIfTrue="1" operator="between">
      <formula>221142</formula>
      <formula>221144</formula>
    </cfRule>
    <cfRule type="cellIs" dxfId="9560" priority="9541" stopIfTrue="1" operator="between">
      <formula>220001</formula>
      <formula>221144</formula>
    </cfRule>
  </conditionalFormatting>
  <conditionalFormatting sqref="AN29">
    <cfRule type="cellIs" dxfId="9559" priority="9536" stopIfTrue="1" operator="between">
      <formula>221101</formula>
      <formula>221118</formula>
    </cfRule>
    <cfRule type="cellIs" dxfId="9558" priority="9537" stopIfTrue="1" operator="between">
      <formula>221142</formula>
      <formula>221144</formula>
    </cfRule>
    <cfRule type="cellIs" dxfId="9557" priority="9538" stopIfTrue="1" operator="between">
      <formula>220001</formula>
      <formula>221144</formula>
    </cfRule>
  </conditionalFormatting>
  <conditionalFormatting sqref="AM29">
    <cfRule type="cellIs" dxfId="9556" priority="9533" stopIfTrue="1" operator="between">
      <formula>221101</formula>
      <formula>221118</formula>
    </cfRule>
    <cfRule type="cellIs" dxfId="9555" priority="9534" stopIfTrue="1" operator="between">
      <formula>221142</formula>
      <formula>221144</formula>
    </cfRule>
    <cfRule type="cellIs" dxfId="9554" priority="9535" stopIfTrue="1" operator="between">
      <formula>220001</formula>
      <formula>221144</formula>
    </cfRule>
  </conditionalFormatting>
  <conditionalFormatting sqref="D29">
    <cfRule type="cellIs" dxfId="9553" priority="9530" stopIfTrue="1" operator="between">
      <formula>221101</formula>
      <formula>221118</formula>
    </cfRule>
    <cfRule type="cellIs" dxfId="9552" priority="9531" stopIfTrue="1" operator="between">
      <formula>221142</formula>
      <formula>221144</formula>
    </cfRule>
    <cfRule type="cellIs" dxfId="9551" priority="9532" stopIfTrue="1" operator="between">
      <formula>220001</formula>
      <formula>221144</formula>
    </cfRule>
  </conditionalFormatting>
  <conditionalFormatting sqref="D29">
    <cfRule type="cellIs" dxfId="9550" priority="9527" stopIfTrue="1" operator="between">
      <formula>221101</formula>
      <formula>221118</formula>
    </cfRule>
    <cfRule type="cellIs" dxfId="9549" priority="9528" stopIfTrue="1" operator="between">
      <formula>221142</formula>
      <formula>221144</formula>
    </cfRule>
    <cfRule type="cellIs" dxfId="9548" priority="9529" stopIfTrue="1" operator="between">
      <formula>220001</formula>
      <formula>221144</formula>
    </cfRule>
  </conditionalFormatting>
  <conditionalFormatting sqref="D29">
    <cfRule type="cellIs" dxfId="9547" priority="9524" stopIfTrue="1" operator="between">
      <formula>221101</formula>
      <formula>221118</formula>
    </cfRule>
    <cfRule type="cellIs" dxfId="9546" priority="9525" stopIfTrue="1" operator="between">
      <formula>221142</formula>
      <formula>221144</formula>
    </cfRule>
    <cfRule type="cellIs" dxfId="9545" priority="9526" stopIfTrue="1" operator="between">
      <formula>220001</formula>
      <formula>221144</formula>
    </cfRule>
  </conditionalFormatting>
  <conditionalFormatting sqref="D29">
    <cfRule type="cellIs" dxfId="9544" priority="9521" stopIfTrue="1" operator="between">
      <formula>221101</formula>
      <formula>221118</formula>
    </cfRule>
    <cfRule type="cellIs" dxfId="9543" priority="9522" stopIfTrue="1" operator="between">
      <formula>221142</formula>
      <formula>221144</formula>
    </cfRule>
    <cfRule type="cellIs" dxfId="9542" priority="9523" stopIfTrue="1" operator="between">
      <formula>220001</formula>
      <formula>221144</formula>
    </cfRule>
  </conditionalFormatting>
  <conditionalFormatting sqref="AO37">
    <cfRule type="cellIs" dxfId="9541" priority="9518" stopIfTrue="1" operator="between">
      <formula>221101</formula>
      <formula>221118</formula>
    </cfRule>
    <cfRule type="cellIs" dxfId="9540" priority="9519" stopIfTrue="1" operator="between">
      <formula>221142</formula>
      <formula>221144</formula>
    </cfRule>
    <cfRule type="cellIs" dxfId="9539" priority="9520" stopIfTrue="1" operator="between">
      <formula>220001</formula>
      <formula>221144</formula>
    </cfRule>
  </conditionalFormatting>
  <conditionalFormatting sqref="AN37">
    <cfRule type="cellIs" dxfId="9538" priority="9515" stopIfTrue="1" operator="between">
      <formula>221101</formula>
      <formula>221118</formula>
    </cfRule>
    <cfRule type="cellIs" dxfId="9537" priority="9516" stopIfTrue="1" operator="between">
      <formula>221142</formula>
      <formula>221144</formula>
    </cfRule>
    <cfRule type="cellIs" dxfId="9536" priority="9517" stopIfTrue="1" operator="between">
      <formula>220001</formula>
      <formula>221144</formula>
    </cfRule>
  </conditionalFormatting>
  <conditionalFormatting sqref="AN37">
    <cfRule type="cellIs" dxfId="9535" priority="9512" stopIfTrue="1" operator="between">
      <formula>221101</formula>
      <formula>221118</formula>
    </cfRule>
    <cfRule type="cellIs" dxfId="9534" priority="9513" stopIfTrue="1" operator="between">
      <formula>221142</formula>
      <formula>221144</formula>
    </cfRule>
    <cfRule type="cellIs" dxfId="9533" priority="9514" stopIfTrue="1" operator="between">
      <formula>220001</formula>
      <formula>221144</formula>
    </cfRule>
  </conditionalFormatting>
  <conditionalFormatting sqref="AM37">
    <cfRule type="cellIs" dxfId="9532" priority="9509" stopIfTrue="1" operator="between">
      <formula>221101</formula>
      <formula>221118</formula>
    </cfRule>
    <cfRule type="cellIs" dxfId="9531" priority="9510" stopIfTrue="1" operator="between">
      <formula>221142</formula>
      <formula>221144</formula>
    </cfRule>
    <cfRule type="cellIs" dxfId="9530" priority="9511" stopIfTrue="1" operator="between">
      <formula>220001</formula>
      <formula>221144</formula>
    </cfRule>
  </conditionalFormatting>
  <conditionalFormatting sqref="D37">
    <cfRule type="cellIs" dxfId="9529" priority="9506" stopIfTrue="1" operator="between">
      <formula>221101</formula>
      <formula>221118</formula>
    </cfRule>
    <cfRule type="cellIs" dxfId="9528" priority="9507" stopIfTrue="1" operator="between">
      <formula>221142</formula>
      <formula>221144</formula>
    </cfRule>
    <cfRule type="cellIs" dxfId="9527" priority="9508" stopIfTrue="1" operator="between">
      <formula>220001</formula>
      <formula>221144</formula>
    </cfRule>
  </conditionalFormatting>
  <conditionalFormatting sqref="D37">
    <cfRule type="cellIs" dxfId="9526" priority="9503" stopIfTrue="1" operator="between">
      <formula>221101</formula>
      <formula>221118</formula>
    </cfRule>
    <cfRule type="cellIs" dxfId="9525" priority="9504" stopIfTrue="1" operator="between">
      <formula>221142</formula>
      <formula>221144</formula>
    </cfRule>
    <cfRule type="cellIs" dxfId="9524" priority="9505" stopIfTrue="1" operator="between">
      <formula>220001</formula>
      <formula>221144</formula>
    </cfRule>
  </conditionalFormatting>
  <conditionalFormatting sqref="D37">
    <cfRule type="cellIs" dxfId="9523" priority="9500" stopIfTrue="1" operator="between">
      <formula>221101</formula>
      <formula>221118</formula>
    </cfRule>
    <cfRule type="cellIs" dxfId="9522" priority="9501" stopIfTrue="1" operator="between">
      <formula>221142</formula>
      <formula>221144</formula>
    </cfRule>
    <cfRule type="cellIs" dxfId="9521" priority="9502" stopIfTrue="1" operator="between">
      <formula>220001</formula>
      <formula>221144</formula>
    </cfRule>
  </conditionalFormatting>
  <conditionalFormatting sqref="D37">
    <cfRule type="cellIs" dxfId="9520" priority="9497" stopIfTrue="1" operator="between">
      <formula>221101</formula>
      <formula>221118</formula>
    </cfRule>
    <cfRule type="cellIs" dxfId="9519" priority="9498" stopIfTrue="1" operator="between">
      <formula>221142</formula>
      <formula>221144</formula>
    </cfRule>
    <cfRule type="cellIs" dxfId="9518" priority="9499" stopIfTrue="1" operator="between">
      <formula>220001</formula>
      <formula>221144</formula>
    </cfRule>
  </conditionalFormatting>
  <conditionalFormatting sqref="AO42">
    <cfRule type="cellIs" dxfId="9517" priority="9494" stopIfTrue="1" operator="between">
      <formula>221101</formula>
      <formula>221118</formula>
    </cfRule>
    <cfRule type="cellIs" dxfId="9516" priority="9495" stopIfTrue="1" operator="between">
      <formula>221142</formula>
      <formula>221144</formula>
    </cfRule>
    <cfRule type="cellIs" dxfId="9515" priority="9496" stopIfTrue="1" operator="between">
      <formula>220001</formula>
      <formula>221144</formula>
    </cfRule>
  </conditionalFormatting>
  <conditionalFormatting sqref="AN42">
    <cfRule type="cellIs" dxfId="9514" priority="9491" stopIfTrue="1" operator="between">
      <formula>221101</formula>
      <formula>221118</formula>
    </cfRule>
    <cfRule type="cellIs" dxfId="9513" priority="9492" stopIfTrue="1" operator="between">
      <formula>221142</formula>
      <formula>221144</formula>
    </cfRule>
    <cfRule type="cellIs" dxfId="9512" priority="9493" stopIfTrue="1" operator="between">
      <formula>220001</formula>
      <formula>221144</formula>
    </cfRule>
  </conditionalFormatting>
  <conditionalFormatting sqref="AN42">
    <cfRule type="cellIs" dxfId="9511" priority="9488" stopIfTrue="1" operator="between">
      <formula>221101</formula>
      <formula>221118</formula>
    </cfRule>
    <cfRule type="cellIs" dxfId="9510" priority="9489" stopIfTrue="1" operator="between">
      <formula>221142</formula>
      <formula>221144</formula>
    </cfRule>
    <cfRule type="cellIs" dxfId="9509" priority="9490" stopIfTrue="1" operator="between">
      <formula>220001</formula>
      <formula>221144</formula>
    </cfRule>
  </conditionalFormatting>
  <conditionalFormatting sqref="AM42">
    <cfRule type="cellIs" dxfId="9508" priority="9485" stopIfTrue="1" operator="between">
      <formula>221101</formula>
      <formula>221118</formula>
    </cfRule>
    <cfRule type="cellIs" dxfId="9507" priority="9486" stopIfTrue="1" operator="between">
      <formula>221142</formula>
      <formula>221144</formula>
    </cfRule>
    <cfRule type="cellIs" dxfId="9506" priority="9487" stopIfTrue="1" operator="between">
      <formula>220001</formula>
      <formula>221144</formula>
    </cfRule>
  </conditionalFormatting>
  <conditionalFormatting sqref="D42">
    <cfRule type="cellIs" dxfId="9505" priority="9482" stopIfTrue="1" operator="between">
      <formula>221101</formula>
      <formula>221118</formula>
    </cfRule>
    <cfRule type="cellIs" dxfId="9504" priority="9483" stopIfTrue="1" operator="between">
      <formula>221142</formula>
      <formula>221144</formula>
    </cfRule>
    <cfRule type="cellIs" dxfId="9503" priority="9484" stopIfTrue="1" operator="between">
      <formula>220001</formula>
      <formula>221144</formula>
    </cfRule>
  </conditionalFormatting>
  <conditionalFormatting sqref="D42">
    <cfRule type="cellIs" dxfId="9502" priority="9479" stopIfTrue="1" operator="between">
      <formula>221101</formula>
      <formula>221118</formula>
    </cfRule>
    <cfRule type="cellIs" dxfId="9501" priority="9480" stopIfTrue="1" operator="between">
      <formula>221142</formula>
      <formula>221144</formula>
    </cfRule>
    <cfRule type="cellIs" dxfId="9500" priority="9481" stopIfTrue="1" operator="between">
      <formula>220001</formula>
      <formula>221144</formula>
    </cfRule>
  </conditionalFormatting>
  <conditionalFormatting sqref="D42">
    <cfRule type="cellIs" dxfId="9499" priority="9476" stopIfTrue="1" operator="between">
      <formula>221101</formula>
      <formula>221118</formula>
    </cfRule>
    <cfRule type="cellIs" dxfId="9498" priority="9477" stopIfTrue="1" operator="between">
      <formula>221142</formula>
      <formula>221144</formula>
    </cfRule>
    <cfRule type="cellIs" dxfId="9497" priority="9478" stopIfTrue="1" operator="between">
      <formula>220001</formula>
      <formula>221144</formula>
    </cfRule>
  </conditionalFormatting>
  <conditionalFormatting sqref="D42">
    <cfRule type="cellIs" dxfId="9496" priority="9473" stopIfTrue="1" operator="between">
      <formula>221101</formula>
      <formula>221118</formula>
    </cfRule>
    <cfRule type="cellIs" dxfId="9495" priority="9474" stopIfTrue="1" operator="between">
      <formula>221142</formula>
      <formula>221144</formula>
    </cfRule>
    <cfRule type="cellIs" dxfId="9494" priority="9475" stopIfTrue="1" operator="between">
      <formula>220001</formula>
      <formula>221144</formula>
    </cfRule>
  </conditionalFormatting>
  <conditionalFormatting sqref="C5">
    <cfRule type="cellIs" dxfId="9493" priority="9470" stopIfTrue="1" operator="between">
      <formula>221101</formula>
      <formula>221118</formula>
    </cfRule>
    <cfRule type="cellIs" dxfId="9492" priority="9471" stopIfTrue="1" operator="between">
      <formula>221142</formula>
      <formula>221144</formula>
    </cfRule>
    <cfRule type="cellIs" dxfId="9491" priority="9472" stopIfTrue="1" operator="between">
      <formula>220001</formula>
      <formula>221144</formula>
    </cfRule>
  </conditionalFormatting>
  <conditionalFormatting sqref="D5">
    <cfRule type="cellIs" dxfId="9490" priority="9467" stopIfTrue="1" operator="between">
      <formula>221101</formula>
      <formula>221118</formula>
    </cfRule>
    <cfRule type="cellIs" dxfId="9489" priority="9468" stopIfTrue="1" operator="between">
      <formula>221142</formula>
      <formula>221144</formula>
    </cfRule>
    <cfRule type="cellIs" dxfId="9488" priority="9469" stopIfTrue="1" operator="between">
      <formula>220001</formula>
      <formula>221144</formula>
    </cfRule>
  </conditionalFormatting>
  <conditionalFormatting sqref="C5">
    <cfRule type="cellIs" dxfId="9487" priority="9464" stopIfTrue="1" operator="between">
      <formula>221101</formula>
      <formula>221118</formula>
    </cfRule>
    <cfRule type="cellIs" dxfId="9486" priority="9465" stopIfTrue="1" operator="between">
      <formula>221142</formula>
      <formula>221144</formula>
    </cfRule>
    <cfRule type="cellIs" dxfId="9485" priority="9466" stopIfTrue="1" operator="between">
      <formula>220001</formula>
      <formula>221144</formula>
    </cfRule>
  </conditionalFormatting>
  <conditionalFormatting sqref="D5">
    <cfRule type="cellIs" dxfId="9484" priority="9461" stopIfTrue="1" operator="between">
      <formula>221101</formula>
      <formula>221118</formula>
    </cfRule>
    <cfRule type="cellIs" dxfId="9483" priority="9462" stopIfTrue="1" operator="between">
      <formula>221142</formula>
      <formula>221144</formula>
    </cfRule>
    <cfRule type="cellIs" dxfId="9482" priority="9463" stopIfTrue="1" operator="between">
      <formula>220001</formula>
      <formula>221144</formula>
    </cfRule>
  </conditionalFormatting>
  <conditionalFormatting sqref="D5">
    <cfRule type="cellIs" dxfId="9481" priority="9458" stopIfTrue="1" operator="between">
      <formula>221101</formula>
      <formula>221118</formula>
    </cfRule>
    <cfRule type="cellIs" dxfId="9480" priority="9459" stopIfTrue="1" operator="between">
      <formula>221142</formula>
      <formula>221144</formula>
    </cfRule>
    <cfRule type="cellIs" dxfId="9479" priority="9460" stopIfTrue="1" operator="between">
      <formula>220001</formula>
      <formula>221144</formula>
    </cfRule>
  </conditionalFormatting>
  <conditionalFormatting sqref="C5">
    <cfRule type="cellIs" dxfId="9478" priority="9455" stopIfTrue="1" operator="between">
      <formula>221101</formula>
      <formula>221118</formula>
    </cfRule>
    <cfRule type="cellIs" dxfId="9477" priority="9456" stopIfTrue="1" operator="between">
      <formula>221142</formula>
      <formula>221144</formula>
    </cfRule>
    <cfRule type="cellIs" dxfId="9476" priority="9457" stopIfTrue="1" operator="between">
      <formula>220001</formula>
      <formula>221144</formula>
    </cfRule>
  </conditionalFormatting>
  <conditionalFormatting sqref="C5">
    <cfRule type="cellIs" dxfId="9475" priority="9452" stopIfTrue="1" operator="between">
      <formula>221101</formula>
      <formula>221118</formula>
    </cfRule>
    <cfRule type="cellIs" dxfId="9474" priority="9453" stopIfTrue="1" operator="between">
      <formula>221142</formula>
      <formula>221144</formula>
    </cfRule>
    <cfRule type="cellIs" dxfId="9473" priority="9454" stopIfTrue="1" operator="between">
      <formula>220001</formula>
      <formula>221144</formula>
    </cfRule>
  </conditionalFormatting>
  <conditionalFormatting sqref="C5">
    <cfRule type="cellIs" dxfId="9472" priority="9449" stopIfTrue="1" operator="between">
      <formula>221101</formula>
      <formula>221118</formula>
    </cfRule>
    <cfRule type="cellIs" dxfId="9471" priority="9450" stopIfTrue="1" operator="between">
      <formula>221142</formula>
      <formula>221144</formula>
    </cfRule>
    <cfRule type="cellIs" dxfId="9470" priority="9451" stopIfTrue="1" operator="between">
      <formula>220001</formula>
      <formula>221144</formula>
    </cfRule>
  </conditionalFormatting>
  <conditionalFormatting sqref="E13">
    <cfRule type="cellIs" dxfId="9469" priority="9446" stopIfTrue="1" operator="between">
      <formula>221101</formula>
      <formula>221118</formula>
    </cfRule>
    <cfRule type="cellIs" dxfId="9468" priority="9447" stopIfTrue="1" operator="between">
      <formula>221142</formula>
      <formula>221144</formula>
    </cfRule>
    <cfRule type="cellIs" dxfId="9467" priority="9448" stopIfTrue="1" operator="between">
      <formula>220001</formula>
      <formula>221144</formula>
    </cfRule>
  </conditionalFormatting>
  <conditionalFormatting sqref="AE13">
    <cfRule type="cellIs" dxfId="9466" priority="9443" stopIfTrue="1" operator="between">
      <formula>221101</formula>
      <formula>221118</formula>
    </cfRule>
    <cfRule type="cellIs" dxfId="9465" priority="9444" stopIfTrue="1" operator="between">
      <formula>221142</formula>
      <formula>221144</formula>
    </cfRule>
    <cfRule type="cellIs" dxfId="9464" priority="9445" stopIfTrue="1" operator="between">
      <formula>220001</formula>
      <formula>221144</formula>
    </cfRule>
  </conditionalFormatting>
  <conditionalFormatting sqref="C13">
    <cfRule type="cellIs" dxfId="9463" priority="9440" stopIfTrue="1" operator="between">
      <formula>221101</formula>
      <formula>221118</formula>
    </cfRule>
    <cfRule type="cellIs" dxfId="9462" priority="9441" stopIfTrue="1" operator="between">
      <formula>221142</formula>
      <formula>221144</formula>
    </cfRule>
    <cfRule type="cellIs" dxfId="9461" priority="9442" stopIfTrue="1" operator="between">
      <formula>220001</formula>
      <formula>221144</formula>
    </cfRule>
  </conditionalFormatting>
  <conditionalFormatting sqref="AD13">
    <cfRule type="cellIs" dxfId="9460" priority="9437" stopIfTrue="1" operator="between">
      <formula>221101</formula>
      <formula>221118</formula>
    </cfRule>
    <cfRule type="cellIs" dxfId="9459" priority="9438" stopIfTrue="1" operator="between">
      <formula>221142</formula>
      <formula>221144</formula>
    </cfRule>
    <cfRule type="cellIs" dxfId="9458" priority="9439" stopIfTrue="1" operator="between">
      <formula>220001</formula>
      <formula>221144</formula>
    </cfRule>
  </conditionalFormatting>
  <conditionalFormatting sqref="C13">
    <cfRule type="cellIs" dxfId="9457" priority="9434" stopIfTrue="1" operator="between">
      <formula>221101</formula>
      <formula>221118</formula>
    </cfRule>
    <cfRule type="cellIs" dxfId="9456" priority="9435" stopIfTrue="1" operator="between">
      <formula>221142</formula>
      <formula>221144</formula>
    </cfRule>
    <cfRule type="cellIs" dxfId="9455" priority="9436" stopIfTrue="1" operator="between">
      <formula>220001</formula>
      <formula>221144</formula>
    </cfRule>
  </conditionalFormatting>
  <conditionalFormatting sqref="AN13">
    <cfRule type="cellIs" dxfId="9454" priority="9431" stopIfTrue="1" operator="between">
      <formula>221101</formula>
      <formula>221118</formula>
    </cfRule>
    <cfRule type="cellIs" dxfId="9453" priority="9432" stopIfTrue="1" operator="between">
      <formula>221142</formula>
      <formula>221144</formula>
    </cfRule>
    <cfRule type="cellIs" dxfId="9452" priority="9433" stopIfTrue="1" operator="between">
      <formula>220001</formula>
      <formula>221144</formula>
    </cfRule>
  </conditionalFormatting>
  <conditionalFormatting sqref="AO13">
    <cfRule type="cellIs" dxfId="9451" priority="9428" stopIfTrue="1" operator="between">
      <formula>221101</formula>
      <formula>221118</formula>
    </cfRule>
    <cfRule type="cellIs" dxfId="9450" priority="9429" stopIfTrue="1" operator="between">
      <formula>221142</formula>
      <formula>221144</formula>
    </cfRule>
    <cfRule type="cellIs" dxfId="9449" priority="9430" stopIfTrue="1" operator="between">
      <formula>220001</formula>
      <formula>221144</formula>
    </cfRule>
  </conditionalFormatting>
  <conditionalFormatting sqref="C13">
    <cfRule type="cellIs" dxfId="9448" priority="9425" stopIfTrue="1" operator="between">
      <formula>221101</formula>
      <formula>221118</formula>
    </cfRule>
    <cfRule type="cellIs" dxfId="9447" priority="9426" stopIfTrue="1" operator="between">
      <formula>221142</formula>
      <formula>221144</formula>
    </cfRule>
    <cfRule type="cellIs" dxfId="9446" priority="9427" stopIfTrue="1" operator="between">
      <formula>220001</formula>
      <formula>221144</formula>
    </cfRule>
  </conditionalFormatting>
  <conditionalFormatting sqref="AD13">
    <cfRule type="cellIs" dxfId="9445" priority="9422" stopIfTrue="1" operator="between">
      <formula>221101</formula>
      <formula>221118</formula>
    </cfRule>
    <cfRule type="cellIs" dxfId="9444" priority="9423" stopIfTrue="1" operator="between">
      <formula>221142</formula>
      <formula>221144</formula>
    </cfRule>
    <cfRule type="cellIs" dxfId="9443" priority="9424" stopIfTrue="1" operator="between">
      <formula>220001</formula>
      <formula>221144</formula>
    </cfRule>
  </conditionalFormatting>
  <conditionalFormatting sqref="C13">
    <cfRule type="cellIs" dxfId="9442" priority="9419" stopIfTrue="1" operator="between">
      <formula>221101</formula>
      <formula>221118</formula>
    </cfRule>
    <cfRule type="cellIs" dxfId="9441" priority="9420" stopIfTrue="1" operator="between">
      <formula>221142</formula>
      <formula>221144</formula>
    </cfRule>
    <cfRule type="cellIs" dxfId="9440" priority="9421" stopIfTrue="1" operator="between">
      <formula>220001</formula>
      <formula>221144</formula>
    </cfRule>
  </conditionalFormatting>
  <conditionalFormatting sqref="AC13">
    <cfRule type="cellIs" dxfId="9439" priority="9416" stopIfTrue="1" operator="between">
      <formula>221101</formula>
      <formula>221118</formula>
    </cfRule>
    <cfRule type="cellIs" dxfId="9438" priority="9417" stopIfTrue="1" operator="between">
      <formula>221142</formula>
      <formula>221144</formula>
    </cfRule>
    <cfRule type="cellIs" dxfId="9437" priority="9418" stopIfTrue="1" operator="between">
      <formula>220001</formula>
      <formula>221144</formula>
    </cfRule>
  </conditionalFormatting>
  <conditionalFormatting sqref="C13">
    <cfRule type="cellIs" dxfId="9436" priority="9413" stopIfTrue="1" operator="between">
      <formula>221101</formula>
      <formula>221118</formula>
    </cfRule>
    <cfRule type="cellIs" dxfId="9435" priority="9414" stopIfTrue="1" operator="between">
      <formula>221142</formula>
      <formula>221144</formula>
    </cfRule>
    <cfRule type="cellIs" dxfId="9434" priority="9415" stopIfTrue="1" operator="between">
      <formula>220001</formula>
      <formula>221144</formula>
    </cfRule>
  </conditionalFormatting>
  <conditionalFormatting sqref="C13">
    <cfRule type="cellIs" dxfId="9433" priority="9410" stopIfTrue="1" operator="between">
      <formula>221101</formula>
      <formula>221118</formula>
    </cfRule>
    <cfRule type="cellIs" dxfId="9432" priority="9411" stopIfTrue="1" operator="between">
      <formula>221142</formula>
      <formula>221144</formula>
    </cfRule>
    <cfRule type="cellIs" dxfId="9431" priority="9412" stopIfTrue="1" operator="between">
      <formula>220001</formula>
      <formula>221144</formula>
    </cfRule>
  </conditionalFormatting>
  <conditionalFormatting sqref="C13">
    <cfRule type="cellIs" dxfId="9430" priority="9407" stopIfTrue="1" operator="between">
      <formula>221101</formula>
      <formula>221118</formula>
    </cfRule>
    <cfRule type="cellIs" dxfId="9429" priority="9408" stopIfTrue="1" operator="between">
      <formula>221142</formula>
      <formula>221144</formula>
    </cfRule>
    <cfRule type="cellIs" dxfId="9428" priority="9409" stopIfTrue="1" operator="between">
      <formula>220001</formula>
      <formula>221144</formula>
    </cfRule>
  </conditionalFormatting>
  <conditionalFormatting sqref="AM13">
    <cfRule type="cellIs" dxfId="9427" priority="9404" stopIfTrue="1" operator="between">
      <formula>221101</formula>
      <formula>221118</formula>
    </cfRule>
    <cfRule type="cellIs" dxfId="9426" priority="9405" stopIfTrue="1" operator="between">
      <formula>221142</formula>
      <formula>221144</formula>
    </cfRule>
    <cfRule type="cellIs" dxfId="9425" priority="9406" stopIfTrue="1" operator="between">
      <formula>220001</formula>
      <formula>221144</formula>
    </cfRule>
  </conditionalFormatting>
  <conditionalFormatting sqref="AN13">
    <cfRule type="cellIs" dxfId="9424" priority="9401" stopIfTrue="1" operator="between">
      <formula>221101</formula>
      <formula>221118</formula>
    </cfRule>
    <cfRule type="cellIs" dxfId="9423" priority="9402" stopIfTrue="1" operator="between">
      <formula>221142</formula>
      <formula>221144</formula>
    </cfRule>
    <cfRule type="cellIs" dxfId="9422" priority="9403" stopIfTrue="1" operator="between">
      <formula>220001</formula>
      <formula>221144</formula>
    </cfRule>
  </conditionalFormatting>
  <conditionalFormatting sqref="D13">
    <cfRule type="cellIs" dxfId="9421" priority="9398" stopIfTrue="1" operator="between">
      <formula>221101</formula>
      <formula>221118</formula>
    </cfRule>
    <cfRule type="cellIs" dxfId="9420" priority="9399" stopIfTrue="1" operator="between">
      <formula>221142</formula>
      <formula>221144</formula>
    </cfRule>
    <cfRule type="cellIs" dxfId="9419" priority="9400" stopIfTrue="1" operator="between">
      <formula>220001</formula>
      <formula>221144</formula>
    </cfRule>
  </conditionalFormatting>
  <conditionalFormatting sqref="D13">
    <cfRule type="cellIs" dxfId="9418" priority="9395" stopIfTrue="1" operator="between">
      <formula>221101</formula>
      <formula>221118</formula>
    </cfRule>
    <cfRule type="cellIs" dxfId="9417" priority="9396" stopIfTrue="1" operator="between">
      <formula>221142</formula>
      <formula>221144</formula>
    </cfRule>
    <cfRule type="cellIs" dxfId="9416" priority="9397" stopIfTrue="1" operator="between">
      <formula>220001</formula>
      <formula>221144</formula>
    </cfRule>
  </conditionalFormatting>
  <conditionalFormatting sqref="D13">
    <cfRule type="cellIs" dxfId="9415" priority="9392" stopIfTrue="1" operator="between">
      <formula>221101</formula>
      <formula>221118</formula>
    </cfRule>
    <cfRule type="cellIs" dxfId="9414" priority="9393" stopIfTrue="1" operator="between">
      <formula>221142</formula>
      <formula>221144</formula>
    </cfRule>
    <cfRule type="cellIs" dxfId="9413" priority="9394" stopIfTrue="1" operator="between">
      <formula>220001</formula>
      <formula>221144</formula>
    </cfRule>
  </conditionalFormatting>
  <conditionalFormatting sqref="D13">
    <cfRule type="cellIs" dxfId="9412" priority="9389" stopIfTrue="1" operator="between">
      <formula>221101</formula>
      <formula>221118</formula>
    </cfRule>
    <cfRule type="cellIs" dxfId="9411" priority="9390" stopIfTrue="1" operator="between">
      <formula>221142</formula>
      <formula>221144</formula>
    </cfRule>
    <cfRule type="cellIs" dxfId="9410" priority="9391" stopIfTrue="1" operator="between">
      <formula>220001</formula>
      <formula>221144</formula>
    </cfRule>
  </conditionalFormatting>
  <conditionalFormatting sqref="D13">
    <cfRule type="cellIs" dxfId="9409" priority="9386" stopIfTrue="1" operator="between">
      <formula>221101</formula>
      <formula>221118</formula>
    </cfRule>
    <cfRule type="cellIs" dxfId="9408" priority="9387" stopIfTrue="1" operator="between">
      <formula>221142</formula>
      <formula>221144</formula>
    </cfRule>
    <cfRule type="cellIs" dxfId="9407" priority="9388" stopIfTrue="1" operator="between">
      <formula>220001</formula>
      <formula>221144</formula>
    </cfRule>
  </conditionalFormatting>
  <conditionalFormatting sqref="AD13">
    <cfRule type="cellIs" dxfId="9406" priority="9383" stopIfTrue="1" operator="between">
      <formula>221101</formula>
      <formula>221118</formula>
    </cfRule>
    <cfRule type="cellIs" dxfId="9405" priority="9384" stopIfTrue="1" operator="between">
      <formula>221142</formula>
      <formula>221144</formula>
    </cfRule>
    <cfRule type="cellIs" dxfId="9404" priority="9385" stopIfTrue="1" operator="between">
      <formula>220001</formula>
      <formula>221144</formula>
    </cfRule>
  </conditionalFormatting>
  <conditionalFormatting sqref="AC13">
    <cfRule type="cellIs" dxfId="9403" priority="9380" stopIfTrue="1" operator="between">
      <formula>221101</formula>
      <formula>221118</formula>
    </cfRule>
    <cfRule type="cellIs" dxfId="9402" priority="9381" stopIfTrue="1" operator="between">
      <formula>221142</formula>
      <formula>221144</formula>
    </cfRule>
    <cfRule type="cellIs" dxfId="9401" priority="9382" stopIfTrue="1" operator="between">
      <formula>220001</formula>
      <formula>221144</formula>
    </cfRule>
  </conditionalFormatting>
  <conditionalFormatting sqref="AM13">
    <cfRule type="cellIs" dxfId="9400" priority="9377" stopIfTrue="1" operator="between">
      <formula>221101</formula>
      <formula>221118</formula>
    </cfRule>
    <cfRule type="cellIs" dxfId="9399" priority="9378" stopIfTrue="1" operator="between">
      <formula>221142</formula>
      <formula>221144</formula>
    </cfRule>
    <cfRule type="cellIs" dxfId="9398" priority="9379" stopIfTrue="1" operator="between">
      <formula>220001</formula>
      <formula>221144</formula>
    </cfRule>
  </conditionalFormatting>
  <conditionalFormatting sqref="AN13">
    <cfRule type="cellIs" dxfId="9397" priority="9374" stopIfTrue="1" operator="between">
      <formula>221101</formula>
      <formula>221118</formula>
    </cfRule>
    <cfRule type="cellIs" dxfId="9396" priority="9375" stopIfTrue="1" operator="between">
      <formula>221142</formula>
      <formula>221144</formula>
    </cfRule>
    <cfRule type="cellIs" dxfId="9395" priority="9376" stopIfTrue="1" operator="between">
      <formula>220001</formula>
      <formula>221144</formula>
    </cfRule>
  </conditionalFormatting>
  <conditionalFormatting sqref="AC13">
    <cfRule type="cellIs" dxfId="9394" priority="9371" stopIfTrue="1" operator="between">
      <formula>221101</formula>
      <formula>221118</formula>
    </cfRule>
    <cfRule type="cellIs" dxfId="9393" priority="9372" stopIfTrue="1" operator="between">
      <formula>221142</formula>
      <formula>221144</formula>
    </cfRule>
    <cfRule type="cellIs" dxfId="9392" priority="9373" stopIfTrue="1" operator="between">
      <formula>220001</formula>
      <formula>221144</formula>
    </cfRule>
  </conditionalFormatting>
  <conditionalFormatting sqref="AB13">
    <cfRule type="cellIs" dxfId="9391" priority="9368" stopIfTrue="1" operator="between">
      <formula>221101</formula>
      <formula>221118</formula>
    </cfRule>
    <cfRule type="cellIs" dxfId="9390" priority="9369" stopIfTrue="1" operator="between">
      <formula>221142</formula>
      <formula>221144</formula>
    </cfRule>
    <cfRule type="cellIs" dxfId="9389" priority="9370" stopIfTrue="1" operator="between">
      <formula>220001</formula>
      <formula>221144</formula>
    </cfRule>
  </conditionalFormatting>
  <conditionalFormatting sqref="AL13">
    <cfRule type="cellIs" dxfId="9388" priority="9365" stopIfTrue="1" operator="between">
      <formula>221101</formula>
      <formula>221118</formula>
    </cfRule>
    <cfRule type="cellIs" dxfId="9387" priority="9366" stopIfTrue="1" operator="between">
      <formula>221142</formula>
      <formula>221144</formula>
    </cfRule>
    <cfRule type="cellIs" dxfId="9386" priority="9367" stopIfTrue="1" operator="between">
      <formula>220001</formula>
      <formula>221144</formula>
    </cfRule>
  </conditionalFormatting>
  <conditionalFormatting sqref="AM13">
    <cfRule type="cellIs" dxfId="9385" priority="9362" stopIfTrue="1" operator="between">
      <formula>221101</formula>
      <formula>221118</formula>
    </cfRule>
    <cfRule type="cellIs" dxfId="9384" priority="9363" stopIfTrue="1" operator="between">
      <formula>221142</formula>
      <formula>221144</formula>
    </cfRule>
    <cfRule type="cellIs" dxfId="9383" priority="9364" stopIfTrue="1" operator="between">
      <formula>220001</formula>
      <formula>221144</formula>
    </cfRule>
  </conditionalFormatting>
  <conditionalFormatting sqref="C13">
    <cfRule type="cellIs" dxfId="9382" priority="9359" stopIfTrue="1" operator="between">
      <formula>221101</formula>
      <formula>221118</formula>
    </cfRule>
    <cfRule type="cellIs" dxfId="9381" priority="9360" stopIfTrue="1" operator="between">
      <formula>221142</formula>
      <formula>221144</formula>
    </cfRule>
    <cfRule type="cellIs" dxfId="9380" priority="9361" stopIfTrue="1" operator="between">
      <formula>220001</formula>
      <formula>221144</formula>
    </cfRule>
  </conditionalFormatting>
  <conditionalFormatting sqref="C13">
    <cfRule type="cellIs" dxfId="9379" priority="9356" stopIfTrue="1" operator="between">
      <formula>221101</formula>
      <formula>221118</formula>
    </cfRule>
    <cfRule type="cellIs" dxfId="9378" priority="9357" stopIfTrue="1" operator="between">
      <formula>221142</formula>
      <formula>221144</formula>
    </cfRule>
    <cfRule type="cellIs" dxfId="9377" priority="9358" stopIfTrue="1" operator="between">
      <formula>220001</formula>
      <formula>221144</formula>
    </cfRule>
  </conditionalFormatting>
  <conditionalFormatting sqref="C13">
    <cfRule type="cellIs" dxfId="9376" priority="9353" stopIfTrue="1" operator="between">
      <formula>221101</formula>
      <formula>221118</formula>
    </cfRule>
    <cfRule type="cellIs" dxfId="9375" priority="9354" stopIfTrue="1" operator="between">
      <formula>221142</formula>
      <formula>221144</formula>
    </cfRule>
    <cfRule type="cellIs" dxfId="9374" priority="9355" stopIfTrue="1" operator="between">
      <formula>220001</formula>
      <formula>221144</formula>
    </cfRule>
  </conditionalFormatting>
  <conditionalFormatting sqref="C13">
    <cfRule type="cellIs" dxfId="9373" priority="9350" stopIfTrue="1" operator="between">
      <formula>221101</formula>
      <formula>221118</formula>
    </cfRule>
    <cfRule type="cellIs" dxfId="9372" priority="9351" stopIfTrue="1" operator="between">
      <formula>221142</formula>
      <formula>221144</formula>
    </cfRule>
    <cfRule type="cellIs" dxfId="9371" priority="9352" stopIfTrue="1" operator="between">
      <formula>220001</formula>
      <formula>221144</formula>
    </cfRule>
  </conditionalFormatting>
  <conditionalFormatting sqref="E21">
    <cfRule type="cellIs" dxfId="9370" priority="9347" stopIfTrue="1" operator="between">
      <formula>221101</formula>
      <formula>221118</formula>
    </cfRule>
    <cfRule type="cellIs" dxfId="9369" priority="9348" stopIfTrue="1" operator="between">
      <formula>221142</formula>
      <formula>221144</formula>
    </cfRule>
    <cfRule type="cellIs" dxfId="9368" priority="9349" stopIfTrue="1" operator="between">
      <formula>220001</formula>
      <formula>221144</formula>
    </cfRule>
  </conditionalFormatting>
  <conditionalFormatting sqref="C21">
    <cfRule type="cellIs" dxfId="9367" priority="9344" stopIfTrue="1" operator="between">
      <formula>221101</formula>
      <formula>221118</formula>
    </cfRule>
    <cfRule type="cellIs" dxfId="9366" priority="9345" stopIfTrue="1" operator="between">
      <formula>221142</formula>
      <formula>221144</formula>
    </cfRule>
    <cfRule type="cellIs" dxfId="9365" priority="9346" stopIfTrue="1" operator="between">
      <formula>220001</formula>
      <formula>221144</formula>
    </cfRule>
  </conditionalFormatting>
  <conditionalFormatting sqref="AN21">
    <cfRule type="cellIs" dxfId="9364" priority="9338" stopIfTrue="1" operator="between">
      <formula>221101</formula>
      <formula>221118</formula>
    </cfRule>
    <cfRule type="cellIs" dxfId="9363" priority="9339" stopIfTrue="1" operator="between">
      <formula>221142</formula>
      <formula>221144</formula>
    </cfRule>
    <cfRule type="cellIs" dxfId="9362" priority="9340" stopIfTrue="1" operator="between">
      <formula>220001</formula>
      <formula>221144</formula>
    </cfRule>
  </conditionalFormatting>
  <conditionalFormatting sqref="C21">
    <cfRule type="cellIs" dxfId="9361" priority="9335" stopIfTrue="1" operator="between">
      <formula>221101</formula>
      <formula>221118</formula>
    </cfRule>
    <cfRule type="cellIs" dxfId="9360" priority="9336" stopIfTrue="1" operator="between">
      <formula>221142</formula>
      <formula>221144</formula>
    </cfRule>
    <cfRule type="cellIs" dxfId="9359" priority="9337" stopIfTrue="1" operator="between">
      <formula>220001</formula>
      <formula>221144</formula>
    </cfRule>
  </conditionalFormatting>
  <conditionalFormatting sqref="C21">
    <cfRule type="cellIs" dxfId="9358" priority="9332" stopIfTrue="1" operator="between">
      <formula>221101</formula>
      <formula>221118</formula>
    </cfRule>
    <cfRule type="cellIs" dxfId="9357" priority="9333" stopIfTrue="1" operator="between">
      <formula>221142</formula>
      <formula>221144</formula>
    </cfRule>
    <cfRule type="cellIs" dxfId="9356" priority="9334" stopIfTrue="1" operator="between">
      <formula>220001</formula>
      <formula>221144</formula>
    </cfRule>
  </conditionalFormatting>
  <conditionalFormatting sqref="AN21">
    <cfRule type="cellIs" dxfId="9355" priority="9329" stopIfTrue="1" operator="between">
      <formula>221101</formula>
      <formula>221118</formula>
    </cfRule>
    <cfRule type="cellIs" dxfId="9354" priority="9330" stopIfTrue="1" operator="between">
      <formula>221142</formula>
      <formula>221144</formula>
    </cfRule>
    <cfRule type="cellIs" dxfId="9353" priority="9331" stopIfTrue="1" operator="between">
      <formula>220001</formula>
      <formula>221144</formula>
    </cfRule>
  </conditionalFormatting>
  <conditionalFormatting sqref="AM21">
    <cfRule type="cellIs" dxfId="9352" priority="9326" stopIfTrue="1" operator="between">
      <formula>221101</formula>
      <formula>221118</formula>
    </cfRule>
    <cfRule type="cellIs" dxfId="9351" priority="9327" stopIfTrue="1" operator="between">
      <formula>221142</formula>
      <formula>221144</formula>
    </cfRule>
    <cfRule type="cellIs" dxfId="9350" priority="9328" stopIfTrue="1" operator="between">
      <formula>220001</formula>
      <formula>221144</formula>
    </cfRule>
  </conditionalFormatting>
  <conditionalFormatting sqref="D21">
    <cfRule type="cellIs" dxfId="9349" priority="9323" stopIfTrue="1" operator="between">
      <formula>221101</formula>
      <formula>221118</formula>
    </cfRule>
    <cfRule type="cellIs" dxfId="9348" priority="9324" stopIfTrue="1" operator="between">
      <formula>221142</formula>
      <formula>221144</formula>
    </cfRule>
    <cfRule type="cellIs" dxfId="9347" priority="9325" stopIfTrue="1" operator="between">
      <formula>220001</formula>
      <formula>221144</formula>
    </cfRule>
  </conditionalFormatting>
  <conditionalFormatting sqref="D21">
    <cfRule type="cellIs" dxfId="9346" priority="9320" stopIfTrue="1" operator="between">
      <formula>221101</formula>
      <formula>221118</formula>
    </cfRule>
    <cfRule type="cellIs" dxfId="9345" priority="9321" stopIfTrue="1" operator="between">
      <formula>221142</formula>
      <formula>221144</formula>
    </cfRule>
    <cfRule type="cellIs" dxfId="9344" priority="9322" stopIfTrue="1" operator="between">
      <formula>220001</formula>
      <formula>221144</formula>
    </cfRule>
  </conditionalFormatting>
  <conditionalFormatting sqref="D21">
    <cfRule type="cellIs" dxfId="9343" priority="9317" stopIfTrue="1" operator="between">
      <formula>221101</formula>
      <formula>221118</formula>
    </cfRule>
    <cfRule type="cellIs" dxfId="9342" priority="9318" stopIfTrue="1" operator="between">
      <formula>221142</formula>
      <formula>221144</formula>
    </cfRule>
    <cfRule type="cellIs" dxfId="9341" priority="9319" stopIfTrue="1" operator="between">
      <formula>220001</formula>
      <formula>221144</formula>
    </cfRule>
  </conditionalFormatting>
  <conditionalFormatting sqref="D21">
    <cfRule type="cellIs" dxfId="9340" priority="9314" stopIfTrue="1" operator="between">
      <formula>221101</formula>
      <formula>221118</formula>
    </cfRule>
    <cfRule type="cellIs" dxfId="9339" priority="9315" stopIfTrue="1" operator="between">
      <formula>221142</formula>
      <formula>221144</formula>
    </cfRule>
    <cfRule type="cellIs" dxfId="9338" priority="9316" stopIfTrue="1" operator="between">
      <formula>220001</formula>
      <formula>221144</formula>
    </cfRule>
  </conditionalFormatting>
  <conditionalFormatting sqref="D21">
    <cfRule type="cellIs" dxfId="9337" priority="9311" stopIfTrue="1" operator="between">
      <formula>221101</formula>
      <formula>221118</formula>
    </cfRule>
    <cfRule type="cellIs" dxfId="9336" priority="9312" stopIfTrue="1" operator="between">
      <formula>221142</formula>
      <formula>221144</formula>
    </cfRule>
    <cfRule type="cellIs" dxfId="9335" priority="9313" stopIfTrue="1" operator="between">
      <formula>220001</formula>
      <formula>221144</formula>
    </cfRule>
  </conditionalFormatting>
  <conditionalFormatting sqref="AN21">
    <cfRule type="cellIs" dxfId="9334" priority="9308" stopIfTrue="1" operator="between">
      <formula>221101</formula>
      <formula>221118</formula>
    </cfRule>
    <cfRule type="cellIs" dxfId="9333" priority="9309" stopIfTrue="1" operator="between">
      <formula>221142</formula>
      <formula>221144</formula>
    </cfRule>
    <cfRule type="cellIs" dxfId="9332" priority="9310" stopIfTrue="1" operator="between">
      <formula>220001</formula>
      <formula>221144</formula>
    </cfRule>
  </conditionalFormatting>
  <conditionalFormatting sqref="AM21">
    <cfRule type="cellIs" dxfId="9331" priority="9305" stopIfTrue="1" operator="between">
      <formula>221101</formula>
      <formula>221118</formula>
    </cfRule>
    <cfRule type="cellIs" dxfId="9330" priority="9306" stopIfTrue="1" operator="between">
      <formula>221142</formula>
      <formula>221144</formula>
    </cfRule>
    <cfRule type="cellIs" dxfId="9329" priority="9307" stopIfTrue="1" operator="between">
      <formula>220001</formula>
      <formula>221144</formula>
    </cfRule>
  </conditionalFormatting>
  <conditionalFormatting sqref="AM21">
    <cfRule type="cellIs" dxfId="9328" priority="9302" stopIfTrue="1" operator="between">
      <formula>221101</formula>
      <formula>221118</formula>
    </cfRule>
    <cfRule type="cellIs" dxfId="9327" priority="9303" stopIfTrue="1" operator="between">
      <formula>221142</formula>
      <formula>221144</formula>
    </cfRule>
    <cfRule type="cellIs" dxfId="9326" priority="9304" stopIfTrue="1" operator="between">
      <formula>220001</formula>
      <formula>221144</formula>
    </cfRule>
  </conditionalFormatting>
  <conditionalFormatting sqref="AL21">
    <cfRule type="cellIs" dxfId="9325" priority="9299" stopIfTrue="1" operator="between">
      <formula>221101</formula>
      <formula>221118</formula>
    </cfRule>
    <cfRule type="cellIs" dxfId="9324" priority="9300" stopIfTrue="1" operator="between">
      <formula>221142</formula>
      <formula>221144</formula>
    </cfRule>
    <cfRule type="cellIs" dxfId="9323" priority="9301" stopIfTrue="1" operator="between">
      <formula>220001</formula>
      <formula>221144</formula>
    </cfRule>
  </conditionalFormatting>
  <conditionalFormatting sqref="C21">
    <cfRule type="cellIs" dxfId="9322" priority="9296" stopIfTrue="1" operator="between">
      <formula>221101</formula>
      <formula>221118</formula>
    </cfRule>
    <cfRule type="cellIs" dxfId="9321" priority="9297" stopIfTrue="1" operator="between">
      <formula>221142</formula>
      <formula>221144</formula>
    </cfRule>
    <cfRule type="cellIs" dxfId="9320" priority="9298" stopIfTrue="1" operator="between">
      <formula>220001</formula>
      <formula>221144</formula>
    </cfRule>
  </conditionalFormatting>
  <conditionalFormatting sqref="C21">
    <cfRule type="cellIs" dxfId="9319" priority="9293" stopIfTrue="1" operator="between">
      <formula>221101</formula>
      <formula>221118</formula>
    </cfRule>
    <cfRule type="cellIs" dxfId="9318" priority="9294" stopIfTrue="1" operator="between">
      <formula>221142</formula>
      <formula>221144</formula>
    </cfRule>
    <cfRule type="cellIs" dxfId="9317" priority="9295" stopIfTrue="1" operator="between">
      <formula>220001</formula>
      <formula>221144</formula>
    </cfRule>
  </conditionalFormatting>
  <conditionalFormatting sqref="C21">
    <cfRule type="cellIs" dxfId="9316" priority="9290" stopIfTrue="1" operator="between">
      <formula>221101</formula>
      <formula>221118</formula>
    </cfRule>
    <cfRule type="cellIs" dxfId="9315" priority="9291" stopIfTrue="1" operator="between">
      <formula>221142</formula>
      <formula>221144</formula>
    </cfRule>
    <cfRule type="cellIs" dxfId="9314" priority="9292" stopIfTrue="1" operator="between">
      <formula>220001</formula>
      <formula>221144</formula>
    </cfRule>
  </conditionalFormatting>
  <conditionalFormatting sqref="C21">
    <cfRule type="cellIs" dxfId="9313" priority="9287" stopIfTrue="1" operator="between">
      <formula>221101</formula>
      <formula>221118</formula>
    </cfRule>
    <cfRule type="cellIs" dxfId="9312" priority="9288" stopIfTrue="1" operator="between">
      <formula>221142</formula>
      <formula>221144</formula>
    </cfRule>
    <cfRule type="cellIs" dxfId="9311" priority="9289" stopIfTrue="1" operator="between">
      <formula>220001</formula>
      <formula>221144</formula>
    </cfRule>
  </conditionalFormatting>
  <conditionalFormatting sqref="C29">
    <cfRule type="cellIs" dxfId="9310" priority="9284" stopIfTrue="1" operator="between">
      <formula>221101</formula>
      <formula>221118</formula>
    </cfRule>
    <cfRule type="cellIs" dxfId="9309" priority="9285" stopIfTrue="1" operator="between">
      <formula>221142</formula>
      <formula>221144</formula>
    </cfRule>
    <cfRule type="cellIs" dxfId="9308" priority="9286" stopIfTrue="1" operator="between">
      <formula>220001</formula>
      <formula>221144</formula>
    </cfRule>
  </conditionalFormatting>
  <conditionalFormatting sqref="AO29">
    <cfRule type="cellIs" dxfId="9307" priority="9281" stopIfTrue="1" operator="between">
      <formula>221101</formula>
      <formula>221118</formula>
    </cfRule>
    <cfRule type="cellIs" dxfId="9306" priority="9282" stopIfTrue="1" operator="between">
      <formula>221142</formula>
      <formula>221144</formula>
    </cfRule>
    <cfRule type="cellIs" dxfId="9305" priority="9283" stopIfTrue="1" operator="between">
      <formula>220001</formula>
      <formula>221144</formula>
    </cfRule>
  </conditionalFormatting>
  <conditionalFormatting sqref="AN29">
    <cfRule type="cellIs" dxfId="9304" priority="9278" stopIfTrue="1" operator="between">
      <formula>221101</formula>
      <formula>221118</formula>
    </cfRule>
    <cfRule type="cellIs" dxfId="9303" priority="9279" stopIfTrue="1" operator="between">
      <formula>221142</formula>
      <formula>221144</formula>
    </cfRule>
    <cfRule type="cellIs" dxfId="9302" priority="9280" stopIfTrue="1" operator="between">
      <formula>220001</formula>
      <formula>221144</formula>
    </cfRule>
  </conditionalFormatting>
  <conditionalFormatting sqref="B29">
    <cfRule type="cellIs" dxfId="9301" priority="9275" stopIfTrue="1" operator="between">
      <formula>221101</formula>
      <formula>221118</formula>
    </cfRule>
    <cfRule type="cellIs" dxfId="9300" priority="9276" stopIfTrue="1" operator="between">
      <formula>221142</formula>
      <formula>221144</formula>
    </cfRule>
    <cfRule type="cellIs" dxfId="9299" priority="9277" stopIfTrue="1" operator="between">
      <formula>220001</formula>
      <formula>221144</formula>
    </cfRule>
  </conditionalFormatting>
  <conditionalFormatting sqref="AN29">
    <cfRule type="cellIs" dxfId="9298" priority="9272" stopIfTrue="1" operator="between">
      <formula>221101</formula>
      <formula>221118</formula>
    </cfRule>
    <cfRule type="cellIs" dxfId="9297" priority="9273" stopIfTrue="1" operator="between">
      <formula>221142</formula>
      <formula>221144</formula>
    </cfRule>
    <cfRule type="cellIs" dxfId="9296" priority="9274" stopIfTrue="1" operator="between">
      <formula>220001</formula>
      <formula>221144</formula>
    </cfRule>
  </conditionalFormatting>
  <conditionalFormatting sqref="AM29">
    <cfRule type="cellIs" dxfId="9295" priority="9269" stopIfTrue="1" operator="between">
      <formula>221101</formula>
      <formula>221118</formula>
    </cfRule>
    <cfRule type="cellIs" dxfId="9294" priority="9270" stopIfTrue="1" operator="between">
      <formula>221142</formula>
      <formula>221144</formula>
    </cfRule>
    <cfRule type="cellIs" dxfId="9293" priority="9271" stopIfTrue="1" operator="between">
      <formula>220001</formula>
      <formula>221144</formula>
    </cfRule>
  </conditionalFormatting>
  <conditionalFormatting sqref="D29">
    <cfRule type="cellIs" dxfId="9292" priority="9266" stopIfTrue="1" operator="between">
      <formula>221101</formula>
      <formula>221118</formula>
    </cfRule>
    <cfRule type="cellIs" dxfId="9291" priority="9267" stopIfTrue="1" operator="between">
      <formula>221142</formula>
      <formula>221144</formula>
    </cfRule>
    <cfRule type="cellIs" dxfId="9290" priority="9268" stopIfTrue="1" operator="between">
      <formula>220001</formula>
      <formula>221144</formula>
    </cfRule>
  </conditionalFormatting>
  <conditionalFormatting sqref="D29">
    <cfRule type="cellIs" dxfId="9289" priority="9263" stopIfTrue="1" operator="between">
      <formula>221101</formula>
      <formula>221118</formula>
    </cfRule>
    <cfRule type="cellIs" dxfId="9288" priority="9264" stopIfTrue="1" operator="between">
      <formula>221142</formula>
      <formula>221144</formula>
    </cfRule>
    <cfRule type="cellIs" dxfId="9287" priority="9265" stopIfTrue="1" operator="between">
      <formula>220001</formula>
      <formula>221144</formula>
    </cfRule>
  </conditionalFormatting>
  <conditionalFormatting sqref="D29">
    <cfRule type="cellIs" dxfId="9286" priority="9260" stopIfTrue="1" operator="between">
      <formula>221101</formula>
      <formula>221118</formula>
    </cfRule>
    <cfRule type="cellIs" dxfId="9285" priority="9261" stopIfTrue="1" operator="between">
      <formula>221142</formula>
      <formula>221144</formula>
    </cfRule>
    <cfRule type="cellIs" dxfId="9284" priority="9262" stopIfTrue="1" operator="between">
      <formula>220001</formula>
      <formula>221144</formula>
    </cfRule>
  </conditionalFormatting>
  <conditionalFormatting sqref="D29">
    <cfRule type="cellIs" dxfId="9283" priority="9257" stopIfTrue="1" operator="between">
      <formula>221101</formula>
      <formula>221118</formula>
    </cfRule>
    <cfRule type="cellIs" dxfId="9282" priority="9258" stopIfTrue="1" operator="between">
      <formula>221142</formula>
      <formula>221144</formula>
    </cfRule>
    <cfRule type="cellIs" dxfId="9281" priority="9259" stopIfTrue="1" operator="between">
      <formula>220001</formula>
      <formula>221144</formula>
    </cfRule>
  </conditionalFormatting>
  <conditionalFormatting sqref="B29">
    <cfRule type="cellIs" dxfId="9280" priority="9254" stopIfTrue="1" operator="between">
      <formula>221101</formula>
      <formula>221118</formula>
    </cfRule>
    <cfRule type="cellIs" dxfId="9279" priority="9255" stopIfTrue="1" operator="between">
      <formula>221142</formula>
      <formula>221144</formula>
    </cfRule>
    <cfRule type="cellIs" dxfId="9278" priority="9256" stopIfTrue="1" operator="between">
      <formula>220001</formula>
      <formula>221144</formula>
    </cfRule>
  </conditionalFormatting>
  <conditionalFormatting sqref="AN29">
    <cfRule type="cellIs" dxfId="9277" priority="9251" stopIfTrue="1" operator="between">
      <formula>221101</formula>
      <formula>221118</formula>
    </cfRule>
    <cfRule type="cellIs" dxfId="9276" priority="9252" stopIfTrue="1" operator="between">
      <formula>221142</formula>
      <formula>221144</formula>
    </cfRule>
    <cfRule type="cellIs" dxfId="9275" priority="9253" stopIfTrue="1" operator="between">
      <formula>220001</formula>
      <formula>221144</formula>
    </cfRule>
  </conditionalFormatting>
  <conditionalFormatting sqref="AM29">
    <cfRule type="cellIs" dxfId="9274" priority="9248" stopIfTrue="1" operator="between">
      <formula>221101</formula>
      <formula>221118</formula>
    </cfRule>
    <cfRule type="cellIs" dxfId="9273" priority="9249" stopIfTrue="1" operator="between">
      <formula>221142</formula>
      <formula>221144</formula>
    </cfRule>
    <cfRule type="cellIs" dxfId="9272" priority="9250" stopIfTrue="1" operator="between">
      <formula>220001</formula>
      <formula>221144</formula>
    </cfRule>
  </conditionalFormatting>
  <conditionalFormatting sqref="A29">
    <cfRule type="cellIs" dxfId="9271" priority="9245" stopIfTrue="1" operator="between">
      <formula>221101</formula>
      <formula>221118</formula>
    </cfRule>
    <cfRule type="cellIs" dxfId="9270" priority="9246" stopIfTrue="1" operator="between">
      <formula>221142</formula>
      <formula>221144</formula>
    </cfRule>
    <cfRule type="cellIs" dxfId="9269" priority="9247" stopIfTrue="1" operator="between">
      <formula>220001</formula>
      <formula>221144</formula>
    </cfRule>
  </conditionalFormatting>
  <conditionalFormatting sqref="AM29">
    <cfRule type="cellIs" dxfId="9268" priority="9242" stopIfTrue="1" operator="between">
      <formula>221101</formula>
      <formula>221118</formula>
    </cfRule>
    <cfRule type="cellIs" dxfId="9267" priority="9243" stopIfTrue="1" operator="between">
      <formula>221142</formula>
      <formula>221144</formula>
    </cfRule>
    <cfRule type="cellIs" dxfId="9266" priority="9244" stopIfTrue="1" operator="between">
      <formula>220001</formula>
      <formula>221144</formula>
    </cfRule>
  </conditionalFormatting>
  <conditionalFormatting sqref="AL29">
    <cfRule type="cellIs" dxfId="9265" priority="9239" stopIfTrue="1" operator="between">
      <formula>221101</formula>
      <formula>221118</formula>
    </cfRule>
    <cfRule type="cellIs" dxfId="9264" priority="9240" stopIfTrue="1" operator="between">
      <formula>221142</formula>
      <formula>221144</formula>
    </cfRule>
    <cfRule type="cellIs" dxfId="9263" priority="9241" stopIfTrue="1" operator="between">
      <formula>220001</formula>
      <formula>221144</formula>
    </cfRule>
  </conditionalFormatting>
  <conditionalFormatting sqref="C29">
    <cfRule type="cellIs" dxfId="9262" priority="9236" stopIfTrue="1" operator="between">
      <formula>221101</formula>
      <formula>221118</formula>
    </cfRule>
    <cfRule type="cellIs" dxfId="9261" priority="9237" stopIfTrue="1" operator="between">
      <formula>221142</formula>
      <formula>221144</formula>
    </cfRule>
    <cfRule type="cellIs" dxfId="9260" priority="9238" stopIfTrue="1" operator="between">
      <formula>220001</formula>
      <formula>221144</formula>
    </cfRule>
  </conditionalFormatting>
  <conditionalFormatting sqref="C29">
    <cfRule type="cellIs" dxfId="9259" priority="9233" stopIfTrue="1" operator="between">
      <formula>221101</formula>
      <formula>221118</formula>
    </cfRule>
    <cfRule type="cellIs" dxfId="9258" priority="9234" stopIfTrue="1" operator="between">
      <formula>221142</formula>
      <formula>221144</formula>
    </cfRule>
    <cfRule type="cellIs" dxfId="9257" priority="9235" stopIfTrue="1" operator="between">
      <formula>220001</formula>
      <formula>221144</formula>
    </cfRule>
  </conditionalFormatting>
  <conditionalFormatting sqref="C29">
    <cfRule type="cellIs" dxfId="9256" priority="9230" stopIfTrue="1" operator="between">
      <formula>221101</formula>
      <formula>221118</formula>
    </cfRule>
    <cfRule type="cellIs" dxfId="9255" priority="9231" stopIfTrue="1" operator="between">
      <formula>221142</formula>
      <formula>221144</formula>
    </cfRule>
    <cfRule type="cellIs" dxfId="9254" priority="9232" stopIfTrue="1" operator="between">
      <formula>220001</formula>
      <formula>221144</formula>
    </cfRule>
  </conditionalFormatting>
  <conditionalFormatting sqref="C29">
    <cfRule type="cellIs" dxfId="9253" priority="9227" stopIfTrue="1" operator="between">
      <formula>221101</formula>
      <formula>221118</formula>
    </cfRule>
    <cfRule type="cellIs" dxfId="9252" priority="9228" stopIfTrue="1" operator="between">
      <formula>221142</formula>
      <formula>221144</formula>
    </cfRule>
    <cfRule type="cellIs" dxfId="9251" priority="9229" stopIfTrue="1" operator="between">
      <formula>220001</formula>
      <formula>221144</formula>
    </cfRule>
  </conditionalFormatting>
  <conditionalFormatting sqref="AO37">
    <cfRule type="cellIs" dxfId="9250" priority="9224" stopIfTrue="1" operator="between">
      <formula>221101</formula>
      <formula>221118</formula>
    </cfRule>
    <cfRule type="cellIs" dxfId="9249" priority="9225" stopIfTrue="1" operator="between">
      <formula>221142</formula>
      <formula>221144</formula>
    </cfRule>
    <cfRule type="cellIs" dxfId="9248" priority="9226" stopIfTrue="1" operator="between">
      <formula>220001</formula>
      <formula>221144</formula>
    </cfRule>
  </conditionalFormatting>
  <conditionalFormatting sqref="AN37">
    <cfRule type="cellIs" dxfId="9247" priority="9221" stopIfTrue="1" operator="between">
      <formula>221101</formula>
      <formula>221118</formula>
    </cfRule>
    <cfRule type="cellIs" dxfId="9246" priority="9222" stopIfTrue="1" operator="between">
      <formula>221142</formula>
      <formula>221144</formula>
    </cfRule>
    <cfRule type="cellIs" dxfId="9245" priority="9223" stopIfTrue="1" operator="between">
      <formula>220001</formula>
      <formula>221144</formula>
    </cfRule>
  </conditionalFormatting>
  <conditionalFormatting sqref="AN37">
    <cfRule type="cellIs" dxfId="9244" priority="9218" stopIfTrue="1" operator="between">
      <formula>221101</formula>
      <formula>221118</formula>
    </cfRule>
    <cfRule type="cellIs" dxfId="9243" priority="9219" stopIfTrue="1" operator="between">
      <formula>221142</formula>
      <formula>221144</formula>
    </cfRule>
    <cfRule type="cellIs" dxfId="9242" priority="9220" stopIfTrue="1" operator="between">
      <formula>220001</formula>
      <formula>221144</formula>
    </cfRule>
  </conditionalFormatting>
  <conditionalFormatting sqref="AM37">
    <cfRule type="cellIs" dxfId="9241" priority="9215" stopIfTrue="1" operator="between">
      <formula>221101</formula>
      <formula>221118</formula>
    </cfRule>
    <cfRule type="cellIs" dxfId="9240" priority="9216" stopIfTrue="1" operator="between">
      <formula>221142</formula>
      <formula>221144</formula>
    </cfRule>
    <cfRule type="cellIs" dxfId="9239" priority="9217" stopIfTrue="1" operator="between">
      <formula>220001</formula>
      <formula>221144</formula>
    </cfRule>
  </conditionalFormatting>
  <conditionalFormatting sqref="D37">
    <cfRule type="cellIs" dxfId="9238" priority="9212" stopIfTrue="1" operator="between">
      <formula>221101</formula>
      <formula>221118</formula>
    </cfRule>
    <cfRule type="cellIs" dxfId="9237" priority="9213" stopIfTrue="1" operator="between">
      <formula>221142</formula>
      <formula>221144</formula>
    </cfRule>
    <cfRule type="cellIs" dxfId="9236" priority="9214" stopIfTrue="1" operator="between">
      <formula>220001</formula>
      <formula>221144</formula>
    </cfRule>
  </conditionalFormatting>
  <conditionalFormatting sqref="D37">
    <cfRule type="cellIs" dxfId="9235" priority="9209" stopIfTrue="1" operator="between">
      <formula>221101</formula>
      <formula>221118</formula>
    </cfRule>
    <cfRule type="cellIs" dxfId="9234" priority="9210" stopIfTrue="1" operator="between">
      <formula>221142</formula>
      <formula>221144</formula>
    </cfRule>
    <cfRule type="cellIs" dxfId="9233" priority="9211" stopIfTrue="1" operator="between">
      <formula>220001</formula>
      <formula>221144</formula>
    </cfRule>
  </conditionalFormatting>
  <conditionalFormatting sqref="D37">
    <cfRule type="cellIs" dxfId="9232" priority="9206" stopIfTrue="1" operator="between">
      <formula>221101</formula>
      <formula>221118</formula>
    </cfRule>
    <cfRule type="cellIs" dxfId="9231" priority="9207" stopIfTrue="1" operator="between">
      <formula>221142</formula>
      <formula>221144</formula>
    </cfRule>
    <cfRule type="cellIs" dxfId="9230" priority="9208" stopIfTrue="1" operator="between">
      <formula>220001</formula>
      <formula>221144</formula>
    </cfRule>
  </conditionalFormatting>
  <conditionalFormatting sqref="D37">
    <cfRule type="cellIs" dxfId="9229" priority="9203" stopIfTrue="1" operator="between">
      <formula>221101</formula>
      <formula>221118</formula>
    </cfRule>
    <cfRule type="cellIs" dxfId="9228" priority="9204" stopIfTrue="1" operator="between">
      <formula>221142</formula>
      <formula>221144</formula>
    </cfRule>
    <cfRule type="cellIs" dxfId="9227" priority="9205" stopIfTrue="1" operator="between">
      <formula>220001</formula>
      <formula>221144</formula>
    </cfRule>
  </conditionalFormatting>
  <conditionalFormatting sqref="AN37">
    <cfRule type="cellIs" dxfId="9226" priority="9200" stopIfTrue="1" operator="between">
      <formula>221101</formula>
      <formula>221118</formula>
    </cfRule>
    <cfRule type="cellIs" dxfId="9225" priority="9201" stopIfTrue="1" operator="between">
      <formula>221142</formula>
      <formula>221144</formula>
    </cfRule>
    <cfRule type="cellIs" dxfId="9224" priority="9202" stopIfTrue="1" operator="between">
      <formula>220001</formula>
      <formula>221144</formula>
    </cfRule>
  </conditionalFormatting>
  <conditionalFormatting sqref="AM37">
    <cfRule type="cellIs" dxfId="9223" priority="9197" stopIfTrue="1" operator="between">
      <formula>221101</formula>
      <formula>221118</formula>
    </cfRule>
    <cfRule type="cellIs" dxfId="9222" priority="9198" stopIfTrue="1" operator="between">
      <formula>221142</formula>
      <formula>221144</formula>
    </cfRule>
    <cfRule type="cellIs" dxfId="9221" priority="9199" stopIfTrue="1" operator="between">
      <formula>220001</formula>
      <formula>221144</formula>
    </cfRule>
  </conditionalFormatting>
  <conditionalFormatting sqref="AM37">
    <cfRule type="cellIs" dxfId="9220" priority="9194" stopIfTrue="1" operator="between">
      <formula>221101</formula>
      <formula>221118</formula>
    </cfRule>
    <cfRule type="cellIs" dxfId="9219" priority="9195" stopIfTrue="1" operator="between">
      <formula>221142</formula>
      <formula>221144</formula>
    </cfRule>
    <cfRule type="cellIs" dxfId="9218" priority="9196" stopIfTrue="1" operator="between">
      <formula>220001</formula>
      <formula>221144</formula>
    </cfRule>
  </conditionalFormatting>
  <conditionalFormatting sqref="AL37">
    <cfRule type="cellIs" dxfId="9217" priority="9191" stopIfTrue="1" operator="between">
      <formula>221101</formula>
      <formula>221118</formula>
    </cfRule>
    <cfRule type="cellIs" dxfId="9216" priority="9192" stopIfTrue="1" operator="between">
      <formula>221142</formula>
      <formula>221144</formula>
    </cfRule>
    <cfRule type="cellIs" dxfId="9215" priority="9193" stopIfTrue="1" operator="between">
      <formula>220001</formula>
      <formula>221144</formula>
    </cfRule>
  </conditionalFormatting>
  <conditionalFormatting sqref="C37">
    <cfRule type="cellIs" dxfId="9214" priority="9188" stopIfTrue="1" operator="between">
      <formula>221101</formula>
      <formula>221118</formula>
    </cfRule>
    <cfRule type="cellIs" dxfId="9213" priority="9189" stopIfTrue="1" operator="between">
      <formula>221142</formula>
      <formula>221144</formula>
    </cfRule>
    <cfRule type="cellIs" dxfId="9212" priority="9190" stopIfTrue="1" operator="between">
      <formula>220001</formula>
      <formula>221144</formula>
    </cfRule>
  </conditionalFormatting>
  <conditionalFormatting sqref="C37">
    <cfRule type="cellIs" dxfId="9211" priority="9185" stopIfTrue="1" operator="between">
      <formula>221101</formula>
      <formula>221118</formula>
    </cfRule>
    <cfRule type="cellIs" dxfId="9210" priority="9186" stopIfTrue="1" operator="between">
      <formula>221142</formula>
      <formula>221144</formula>
    </cfRule>
    <cfRule type="cellIs" dxfId="9209" priority="9187" stopIfTrue="1" operator="between">
      <formula>220001</formula>
      <formula>221144</formula>
    </cfRule>
  </conditionalFormatting>
  <conditionalFormatting sqref="C37">
    <cfRule type="cellIs" dxfId="9208" priority="9182" stopIfTrue="1" operator="between">
      <formula>221101</formula>
      <formula>221118</formula>
    </cfRule>
    <cfRule type="cellIs" dxfId="9207" priority="9183" stopIfTrue="1" operator="between">
      <formula>221142</formula>
      <formula>221144</formula>
    </cfRule>
    <cfRule type="cellIs" dxfId="9206" priority="9184" stopIfTrue="1" operator="between">
      <formula>220001</formula>
      <formula>221144</formula>
    </cfRule>
  </conditionalFormatting>
  <conditionalFormatting sqref="C37">
    <cfRule type="cellIs" dxfId="9205" priority="9179" stopIfTrue="1" operator="between">
      <formula>221101</formula>
      <formula>221118</formula>
    </cfRule>
    <cfRule type="cellIs" dxfId="9204" priority="9180" stopIfTrue="1" operator="between">
      <formula>221142</formula>
      <formula>221144</formula>
    </cfRule>
    <cfRule type="cellIs" dxfId="9203" priority="9181" stopIfTrue="1" operator="between">
      <formula>220001</formula>
      <formula>221144</formula>
    </cfRule>
  </conditionalFormatting>
  <conditionalFormatting sqref="AO42">
    <cfRule type="cellIs" dxfId="9202" priority="9176" stopIfTrue="1" operator="between">
      <formula>221101</formula>
      <formula>221118</formula>
    </cfRule>
    <cfRule type="cellIs" dxfId="9201" priority="9177" stopIfTrue="1" operator="between">
      <formula>221142</formula>
      <formula>221144</formula>
    </cfRule>
    <cfRule type="cellIs" dxfId="9200" priority="9178" stopIfTrue="1" operator="between">
      <formula>220001</formula>
      <formula>221144</formula>
    </cfRule>
  </conditionalFormatting>
  <conditionalFormatting sqref="AN42">
    <cfRule type="cellIs" dxfId="9199" priority="9173" stopIfTrue="1" operator="between">
      <formula>221101</formula>
      <formula>221118</formula>
    </cfRule>
    <cfRule type="cellIs" dxfId="9198" priority="9174" stopIfTrue="1" operator="between">
      <formula>221142</formula>
      <formula>221144</formula>
    </cfRule>
    <cfRule type="cellIs" dxfId="9197" priority="9175" stopIfTrue="1" operator="between">
      <formula>220001</formula>
      <formula>221144</formula>
    </cfRule>
  </conditionalFormatting>
  <conditionalFormatting sqref="AN42">
    <cfRule type="cellIs" dxfId="9196" priority="9170" stopIfTrue="1" operator="between">
      <formula>221101</formula>
      <formula>221118</formula>
    </cfRule>
    <cfRule type="cellIs" dxfId="9195" priority="9171" stopIfTrue="1" operator="between">
      <formula>221142</formula>
      <formula>221144</formula>
    </cfRule>
    <cfRule type="cellIs" dxfId="9194" priority="9172" stopIfTrue="1" operator="between">
      <formula>220001</formula>
      <formula>221144</formula>
    </cfRule>
  </conditionalFormatting>
  <conditionalFormatting sqref="AM42">
    <cfRule type="cellIs" dxfId="9193" priority="9167" stopIfTrue="1" operator="between">
      <formula>221101</formula>
      <formula>221118</formula>
    </cfRule>
    <cfRule type="cellIs" dxfId="9192" priority="9168" stopIfTrue="1" operator="between">
      <formula>221142</formula>
      <formula>221144</formula>
    </cfRule>
    <cfRule type="cellIs" dxfId="9191" priority="9169" stopIfTrue="1" operator="between">
      <formula>220001</formula>
      <formula>221144</formula>
    </cfRule>
  </conditionalFormatting>
  <conditionalFormatting sqref="D42">
    <cfRule type="cellIs" dxfId="9190" priority="9164" stopIfTrue="1" operator="between">
      <formula>221101</formula>
      <formula>221118</formula>
    </cfRule>
    <cfRule type="cellIs" dxfId="9189" priority="9165" stopIfTrue="1" operator="between">
      <formula>221142</formula>
      <formula>221144</formula>
    </cfRule>
    <cfRule type="cellIs" dxfId="9188" priority="9166" stopIfTrue="1" operator="between">
      <formula>220001</formula>
      <formula>221144</formula>
    </cfRule>
  </conditionalFormatting>
  <conditionalFormatting sqref="D42">
    <cfRule type="cellIs" dxfId="9187" priority="9161" stopIfTrue="1" operator="between">
      <formula>221101</formula>
      <formula>221118</formula>
    </cfRule>
    <cfRule type="cellIs" dxfId="9186" priority="9162" stopIfTrue="1" operator="between">
      <formula>221142</formula>
      <formula>221144</formula>
    </cfRule>
    <cfRule type="cellIs" dxfId="9185" priority="9163" stopIfTrue="1" operator="between">
      <formula>220001</formula>
      <formula>221144</formula>
    </cfRule>
  </conditionalFormatting>
  <conditionalFormatting sqref="D42">
    <cfRule type="cellIs" dxfId="9184" priority="9158" stopIfTrue="1" operator="between">
      <formula>221101</formula>
      <formula>221118</formula>
    </cfRule>
    <cfRule type="cellIs" dxfId="9183" priority="9159" stopIfTrue="1" operator="between">
      <formula>221142</formula>
      <formula>221144</formula>
    </cfRule>
    <cfRule type="cellIs" dxfId="9182" priority="9160" stopIfTrue="1" operator="between">
      <formula>220001</formula>
      <formula>221144</formula>
    </cfRule>
  </conditionalFormatting>
  <conditionalFormatting sqref="D42">
    <cfRule type="cellIs" dxfId="9181" priority="9155" stopIfTrue="1" operator="between">
      <formula>221101</formula>
      <formula>221118</formula>
    </cfRule>
    <cfRule type="cellIs" dxfId="9180" priority="9156" stopIfTrue="1" operator="between">
      <formula>221142</formula>
      <formula>221144</formula>
    </cfRule>
    <cfRule type="cellIs" dxfId="9179" priority="9157" stopIfTrue="1" operator="between">
      <formula>220001</formula>
      <formula>221144</formula>
    </cfRule>
  </conditionalFormatting>
  <conditionalFormatting sqref="AN42">
    <cfRule type="cellIs" dxfId="9178" priority="9152" stopIfTrue="1" operator="between">
      <formula>221101</formula>
      <formula>221118</formula>
    </cfRule>
    <cfRule type="cellIs" dxfId="9177" priority="9153" stopIfTrue="1" operator="between">
      <formula>221142</formula>
      <formula>221144</formula>
    </cfRule>
    <cfRule type="cellIs" dxfId="9176" priority="9154" stopIfTrue="1" operator="between">
      <formula>220001</formula>
      <formula>221144</formula>
    </cfRule>
  </conditionalFormatting>
  <conditionalFormatting sqref="AM42">
    <cfRule type="cellIs" dxfId="9175" priority="9149" stopIfTrue="1" operator="between">
      <formula>221101</formula>
      <formula>221118</formula>
    </cfRule>
    <cfRule type="cellIs" dxfId="9174" priority="9150" stopIfTrue="1" operator="between">
      <formula>221142</formula>
      <formula>221144</formula>
    </cfRule>
    <cfRule type="cellIs" dxfId="9173" priority="9151" stopIfTrue="1" operator="between">
      <formula>220001</formula>
      <formula>221144</formula>
    </cfRule>
  </conditionalFormatting>
  <conditionalFormatting sqref="AM42">
    <cfRule type="cellIs" dxfId="9172" priority="9146" stopIfTrue="1" operator="between">
      <formula>221101</formula>
      <formula>221118</formula>
    </cfRule>
    <cfRule type="cellIs" dxfId="9171" priority="9147" stopIfTrue="1" operator="between">
      <formula>221142</formula>
      <formula>221144</formula>
    </cfRule>
    <cfRule type="cellIs" dxfId="9170" priority="9148" stopIfTrue="1" operator="between">
      <formula>220001</formula>
      <formula>221144</formula>
    </cfRule>
  </conditionalFormatting>
  <conditionalFormatting sqref="AL42">
    <cfRule type="cellIs" dxfId="9169" priority="9143" stopIfTrue="1" operator="between">
      <formula>221101</formula>
      <formula>221118</formula>
    </cfRule>
    <cfRule type="cellIs" dxfId="9168" priority="9144" stopIfTrue="1" operator="between">
      <formula>221142</formula>
      <formula>221144</formula>
    </cfRule>
    <cfRule type="cellIs" dxfId="9167" priority="9145" stopIfTrue="1" operator="between">
      <formula>220001</formula>
      <formula>221144</formula>
    </cfRule>
  </conditionalFormatting>
  <conditionalFormatting sqref="C42">
    <cfRule type="cellIs" dxfId="9166" priority="9140" stopIfTrue="1" operator="between">
      <formula>221101</formula>
      <formula>221118</formula>
    </cfRule>
    <cfRule type="cellIs" dxfId="9165" priority="9141" stopIfTrue="1" operator="between">
      <formula>221142</formula>
      <formula>221144</formula>
    </cfRule>
    <cfRule type="cellIs" dxfId="9164" priority="9142" stopIfTrue="1" operator="between">
      <formula>220001</formula>
      <formula>221144</formula>
    </cfRule>
  </conditionalFormatting>
  <conditionalFormatting sqref="C42">
    <cfRule type="cellIs" dxfId="9163" priority="9137" stopIfTrue="1" operator="between">
      <formula>221101</formula>
      <formula>221118</formula>
    </cfRule>
    <cfRule type="cellIs" dxfId="9162" priority="9138" stopIfTrue="1" operator="between">
      <formula>221142</formula>
      <formula>221144</formula>
    </cfRule>
    <cfRule type="cellIs" dxfId="9161" priority="9139" stopIfTrue="1" operator="between">
      <formula>220001</formula>
      <formula>221144</formula>
    </cfRule>
  </conditionalFormatting>
  <conditionalFormatting sqref="C42">
    <cfRule type="cellIs" dxfId="9160" priority="9134" stopIfTrue="1" operator="between">
      <formula>221101</formula>
      <formula>221118</formula>
    </cfRule>
    <cfRule type="cellIs" dxfId="9159" priority="9135" stopIfTrue="1" operator="between">
      <formula>221142</formula>
      <formula>221144</formula>
    </cfRule>
    <cfRule type="cellIs" dxfId="9158" priority="9136" stopIfTrue="1" operator="between">
      <formula>220001</formula>
      <formula>221144</formula>
    </cfRule>
  </conditionalFormatting>
  <conditionalFormatting sqref="C42">
    <cfRule type="cellIs" dxfId="9157" priority="9131" stopIfTrue="1" operator="between">
      <formula>221101</formula>
      <formula>221118</formula>
    </cfRule>
    <cfRule type="cellIs" dxfId="9156" priority="9132" stopIfTrue="1" operator="between">
      <formula>221142</formula>
      <formula>221144</formula>
    </cfRule>
    <cfRule type="cellIs" dxfId="9155" priority="9133" stopIfTrue="1" operator="between">
      <formula>220001</formula>
      <formula>221144</formula>
    </cfRule>
  </conditionalFormatting>
  <conditionalFormatting sqref="C5">
    <cfRule type="cellIs" dxfId="9154" priority="9128" stopIfTrue="1" operator="between">
      <formula>221101</formula>
      <formula>221118</formula>
    </cfRule>
    <cfRule type="cellIs" dxfId="9153" priority="9129" stopIfTrue="1" operator="between">
      <formula>221142</formula>
      <formula>221144</formula>
    </cfRule>
    <cfRule type="cellIs" dxfId="9152" priority="9130" stopIfTrue="1" operator="between">
      <formula>220001</formula>
      <formula>221144</formula>
    </cfRule>
  </conditionalFormatting>
  <conditionalFormatting sqref="D5">
    <cfRule type="cellIs" dxfId="9151" priority="9125" stopIfTrue="1" operator="between">
      <formula>221101</formula>
      <formula>221118</formula>
    </cfRule>
    <cfRule type="cellIs" dxfId="9150" priority="9126" stopIfTrue="1" operator="between">
      <formula>221142</formula>
      <formula>221144</formula>
    </cfRule>
    <cfRule type="cellIs" dxfId="9149" priority="9127" stopIfTrue="1" operator="between">
      <formula>220001</formula>
      <formula>221144</formula>
    </cfRule>
  </conditionalFormatting>
  <conditionalFormatting sqref="C5">
    <cfRule type="cellIs" dxfId="9148" priority="9122" stopIfTrue="1" operator="between">
      <formula>221101</formula>
      <formula>221118</formula>
    </cfRule>
    <cfRule type="cellIs" dxfId="9147" priority="9123" stopIfTrue="1" operator="between">
      <formula>221142</formula>
      <formula>221144</formula>
    </cfRule>
    <cfRule type="cellIs" dxfId="9146" priority="9124" stopIfTrue="1" operator="between">
      <formula>220001</formula>
      <formula>221144</formula>
    </cfRule>
  </conditionalFormatting>
  <conditionalFormatting sqref="D5">
    <cfRule type="cellIs" dxfId="9145" priority="9119" stopIfTrue="1" operator="between">
      <formula>221101</formula>
      <formula>221118</formula>
    </cfRule>
    <cfRule type="cellIs" dxfId="9144" priority="9120" stopIfTrue="1" operator="between">
      <formula>221142</formula>
      <formula>221144</formula>
    </cfRule>
    <cfRule type="cellIs" dxfId="9143" priority="9121" stopIfTrue="1" operator="between">
      <formula>220001</formula>
      <formula>221144</formula>
    </cfRule>
  </conditionalFormatting>
  <conditionalFormatting sqref="D5">
    <cfRule type="cellIs" dxfId="9142" priority="9116" stopIfTrue="1" operator="between">
      <formula>221101</formula>
      <formula>221118</formula>
    </cfRule>
    <cfRule type="cellIs" dxfId="9141" priority="9117" stopIfTrue="1" operator="between">
      <formula>221142</formula>
      <formula>221144</formula>
    </cfRule>
    <cfRule type="cellIs" dxfId="9140" priority="9118" stopIfTrue="1" operator="between">
      <formula>220001</formula>
      <formula>221144</formula>
    </cfRule>
  </conditionalFormatting>
  <conditionalFormatting sqref="C5">
    <cfRule type="cellIs" dxfId="9139" priority="9113" stopIfTrue="1" operator="between">
      <formula>221101</formula>
      <formula>221118</formula>
    </cfRule>
    <cfRule type="cellIs" dxfId="9138" priority="9114" stopIfTrue="1" operator="between">
      <formula>221142</formula>
      <formula>221144</formula>
    </cfRule>
    <cfRule type="cellIs" dxfId="9137" priority="9115" stopIfTrue="1" operator="between">
      <formula>220001</formula>
      <formula>221144</formula>
    </cfRule>
  </conditionalFormatting>
  <conditionalFormatting sqref="C5">
    <cfRule type="cellIs" dxfId="9136" priority="9110" stopIfTrue="1" operator="between">
      <formula>221101</formula>
      <formula>221118</formula>
    </cfRule>
    <cfRule type="cellIs" dxfId="9135" priority="9111" stopIfTrue="1" operator="between">
      <formula>221142</formula>
      <formula>221144</formula>
    </cfRule>
    <cfRule type="cellIs" dxfId="9134" priority="9112" stopIfTrue="1" operator="between">
      <formula>220001</formula>
      <formula>221144</formula>
    </cfRule>
  </conditionalFormatting>
  <conditionalFormatting sqref="C5">
    <cfRule type="cellIs" dxfId="9133" priority="9107" stopIfTrue="1" operator="between">
      <formula>221101</formula>
      <formula>221118</formula>
    </cfRule>
    <cfRule type="cellIs" dxfId="9132" priority="9108" stopIfTrue="1" operator="between">
      <formula>221142</formula>
      <formula>221144</formula>
    </cfRule>
    <cfRule type="cellIs" dxfId="9131" priority="9109" stopIfTrue="1" operator="between">
      <formula>220001</formula>
      <formula>221144</formula>
    </cfRule>
  </conditionalFormatting>
  <conditionalFormatting sqref="C5">
    <cfRule type="cellIs" dxfId="9130" priority="9104" stopIfTrue="1" operator="between">
      <formula>221101</formula>
      <formula>221118</formula>
    </cfRule>
    <cfRule type="cellIs" dxfId="9129" priority="9105" stopIfTrue="1" operator="between">
      <formula>221142</formula>
      <formula>221144</formula>
    </cfRule>
    <cfRule type="cellIs" dxfId="9128" priority="9106" stopIfTrue="1" operator="between">
      <formula>220001</formula>
      <formula>221144</formula>
    </cfRule>
  </conditionalFormatting>
  <conditionalFormatting sqref="C5">
    <cfRule type="cellIs" dxfId="9127" priority="9101" stopIfTrue="1" operator="between">
      <formula>221101</formula>
      <formula>221118</formula>
    </cfRule>
    <cfRule type="cellIs" dxfId="9126" priority="9102" stopIfTrue="1" operator="between">
      <formula>221142</formula>
      <formula>221144</formula>
    </cfRule>
    <cfRule type="cellIs" dxfId="9125" priority="9103" stopIfTrue="1" operator="between">
      <formula>220001</formula>
      <formula>221144</formula>
    </cfRule>
  </conditionalFormatting>
  <conditionalFormatting sqref="C5">
    <cfRule type="cellIs" dxfId="9124" priority="9098" stopIfTrue="1" operator="between">
      <formula>221101</formula>
      <formula>221118</formula>
    </cfRule>
    <cfRule type="cellIs" dxfId="9123" priority="9099" stopIfTrue="1" operator="between">
      <formula>221142</formula>
      <formula>221144</formula>
    </cfRule>
    <cfRule type="cellIs" dxfId="9122" priority="9100" stopIfTrue="1" operator="between">
      <formula>220001</formula>
      <formula>221144</formula>
    </cfRule>
  </conditionalFormatting>
  <conditionalFormatting sqref="E13">
    <cfRule type="cellIs" dxfId="9121" priority="9095" stopIfTrue="1" operator="between">
      <formula>221101</formula>
      <formula>221118</formula>
    </cfRule>
    <cfRule type="cellIs" dxfId="9120" priority="9096" stopIfTrue="1" operator="between">
      <formula>221142</formula>
      <formula>221144</formula>
    </cfRule>
    <cfRule type="cellIs" dxfId="9119" priority="9097" stopIfTrue="1" operator="between">
      <formula>220001</formula>
      <formula>221144</formula>
    </cfRule>
  </conditionalFormatting>
  <conditionalFormatting sqref="AE13">
    <cfRule type="cellIs" dxfId="9118" priority="9092" stopIfTrue="1" operator="between">
      <formula>221101</formula>
      <formula>221118</formula>
    </cfRule>
    <cfRule type="cellIs" dxfId="9117" priority="9093" stopIfTrue="1" operator="between">
      <formula>221142</formula>
      <formula>221144</formula>
    </cfRule>
    <cfRule type="cellIs" dxfId="9116" priority="9094" stopIfTrue="1" operator="between">
      <formula>220001</formula>
      <formula>221144</formula>
    </cfRule>
  </conditionalFormatting>
  <conditionalFormatting sqref="C13">
    <cfRule type="cellIs" dxfId="9115" priority="9089" stopIfTrue="1" operator="between">
      <formula>221101</formula>
      <formula>221118</formula>
    </cfRule>
    <cfRule type="cellIs" dxfId="9114" priority="9090" stopIfTrue="1" operator="between">
      <formula>221142</formula>
      <formula>221144</formula>
    </cfRule>
    <cfRule type="cellIs" dxfId="9113" priority="9091" stopIfTrue="1" operator="between">
      <formula>220001</formula>
      <formula>221144</formula>
    </cfRule>
  </conditionalFormatting>
  <conditionalFormatting sqref="AD13">
    <cfRule type="cellIs" dxfId="9112" priority="9086" stopIfTrue="1" operator="between">
      <formula>221101</formula>
      <formula>221118</formula>
    </cfRule>
    <cfRule type="cellIs" dxfId="9111" priority="9087" stopIfTrue="1" operator="between">
      <formula>221142</formula>
      <formula>221144</formula>
    </cfRule>
    <cfRule type="cellIs" dxfId="9110" priority="9088" stopIfTrue="1" operator="between">
      <formula>220001</formula>
      <formula>221144</formula>
    </cfRule>
  </conditionalFormatting>
  <conditionalFormatting sqref="C13">
    <cfRule type="cellIs" dxfId="9109" priority="9083" stopIfTrue="1" operator="between">
      <formula>221101</formula>
      <formula>221118</formula>
    </cfRule>
    <cfRule type="cellIs" dxfId="9108" priority="9084" stopIfTrue="1" operator="between">
      <formula>221142</formula>
      <formula>221144</formula>
    </cfRule>
    <cfRule type="cellIs" dxfId="9107" priority="9085" stopIfTrue="1" operator="between">
      <formula>220001</formula>
      <formula>221144</formula>
    </cfRule>
  </conditionalFormatting>
  <conditionalFormatting sqref="AN13">
    <cfRule type="cellIs" dxfId="9106" priority="9080" stopIfTrue="1" operator="between">
      <formula>221101</formula>
      <formula>221118</formula>
    </cfRule>
    <cfRule type="cellIs" dxfId="9105" priority="9081" stopIfTrue="1" operator="between">
      <formula>221142</formula>
      <formula>221144</formula>
    </cfRule>
    <cfRule type="cellIs" dxfId="9104" priority="9082" stopIfTrue="1" operator="between">
      <formula>220001</formula>
      <formula>221144</formula>
    </cfRule>
  </conditionalFormatting>
  <conditionalFormatting sqref="AO13">
    <cfRule type="cellIs" dxfId="9103" priority="9077" stopIfTrue="1" operator="between">
      <formula>221101</formula>
      <formula>221118</formula>
    </cfRule>
    <cfRule type="cellIs" dxfId="9102" priority="9078" stopIfTrue="1" operator="between">
      <formula>221142</formula>
      <formula>221144</formula>
    </cfRule>
    <cfRule type="cellIs" dxfId="9101" priority="9079" stopIfTrue="1" operator="between">
      <formula>220001</formula>
      <formula>221144</formula>
    </cfRule>
  </conditionalFormatting>
  <conditionalFormatting sqref="C13">
    <cfRule type="cellIs" dxfId="9100" priority="9074" stopIfTrue="1" operator="between">
      <formula>221101</formula>
      <formula>221118</formula>
    </cfRule>
    <cfRule type="cellIs" dxfId="9099" priority="9075" stopIfTrue="1" operator="between">
      <formula>221142</formula>
      <formula>221144</formula>
    </cfRule>
    <cfRule type="cellIs" dxfId="9098" priority="9076" stopIfTrue="1" operator="between">
      <formula>220001</formula>
      <formula>221144</formula>
    </cfRule>
  </conditionalFormatting>
  <conditionalFormatting sqref="AD13">
    <cfRule type="cellIs" dxfId="9097" priority="9071" stopIfTrue="1" operator="between">
      <formula>221101</formula>
      <formula>221118</formula>
    </cfRule>
    <cfRule type="cellIs" dxfId="9096" priority="9072" stopIfTrue="1" operator="between">
      <formula>221142</formula>
      <formula>221144</formula>
    </cfRule>
    <cfRule type="cellIs" dxfId="9095" priority="9073" stopIfTrue="1" operator="between">
      <formula>220001</formula>
      <formula>221144</formula>
    </cfRule>
  </conditionalFormatting>
  <conditionalFormatting sqref="C13">
    <cfRule type="cellIs" dxfId="9094" priority="9068" stopIfTrue="1" operator="between">
      <formula>221101</formula>
      <formula>221118</formula>
    </cfRule>
    <cfRule type="cellIs" dxfId="9093" priority="9069" stopIfTrue="1" operator="between">
      <formula>221142</formula>
      <formula>221144</formula>
    </cfRule>
    <cfRule type="cellIs" dxfId="9092" priority="9070" stopIfTrue="1" operator="between">
      <formula>220001</formula>
      <formula>221144</formula>
    </cfRule>
  </conditionalFormatting>
  <conditionalFormatting sqref="AC13">
    <cfRule type="cellIs" dxfId="9091" priority="9065" stopIfTrue="1" operator="between">
      <formula>221101</formula>
      <formula>221118</formula>
    </cfRule>
    <cfRule type="cellIs" dxfId="9090" priority="9066" stopIfTrue="1" operator="between">
      <formula>221142</formula>
      <formula>221144</formula>
    </cfRule>
    <cfRule type="cellIs" dxfId="9089" priority="9067" stopIfTrue="1" operator="between">
      <formula>220001</formula>
      <formula>221144</formula>
    </cfRule>
  </conditionalFormatting>
  <conditionalFormatting sqref="C13">
    <cfRule type="cellIs" dxfId="9088" priority="9062" stopIfTrue="1" operator="between">
      <formula>221101</formula>
      <formula>221118</formula>
    </cfRule>
    <cfRule type="cellIs" dxfId="9087" priority="9063" stopIfTrue="1" operator="between">
      <formula>221142</formula>
      <formula>221144</formula>
    </cfRule>
    <cfRule type="cellIs" dxfId="9086" priority="9064" stopIfTrue="1" operator="between">
      <formula>220001</formula>
      <formula>221144</formula>
    </cfRule>
  </conditionalFormatting>
  <conditionalFormatting sqref="C13">
    <cfRule type="cellIs" dxfId="9085" priority="9059" stopIfTrue="1" operator="between">
      <formula>221101</formula>
      <formula>221118</formula>
    </cfRule>
    <cfRule type="cellIs" dxfId="9084" priority="9060" stopIfTrue="1" operator="between">
      <formula>221142</formula>
      <formula>221144</formula>
    </cfRule>
    <cfRule type="cellIs" dxfId="9083" priority="9061" stopIfTrue="1" operator="between">
      <formula>220001</formula>
      <formula>221144</formula>
    </cfRule>
  </conditionalFormatting>
  <conditionalFormatting sqref="C13">
    <cfRule type="cellIs" dxfId="9082" priority="9056" stopIfTrue="1" operator="between">
      <formula>221101</formula>
      <formula>221118</formula>
    </cfRule>
    <cfRule type="cellIs" dxfId="9081" priority="9057" stopIfTrue="1" operator="between">
      <formula>221142</formula>
      <formula>221144</formula>
    </cfRule>
    <cfRule type="cellIs" dxfId="9080" priority="9058" stopIfTrue="1" operator="between">
      <formula>220001</formula>
      <formula>221144</formula>
    </cfRule>
  </conditionalFormatting>
  <conditionalFormatting sqref="AM13">
    <cfRule type="cellIs" dxfId="9079" priority="9053" stopIfTrue="1" operator="between">
      <formula>221101</formula>
      <formula>221118</formula>
    </cfRule>
    <cfRule type="cellIs" dxfId="9078" priority="9054" stopIfTrue="1" operator="between">
      <formula>221142</formula>
      <formula>221144</formula>
    </cfRule>
    <cfRule type="cellIs" dxfId="9077" priority="9055" stopIfTrue="1" operator="between">
      <formula>220001</formula>
      <formula>221144</formula>
    </cfRule>
  </conditionalFormatting>
  <conditionalFormatting sqref="AN13">
    <cfRule type="cellIs" dxfId="9076" priority="9050" stopIfTrue="1" operator="between">
      <formula>221101</formula>
      <formula>221118</formula>
    </cfRule>
    <cfRule type="cellIs" dxfId="9075" priority="9051" stopIfTrue="1" operator="between">
      <formula>221142</formula>
      <formula>221144</formula>
    </cfRule>
    <cfRule type="cellIs" dxfId="9074" priority="9052" stopIfTrue="1" operator="between">
      <formula>220001</formula>
      <formula>221144</formula>
    </cfRule>
  </conditionalFormatting>
  <conditionalFormatting sqref="D13">
    <cfRule type="cellIs" dxfId="9073" priority="9047" stopIfTrue="1" operator="between">
      <formula>221101</formula>
      <formula>221118</formula>
    </cfRule>
    <cfRule type="cellIs" dxfId="9072" priority="9048" stopIfTrue="1" operator="between">
      <formula>221142</formula>
      <formula>221144</formula>
    </cfRule>
    <cfRule type="cellIs" dxfId="9071" priority="9049" stopIfTrue="1" operator="between">
      <formula>220001</formula>
      <formula>221144</formula>
    </cfRule>
  </conditionalFormatting>
  <conditionalFormatting sqref="D13">
    <cfRule type="cellIs" dxfId="9070" priority="9044" stopIfTrue="1" operator="between">
      <formula>221101</formula>
      <formula>221118</formula>
    </cfRule>
    <cfRule type="cellIs" dxfId="9069" priority="9045" stopIfTrue="1" operator="between">
      <formula>221142</formula>
      <formula>221144</formula>
    </cfRule>
    <cfRule type="cellIs" dxfId="9068" priority="9046" stopIfTrue="1" operator="between">
      <formula>220001</formula>
      <formula>221144</formula>
    </cfRule>
  </conditionalFormatting>
  <conditionalFormatting sqref="D13">
    <cfRule type="cellIs" dxfId="9067" priority="9041" stopIfTrue="1" operator="between">
      <formula>221101</formula>
      <formula>221118</formula>
    </cfRule>
    <cfRule type="cellIs" dxfId="9066" priority="9042" stopIfTrue="1" operator="between">
      <formula>221142</formula>
      <formula>221144</formula>
    </cfRule>
    <cfRule type="cellIs" dxfId="9065" priority="9043" stopIfTrue="1" operator="between">
      <formula>220001</formula>
      <formula>221144</formula>
    </cfRule>
  </conditionalFormatting>
  <conditionalFormatting sqref="D13">
    <cfRule type="cellIs" dxfId="9064" priority="9038" stopIfTrue="1" operator="between">
      <formula>221101</formula>
      <formula>221118</formula>
    </cfRule>
    <cfRule type="cellIs" dxfId="9063" priority="9039" stopIfTrue="1" operator="between">
      <formula>221142</formula>
      <formula>221144</formula>
    </cfRule>
    <cfRule type="cellIs" dxfId="9062" priority="9040" stopIfTrue="1" operator="between">
      <formula>220001</formula>
      <formula>221144</formula>
    </cfRule>
  </conditionalFormatting>
  <conditionalFormatting sqref="D13">
    <cfRule type="cellIs" dxfId="9061" priority="9035" stopIfTrue="1" operator="between">
      <formula>221101</formula>
      <formula>221118</formula>
    </cfRule>
    <cfRule type="cellIs" dxfId="9060" priority="9036" stopIfTrue="1" operator="between">
      <formula>221142</formula>
      <formula>221144</formula>
    </cfRule>
    <cfRule type="cellIs" dxfId="9059" priority="9037" stopIfTrue="1" operator="between">
      <formula>220001</formula>
      <formula>221144</formula>
    </cfRule>
  </conditionalFormatting>
  <conditionalFormatting sqref="AD13">
    <cfRule type="cellIs" dxfId="9058" priority="9032" stopIfTrue="1" operator="between">
      <formula>221101</formula>
      <formula>221118</formula>
    </cfRule>
    <cfRule type="cellIs" dxfId="9057" priority="9033" stopIfTrue="1" operator="between">
      <formula>221142</formula>
      <formula>221144</formula>
    </cfRule>
    <cfRule type="cellIs" dxfId="9056" priority="9034" stopIfTrue="1" operator="between">
      <formula>220001</formula>
      <formula>221144</formula>
    </cfRule>
  </conditionalFormatting>
  <conditionalFormatting sqref="AC13">
    <cfRule type="cellIs" dxfId="9055" priority="9029" stopIfTrue="1" operator="between">
      <formula>221101</formula>
      <formula>221118</formula>
    </cfRule>
    <cfRule type="cellIs" dxfId="9054" priority="9030" stopIfTrue="1" operator="between">
      <formula>221142</formula>
      <formula>221144</formula>
    </cfRule>
    <cfRule type="cellIs" dxfId="9053" priority="9031" stopIfTrue="1" operator="between">
      <formula>220001</formula>
      <formula>221144</formula>
    </cfRule>
  </conditionalFormatting>
  <conditionalFormatting sqref="AM13">
    <cfRule type="cellIs" dxfId="9052" priority="9026" stopIfTrue="1" operator="between">
      <formula>221101</formula>
      <formula>221118</formula>
    </cfRule>
    <cfRule type="cellIs" dxfId="9051" priority="9027" stopIfTrue="1" operator="between">
      <formula>221142</formula>
      <formula>221144</formula>
    </cfRule>
    <cfRule type="cellIs" dxfId="9050" priority="9028" stopIfTrue="1" operator="between">
      <formula>220001</formula>
      <formula>221144</formula>
    </cfRule>
  </conditionalFormatting>
  <conditionalFormatting sqref="AN13">
    <cfRule type="cellIs" dxfId="9049" priority="9023" stopIfTrue="1" operator="between">
      <formula>221101</formula>
      <formula>221118</formula>
    </cfRule>
    <cfRule type="cellIs" dxfId="9048" priority="9024" stopIfTrue="1" operator="between">
      <formula>221142</formula>
      <formula>221144</formula>
    </cfRule>
    <cfRule type="cellIs" dxfId="9047" priority="9025" stopIfTrue="1" operator="between">
      <formula>220001</formula>
      <formula>221144</formula>
    </cfRule>
  </conditionalFormatting>
  <conditionalFormatting sqref="AC13">
    <cfRule type="cellIs" dxfId="9046" priority="9020" stopIfTrue="1" operator="between">
      <formula>221101</formula>
      <formula>221118</formula>
    </cfRule>
    <cfRule type="cellIs" dxfId="9045" priority="9021" stopIfTrue="1" operator="between">
      <formula>221142</formula>
      <formula>221144</formula>
    </cfRule>
    <cfRule type="cellIs" dxfId="9044" priority="9022" stopIfTrue="1" operator="between">
      <formula>220001</formula>
      <formula>221144</formula>
    </cfRule>
  </conditionalFormatting>
  <conditionalFormatting sqref="AB13">
    <cfRule type="cellIs" dxfId="9043" priority="9017" stopIfTrue="1" operator="between">
      <formula>221101</formula>
      <formula>221118</formula>
    </cfRule>
    <cfRule type="cellIs" dxfId="9042" priority="9018" stopIfTrue="1" operator="between">
      <formula>221142</formula>
      <formula>221144</formula>
    </cfRule>
    <cfRule type="cellIs" dxfId="9041" priority="9019" stopIfTrue="1" operator="between">
      <formula>220001</formula>
      <formula>221144</formula>
    </cfRule>
  </conditionalFormatting>
  <conditionalFormatting sqref="AL13">
    <cfRule type="cellIs" dxfId="9040" priority="9014" stopIfTrue="1" operator="between">
      <formula>221101</formula>
      <formula>221118</formula>
    </cfRule>
    <cfRule type="cellIs" dxfId="9039" priority="9015" stopIfTrue="1" operator="between">
      <formula>221142</formula>
      <formula>221144</formula>
    </cfRule>
    <cfRule type="cellIs" dxfId="9038" priority="9016" stopIfTrue="1" operator="between">
      <formula>220001</formula>
      <formula>221144</formula>
    </cfRule>
  </conditionalFormatting>
  <conditionalFormatting sqref="AM13">
    <cfRule type="cellIs" dxfId="9037" priority="9011" stopIfTrue="1" operator="between">
      <formula>221101</formula>
      <formula>221118</formula>
    </cfRule>
    <cfRule type="cellIs" dxfId="9036" priority="9012" stopIfTrue="1" operator="between">
      <formula>221142</formula>
      <formula>221144</formula>
    </cfRule>
    <cfRule type="cellIs" dxfId="9035" priority="9013" stopIfTrue="1" operator="between">
      <formula>220001</formula>
      <formula>221144</formula>
    </cfRule>
  </conditionalFormatting>
  <conditionalFormatting sqref="C13">
    <cfRule type="cellIs" dxfId="9034" priority="9008" stopIfTrue="1" operator="between">
      <formula>221101</formula>
      <formula>221118</formula>
    </cfRule>
    <cfRule type="cellIs" dxfId="9033" priority="9009" stopIfTrue="1" operator="between">
      <formula>221142</formula>
      <formula>221144</formula>
    </cfRule>
    <cfRule type="cellIs" dxfId="9032" priority="9010" stopIfTrue="1" operator="between">
      <formula>220001</formula>
      <formula>221144</formula>
    </cfRule>
  </conditionalFormatting>
  <conditionalFormatting sqref="C13">
    <cfRule type="cellIs" dxfId="9031" priority="9005" stopIfTrue="1" operator="between">
      <formula>221101</formula>
      <formula>221118</formula>
    </cfRule>
    <cfRule type="cellIs" dxfId="9030" priority="9006" stopIfTrue="1" operator="between">
      <formula>221142</formula>
      <formula>221144</formula>
    </cfRule>
    <cfRule type="cellIs" dxfId="9029" priority="9007" stopIfTrue="1" operator="between">
      <formula>220001</formula>
      <formula>221144</formula>
    </cfRule>
  </conditionalFormatting>
  <conditionalFormatting sqref="C13">
    <cfRule type="cellIs" dxfId="9028" priority="9002" stopIfTrue="1" operator="between">
      <formula>221101</formula>
      <formula>221118</formula>
    </cfRule>
    <cfRule type="cellIs" dxfId="9027" priority="9003" stopIfTrue="1" operator="between">
      <formula>221142</formula>
      <formula>221144</formula>
    </cfRule>
    <cfRule type="cellIs" dxfId="9026" priority="9004" stopIfTrue="1" operator="between">
      <formula>220001</formula>
      <formula>221144</formula>
    </cfRule>
  </conditionalFormatting>
  <conditionalFormatting sqref="C13">
    <cfRule type="cellIs" dxfId="9025" priority="8999" stopIfTrue="1" operator="between">
      <formula>221101</formula>
      <formula>221118</formula>
    </cfRule>
    <cfRule type="cellIs" dxfId="9024" priority="9000" stopIfTrue="1" operator="between">
      <formula>221142</formula>
      <formula>221144</formula>
    </cfRule>
    <cfRule type="cellIs" dxfId="9023" priority="9001" stopIfTrue="1" operator="between">
      <formula>220001</formula>
      <formula>221144</formula>
    </cfRule>
  </conditionalFormatting>
  <conditionalFormatting sqref="D13">
    <cfRule type="cellIs" dxfId="9022" priority="8996" stopIfTrue="1" operator="between">
      <formula>221101</formula>
      <formula>221118</formula>
    </cfRule>
    <cfRule type="cellIs" dxfId="9021" priority="8997" stopIfTrue="1" operator="between">
      <formula>221142</formula>
      <formula>221144</formula>
    </cfRule>
    <cfRule type="cellIs" dxfId="9020" priority="8998" stopIfTrue="1" operator="between">
      <formula>220001</formula>
      <formula>221144</formula>
    </cfRule>
  </conditionalFormatting>
  <conditionalFormatting sqref="AD13">
    <cfRule type="cellIs" dxfId="9019" priority="8993" stopIfTrue="1" operator="between">
      <formula>221101</formula>
      <formula>221118</formula>
    </cfRule>
    <cfRule type="cellIs" dxfId="9018" priority="8994" stopIfTrue="1" operator="between">
      <formula>221142</formula>
      <formula>221144</formula>
    </cfRule>
    <cfRule type="cellIs" dxfId="9017" priority="8995" stopIfTrue="1" operator="between">
      <formula>220001</formula>
      <formula>221144</formula>
    </cfRule>
  </conditionalFormatting>
  <conditionalFormatting sqref="AC13">
    <cfRule type="cellIs" dxfId="9016" priority="8990" stopIfTrue="1" operator="between">
      <formula>221101</formula>
      <formula>221118</formula>
    </cfRule>
    <cfRule type="cellIs" dxfId="9015" priority="8991" stopIfTrue="1" operator="between">
      <formula>221142</formula>
      <formula>221144</formula>
    </cfRule>
    <cfRule type="cellIs" dxfId="9014" priority="8992" stopIfTrue="1" operator="between">
      <formula>220001</formula>
      <formula>221144</formula>
    </cfRule>
  </conditionalFormatting>
  <conditionalFormatting sqref="AM13">
    <cfRule type="cellIs" dxfId="9013" priority="8987" stopIfTrue="1" operator="between">
      <formula>221101</formula>
      <formula>221118</formula>
    </cfRule>
    <cfRule type="cellIs" dxfId="9012" priority="8988" stopIfTrue="1" operator="between">
      <formula>221142</formula>
      <formula>221144</formula>
    </cfRule>
    <cfRule type="cellIs" dxfId="9011" priority="8989" stopIfTrue="1" operator="between">
      <formula>220001</formula>
      <formula>221144</formula>
    </cfRule>
  </conditionalFormatting>
  <conditionalFormatting sqref="AN13">
    <cfRule type="cellIs" dxfId="9010" priority="8984" stopIfTrue="1" operator="between">
      <formula>221101</formula>
      <formula>221118</formula>
    </cfRule>
    <cfRule type="cellIs" dxfId="9009" priority="8985" stopIfTrue="1" operator="between">
      <formula>221142</formula>
      <formula>221144</formula>
    </cfRule>
    <cfRule type="cellIs" dxfId="9008" priority="8986" stopIfTrue="1" operator="between">
      <formula>220001</formula>
      <formula>221144</formula>
    </cfRule>
  </conditionalFormatting>
  <conditionalFormatting sqref="AC13">
    <cfRule type="cellIs" dxfId="9007" priority="8981" stopIfTrue="1" operator="between">
      <formula>221101</formula>
      <formula>221118</formula>
    </cfRule>
    <cfRule type="cellIs" dxfId="9006" priority="8982" stopIfTrue="1" operator="between">
      <formula>221142</formula>
      <formula>221144</formula>
    </cfRule>
    <cfRule type="cellIs" dxfId="9005" priority="8983" stopIfTrue="1" operator="between">
      <formula>220001</formula>
      <formula>221144</formula>
    </cfRule>
  </conditionalFormatting>
  <conditionalFormatting sqref="AB13">
    <cfRule type="cellIs" dxfId="9004" priority="8978" stopIfTrue="1" operator="between">
      <formula>221101</formula>
      <formula>221118</formula>
    </cfRule>
    <cfRule type="cellIs" dxfId="9003" priority="8979" stopIfTrue="1" operator="between">
      <formula>221142</formula>
      <formula>221144</formula>
    </cfRule>
    <cfRule type="cellIs" dxfId="9002" priority="8980" stopIfTrue="1" operator="between">
      <formula>220001</formula>
      <formula>221144</formula>
    </cfRule>
  </conditionalFormatting>
  <conditionalFormatting sqref="AL13">
    <cfRule type="cellIs" dxfId="9001" priority="8975" stopIfTrue="1" operator="between">
      <formula>221101</formula>
      <formula>221118</formula>
    </cfRule>
    <cfRule type="cellIs" dxfId="9000" priority="8976" stopIfTrue="1" operator="between">
      <formula>221142</formula>
      <formula>221144</formula>
    </cfRule>
    <cfRule type="cellIs" dxfId="8999" priority="8977" stopIfTrue="1" operator="between">
      <formula>220001</formula>
      <formula>221144</formula>
    </cfRule>
  </conditionalFormatting>
  <conditionalFormatting sqref="AM13">
    <cfRule type="cellIs" dxfId="8998" priority="8972" stopIfTrue="1" operator="between">
      <formula>221101</formula>
      <formula>221118</formula>
    </cfRule>
    <cfRule type="cellIs" dxfId="8997" priority="8973" stopIfTrue="1" operator="between">
      <formula>221142</formula>
      <formula>221144</formula>
    </cfRule>
    <cfRule type="cellIs" dxfId="8996" priority="8974" stopIfTrue="1" operator="between">
      <formula>220001</formula>
      <formula>221144</formula>
    </cfRule>
  </conditionalFormatting>
  <conditionalFormatting sqref="C13">
    <cfRule type="cellIs" dxfId="8995" priority="8969" stopIfTrue="1" operator="between">
      <formula>221101</formula>
      <formula>221118</formula>
    </cfRule>
    <cfRule type="cellIs" dxfId="8994" priority="8970" stopIfTrue="1" operator="between">
      <formula>221142</formula>
      <formula>221144</formula>
    </cfRule>
    <cfRule type="cellIs" dxfId="8993" priority="8971" stopIfTrue="1" operator="between">
      <formula>220001</formula>
      <formula>221144</formula>
    </cfRule>
  </conditionalFormatting>
  <conditionalFormatting sqref="C13">
    <cfRule type="cellIs" dxfId="8992" priority="8966" stopIfTrue="1" operator="between">
      <formula>221101</formula>
      <formula>221118</formula>
    </cfRule>
    <cfRule type="cellIs" dxfId="8991" priority="8967" stopIfTrue="1" operator="between">
      <formula>221142</formula>
      <formula>221144</formula>
    </cfRule>
    <cfRule type="cellIs" dxfId="8990" priority="8968" stopIfTrue="1" operator="between">
      <formula>220001</formula>
      <formula>221144</formula>
    </cfRule>
  </conditionalFormatting>
  <conditionalFormatting sqref="C13">
    <cfRule type="cellIs" dxfId="8989" priority="8963" stopIfTrue="1" operator="between">
      <formula>221101</formula>
      <formula>221118</formula>
    </cfRule>
    <cfRule type="cellIs" dxfId="8988" priority="8964" stopIfTrue="1" operator="between">
      <formula>221142</formula>
      <formula>221144</formula>
    </cfRule>
    <cfRule type="cellIs" dxfId="8987" priority="8965" stopIfTrue="1" operator="between">
      <formula>220001</formula>
      <formula>221144</formula>
    </cfRule>
  </conditionalFormatting>
  <conditionalFormatting sqref="C13">
    <cfRule type="cellIs" dxfId="8986" priority="8960" stopIfTrue="1" operator="between">
      <formula>221101</formula>
      <formula>221118</formula>
    </cfRule>
    <cfRule type="cellIs" dxfId="8985" priority="8961" stopIfTrue="1" operator="between">
      <formula>221142</formula>
      <formula>221144</formula>
    </cfRule>
    <cfRule type="cellIs" dxfId="8984" priority="8962" stopIfTrue="1" operator="between">
      <formula>220001</formula>
      <formula>221144</formula>
    </cfRule>
  </conditionalFormatting>
  <conditionalFormatting sqref="C13">
    <cfRule type="cellIs" dxfId="8983" priority="8957" stopIfTrue="1" operator="between">
      <formula>221101</formula>
      <formula>221118</formula>
    </cfRule>
    <cfRule type="cellIs" dxfId="8982" priority="8958" stopIfTrue="1" operator="between">
      <formula>221142</formula>
      <formula>221144</formula>
    </cfRule>
    <cfRule type="cellIs" dxfId="8981" priority="8959" stopIfTrue="1" operator="between">
      <formula>220001</formula>
      <formula>221144</formula>
    </cfRule>
  </conditionalFormatting>
  <conditionalFormatting sqref="AC13">
    <cfRule type="cellIs" dxfId="8980" priority="8954" stopIfTrue="1" operator="between">
      <formula>221101</formula>
      <formula>221118</formula>
    </cfRule>
    <cfRule type="cellIs" dxfId="8979" priority="8955" stopIfTrue="1" operator="between">
      <formula>221142</formula>
      <formula>221144</formula>
    </cfRule>
    <cfRule type="cellIs" dxfId="8978" priority="8956" stopIfTrue="1" operator="between">
      <formula>220001</formula>
      <formula>221144</formula>
    </cfRule>
  </conditionalFormatting>
  <conditionalFormatting sqref="AB13">
    <cfRule type="cellIs" dxfId="8977" priority="8951" stopIfTrue="1" operator="between">
      <formula>221101</formula>
      <formula>221118</formula>
    </cfRule>
    <cfRule type="cellIs" dxfId="8976" priority="8952" stopIfTrue="1" operator="between">
      <formula>221142</formula>
      <formula>221144</formula>
    </cfRule>
    <cfRule type="cellIs" dxfId="8975" priority="8953" stopIfTrue="1" operator="between">
      <formula>220001</formula>
      <formula>221144</formula>
    </cfRule>
  </conditionalFormatting>
  <conditionalFormatting sqref="AL13">
    <cfRule type="cellIs" dxfId="8974" priority="8948" stopIfTrue="1" operator="between">
      <formula>221101</formula>
      <formula>221118</formula>
    </cfRule>
    <cfRule type="cellIs" dxfId="8973" priority="8949" stopIfTrue="1" operator="between">
      <formula>221142</formula>
      <formula>221144</formula>
    </cfRule>
    <cfRule type="cellIs" dxfId="8972" priority="8950" stopIfTrue="1" operator="between">
      <formula>220001</formula>
      <formula>221144</formula>
    </cfRule>
  </conditionalFormatting>
  <conditionalFormatting sqref="AM13">
    <cfRule type="cellIs" dxfId="8971" priority="8945" stopIfTrue="1" operator="between">
      <formula>221101</formula>
      <formula>221118</formula>
    </cfRule>
    <cfRule type="cellIs" dxfId="8970" priority="8946" stopIfTrue="1" operator="between">
      <formula>221142</formula>
      <formula>221144</formula>
    </cfRule>
    <cfRule type="cellIs" dxfId="8969" priority="8947" stopIfTrue="1" operator="between">
      <formula>220001</formula>
      <formula>221144</formula>
    </cfRule>
  </conditionalFormatting>
  <conditionalFormatting sqref="AB13">
    <cfRule type="cellIs" dxfId="8968" priority="8942" stopIfTrue="1" operator="between">
      <formula>221101</formula>
      <formula>221118</formula>
    </cfRule>
    <cfRule type="cellIs" dxfId="8967" priority="8943" stopIfTrue="1" operator="between">
      <formula>221142</formula>
      <formula>221144</formula>
    </cfRule>
    <cfRule type="cellIs" dxfId="8966" priority="8944" stopIfTrue="1" operator="between">
      <formula>220001</formula>
      <formula>221144</formula>
    </cfRule>
  </conditionalFormatting>
  <conditionalFormatting sqref="AA13">
    <cfRule type="cellIs" dxfId="8965" priority="8939" stopIfTrue="1" operator="between">
      <formula>221101</formula>
      <formula>221118</formula>
    </cfRule>
    <cfRule type="cellIs" dxfId="8964" priority="8940" stopIfTrue="1" operator="between">
      <formula>221142</formula>
      <formula>221144</formula>
    </cfRule>
    <cfRule type="cellIs" dxfId="8963" priority="8941" stopIfTrue="1" operator="between">
      <formula>220001</formula>
      <formula>221144</formula>
    </cfRule>
  </conditionalFormatting>
  <conditionalFormatting sqref="AK13">
    <cfRule type="cellIs" dxfId="8962" priority="8936" stopIfTrue="1" operator="between">
      <formula>221101</formula>
      <formula>221118</formula>
    </cfRule>
    <cfRule type="cellIs" dxfId="8961" priority="8937" stopIfTrue="1" operator="between">
      <formula>221142</formula>
      <formula>221144</formula>
    </cfRule>
    <cfRule type="cellIs" dxfId="8960" priority="8938" stopIfTrue="1" operator="between">
      <formula>220001</formula>
      <formula>221144</formula>
    </cfRule>
  </conditionalFormatting>
  <conditionalFormatting sqref="AL13">
    <cfRule type="cellIs" dxfId="8959" priority="8933" stopIfTrue="1" operator="between">
      <formula>221101</formula>
      <formula>221118</formula>
    </cfRule>
    <cfRule type="cellIs" dxfId="8958" priority="8934" stopIfTrue="1" operator="between">
      <formula>221142</formula>
      <formula>221144</formula>
    </cfRule>
    <cfRule type="cellIs" dxfId="8957" priority="8935" stopIfTrue="1" operator="between">
      <formula>220001</formula>
      <formula>221144</formula>
    </cfRule>
  </conditionalFormatting>
  <conditionalFormatting sqref="E21">
    <cfRule type="cellIs" dxfId="8956" priority="8930" stopIfTrue="1" operator="between">
      <formula>221101</formula>
      <formula>221118</formula>
    </cfRule>
    <cfRule type="cellIs" dxfId="8955" priority="8931" stopIfTrue="1" operator="between">
      <formula>221142</formula>
      <formula>221144</formula>
    </cfRule>
    <cfRule type="cellIs" dxfId="8954" priority="8932" stopIfTrue="1" operator="between">
      <formula>220001</formula>
      <formula>221144</formula>
    </cfRule>
  </conditionalFormatting>
  <conditionalFormatting sqref="C21">
    <cfRule type="cellIs" dxfId="8953" priority="8927" stopIfTrue="1" operator="between">
      <formula>221101</formula>
      <formula>221118</formula>
    </cfRule>
    <cfRule type="cellIs" dxfId="8952" priority="8928" stopIfTrue="1" operator="between">
      <formula>221142</formula>
      <formula>221144</formula>
    </cfRule>
    <cfRule type="cellIs" dxfId="8951" priority="8929" stopIfTrue="1" operator="between">
      <formula>220001</formula>
      <formula>221144</formula>
    </cfRule>
  </conditionalFormatting>
  <conditionalFormatting sqref="AN21">
    <cfRule type="cellIs" dxfId="8950" priority="8921" stopIfTrue="1" operator="between">
      <formula>221101</formula>
      <formula>221118</formula>
    </cfRule>
    <cfRule type="cellIs" dxfId="8949" priority="8922" stopIfTrue="1" operator="between">
      <formula>221142</formula>
      <formula>221144</formula>
    </cfRule>
    <cfRule type="cellIs" dxfId="8948" priority="8923" stopIfTrue="1" operator="between">
      <formula>220001</formula>
      <formula>221144</formula>
    </cfRule>
  </conditionalFormatting>
  <conditionalFormatting sqref="C21">
    <cfRule type="cellIs" dxfId="8947" priority="8918" stopIfTrue="1" operator="between">
      <formula>221101</formula>
      <formula>221118</formula>
    </cfRule>
    <cfRule type="cellIs" dxfId="8946" priority="8919" stopIfTrue="1" operator="between">
      <formula>221142</formula>
      <formula>221144</formula>
    </cfRule>
    <cfRule type="cellIs" dxfId="8945" priority="8920" stopIfTrue="1" operator="between">
      <formula>220001</formula>
      <formula>221144</formula>
    </cfRule>
  </conditionalFormatting>
  <conditionalFormatting sqref="C21">
    <cfRule type="cellIs" dxfId="8944" priority="8915" stopIfTrue="1" operator="between">
      <formula>221101</formula>
      <formula>221118</formula>
    </cfRule>
    <cfRule type="cellIs" dxfId="8943" priority="8916" stopIfTrue="1" operator="between">
      <formula>221142</formula>
      <formula>221144</formula>
    </cfRule>
    <cfRule type="cellIs" dxfId="8942" priority="8917" stopIfTrue="1" operator="between">
      <formula>220001</formula>
      <formula>221144</formula>
    </cfRule>
  </conditionalFormatting>
  <conditionalFormatting sqref="AN21">
    <cfRule type="cellIs" dxfId="8941" priority="8912" stopIfTrue="1" operator="between">
      <formula>221101</formula>
      <formula>221118</formula>
    </cfRule>
    <cfRule type="cellIs" dxfId="8940" priority="8913" stopIfTrue="1" operator="between">
      <formula>221142</formula>
      <formula>221144</formula>
    </cfRule>
    <cfRule type="cellIs" dxfId="8939" priority="8914" stopIfTrue="1" operator="between">
      <formula>220001</formula>
      <formula>221144</formula>
    </cfRule>
  </conditionalFormatting>
  <conditionalFormatting sqref="AM21">
    <cfRule type="cellIs" dxfId="8938" priority="8909" stopIfTrue="1" operator="between">
      <formula>221101</formula>
      <formula>221118</formula>
    </cfRule>
    <cfRule type="cellIs" dxfId="8937" priority="8910" stopIfTrue="1" operator="between">
      <formula>221142</formula>
      <formula>221144</formula>
    </cfRule>
    <cfRule type="cellIs" dxfId="8936" priority="8911" stopIfTrue="1" operator="between">
      <formula>220001</formula>
      <formula>221144</formula>
    </cfRule>
  </conditionalFormatting>
  <conditionalFormatting sqref="D21">
    <cfRule type="cellIs" dxfId="8935" priority="8906" stopIfTrue="1" operator="between">
      <formula>221101</formula>
      <formula>221118</formula>
    </cfRule>
    <cfRule type="cellIs" dxfId="8934" priority="8907" stopIfTrue="1" operator="between">
      <formula>221142</formula>
      <formula>221144</formula>
    </cfRule>
    <cfRule type="cellIs" dxfId="8933" priority="8908" stopIfTrue="1" operator="between">
      <formula>220001</formula>
      <formula>221144</formula>
    </cfRule>
  </conditionalFormatting>
  <conditionalFormatting sqref="D21">
    <cfRule type="cellIs" dxfId="8932" priority="8903" stopIfTrue="1" operator="between">
      <formula>221101</formula>
      <formula>221118</formula>
    </cfRule>
    <cfRule type="cellIs" dxfId="8931" priority="8904" stopIfTrue="1" operator="between">
      <formula>221142</formula>
      <formula>221144</formula>
    </cfRule>
    <cfRule type="cellIs" dxfId="8930" priority="8905" stopIfTrue="1" operator="between">
      <formula>220001</formula>
      <formula>221144</formula>
    </cfRule>
  </conditionalFormatting>
  <conditionalFormatting sqref="D21">
    <cfRule type="cellIs" dxfId="8929" priority="8900" stopIfTrue="1" operator="between">
      <formula>221101</formula>
      <formula>221118</formula>
    </cfRule>
    <cfRule type="cellIs" dxfId="8928" priority="8901" stopIfTrue="1" operator="between">
      <formula>221142</formula>
      <formula>221144</formula>
    </cfRule>
    <cfRule type="cellIs" dxfId="8927" priority="8902" stopIfTrue="1" operator="between">
      <formula>220001</formula>
      <formula>221144</formula>
    </cfRule>
  </conditionalFormatting>
  <conditionalFormatting sqref="D21">
    <cfRule type="cellIs" dxfId="8926" priority="8897" stopIfTrue="1" operator="between">
      <formula>221101</formula>
      <formula>221118</formula>
    </cfRule>
    <cfRule type="cellIs" dxfId="8925" priority="8898" stopIfTrue="1" operator="between">
      <formula>221142</formula>
      <formula>221144</formula>
    </cfRule>
    <cfRule type="cellIs" dxfId="8924" priority="8899" stopIfTrue="1" operator="between">
      <formula>220001</formula>
      <formula>221144</formula>
    </cfRule>
  </conditionalFormatting>
  <conditionalFormatting sqref="D21">
    <cfRule type="cellIs" dxfId="8923" priority="8894" stopIfTrue="1" operator="between">
      <formula>221101</formula>
      <formula>221118</formula>
    </cfRule>
    <cfRule type="cellIs" dxfId="8922" priority="8895" stopIfTrue="1" operator="between">
      <formula>221142</formula>
      <formula>221144</formula>
    </cfRule>
    <cfRule type="cellIs" dxfId="8921" priority="8896" stopIfTrue="1" operator="between">
      <formula>220001</formula>
      <formula>221144</formula>
    </cfRule>
  </conditionalFormatting>
  <conditionalFormatting sqref="AN21">
    <cfRule type="cellIs" dxfId="8920" priority="8891" stopIfTrue="1" operator="between">
      <formula>221101</formula>
      <formula>221118</formula>
    </cfRule>
    <cfRule type="cellIs" dxfId="8919" priority="8892" stopIfTrue="1" operator="between">
      <formula>221142</formula>
      <formula>221144</formula>
    </cfRule>
    <cfRule type="cellIs" dxfId="8918" priority="8893" stopIfTrue="1" operator="between">
      <formula>220001</formula>
      <formula>221144</formula>
    </cfRule>
  </conditionalFormatting>
  <conditionalFormatting sqref="AM21">
    <cfRule type="cellIs" dxfId="8917" priority="8888" stopIfTrue="1" operator="between">
      <formula>221101</formula>
      <formula>221118</formula>
    </cfRule>
    <cfRule type="cellIs" dxfId="8916" priority="8889" stopIfTrue="1" operator="between">
      <formula>221142</formula>
      <formula>221144</formula>
    </cfRule>
    <cfRule type="cellIs" dxfId="8915" priority="8890" stopIfTrue="1" operator="between">
      <formula>220001</formula>
      <formula>221144</formula>
    </cfRule>
  </conditionalFormatting>
  <conditionalFormatting sqref="AM21">
    <cfRule type="cellIs" dxfId="8914" priority="8885" stopIfTrue="1" operator="between">
      <formula>221101</formula>
      <formula>221118</formula>
    </cfRule>
    <cfRule type="cellIs" dxfId="8913" priority="8886" stopIfTrue="1" operator="between">
      <formula>221142</formula>
      <formula>221144</formula>
    </cfRule>
    <cfRule type="cellIs" dxfId="8912" priority="8887" stopIfTrue="1" operator="between">
      <formula>220001</formula>
      <formula>221144</formula>
    </cfRule>
  </conditionalFormatting>
  <conditionalFormatting sqref="AL21">
    <cfRule type="cellIs" dxfId="8911" priority="8882" stopIfTrue="1" operator="between">
      <formula>221101</formula>
      <formula>221118</formula>
    </cfRule>
    <cfRule type="cellIs" dxfId="8910" priority="8883" stopIfTrue="1" operator="between">
      <formula>221142</formula>
      <formula>221144</formula>
    </cfRule>
    <cfRule type="cellIs" dxfId="8909" priority="8884" stopIfTrue="1" operator="between">
      <formula>220001</formula>
      <formula>221144</formula>
    </cfRule>
  </conditionalFormatting>
  <conditionalFormatting sqref="C21">
    <cfRule type="cellIs" dxfId="8908" priority="8879" stopIfTrue="1" operator="between">
      <formula>221101</formula>
      <formula>221118</formula>
    </cfRule>
    <cfRule type="cellIs" dxfId="8907" priority="8880" stopIfTrue="1" operator="between">
      <formula>221142</formula>
      <formula>221144</formula>
    </cfRule>
    <cfRule type="cellIs" dxfId="8906" priority="8881" stopIfTrue="1" operator="between">
      <formula>220001</formula>
      <formula>221144</formula>
    </cfRule>
  </conditionalFormatting>
  <conditionalFormatting sqref="C21">
    <cfRule type="cellIs" dxfId="8905" priority="8876" stopIfTrue="1" operator="between">
      <formula>221101</formula>
      <formula>221118</formula>
    </cfRule>
    <cfRule type="cellIs" dxfId="8904" priority="8877" stopIfTrue="1" operator="between">
      <formula>221142</formula>
      <formula>221144</formula>
    </cfRule>
    <cfRule type="cellIs" dxfId="8903" priority="8878" stopIfTrue="1" operator="between">
      <formula>220001</formula>
      <formula>221144</formula>
    </cfRule>
  </conditionalFormatting>
  <conditionalFormatting sqref="C21">
    <cfRule type="cellIs" dxfId="8902" priority="8873" stopIfTrue="1" operator="between">
      <formula>221101</formula>
      <formula>221118</formula>
    </cfRule>
    <cfRule type="cellIs" dxfId="8901" priority="8874" stopIfTrue="1" operator="between">
      <formula>221142</formula>
      <formula>221144</formula>
    </cfRule>
    <cfRule type="cellIs" dxfId="8900" priority="8875" stopIfTrue="1" operator="between">
      <formula>220001</formula>
      <formula>221144</formula>
    </cfRule>
  </conditionalFormatting>
  <conditionalFormatting sqref="C21">
    <cfRule type="cellIs" dxfId="8899" priority="8870" stopIfTrue="1" operator="between">
      <formula>221101</formula>
      <formula>221118</formula>
    </cfRule>
    <cfRule type="cellIs" dxfId="8898" priority="8871" stopIfTrue="1" operator="between">
      <formula>221142</formula>
      <formula>221144</formula>
    </cfRule>
    <cfRule type="cellIs" dxfId="8897" priority="8872" stopIfTrue="1" operator="between">
      <formula>220001</formula>
      <formula>221144</formula>
    </cfRule>
  </conditionalFormatting>
  <conditionalFormatting sqref="D21">
    <cfRule type="cellIs" dxfId="8896" priority="8867" stopIfTrue="1" operator="between">
      <formula>221101</formula>
      <formula>221118</formula>
    </cfRule>
    <cfRule type="cellIs" dxfId="8895" priority="8868" stopIfTrue="1" operator="between">
      <formula>221142</formula>
      <formula>221144</formula>
    </cfRule>
    <cfRule type="cellIs" dxfId="8894" priority="8869" stopIfTrue="1" operator="between">
      <formula>220001</formula>
      <formula>221144</formula>
    </cfRule>
  </conditionalFormatting>
  <conditionalFormatting sqref="AN21">
    <cfRule type="cellIs" dxfId="8893" priority="8864" stopIfTrue="1" operator="between">
      <formula>221101</formula>
      <formula>221118</formula>
    </cfRule>
    <cfRule type="cellIs" dxfId="8892" priority="8865" stopIfTrue="1" operator="between">
      <formula>221142</formula>
      <formula>221144</formula>
    </cfRule>
    <cfRule type="cellIs" dxfId="8891" priority="8866" stopIfTrue="1" operator="between">
      <formula>220001</formula>
      <formula>221144</formula>
    </cfRule>
  </conditionalFormatting>
  <conditionalFormatting sqref="AM21">
    <cfRule type="cellIs" dxfId="8890" priority="8861" stopIfTrue="1" operator="between">
      <formula>221101</formula>
      <formula>221118</formula>
    </cfRule>
    <cfRule type="cellIs" dxfId="8889" priority="8862" stopIfTrue="1" operator="between">
      <formula>221142</formula>
      <formula>221144</formula>
    </cfRule>
    <cfRule type="cellIs" dxfId="8888" priority="8863" stopIfTrue="1" operator="between">
      <formula>220001</formula>
      <formula>221144</formula>
    </cfRule>
  </conditionalFormatting>
  <conditionalFormatting sqref="AM21">
    <cfRule type="cellIs" dxfId="8887" priority="8858" stopIfTrue="1" operator="between">
      <formula>221101</formula>
      <formula>221118</formula>
    </cfRule>
    <cfRule type="cellIs" dxfId="8886" priority="8859" stopIfTrue="1" operator="between">
      <formula>221142</formula>
      <formula>221144</formula>
    </cfRule>
    <cfRule type="cellIs" dxfId="8885" priority="8860" stopIfTrue="1" operator="between">
      <formula>220001</formula>
      <formula>221144</formula>
    </cfRule>
  </conditionalFormatting>
  <conditionalFormatting sqref="AL21">
    <cfRule type="cellIs" dxfId="8884" priority="8855" stopIfTrue="1" operator="between">
      <formula>221101</formula>
      <formula>221118</formula>
    </cfRule>
    <cfRule type="cellIs" dxfId="8883" priority="8856" stopIfTrue="1" operator="between">
      <formula>221142</formula>
      <formula>221144</formula>
    </cfRule>
    <cfRule type="cellIs" dxfId="8882" priority="8857" stopIfTrue="1" operator="between">
      <formula>220001</formula>
      <formula>221144</formula>
    </cfRule>
  </conditionalFormatting>
  <conditionalFormatting sqref="C21">
    <cfRule type="cellIs" dxfId="8881" priority="8852" stopIfTrue="1" operator="between">
      <formula>221101</formula>
      <formula>221118</formula>
    </cfRule>
    <cfRule type="cellIs" dxfId="8880" priority="8853" stopIfTrue="1" operator="between">
      <formula>221142</formula>
      <formula>221144</formula>
    </cfRule>
    <cfRule type="cellIs" dxfId="8879" priority="8854" stopIfTrue="1" operator="between">
      <formula>220001</formula>
      <formula>221144</formula>
    </cfRule>
  </conditionalFormatting>
  <conditionalFormatting sqref="C21">
    <cfRule type="cellIs" dxfId="8878" priority="8849" stopIfTrue="1" operator="between">
      <formula>221101</formula>
      <formula>221118</formula>
    </cfRule>
    <cfRule type="cellIs" dxfId="8877" priority="8850" stopIfTrue="1" operator="between">
      <formula>221142</formula>
      <formula>221144</formula>
    </cfRule>
    <cfRule type="cellIs" dxfId="8876" priority="8851" stopIfTrue="1" operator="between">
      <formula>220001</formula>
      <formula>221144</formula>
    </cfRule>
  </conditionalFormatting>
  <conditionalFormatting sqref="C21">
    <cfRule type="cellIs" dxfId="8875" priority="8846" stopIfTrue="1" operator="between">
      <formula>221101</formula>
      <formula>221118</formula>
    </cfRule>
    <cfRule type="cellIs" dxfId="8874" priority="8847" stopIfTrue="1" operator="between">
      <formula>221142</formula>
      <formula>221144</formula>
    </cfRule>
    <cfRule type="cellIs" dxfId="8873" priority="8848" stopIfTrue="1" operator="between">
      <formula>220001</formula>
      <formula>221144</formula>
    </cfRule>
  </conditionalFormatting>
  <conditionalFormatting sqref="C21">
    <cfRule type="cellIs" dxfId="8872" priority="8843" stopIfTrue="1" operator="between">
      <formula>221101</formula>
      <formula>221118</formula>
    </cfRule>
    <cfRule type="cellIs" dxfId="8871" priority="8844" stopIfTrue="1" operator="between">
      <formula>221142</formula>
      <formula>221144</formula>
    </cfRule>
    <cfRule type="cellIs" dxfId="8870" priority="8845" stopIfTrue="1" operator="between">
      <formula>220001</formula>
      <formula>221144</formula>
    </cfRule>
  </conditionalFormatting>
  <conditionalFormatting sqref="C21">
    <cfRule type="cellIs" dxfId="8869" priority="8840" stopIfTrue="1" operator="between">
      <formula>221101</formula>
      <formula>221118</formula>
    </cfRule>
    <cfRule type="cellIs" dxfId="8868" priority="8841" stopIfTrue="1" operator="between">
      <formula>221142</formula>
      <formula>221144</formula>
    </cfRule>
    <cfRule type="cellIs" dxfId="8867" priority="8842" stopIfTrue="1" operator="between">
      <formula>220001</formula>
      <formula>221144</formula>
    </cfRule>
  </conditionalFormatting>
  <conditionalFormatting sqref="AM21">
    <cfRule type="cellIs" dxfId="8866" priority="8837" stopIfTrue="1" operator="between">
      <formula>221101</formula>
      <formula>221118</formula>
    </cfRule>
    <cfRule type="cellIs" dxfId="8865" priority="8838" stopIfTrue="1" operator="between">
      <formula>221142</formula>
      <formula>221144</formula>
    </cfRule>
    <cfRule type="cellIs" dxfId="8864" priority="8839" stopIfTrue="1" operator="between">
      <formula>220001</formula>
      <formula>221144</formula>
    </cfRule>
  </conditionalFormatting>
  <conditionalFormatting sqref="AL21">
    <cfRule type="cellIs" dxfId="8863" priority="8834" stopIfTrue="1" operator="between">
      <formula>221101</formula>
      <formula>221118</formula>
    </cfRule>
    <cfRule type="cellIs" dxfId="8862" priority="8835" stopIfTrue="1" operator="between">
      <formula>221142</formula>
      <formula>221144</formula>
    </cfRule>
    <cfRule type="cellIs" dxfId="8861" priority="8836" stopIfTrue="1" operator="between">
      <formula>220001</formula>
      <formula>221144</formula>
    </cfRule>
  </conditionalFormatting>
  <conditionalFormatting sqref="AL21">
    <cfRule type="cellIs" dxfId="8860" priority="8831" stopIfTrue="1" operator="between">
      <formula>221101</formula>
      <formula>221118</formula>
    </cfRule>
    <cfRule type="cellIs" dxfId="8859" priority="8832" stopIfTrue="1" operator="between">
      <formula>221142</formula>
      <formula>221144</formula>
    </cfRule>
    <cfRule type="cellIs" dxfId="8858" priority="8833" stopIfTrue="1" operator="between">
      <formula>220001</formula>
      <formula>221144</formula>
    </cfRule>
  </conditionalFormatting>
  <conditionalFormatting sqref="AK21">
    <cfRule type="cellIs" dxfId="8857" priority="8828" stopIfTrue="1" operator="between">
      <formula>221101</formula>
      <formula>221118</formula>
    </cfRule>
    <cfRule type="cellIs" dxfId="8856" priority="8829" stopIfTrue="1" operator="between">
      <formula>221142</formula>
      <formula>221144</formula>
    </cfRule>
    <cfRule type="cellIs" dxfId="8855" priority="8830" stopIfTrue="1" operator="between">
      <formula>220001</formula>
      <formula>221144</formula>
    </cfRule>
  </conditionalFormatting>
  <conditionalFormatting sqref="C29">
    <cfRule type="cellIs" dxfId="8854" priority="8825" stopIfTrue="1" operator="between">
      <formula>221101</formula>
      <formula>221118</formula>
    </cfRule>
    <cfRule type="cellIs" dxfId="8853" priority="8826" stopIfTrue="1" operator="between">
      <formula>221142</formula>
      <formula>221144</formula>
    </cfRule>
    <cfRule type="cellIs" dxfId="8852" priority="8827" stopIfTrue="1" operator="between">
      <formula>220001</formula>
      <formula>221144</formula>
    </cfRule>
  </conditionalFormatting>
  <conditionalFormatting sqref="AO29">
    <cfRule type="cellIs" dxfId="8851" priority="8822" stopIfTrue="1" operator="between">
      <formula>221101</formula>
      <formula>221118</formula>
    </cfRule>
    <cfRule type="cellIs" dxfId="8850" priority="8823" stopIfTrue="1" operator="between">
      <formula>221142</formula>
      <formula>221144</formula>
    </cfRule>
    <cfRule type="cellIs" dxfId="8849" priority="8824" stopIfTrue="1" operator="between">
      <formula>220001</formula>
      <formula>221144</formula>
    </cfRule>
  </conditionalFormatting>
  <conditionalFormatting sqref="AN29">
    <cfRule type="cellIs" dxfId="8848" priority="8819" stopIfTrue="1" operator="between">
      <formula>221101</formula>
      <formula>221118</formula>
    </cfRule>
    <cfRule type="cellIs" dxfId="8847" priority="8820" stopIfTrue="1" operator="between">
      <formula>221142</formula>
      <formula>221144</formula>
    </cfRule>
    <cfRule type="cellIs" dxfId="8846" priority="8821" stopIfTrue="1" operator="between">
      <formula>220001</formula>
      <formula>221144</formula>
    </cfRule>
  </conditionalFormatting>
  <conditionalFormatting sqref="AN29">
    <cfRule type="cellIs" dxfId="8845" priority="8816" stopIfTrue="1" operator="between">
      <formula>221101</formula>
      <formula>221118</formula>
    </cfRule>
    <cfRule type="cellIs" dxfId="8844" priority="8817" stopIfTrue="1" operator="between">
      <formula>221142</formula>
      <formula>221144</formula>
    </cfRule>
    <cfRule type="cellIs" dxfId="8843" priority="8818" stopIfTrue="1" operator="between">
      <formula>220001</formula>
      <formula>221144</formula>
    </cfRule>
  </conditionalFormatting>
  <conditionalFormatting sqref="AM29">
    <cfRule type="cellIs" dxfId="8842" priority="8813" stopIfTrue="1" operator="between">
      <formula>221101</formula>
      <formula>221118</formula>
    </cfRule>
    <cfRule type="cellIs" dxfId="8841" priority="8814" stopIfTrue="1" operator="between">
      <formula>221142</formula>
      <formula>221144</formula>
    </cfRule>
    <cfRule type="cellIs" dxfId="8840" priority="8815" stopIfTrue="1" operator="between">
      <formula>220001</formula>
      <formula>221144</formula>
    </cfRule>
  </conditionalFormatting>
  <conditionalFormatting sqref="D29">
    <cfRule type="cellIs" dxfId="8839" priority="8810" stopIfTrue="1" operator="between">
      <formula>221101</formula>
      <formula>221118</formula>
    </cfRule>
    <cfRule type="cellIs" dxfId="8838" priority="8811" stopIfTrue="1" operator="between">
      <formula>221142</formula>
      <formula>221144</formula>
    </cfRule>
    <cfRule type="cellIs" dxfId="8837" priority="8812" stopIfTrue="1" operator="between">
      <formula>220001</formula>
      <formula>221144</formula>
    </cfRule>
  </conditionalFormatting>
  <conditionalFormatting sqref="D29">
    <cfRule type="cellIs" dxfId="8836" priority="8807" stopIfTrue="1" operator="between">
      <formula>221101</formula>
      <formula>221118</formula>
    </cfRule>
    <cfRule type="cellIs" dxfId="8835" priority="8808" stopIfTrue="1" operator="between">
      <formula>221142</formula>
      <formula>221144</formula>
    </cfRule>
    <cfRule type="cellIs" dxfId="8834" priority="8809" stopIfTrue="1" operator="between">
      <formula>220001</formula>
      <formula>221144</formula>
    </cfRule>
  </conditionalFormatting>
  <conditionalFormatting sqref="D29">
    <cfRule type="cellIs" dxfId="8833" priority="8804" stopIfTrue="1" operator="between">
      <formula>221101</formula>
      <formula>221118</formula>
    </cfRule>
    <cfRule type="cellIs" dxfId="8832" priority="8805" stopIfTrue="1" operator="between">
      <formula>221142</formula>
      <formula>221144</formula>
    </cfRule>
    <cfRule type="cellIs" dxfId="8831" priority="8806" stopIfTrue="1" operator="between">
      <formula>220001</formula>
      <formula>221144</formula>
    </cfRule>
  </conditionalFormatting>
  <conditionalFormatting sqref="D29">
    <cfRule type="cellIs" dxfId="8830" priority="8801" stopIfTrue="1" operator="between">
      <formula>221101</formula>
      <formula>221118</formula>
    </cfRule>
    <cfRule type="cellIs" dxfId="8829" priority="8802" stopIfTrue="1" operator="between">
      <formula>221142</formula>
      <formula>221144</formula>
    </cfRule>
    <cfRule type="cellIs" dxfId="8828" priority="8803" stopIfTrue="1" operator="between">
      <formula>220001</formula>
      <formula>221144</formula>
    </cfRule>
  </conditionalFormatting>
  <conditionalFormatting sqref="AN29">
    <cfRule type="cellIs" dxfId="8827" priority="8798" stopIfTrue="1" operator="between">
      <formula>221101</formula>
      <formula>221118</formula>
    </cfRule>
    <cfRule type="cellIs" dxfId="8826" priority="8799" stopIfTrue="1" operator="between">
      <formula>221142</formula>
      <formula>221144</formula>
    </cfRule>
    <cfRule type="cellIs" dxfId="8825" priority="8800" stopIfTrue="1" operator="between">
      <formula>220001</formula>
      <formula>221144</formula>
    </cfRule>
  </conditionalFormatting>
  <conditionalFormatting sqref="AM29">
    <cfRule type="cellIs" dxfId="8824" priority="8795" stopIfTrue="1" operator="between">
      <formula>221101</formula>
      <formula>221118</formula>
    </cfRule>
    <cfRule type="cellIs" dxfId="8823" priority="8796" stopIfTrue="1" operator="between">
      <formula>221142</formula>
      <formula>221144</formula>
    </cfRule>
    <cfRule type="cellIs" dxfId="8822" priority="8797" stopIfTrue="1" operator="between">
      <formula>220001</formula>
      <formula>221144</formula>
    </cfRule>
  </conditionalFormatting>
  <conditionalFormatting sqref="AM29">
    <cfRule type="cellIs" dxfId="8821" priority="8792" stopIfTrue="1" operator="between">
      <formula>221101</formula>
      <formula>221118</formula>
    </cfRule>
    <cfRule type="cellIs" dxfId="8820" priority="8793" stopIfTrue="1" operator="between">
      <formula>221142</formula>
      <formula>221144</formula>
    </cfRule>
    <cfRule type="cellIs" dxfId="8819" priority="8794" stopIfTrue="1" operator="between">
      <formula>220001</formula>
      <formula>221144</formula>
    </cfRule>
  </conditionalFormatting>
  <conditionalFormatting sqref="AL29">
    <cfRule type="cellIs" dxfId="8818" priority="8789" stopIfTrue="1" operator="between">
      <formula>221101</formula>
      <formula>221118</formula>
    </cfRule>
    <cfRule type="cellIs" dxfId="8817" priority="8790" stopIfTrue="1" operator="between">
      <formula>221142</formula>
      <formula>221144</formula>
    </cfRule>
    <cfRule type="cellIs" dxfId="8816" priority="8791" stopIfTrue="1" operator="between">
      <formula>220001</formula>
      <formula>221144</formula>
    </cfRule>
  </conditionalFormatting>
  <conditionalFormatting sqref="C29">
    <cfRule type="cellIs" dxfId="8815" priority="8786" stopIfTrue="1" operator="between">
      <formula>221101</formula>
      <formula>221118</formula>
    </cfRule>
    <cfRule type="cellIs" dxfId="8814" priority="8787" stopIfTrue="1" operator="between">
      <formula>221142</formula>
      <formula>221144</formula>
    </cfRule>
    <cfRule type="cellIs" dxfId="8813" priority="8788" stopIfTrue="1" operator="between">
      <formula>220001</formula>
      <formula>221144</formula>
    </cfRule>
  </conditionalFormatting>
  <conditionalFormatting sqref="C29">
    <cfRule type="cellIs" dxfId="8812" priority="8783" stopIfTrue="1" operator="between">
      <formula>221101</formula>
      <formula>221118</formula>
    </cfRule>
    <cfRule type="cellIs" dxfId="8811" priority="8784" stopIfTrue="1" operator="between">
      <formula>221142</formula>
      <formula>221144</formula>
    </cfRule>
    <cfRule type="cellIs" dxfId="8810" priority="8785" stopIfTrue="1" operator="between">
      <formula>220001</formula>
      <formula>221144</formula>
    </cfRule>
  </conditionalFormatting>
  <conditionalFormatting sqref="C29">
    <cfRule type="cellIs" dxfId="8809" priority="8780" stopIfTrue="1" operator="between">
      <formula>221101</formula>
      <formula>221118</formula>
    </cfRule>
    <cfRule type="cellIs" dxfId="8808" priority="8781" stopIfTrue="1" operator="between">
      <formula>221142</formula>
      <formula>221144</formula>
    </cfRule>
    <cfRule type="cellIs" dxfId="8807" priority="8782" stopIfTrue="1" operator="between">
      <formula>220001</formula>
      <formula>221144</formula>
    </cfRule>
  </conditionalFormatting>
  <conditionalFormatting sqref="C29">
    <cfRule type="cellIs" dxfId="8806" priority="8777" stopIfTrue="1" operator="between">
      <formula>221101</formula>
      <formula>221118</formula>
    </cfRule>
    <cfRule type="cellIs" dxfId="8805" priority="8778" stopIfTrue="1" operator="between">
      <formula>221142</formula>
      <formula>221144</formula>
    </cfRule>
    <cfRule type="cellIs" dxfId="8804" priority="8779" stopIfTrue="1" operator="between">
      <formula>220001</formula>
      <formula>221144</formula>
    </cfRule>
  </conditionalFormatting>
  <conditionalFormatting sqref="AN29">
    <cfRule type="cellIs" dxfId="8803" priority="8774" stopIfTrue="1" operator="between">
      <formula>221101</formula>
      <formula>221118</formula>
    </cfRule>
    <cfRule type="cellIs" dxfId="8802" priority="8775" stopIfTrue="1" operator="between">
      <formula>221142</formula>
      <formula>221144</formula>
    </cfRule>
    <cfRule type="cellIs" dxfId="8801" priority="8776" stopIfTrue="1" operator="between">
      <formula>220001</formula>
      <formula>221144</formula>
    </cfRule>
  </conditionalFormatting>
  <conditionalFormatting sqref="AM29">
    <cfRule type="cellIs" dxfId="8800" priority="8771" stopIfTrue="1" operator="between">
      <formula>221101</formula>
      <formula>221118</formula>
    </cfRule>
    <cfRule type="cellIs" dxfId="8799" priority="8772" stopIfTrue="1" operator="between">
      <formula>221142</formula>
      <formula>221144</formula>
    </cfRule>
    <cfRule type="cellIs" dxfId="8798" priority="8773" stopIfTrue="1" operator="between">
      <formula>220001</formula>
      <formula>221144</formula>
    </cfRule>
  </conditionalFormatting>
  <conditionalFormatting sqref="AM29">
    <cfRule type="cellIs" dxfId="8797" priority="8768" stopIfTrue="1" operator="between">
      <formula>221101</formula>
      <formula>221118</formula>
    </cfRule>
    <cfRule type="cellIs" dxfId="8796" priority="8769" stopIfTrue="1" operator="between">
      <formula>221142</formula>
      <formula>221144</formula>
    </cfRule>
    <cfRule type="cellIs" dxfId="8795" priority="8770" stopIfTrue="1" operator="between">
      <formula>220001</formula>
      <formula>221144</formula>
    </cfRule>
  </conditionalFormatting>
  <conditionalFormatting sqref="AL29">
    <cfRule type="cellIs" dxfId="8794" priority="8765" stopIfTrue="1" operator="between">
      <formula>221101</formula>
      <formula>221118</formula>
    </cfRule>
    <cfRule type="cellIs" dxfId="8793" priority="8766" stopIfTrue="1" operator="between">
      <formula>221142</formula>
      <formula>221144</formula>
    </cfRule>
    <cfRule type="cellIs" dxfId="8792" priority="8767" stopIfTrue="1" operator="between">
      <formula>220001</formula>
      <formula>221144</formula>
    </cfRule>
  </conditionalFormatting>
  <conditionalFormatting sqref="C29">
    <cfRule type="cellIs" dxfId="8791" priority="8762" stopIfTrue="1" operator="between">
      <formula>221101</formula>
      <formula>221118</formula>
    </cfRule>
    <cfRule type="cellIs" dxfId="8790" priority="8763" stopIfTrue="1" operator="between">
      <formula>221142</formula>
      <formula>221144</formula>
    </cfRule>
    <cfRule type="cellIs" dxfId="8789" priority="8764" stopIfTrue="1" operator="between">
      <formula>220001</formula>
      <formula>221144</formula>
    </cfRule>
  </conditionalFormatting>
  <conditionalFormatting sqref="C29">
    <cfRule type="cellIs" dxfId="8788" priority="8759" stopIfTrue="1" operator="between">
      <formula>221101</formula>
      <formula>221118</formula>
    </cfRule>
    <cfRule type="cellIs" dxfId="8787" priority="8760" stopIfTrue="1" operator="between">
      <formula>221142</formula>
      <formula>221144</formula>
    </cfRule>
    <cfRule type="cellIs" dxfId="8786" priority="8761" stopIfTrue="1" operator="between">
      <formula>220001</formula>
      <formula>221144</formula>
    </cfRule>
  </conditionalFormatting>
  <conditionalFormatting sqref="C29">
    <cfRule type="cellIs" dxfId="8785" priority="8756" stopIfTrue="1" operator="between">
      <formula>221101</formula>
      <formula>221118</formula>
    </cfRule>
    <cfRule type="cellIs" dxfId="8784" priority="8757" stopIfTrue="1" operator="between">
      <formula>221142</formula>
      <formula>221144</formula>
    </cfRule>
    <cfRule type="cellIs" dxfId="8783" priority="8758" stopIfTrue="1" operator="between">
      <formula>220001</formula>
      <formula>221144</formula>
    </cfRule>
  </conditionalFormatting>
  <conditionalFormatting sqref="C29">
    <cfRule type="cellIs" dxfId="8782" priority="8753" stopIfTrue="1" operator="between">
      <formula>221101</formula>
      <formula>221118</formula>
    </cfRule>
    <cfRule type="cellIs" dxfId="8781" priority="8754" stopIfTrue="1" operator="between">
      <formula>221142</formula>
      <formula>221144</formula>
    </cfRule>
    <cfRule type="cellIs" dxfId="8780" priority="8755" stopIfTrue="1" operator="between">
      <formula>220001</formula>
      <formula>221144</formula>
    </cfRule>
  </conditionalFormatting>
  <conditionalFormatting sqref="AM29">
    <cfRule type="cellIs" dxfId="8779" priority="8750" stopIfTrue="1" operator="between">
      <formula>221101</formula>
      <formula>221118</formula>
    </cfRule>
    <cfRule type="cellIs" dxfId="8778" priority="8751" stopIfTrue="1" operator="between">
      <formula>221142</formula>
      <formula>221144</formula>
    </cfRule>
    <cfRule type="cellIs" dxfId="8777" priority="8752" stopIfTrue="1" operator="between">
      <formula>220001</formula>
      <formula>221144</formula>
    </cfRule>
  </conditionalFormatting>
  <conditionalFormatting sqref="AL29">
    <cfRule type="cellIs" dxfId="8776" priority="8747" stopIfTrue="1" operator="between">
      <formula>221101</formula>
      <formula>221118</formula>
    </cfRule>
    <cfRule type="cellIs" dxfId="8775" priority="8748" stopIfTrue="1" operator="between">
      <formula>221142</formula>
      <formula>221144</formula>
    </cfRule>
    <cfRule type="cellIs" dxfId="8774" priority="8749" stopIfTrue="1" operator="between">
      <formula>220001</formula>
      <formula>221144</formula>
    </cfRule>
  </conditionalFormatting>
  <conditionalFormatting sqref="AL29">
    <cfRule type="cellIs" dxfId="8773" priority="8744" stopIfTrue="1" operator="between">
      <formula>221101</formula>
      <formula>221118</formula>
    </cfRule>
    <cfRule type="cellIs" dxfId="8772" priority="8745" stopIfTrue="1" operator="between">
      <formula>221142</formula>
      <formula>221144</formula>
    </cfRule>
    <cfRule type="cellIs" dxfId="8771" priority="8746" stopIfTrue="1" operator="between">
      <formula>220001</formula>
      <formula>221144</formula>
    </cfRule>
  </conditionalFormatting>
  <conditionalFormatting sqref="AK29">
    <cfRule type="cellIs" dxfId="8770" priority="8741" stopIfTrue="1" operator="between">
      <formula>221101</formula>
      <formula>221118</formula>
    </cfRule>
    <cfRule type="cellIs" dxfId="8769" priority="8742" stopIfTrue="1" operator="between">
      <formula>221142</formula>
      <formula>221144</formula>
    </cfRule>
    <cfRule type="cellIs" dxfId="8768" priority="8743" stopIfTrue="1" operator="between">
      <formula>220001</formula>
      <formula>221144</formula>
    </cfRule>
  </conditionalFormatting>
  <conditionalFormatting sqref="AO37">
    <cfRule type="cellIs" dxfId="8767" priority="8738" stopIfTrue="1" operator="between">
      <formula>221101</formula>
      <formula>221118</formula>
    </cfRule>
    <cfRule type="cellIs" dxfId="8766" priority="8739" stopIfTrue="1" operator="between">
      <formula>221142</formula>
      <formula>221144</formula>
    </cfRule>
    <cfRule type="cellIs" dxfId="8765" priority="8740" stopIfTrue="1" operator="between">
      <formula>220001</formula>
      <formula>221144</formula>
    </cfRule>
  </conditionalFormatting>
  <conditionalFormatting sqref="AN37">
    <cfRule type="cellIs" dxfId="8764" priority="8735" stopIfTrue="1" operator="between">
      <formula>221101</formula>
      <formula>221118</formula>
    </cfRule>
    <cfRule type="cellIs" dxfId="8763" priority="8736" stopIfTrue="1" operator="between">
      <formula>221142</formula>
      <formula>221144</formula>
    </cfRule>
    <cfRule type="cellIs" dxfId="8762" priority="8737" stopIfTrue="1" operator="between">
      <formula>220001</formula>
      <formula>221144</formula>
    </cfRule>
  </conditionalFormatting>
  <conditionalFormatting sqref="AN37">
    <cfRule type="cellIs" dxfId="8761" priority="8732" stopIfTrue="1" operator="between">
      <formula>221101</formula>
      <formula>221118</formula>
    </cfRule>
    <cfRule type="cellIs" dxfId="8760" priority="8733" stopIfTrue="1" operator="between">
      <formula>221142</formula>
      <formula>221144</formula>
    </cfRule>
    <cfRule type="cellIs" dxfId="8759" priority="8734" stopIfTrue="1" operator="between">
      <formula>220001</formula>
      <formula>221144</formula>
    </cfRule>
  </conditionalFormatting>
  <conditionalFormatting sqref="AM37">
    <cfRule type="cellIs" dxfId="8758" priority="8729" stopIfTrue="1" operator="between">
      <formula>221101</formula>
      <formula>221118</formula>
    </cfRule>
    <cfRule type="cellIs" dxfId="8757" priority="8730" stopIfTrue="1" operator="between">
      <formula>221142</formula>
      <formula>221144</formula>
    </cfRule>
    <cfRule type="cellIs" dxfId="8756" priority="8731" stopIfTrue="1" operator="between">
      <formula>220001</formula>
      <formula>221144</formula>
    </cfRule>
  </conditionalFormatting>
  <conditionalFormatting sqref="D37">
    <cfRule type="cellIs" dxfId="8755" priority="8726" stopIfTrue="1" operator="between">
      <formula>221101</formula>
      <formula>221118</formula>
    </cfRule>
    <cfRule type="cellIs" dxfId="8754" priority="8727" stopIfTrue="1" operator="between">
      <formula>221142</formula>
      <formula>221144</formula>
    </cfRule>
    <cfRule type="cellIs" dxfId="8753" priority="8728" stopIfTrue="1" operator="between">
      <formula>220001</formula>
      <formula>221144</formula>
    </cfRule>
  </conditionalFormatting>
  <conditionalFormatting sqref="D37">
    <cfRule type="cellIs" dxfId="8752" priority="8723" stopIfTrue="1" operator="between">
      <formula>221101</formula>
      <formula>221118</formula>
    </cfRule>
    <cfRule type="cellIs" dxfId="8751" priority="8724" stopIfTrue="1" operator="between">
      <formula>221142</formula>
      <formula>221144</formula>
    </cfRule>
    <cfRule type="cellIs" dxfId="8750" priority="8725" stopIfTrue="1" operator="between">
      <formula>220001</formula>
      <formula>221144</formula>
    </cfRule>
  </conditionalFormatting>
  <conditionalFormatting sqref="D37">
    <cfRule type="cellIs" dxfId="8749" priority="8720" stopIfTrue="1" operator="between">
      <formula>221101</formula>
      <formula>221118</formula>
    </cfRule>
    <cfRule type="cellIs" dxfId="8748" priority="8721" stopIfTrue="1" operator="between">
      <formula>221142</formula>
      <formula>221144</formula>
    </cfRule>
    <cfRule type="cellIs" dxfId="8747" priority="8722" stopIfTrue="1" operator="between">
      <formula>220001</formula>
      <formula>221144</formula>
    </cfRule>
  </conditionalFormatting>
  <conditionalFormatting sqref="D37">
    <cfRule type="cellIs" dxfId="8746" priority="8717" stopIfTrue="1" operator="between">
      <formula>221101</formula>
      <formula>221118</formula>
    </cfRule>
    <cfRule type="cellIs" dxfId="8745" priority="8718" stopIfTrue="1" operator="between">
      <formula>221142</formula>
      <formula>221144</formula>
    </cfRule>
    <cfRule type="cellIs" dxfId="8744" priority="8719" stopIfTrue="1" operator="between">
      <formula>220001</formula>
      <formula>221144</formula>
    </cfRule>
  </conditionalFormatting>
  <conditionalFormatting sqref="AN37">
    <cfRule type="cellIs" dxfId="8743" priority="8714" stopIfTrue="1" operator="between">
      <formula>221101</formula>
      <formula>221118</formula>
    </cfRule>
    <cfRule type="cellIs" dxfId="8742" priority="8715" stopIfTrue="1" operator="between">
      <formula>221142</formula>
      <formula>221144</formula>
    </cfRule>
    <cfRule type="cellIs" dxfId="8741" priority="8716" stopIfTrue="1" operator="between">
      <formula>220001</formula>
      <formula>221144</formula>
    </cfRule>
  </conditionalFormatting>
  <conditionalFormatting sqref="AM37">
    <cfRule type="cellIs" dxfId="8740" priority="8711" stopIfTrue="1" operator="between">
      <formula>221101</formula>
      <formula>221118</formula>
    </cfRule>
    <cfRule type="cellIs" dxfId="8739" priority="8712" stopIfTrue="1" operator="between">
      <formula>221142</formula>
      <formula>221144</formula>
    </cfRule>
    <cfRule type="cellIs" dxfId="8738" priority="8713" stopIfTrue="1" operator="between">
      <formula>220001</formula>
      <formula>221144</formula>
    </cfRule>
  </conditionalFormatting>
  <conditionalFormatting sqref="AM37">
    <cfRule type="cellIs" dxfId="8737" priority="8708" stopIfTrue="1" operator="between">
      <formula>221101</formula>
      <formula>221118</formula>
    </cfRule>
    <cfRule type="cellIs" dxfId="8736" priority="8709" stopIfTrue="1" operator="between">
      <formula>221142</formula>
      <formula>221144</formula>
    </cfRule>
    <cfRule type="cellIs" dxfId="8735" priority="8710" stopIfTrue="1" operator="between">
      <formula>220001</formula>
      <formula>221144</formula>
    </cfRule>
  </conditionalFormatting>
  <conditionalFormatting sqref="AL37">
    <cfRule type="cellIs" dxfId="8734" priority="8705" stopIfTrue="1" operator="between">
      <formula>221101</formula>
      <formula>221118</formula>
    </cfRule>
    <cfRule type="cellIs" dxfId="8733" priority="8706" stopIfTrue="1" operator="between">
      <formula>221142</formula>
      <formula>221144</formula>
    </cfRule>
    <cfRule type="cellIs" dxfId="8732" priority="8707" stopIfTrue="1" operator="between">
      <formula>220001</formula>
      <formula>221144</formula>
    </cfRule>
  </conditionalFormatting>
  <conditionalFormatting sqref="C37">
    <cfRule type="cellIs" dxfId="8731" priority="8702" stopIfTrue="1" operator="between">
      <formula>221101</formula>
      <formula>221118</formula>
    </cfRule>
    <cfRule type="cellIs" dxfId="8730" priority="8703" stopIfTrue="1" operator="between">
      <formula>221142</formula>
      <formula>221144</formula>
    </cfRule>
    <cfRule type="cellIs" dxfId="8729" priority="8704" stopIfTrue="1" operator="between">
      <formula>220001</formula>
      <formula>221144</formula>
    </cfRule>
  </conditionalFormatting>
  <conditionalFormatting sqref="C37">
    <cfRule type="cellIs" dxfId="8728" priority="8699" stopIfTrue="1" operator="between">
      <formula>221101</formula>
      <formula>221118</formula>
    </cfRule>
    <cfRule type="cellIs" dxfId="8727" priority="8700" stopIfTrue="1" operator="between">
      <formula>221142</formula>
      <formula>221144</formula>
    </cfRule>
    <cfRule type="cellIs" dxfId="8726" priority="8701" stopIfTrue="1" operator="between">
      <formula>220001</formula>
      <formula>221144</formula>
    </cfRule>
  </conditionalFormatting>
  <conditionalFormatting sqref="C37">
    <cfRule type="cellIs" dxfId="8725" priority="8696" stopIfTrue="1" operator="between">
      <formula>221101</formula>
      <formula>221118</formula>
    </cfRule>
    <cfRule type="cellIs" dxfId="8724" priority="8697" stopIfTrue="1" operator="between">
      <formula>221142</formula>
      <formula>221144</formula>
    </cfRule>
    <cfRule type="cellIs" dxfId="8723" priority="8698" stopIfTrue="1" operator="between">
      <formula>220001</formula>
      <formula>221144</formula>
    </cfRule>
  </conditionalFormatting>
  <conditionalFormatting sqref="C37">
    <cfRule type="cellIs" dxfId="8722" priority="8693" stopIfTrue="1" operator="between">
      <formula>221101</formula>
      <formula>221118</formula>
    </cfRule>
    <cfRule type="cellIs" dxfId="8721" priority="8694" stopIfTrue="1" operator="between">
      <formula>221142</formula>
      <formula>221144</formula>
    </cfRule>
    <cfRule type="cellIs" dxfId="8720" priority="8695" stopIfTrue="1" operator="between">
      <formula>220001</formula>
      <formula>221144</formula>
    </cfRule>
  </conditionalFormatting>
  <conditionalFormatting sqref="AN37">
    <cfRule type="cellIs" dxfId="8719" priority="8690" stopIfTrue="1" operator="between">
      <formula>221101</formula>
      <formula>221118</formula>
    </cfRule>
    <cfRule type="cellIs" dxfId="8718" priority="8691" stopIfTrue="1" operator="between">
      <formula>221142</formula>
      <formula>221144</formula>
    </cfRule>
    <cfRule type="cellIs" dxfId="8717" priority="8692" stopIfTrue="1" operator="between">
      <formula>220001</formula>
      <formula>221144</formula>
    </cfRule>
  </conditionalFormatting>
  <conditionalFormatting sqref="AM37">
    <cfRule type="cellIs" dxfId="8716" priority="8687" stopIfTrue="1" operator="between">
      <formula>221101</formula>
      <formula>221118</formula>
    </cfRule>
    <cfRule type="cellIs" dxfId="8715" priority="8688" stopIfTrue="1" operator="between">
      <formula>221142</formula>
      <formula>221144</formula>
    </cfRule>
    <cfRule type="cellIs" dxfId="8714" priority="8689" stopIfTrue="1" operator="between">
      <formula>220001</formula>
      <formula>221144</formula>
    </cfRule>
  </conditionalFormatting>
  <conditionalFormatting sqref="AM37">
    <cfRule type="cellIs" dxfId="8713" priority="8684" stopIfTrue="1" operator="between">
      <formula>221101</formula>
      <formula>221118</formula>
    </cfRule>
    <cfRule type="cellIs" dxfId="8712" priority="8685" stopIfTrue="1" operator="between">
      <formula>221142</formula>
      <formula>221144</formula>
    </cfRule>
    <cfRule type="cellIs" dxfId="8711" priority="8686" stopIfTrue="1" operator="between">
      <formula>220001</formula>
      <formula>221144</formula>
    </cfRule>
  </conditionalFormatting>
  <conditionalFormatting sqref="AL37">
    <cfRule type="cellIs" dxfId="8710" priority="8681" stopIfTrue="1" operator="between">
      <formula>221101</formula>
      <formula>221118</formula>
    </cfRule>
    <cfRule type="cellIs" dxfId="8709" priority="8682" stopIfTrue="1" operator="between">
      <formula>221142</formula>
      <formula>221144</formula>
    </cfRule>
    <cfRule type="cellIs" dxfId="8708" priority="8683" stopIfTrue="1" operator="between">
      <formula>220001</formula>
      <formula>221144</formula>
    </cfRule>
  </conditionalFormatting>
  <conditionalFormatting sqref="C37">
    <cfRule type="cellIs" dxfId="8707" priority="8678" stopIfTrue="1" operator="between">
      <formula>221101</formula>
      <formula>221118</formula>
    </cfRule>
    <cfRule type="cellIs" dxfId="8706" priority="8679" stopIfTrue="1" operator="between">
      <formula>221142</formula>
      <formula>221144</formula>
    </cfRule>
    <cfRule type="cellIs" dxfId="8705" priority="8680" stopIfTrue="1" operator="between">
      <formula>220001</formula>
      <formula>221144</formula>
    </cfRule>
  </conditionalFormatting>
  <conditionalFormatting sqref="C37">
    <cfRule type="cellIs" dxfId="8704" priority="8675" stopIfTrue="1" operator="between">
      <formula>221101</formula>
      <formula>221118</formula>
    </cfRule>
    <cfRule type="cellIs" dxfId="8703" priority="8676" stopIfTrue="1" operator="between">
      <formula>221142</formula>
      <formula>221144</formula>
    </cfRule>
    <cfRule type="cellIs" dxfId="8702" priority="8677" stopIfTrue="1" operator="between">
      <formula>220001</formula>
      <formula>221144</formula>
    </cfRule>
  </conditionalFormatting>
  <conditionalFormatting sqref="C37">
    <cfRule type="cellIs" dxfId="8701" priority="8672" stopIfTrue="1" operator="between">
      <formula>221101</formula>
      <formula>221118</formula>
    </cfRule>
    <cfRule type="cellIs" dxfId="8700" priority="8673" stopIfTrue="1" operator="between">
      <formula>221142</formula>
      <formula>221144</formula>
    </cfRule>
    <cfRule type="cellIs" dxfId="8699" priority="8674" stopIfTrue="1" operator="between">
      <formula>220001</formula>
      <formula>221144</formula>
    </cfRule>
  </conditionalFormatting>
  <conditionalFormatting sqref="C37">
    <cfRule type="cellIs" dxfId="8698" priority="8669" stopIfTrue="1" operator="between">
      <formula>221101</formula>
      <formula>221118</formula>
    </cfRule>
    <cfRule type="cellIs" dxfId="8697" priority="8670" stopIfTrue="1" operator="between">
      <formula>221142</formula>
      <formula>221144</formula>
    </cfRule>
    <cfRule type="cellIs" dxfId="8696" priority="8671" stopIfTrue="1" operator="between">
      <formula>220001</formula>
      <formula>221144</formula>
    </cfRule>
  </conditionalFormatting>
  <conditionalFormatting sqref="AM37">
    <cfRule type="cellIs" dxfId="8695" priority="8666" stopIfTrue="1" operator="between">
      <formula>221101</formula>
      <formula>221118</formula>
    </cfRule>
    <cfRule type="cellIs" dxfId="8694" priority="8667" stopIfTrue="1" operator="between">
      <formula>221142</formula>
      <formula>221144</formula>
    </cfRule>
    <cfRule type="cellIs" dxfId="8693" priority="8668" stopIfTrue="1" operator="between">
      <formula>220001</formula>
      <formula>221144</formula>
    </cfRule>
  </conditionalFormatting>
  <conditionalFormatting sqref="AL37">
    <cfRule type="cellIs" dxfId="8692" priority="8663" stopIfTrue="1" operator="between">
      <formula>221101</formula>
      <formula>221118</formula>
    </cfRule>
    <cfRule type="cellIs" dxfId="8691" priority="8664" stopIfTrue="1" operator="between">
      <formula>221142</formula>
      <formula>221144</formula>
    </cfRule>
    <cfRule type="cellIs" dxfId="8690" priority="8665" stopIfTrue="1" operator="between">
      <formula>220001</formula>
      <formula>221144</formula>
    </cfRule>
  </conditionalFormatting>
  <conditionalFormatting sqref="AL37">
    <cfRule type="cellIs" dxfId="8689" priority="8660" stopIfTrue="1" operator="between">
      <formula>221101</formula>
      <formula>221118</formula>
    </cfRule>
    <cfRule type="cellIs" dxfId="8688" priority="8661" stopIfTrue="1" operator="between">
      <formula>221142</formula>
      <formula>221144</formula>
    </cfRule>
    <cfRule type="cellIs" dxfId="8687" priority="8662" stopIfTrue="1" operator="between">
      <formula>220001</formula>
      <formula>221144</formula>
    </cfRule>
  </conditionalFormatting>
  <conditionalFormatting sqref="AK37">
    <cfRule type="cellIs" dxfId="8686" priority="8657" stopIfTrue="1" operator="between">
      <formula>221101</formula>
      <formula>221118</formula>
    </cfRule>
    <cfRule type="cellIs" dxfId="8685" priority="8658" stopIfTrue="1" operator="between">
      <formula>221142</formula>
      <formula>221144</formula>
    </cfRule>
    <cfRule type="cellIs" dxfId="8684" priority="8659" stopIfTrue="1" operator="between">
      <formula>220001</formula>
      <formula>221144</formula>
    </cfRule>
  </conditionalFormatting>
  <conditionalFormatting sqref="AO42">
    <cfRule type="cellIs" dxfId="8683" priority="8654" stopIfTrue="1" operator="between">
      <formula>221101</formula>
      <formula>221118</formula>
    </cfRule>
    <cfRule type="cellIs" dxfId="8682" priority="8655" stopIfTrue="1" operator="between">
      <formula>221142</formula>
      <formula>221144</formula>
    </cfRule>
    <cfRule type="cellIs" dxfId="8681" priority="8656" stopIfTrue="1" operator="between">
      <formula>220001</formula>
      <formula>221144</formula>
    </cfRule>
  </conditionalFormatting>
  <conditionalFormatting sqref="AN42">
    <cfRule type="cellIs" dxfId="8680" priority="8651" stopIfTrue="1" operator="between">
      <formula>221101</formula>
      <formula>221118</formula>
    </cfRule>
    <cfRule type="cellIs" dxfId="8679" priority="8652" stopIfTrue="1" operator="between">
      <formula>221142</formula>
      <formula>221144</formula>
    </cfRule>
    <cfRule type="cellIs" dxfId="8678" priority="8653" stopIfTrue="1" operator="between">
      <formula>220001</formula>
      <formula>221144</formula>
    </cfRule>
  </conditionalFormatting>
  <conditionalFormatting sqref="AN42">
    <cfRule type="cellIs" dxfId="8677" priority="8648" stopIfTrue="1" operator="between">
      <formula>221101</formula>
      <formula>221118</formula>
    </cfRule>
    <cfRule type="cellIs" dxfId="8676" priority="8649" stopIfTrue="1" operator="between">
      <formula>221142</formula>
      <formula>221144</formula>
    </cfRule>
    <cfRule type="cellIs" dxfId="8675" priority="8650" stopIfTrue="1" operator="between">
      <formula>220001</formula>
      <formula>221144</formula>
    </cfRule>
  </conditionalFormatting>
  <conditionalFormatting sqref="AM42">
    <cfRule type="cellIs" dxfId="8674" priority="8645" stopIfTrue="1" operator="between">
      <formula>221101</formula>
      <formula>221118</formula>
    </cfRule>
    <cfRule type="cellIs" dxfId="8673" priority="8646" stopIfTrue="1" operator="between">
      <formula>221142</formula>
      <formula>221144</formula>
    </cfRule>
    <cfRule type="cellIs" dxfId="8672" priority="8647" stopIfTrue="1" operator="between">
      <formula>220001</formula>
      <formula>221144</formula>
    </cfRule>
  </conditionalFormatting>
  <conditionalFormatting sqref="D42">
    <cfRule type="cellIs" dxfId="8671" priority="8642" stopIfTrue="1" operator="between">
      <formula>221101</formula>
      <formula>221118</formula>
    </cfRule>
    <cfRule type="cellIs" dxfId="8670" priority="8643" stopIfTrue="1" operator="between">
      <formula>221142</formula>
      <formula>221144</formula>
    </cfRule>
    <cfRule type="cellIs" dxfId="8669" priority="8644" stopIfTrue="1" operator="between">
      <formula>220001</formula>
      <formula>221144</formula>
    </cfRule>
  </conditionalFormatting>
  <conditionalFormatting sqref="D42">
    <cfRule type="cellIs" dxfId="8668" priority="8639" stopIfTrue="1" operator="between">
      <formula>221101</formula>
      <formula>221118</formula>
    </cfRule>
    <cfRule type="cellIs" dxfId="8667" priority="8640" stopIfTrue="1" operator="between">
      <formula>221142</formula>
      <formula>221144</formula>
    </cfRule>
    <cfRule type="cellIs" dxfId="8666" priority="8641" stopIfTrue="1" operator="between">
      <formula>220001</formula>
      <formula>221144</formula>
    </cfRule>
  </conditionalFormatting>
  <conditionalFormatting sqref="D42">
    <cfRule type="cellIs" dxfId="8665" priority="8636" stopIfTrue="1" operator="between">
      <formula>221101</formula>
      <formula>221118</formula>
    </cfRule>
    <cfRule type="cellIs" dxfId="8664" priority="8637" stopIfTrue="1" operator="between">
      <formula>221142</formula>
      <formula>221144</formula>
    </cfRule>
    <cfRule type="cellIs" dxfId="8663" priority="8638" stopIfTrue="1" operator="between">
      <formula>220001</formula>
      <formula>221144</formula>
    </cfRule>
  </conditionalFormatting>
  <conditionalFormatting sqref="D42">
    <cfRule type="cellIs" dxfId="8662" priority="8633" stopIfTrue="1" operator="between">
      <formula>221101</formula>
      <formula>221118</formula>
    </cfRule>
    <cfRule type="cellIs" dxfId="8661" priority="8634" stopIfTrue="1" operator="between">
      <formula>221142</formula>
      <formula>221144</formula>
    </cfRule>
    <cfRule type="cellIs" dxfId="8660" priority="8635" stopIfTrue="1" operator="between">
      <formula>220001</formula>
      <formula>221144</formula>
    </cfRule>
  </conditionalFormatting>
  <conditionalFormatting sqref="AN42">
    <cfRule type="cellIs" dxfId="8659" priority="8630" stopIfTrue="1" operator="between">
      <formula>221101</formula>
      <formula>221118</formula>
    </cfRule>
    <cfRule type="cellIs" dxfId="8658" priority="8631" stopIfTrue="1" operator="between">
      <formula>221142</formula>
      <formula>221144</formula>
    </cfRule>
    <cfRule type="cellIs" dxfId="8657" priority="8632" stopIfTrue="1" operator="between">
      <formula>220001</formula>
      <formula>221144</formula>
    </cfRule>
  </conditionalFormatting>
  <conditionalFormatting sqref="AM42">
    <cfRule type="cellIs" dxfId="8656" priority="8627" stopIfTrue="1" operator="between">
      <formula>221101</formula>
      <formula>221118</formula>
    </cfRule>
    <cfRule type="cellIs" dxfId="8655" priority="8628" stopIfTrue="1" operator="between">
      <formula>221142</formula>
      <formula>221144</formula>
    </cfRule>
    <cfRule type="cellIs" dxfId="8654" priority="8629" stopIfTrue="1" operator="between">
      <formula>220001</formula>
      <formula>221144</formula>
    </cfRule>
  </conditionalFormatting>
  <conditionalFormatting sqref="AM42">
    <cfRule type="cellIs" dxfId="8653" priority="8624" stopIfTrue="1" operator="between">
      <formula>221101</formula>
      <formula>221118</formula>
    </cfRule>
    <cfRule type="cellIs" dxfId="8652" priority="8625" stopIfTrue="1" operator="between">
      <formula>221142</formula>
      <formula>221144</formula>
    </cfRule>
    <cfRule type="cellIs" dxfId="8651" priority="8626" stopIfTrue="1" operator="between">
      <formula>220001</formula>
      <formula>221144</formula>
    </cfRule>
  </conditionalFormatting>
  <conditionalFormatting sqref="AL42">
    <cfRule type="cellIs" dxfId="8650" priority="8621" stopIfTrue="1" operator="between">
      <formula>221101</formula>
      <formula>221118</formula>
    </cfRule>
    <cfRule type="cellIs" dxfId="8649" priority="8622" stopIfTrue="1" operator="between">
      <formula>221142</formula>
      <formula>221144</formula>
    </cfRule>
    <cfRule type="cellIs" dxfId="8648" priority="8623" stopIfTrue="1" operator="between">
      <formula>220001</formula>
      <formula>221144</formula>
    </cfRule>
  </conditionalFormatting>
  <conditionalFormatting sqref="C42">
    <cfRule type="cellIs" dxfId="8647" priority="8618" stopIfTrue="1" operator="between">
      <formula>221101</formula>
      <formula>221118</formula>
    </cfRule>
    <cfRule type="cellIs" dxfId="8646" priority="8619" stopIfTrue="1" operator="between">
      <formula>221142</formula>
      <formula>221144</formula>
    </cfRule>
    <cfRule type="cellIs" dxfId="8645" priority="8620" stopIfTrue="1" operator="between">
      <formula>220001</formula>
      <formula>221144</formula>
    </cfRule>
  </conditionalFormatting>
  <conditionalFormatting sqref="C42">
    <cfRule type="cellIs" dxfId="8644" priority="8615" stopIfTrue="1" operator="between">
      <formula>221101</formula>
      <formula>221118</formula>
    </cfRule>
    <cfRule type="cellIs" dxfId="8643" priority="8616" stopIfTrue="1" operator="between">
      <formula>221142</formula>
      <formula>221144</formula>
    </cfRule>
    <cfRule type="cellIs" dxfId="8642" priority="8617" stopIfTrue="1" operator="between">
      <formula>220001</formula>
      <formula>221144</formula>
    </cfRule>
  </conditionalFormatting>
  <conditionalFormatting sqref="C42">
    <cfRule type="cellIs" dxfId="8641" priority="8612" stopIfTrue="1" operator="between">
      <formula>221101</formula>
      <formula>221118</formula>
    </cfRule>
    <cfRule type="cellIs" dxfId="8640" priority="8613" stopIfTrue="1" operator="between">
      <formula>221142</formula>
      <formula>221144</formula>
    </cfRule>
    <cfRule type="cellIs" dxfId="8639" priority="8614" stopIfTrue="1" operator="between">
      <formula>220001</formula>
      <formula>221144</formula>
    </cfRule>
  </conditionalFormatting>
  <conditionalFormatting sqref="C42">
    <cfRule type="cellIs" dxfId="8638" priority="8609" stopIfTrue="1" operator="between">
      <formula>221101</formula>
      <formula>221118</formula>
    </cfRule>
    <cfRule type="cellIs" dxfId="8637" priority="8610" stopIfTrue="1" operator="between">
      <formula>221142</formula>
      <formula>221144</formula>
    </cfRule>
    <cfRule type="cellIs" dxfId="8636" priority="8611" stopIfTrue="1" operator="between">
      <formula>220001</formula>
      <formula>221144</formula>
    </cfRule>
  </conditionalFormatting>
  <conditionalFormatting sqref="AN42">
    <cfRule type="cellIs" dxfId="8635" priority="8606" stopIfTrue="1" operator="between">
      <formula>221101</formula>
      <formula>221118</formula>
    </cfRule>
    <cfRule type="cellIs" dxfId="8634" priority="8607" stopIfTrue="1" operator="between">
      <formula>221142</formula>
      <formula>221144</formula>
    </cfRule>
    <cfRule type="cellIs" dxfId="8633" priority="8608" stopIfTrue="1" operator="between">
      <formula>220001</formula>
      <formula>221144</formula>
    </cfRule>
  </conditionalFormatting>
  <conditionalFormatting sqref="AM42">
    <cfRule type="cellIs" dxfId="8632" priority="8603" stopIfTrue="1" operator="between">
      <formula>221101</formula>
      <formula>221118</formula>
    </cfRule>
    <cfRule type="cellIs" dxfId="8631" priority="8604" stopIfTrue="1" operator="between">
      <formula>221142</formula>
      <formula>221144</formula>
    </cfRule>
    <cfRule type="cellIs" dxfId="8630" priority="8605" stopIfTrue="1" operator="between">
      <formula>220001</formula>
      <formula>221144</formula>
    </cfRule>
  </conditionalFormatting>
  <conditionalFormatting sqref="AM42">
    <cfRule type="cellIs" dxfId="8629" priority="8600" stopIfTrue="1" operator="between">
      <formula>221101</formula>
      <formula>221118</formula>
    </cfRule>
    <cfRule type="cellIs" dxfId="8628" priority="8601" stopIfTrue="1" operator="between">
      <formula>221142</formula>
      <formula>221144</formula>
    </cfRule>
    <cfRule type="cellIs" dxfId="8627" priority="8602" stopIfTrue="1" operator="between">
      <formula>220001</formula>
      <formula>221144</formula>
    </cfRule>
  </conditionalFormatting>
  <conditionalFormatting sqref="AL42">
    <cfRule type="cellIs" dxfId="8626" priority="8597" stopIfTrue="1" operator="between">
      <formula>221101</formula>
      <formula>221118</formula>
    </cfRule>
    <cfRule type="cellIs" dxfId="8625" priority="8598" stopIfTrue="1" operator="between">
      <formula>221142</formula>
      <formula>221144</formula>
    </cfRule>
    <cfRule type="cellIs" dxfId="8624" priority="8599" stopIfTrue="1" operator="between">
      <formula>220001</formula>
      <formula>221144</formula>
    </cfRule>
  </conditionalFormatting>
  <conditionalFormatting sqref="C42">
    <cfRule type="cellIs" dxfId="8623" priority="8594" stopIfTrue="1" operator="between">
      <formula>221101</formula>
      <formula>221118</formula>
    </cfRule>
    <cfRule type="cellIs" dxfId="8622" priority="8595" stopIfTrue="1" operator="between">
      <formula>221142</formula>
      <formula>221144</formula>
    </cfRule>
    <cfRule type="cellIs" dxfId="8621" priority="8596" stopIfTrue="1" operator="between">
      <formula>220001</formula>
      <formula>221144</formula>
    </cfRule>
  </conditionalFormatting>
  <conditionalFormatting sqref="C42">
    <cfRule type="cellIs" dxfId="8620" priority="8591" stopIfTrue="1" operator="between">
      <formula>221101</formula>
      <formula>221118</formula>
    </cfRule>
    <cfRule type="cellIs" dxfId="8619" priority="8592" stopIfTrue="1" operator="between">
      <formula>221142</formula>
      <formula>221144</formula>
    </cfRule>
    <cfRule type="cellIs" dxfId="8618" priority="8593" stopIfTrue="1" operator="between">
      <formula>220001</formula>
      <formula>221144</formula>
    </cfRule>
  </conditionalFormatting>
  <conditionalFormatting sqref="C42">
    <cfRule type="cellIs" dxfId="8617" priority="8588" stopIfTrue="1" operator="between">
      <formula>221101</formula>
      <formula>221118</formula>
    </cfRule>
    <cfRule type="cellIs" dxfId="8616" priority="8589" stopIfTrue="1" operator="between">
      <formula>221142</formula>
      <formula>221144</formula>
    </cfRule>
    <cfRule type="cellIs" dxfId="8615" priority="8590" stopIfTrue="1" operator="between">
      <formula>220001</formula>
      <formula>221144</formula>
    </cfRule>
  </conditionalFormatting>
  <conditionalFormatting sqref="C42">
    <cfRule type="cellIs" dxfId="8614" priority="8585" stopIfTrue="1" operator="between">
      <formula>221101</formula>
      <formula>221118</formula>
    </cfRule>
    <cfRule type="cellIs" dxfId="8613" priority="8586" stopIfTrue="1" operator="between">
      <formula>221142</formula>
      <formula>221144</formula>
    </cfRule>
    <cfRule type="cellIs" dxfId="8612" priority="8587" stopIfTrue="1" operator="between">
      <formula>220001</formula>
      <formula>221144</formula>
    </cfRule>
  </conditionalFormatting>
  <conditionalFormatting sqref="AM42">
    <cfRule type="cellIs" dxfId="8611" priority="8582" stopIfTrue="1" operator="between">
      <formula>221101</formula>
      <formula>221118</formula>
    </cfRule>
    <cfRule type="cellIs" dxfId="8610" priority="8583" stopIfTrue="1" operator="between">
      <formula>221142</formula>
      <formula>221144</formula>
    </cfRule>
    <cfRule type="cellIs" dxfId="8609" priority="8584" stopIfTrue="1" operator="between">
      <formula>220001</formula>
      <formula>221144</formula>
    </cfRule>
  </conditionalFormatting>
  <conditionalFormatting sqref="AL42">
    <cfRule type="cellIs" dxfId="8608" priority="8579" stopIfTrue="1" operator="between">
      <formula>221101</formula>
      <formula>221118</formula>
    </cfRule>
    <cfRule type="cellIs" dxfId="8607" priority="8580" stopIfTrue="1" operator="between">
      <formula>221142</formula>
      <formula>221144</formula>
    </cfRule>
    <cfRule type="cellIs" dxfId="8606" priority="8581" stopIfTrue="1" operator="between">
      <formula>220001</formula>
      <formula>221144</formula>
    </cfRule>
  </conditionalFormatting>
  <conditionalFormatting sqref="AL42">
    <cfRule type="cellIs" dxfId="8605" priority="8576" stopIfTrue="1" operator="between">
      <formula>221101</formula>
      <formula>221118</formula>
    </cfRule>
    <cfRule type="cellIs" dxfId="8604" priority="8577" stopIfTrue="1" operator="between">
      <formula>221142</formula>
      <formula>221144</formula>
    </cfRule>
    <cfRule type="cellIs" dxfId="8603" priority="8578" stopIfTrue="1" operator="between">
      <formula>220001</formula>
      <formula>221144</formula>
    </cfRule>
  </conditionalFormatting>
  <conditionalFormatting sqref="AK42">
    <cfRule type="cellIs" dxfId="8602" priority="8573" stopIfTrue="1" operator="between">
      <formula>221101</formula>
      <formula>221118</formula>
    </cfRule>
    <cfRule type="cellIs" dxfId="8601" priority="8574" stopIfTrue="1" operator="between">
      <formula>221142</formula>
      <formula>221144</formula>
    </cfRule>
    <cfRule type="cellIs" dxfId="8600" priority="8575" stopIfTrue="1" operator="between">
      <formula>220001</formula>
      <formula>221144</formula>
    </cfRule>
  </conditionalFormatting>
  <conditionalFormatting sqref="C5">
    <cfRule type="cellIs" dxfId="8599" priority="8570" stopIfTrue="1" operator="between">
      <formula>221101</formula>
      <formula>221118</formula>
    </cfRule>
    <cfRule type="cellIs" dxfId="8598" priority="8571" stopIfTrue="1" operator="between">
      <formula>221142</formula>
      <formula>221144</formula>
    </cfRule>
    <cfRule type="cellIs" dxfId="8597" priority="8572" stopIfTrue="1" operator="between">
      <formula>220001</formula>
      <formula>221144</formula>
    </cfRule>
  </conditionalFormatting>
  <conditionalFormatting sqref="D5">
    <cfRule type="cellIs" dxfId="8596" priority="8567" stopIfTrue="1" operator="between">
      <formula>221101</formula>
      <formula>221118</formula>
    </cfRule>
    <cfRule type="cellIs" dxfId="8595" priority="8568" stopIfTrue="1" operator="between">
      <formula>221142</formula>
      <formula>221144</formula>
    </cfRule>
    <cfRule type="cellIs" dxfId="8594" priority="8569" stopIfTrue="1" operator="between">
      <formula>220001</formula>
      <formula>221144</formula>
    </cfRule>
  </conditionalFormatting>
  <conditionalFormatting sqref="C5">
    <cfRule type="cellIs" dxfId="8593" priority="8564" stopIfTrue="1" operator="between">
      <formula>221101</formula>
      <formula>221118</formula>
    </cfRule>
    <cfRule type="cellIs" dxfId="8592" priority="8565" stopIfTrue="1" operator="between">
      <formula>221142</formula>
      <formula>221144</formula>
    </cfRule>
    <cfRule type="cellIs" dxfId="8591" priority="8566" stopIfTrue="1" operator="between">
      <formula>220001</formula>
      <formula>221144</formula>
    </cfRule>
  </conditionalFormatting>
  <conditionalFormatting sqref="D5">
    <cfRule type="cellIs" dxfId="8590" priority="8561" stopIfTrue="1" operator="between">
      <formula>221101</formula>
      <formula>221118</formula>
    </cfRule>
    <cfRule type="cellIs" dxfId="8589" priority="8562" stopIfTrue="1" operator="between">
      <formula>221142</formula>
      <formula>221144</formula>
    </cfRule>
    <cfRule type="cellIs" dxfId="8588" priority="8563" stopIfTrue="1" operator="between">
      <formula>220001</formula>
      <formula>221144</formula>
    </cfRule>
  </conditionalFormatting>
  <conditionalFormatting sqref="D5">
    <cfRule type="cellIs" dxfId="8587" priority="8558" stopIfTrue="1" operator="between">
      <formula>221101</formula>
      <formula>221118</formula>
    </cfRule>
    <cfRule type="cellIs" dxfId="8586" priority="8559" stopIfTrue="1" operator="between">
      <formula>221142</formula>
      <formula>221144</formula>
    </cfRule>
    <cfRule type="cellIs" dxfId="8585" priority="8560" stopIfTrue="1" operator="between">
      <formula>220001</formula>
      <formula>221144</formula>
    </cfRule>
  </conditionalFormatting>
  <conditionalFormatting sqref="C5">
    <cfRule type="cellIs" dxfId="8584" priority="8555" stopIfTrue="1" operator="between">
      <formula>221101</formula>
      <formula>221118</formula>
    </cfRule>
    <cfRule type="cellIs" dxfId="8583" priority="8556" stopIfTrue="1" operator="between">
      <formula>221142</formula>
      <formula>221144</formula>
    </cfRule>
    <cfRule type="cellIs" dxfId="8582" priority="8557" stopIfTrue="1" operator="between">
      <formula>220001</formula>
      <formula>221144</formula>
    </cfRule>
  </conditionalFormatting>
  <conditionalFormatting sqref="C5">
    <cfRule type="cellIs" dxfId="8581" priority="8552" stopIfTrue="1" operator="between">
      <formula>221101</formula>
      <formula>221118</formula>
    </cfRule>
    <cfRule type="cellIs" dxfId="8580" priority="8553" stopIfTrue="1" operator="between">
      <formula>221142</formula>
      <formula>221144</formula>
    </cfRule>
    <cfRule type="cellIs" dxfId="8579" priority="8554" stopIfTrue="1" operator="between">
      <formula>220001</formula>
      <formula>221144</formula>
    </cfRule>
  </conditionalFormatting>
  <conditionalFormatting sqref="C5">
    <cfRule type="cellIs" dxfId="8578" priority="8549" stopIfTrue="1" operator="between">
      <formula>221101</formula>
      <formula>221118</formula>
    </cfRule>
    <cfRule type="cellIs" dxfId="8577" priority="8550" stopIfTrue="1" operator="between">
      <formula>221142</formula>
      <formula>221144</formula>
    </cfRule>
    <cfRule type="cellIs" dxfId="8576" priority="8551" stopIfTrue="1" operator="between">
      <formula>220001</formula>
      <formula>221144</formula>
    </cfRule>
  </conditionalFormatting>
  <conditionalFormatting sqref="C5">
    <cfRule type="cellIs" dxfId="8575" priority="8546" stopIfTrue="1" operator="between">
      <formula>221101</formula>
      <formula>221118</formula>
    </cfRule>
    <cfRule type="cellIs" dxfId="8574" priority="8547" stopIfTrue="1" operator="between">
      <formula>221142</formula>
      <formula>221144</formula>
    </cfRule>
    <cfRule type="cellIs" dxfId="8573" priority="8548" stopIfTrue="1" operator="between">
      <formula>220001</formula>
      <formula>221144</formula>
    </cfRule>
  </conditionalFormatting>
  <conditionalFormatting sqref="C5">
    <cfRule type="cellIs" dxfId="8572" priority="8543" stopIfTrue="1" operator="between">
      <formula>221101</formula>
      <formula>221118</formula>
    </cfRule>
    <cfRule type="cellIs" dxfId="8571" priority="8544" stopIfTrue="1" operator="between">
      <formula>221142</formula>
      <formula>221144</formula>
    </cfRule>
    <cfRule type="cellIs" dxfId="8570" priority="8545" stopIfTrue="1" operator="between">
      <formula>220001</formula>
      <formula>221144</formula>
    </cfRule>
  </conditionalFormatting>
  <conditionalFormatting sqref="C5">
    <cfRule type="cellIs" dxfId="8569" priority="8540" stopIfTrue="1" operator="between">
      <formula>221101</formula>
      <formula>221118</formula>
    </cfRule>
    <cfRule type="cellIs" dxfId="8568" priority="8541" stopIfTrue="1" operator="between">
      <formula>221142</formula>
      <formula>221144</formula>
    </cfRule>
    <cfRule type="cellIs" dxfId="8567" priority="8542" stopIfTrue="1" operator="between">
      <formula>220001</formula>
      <formula>221144</formula>
    </cfRule>
  </conditionalFormatting>
  <conditionalFormatting sqref="C5">
    <cfRule type="cellIs" dxfId="8566" priority="8537" stopIfTrue="1" operator="between">
      <formula>221101</formula>
      <formula>221118</formula>
    </cfRule>
    <cfRule type="cellIs" dxfId="8565" priority="8538" stopIfTrue="1" operator="between">
      <formula>221142</formula>
      <formula>221144</formula>
    </cfRule>
    <cfRule type="cellIs" dxfId="8564" priority="8539" stopIfTrue="1" operator="between">
      <formula>220001</formula>
      <formula>221144</formula>
    </cfRule>
  </conditionalFormatting>
  <conditionalFormatting sqref="C5">
    <cfRule type="cellIs" dxfId="8563" priority="8534" stopIfTrue="1" operator="between">
      <formula>221101</formula>
      <formula>221118</formula>
    </cfRule>
    <cfRule type="cellIs" dxfId="8562" priority="8535" stopIfTrue="1" operator="between">
      <formula>221142</formula>
      <formula>221144</formula>
    </cfRule>
    <cfRule type="cellIs" dxfId="8561" priority="8536" stopIfTrue="1" operator="between">
      <formula>220001</formula>
      <formula>221144</formula>
    </cfRule>
  </conditionalFormatting>
  <conditionalFormatting sqref="C5">
    <cfRule type="cellIs" dxfId="8560" priority="8531" stopIfTrue="1" operator="between">
      <formula>221101</formula>
      <formula>221118</formula>
    </cfRule>
    <cfRule type="cellIs" dxfId="8559" priority="8532" stopIfTrue="1" operator="between">
      <formula>221142</formula>
      <formula>221144</formula>
    </cfRule>
    <cfRule type="cellIs" dxfId="8558" priority="8533" stopIfTrue="1" operator="between">
      <formula>220001</formula>
      <formula>221144</formula>
    </cfRule>
  </conditionalFormatting>
  <conditionalFormatting sqref="E13">
    <cfRule type="cellIs" dxfId="8557" priority="8528" stopIfTrue="1" operator="between">
      <formula>221101</formula>
      <formula>221118</formula>
    </cfRule>
    <cfRule type="cellIs" dxfId="8556" priority="8529" stopIfTrue="1" operator="between">
      <formula>221142</formula>
      <formula>221144</formula>
    </cfRule>
    <cfRule type="cellIs" dxfId="8555" priority="8530" stopIfTrue="1" operator="between">
      <formula>220001</formula>
      <formula>221144</formula>
    </cfRule>
  </conditionalFormatting>
  <conditionalFormatting sqref="AE13">
    <cfRule type="cellIs" dxfId="8554" priority="8525" stopIfTrue="1" operator="between">
      <formula>221101</formula>
      <formula>221118</formula>
    </cfRule>
    <cfRule type="cellIs" dxfId="8553" priority="8526" stopIfTrue="1" operator="between">
      <formula>221142</formula>
      <formula>221144</formula>
    </cfRule>
    <cfRule type="cellIs" dxfId="8552" priority="8527" stopIfTrue="1" operator="between">
      <formula>220001</formula>
      <formula>221144</formula>
    </cfRule>
  </conditionalFormatting>
  <conditionalFormatting sqref="C13">
    <cfRule type="cellIs" dxfId="8551" priority="8522" stopIfTrue="1" operator="between">
      <formula>221101</formula>
      <formula>221118</formula>
    </cfRule>
    <cfRule type="cellIs" dxfId="8550" priority="8523" stopIfTrue="1" operator="between">
      <formula>221142</formula>
      <formula>221144</formula>
    </cfRule>
    <cfRule type="cellIs" dxfId="8549" priority="8524" stopIfTrue="1" operator="between">
      <formula>220001</formula>
      <formula>221144</formula>
    </cfRule>
  </conditionalFormatting>
  <conditionalFormatting sqref="AD13">
    <cfRule type="cellIs" dxfId="8548" priority="8519" stopIfTrue="1" operator="between">
      <formula>221101</formula>
      <formula>221118</formula>
    </cfRule>
    <cfRule type="cellIs" dxfId="8547" priority="8520" stopIfTrue="1" operator="between">
      <formula>221142</formula>
      <formula>221144</formula>
    </cfRule>
    <cfRule type="cellIs" dxfId="8546" priority="8521" stopIfTrue="1" operator="between">
      <formula>220001</formula>
      <formula>221144</formula>
    </cfRule>
  </conditionalFormatting>
  <conditionalFormatting sqref="C13">
    <cfRule type="cellIs" dxfId="8545" priority="8516" stopIfTrue="1" operator="between">
      <formula>221101</formula>
      <formula>221118</formula>
    </cfRule>
    <cfRule type="cellIs" dxfId="8544" priority="8517" stopIfTrue="1" operator="between">
      <formula>221142</formula>
      <formula>221144</formula>
    </cfRule>
    <cfRule type="cellIs" dxfId="8543" priority="8518" stopIfTrue="1" operator="between">
      <formula>220001</formula>
      <formula>221144</formula>
    </cfRule>
  </conditionalFormatting>
  <conditionalFormatting sqref="AN13">
    <cfRule type="cellIs" dxfId="8542" priority="8513" stopIfTrue="1" operator="between">
      <formula>221101</formula>
      <formula>221118</formula>
    </cfRule>
    <cfRule type="cellIs" dxfId="8541" priority="8514" stopIfTrue="1" operator="between">
      <formula>221142</formula>
      <formula>221144</formula>
    </cfRule>
    <cfRule type="cellIs" dxfId="8540" priority="8515" stopIfTrue="1" operator="between">
      <formula>220001</formula>
      <formula>221144</formula>
    </cfRule>
  </conditionalFormatting>
  <conditionalFormatting sqref="AO13">
    <cfRule type="cellIs" dxfId="8539" priority="8510" stopIfTrue="1" operator="between">
      <formula>221101</formula>
      <formula>221118</formula>
    </cfRule>
    <cfRule type="cellIs" dxfId="8538" priority="8511" stopIfTrue="1" operator="between">
      <formula>221142</formula>
      <formula>221144</formula>
    </cfRule>
    <cfRule type="cellIs" dxfId="8537" priority="8512" stopIfTrue="1" operator="between">
      <formula>220001</formula>
      <formula>221144</formula>
    </cfRule>
  </conditionalFormatting>
  <conditionalFormatting sqref="C13">
    <cfRule type="cellIs" dxfId="8536" priority="8507" stopIfTrue="1" operator="between">
      <formula>221101</formula>
      <formula>221118</formula>
    </cfRule>
    <cfRule type="cellIs" dxfId="8535" priority="8508" stopIfTrue="1" operator="between">
      <formula>221142</formula>
      <formula>221144</formula>
    </cfRule>
    <cfRule type="cellIs" dxfId="8534" priority="8509" stopIfTrue="1" operator="between">
      <formula>220001</formula>
      <formula>221144</formula>
    </cfRule>
  </conditionalFormatting>
  <conditionalFormatting sqref="AD13">
    <cfRule type="cellIs" dxfId="8533" priority="8504" stopIfTrue="1" operator="between">
      <formula>221101</formula>
      <formula>221118</formula>
    </cfRule>
    <cfRule type="cellIs" dxfId="8532" priority="8505" stopIfTrue="1" operator="between">
      <formula>221142</formula>
      <formula>221144</formula>
    </cfRule>
    <cfRule type="cellIs" dxfId="8531" priority="8506" stopIfTrue="1" operator="between">
      <formula>220001</formula>
      <formula>221144</formula>
    </cfRule>
  </conditionalFormatting>
  <conditionalFormatting sqref="C13">
    <cfRule type="cellIs" dxfId="8530" priority="8501" stopIfTrue="1" operator="between">
      <formula>221101</formula>
      <formula>221118</formula>
    </cfRule>
    <cfRule type="cellIs" dxfId="8529" priority="8502" stopIfTrue="1" operator="between">
      <formula>221142</formula>
      <formula>221144</formula>
    </cfRule>
    <cfRule type="cellIs" dxfId="8528" priority="8503" stopIfTrue="1" operator="between">
      <formula>220001</formula>
      <formula>221144</formula>
    </cfRule>
  </conditionalFormatting>
  <conditionalFormatting sqref="AC13">
    <cfRule type="cellIs" dxfId="8527" priority="8498" stopIfTrue="1" operator="between">
      <formula>221101</formula>
      <formula>221118</formula>
    </cfRule>
    <cfRule type="cellIs" dxfId="8526" priority="8499" stopIfTrue="1" operator="between">
      <formula>221142</formula>
      <formula>221144</formula>
    </cfRule>
    <cfRule type="cellIs" dxfId="8525" priority="8500" stopIfTrue="1" operator="between">
      <formula>220001</formula>
      <formula>221144</formula>
    </cfRule>
  </conditionalFormatting>
  <conditionalFormatting sqref="C13">
    <cfRule type="cellIs" dxfId="8524" priority="8495" stopIfTrue="1" operator="between">
      <formula>221101</formula>
      <formula>221118</formula>
    </cfRule>
    <cfRule type="cellIs" dxfId="8523" priority="8496" stopIfTrue="1" operator="between">
      <formula>221142</formula>
      <formula>221144</formula>
    </cfRule>
    <cfRule type="cellIs" dxfId="8522" priority="8497" stopIfTrue="1" operator="between">
      <formula>220001</formula>
      <formula>221144</formula>
    </cfRule>
  </conditionalFormatting>
  <conditionalFormatting sqref="C13">
    <cfRule type="cellIs" dxfId="8521" priority="8492" stopIfTrue="1" operator="between">
      <formula>221101</formula>
      <formula>221118</formula>
    </cfRule>
    <cfRule type="cellIs" dxfId="8520" priority="8493" stopIfTrue="1" operator="between">
      <formula>221142</formula>
      <formula>221144</formula>
    </cfRule>
    <cfRule type="cellIs" dxfId="8519" priority="8494" stopIfTrue="1" operator="between">
      <formula>220001</formula>
      <formula>221144</formula>
    </cfRule>
  </conditionalFormatting>
  <conditionalFormatting sqref="C13">
    <cfRule type="cellIs" dxfId="8518" priority="8489" stopIfTrue="1" operator="between">
      <formula>221101</formula>
      <formula>221118</formula>
    </cfRule>
    <cfRule type="cellIs" dxfId="8517" priority="8490" stopIfTrue="1" operator="between">
      <formula>221142</formula>
      <formula>221144</formula>
    </cfRule>
    <cfRule type="cellIs" dxfId="8516" priority="8491" stopIfTrue="1" operator="between">
      <formula>220001</formula>
      <formula>221144</formula>
    </cfRule>
  </conditionalFormatting>
  <conditionalFormatting sqref="AM13">
    <cfRule type="cellIs" dxfId="8515" priority="8486" stopIfTrue="1" operator="between">
      <formula>221101</formula>
      <formula>221118</formula>
    </cfRule>
    <cfRule type="cellIs" dxfId="8514" priority="8487" stopIfTrue="1" operator="between">
      <formula>221142</formula>
      <formula>221144</formula>
    </cfRule>
    <cfRule type="cellIs" dxfId="8513" priority="8488" stopIfTrue="1" operator="between">
      <formula>220001</formula>
      <formula>221144</formula>
    </cfRule>
  </conditionalFormatting>
  <conditionalFormatting sqref="AN13">
    <cfRule type="cellIs" dxfId="8512" priority="8483" stopIfTrue="1" operator="between">
      <formula>221101</formula>
      <formula>221118</formula>
    </cfRule>
    <cfRule type="cellIs" dxfId="8511" priority="8484" stopIfTrue="1" operator="between">
      <formula>221142</formula>
      <formula>221144</formula>
    </cfRule>
    <cfRule type="cellIs" dxfId="8510" priority="8485" stopIfTrue="1" operator="between">
      <formula>220001</formula>
      <formula>221144</formula>
    </cfRule>
  </conditionalFormatting>
  <conditionalFormatting sqref="D13">
    <cfRule type="cellIs" dxfId="8509" priority="8480" stopIfTrue="1" operator="between">
      <formula>221101</formula>
      <formula>221118</formula>
    </cfRule>
    <cfRule type="cellIs" dxfId="8508" priority="8481" stopIfTrue="1" operator="between">
      <formula>221142</formula>
      <formula>221144</formula>
    </cfRule>
    <cfRule type="cellIs" dxfId="8507" priority="8482" stopIfTrue="1" operator="between">
      <formula>220001</formula>
      <formula>221144</formula>
    </cfRule>
  </conditionalFormatting>
  <conditionalFormatting sqref="D13">
    <cfRule type="cellIs" dxfId="8506" priority="8477" stopIfTrue="1" operator="between">
      <formula>221101</formula>
      <formula>221118</formula>
    </cfRule>
    <cfRule type="cellIs" dxfId="8505" priority="8478" stopIfTrue="1" operator="between">
      <formula>221142</formula>
      <formula>221144</formula>
    </cfRule>
    <cfRule type="cellIs" dxfId="8504" priority="8479" stopIfTrue="1" operator="between">
      <formula>220001</formula>
      <formula>221144</formula>
    </cfRule>
  </conditionalFormatting>
  <conditionalFormatting sqref="D13">
    <cfRule type="cellIs" dxfId="8503" priority="8474" stopIfTrue="1" operator="between">
      <formula>221101</formula>
      <formula>221118</formula>
    </cfRule>
    <cfRule type="cellIs" dxfId="8502" priority="8475" stopIfTrue="1" operator="between">
      <formula>221142</formula>
      <formula>221144</formula>
    </cfRule>
    <cfRule type="cellIs" dxfId="8501" priority="8476" stopIfTrue="1" operator="between">
      <formula>220001</formula>
      <formula>221144</formula>
    </cfRule>
  </conditionalFormatting>
  <conditionalFormatting sqref="D13">
    <cfRule type="cellIs" dxfId="8500" priority="8471" stopIfTrue="1" operator="between">
      <formula>221101</formula>
      <formula>221118</formula>
    </cfRule>
    <cfRule type="cellIs" dxfId="8499" priority="8472" stopIfTrue="1" operator="between">
      <formula>221142</formula>
      <formula>221144</formula>
    </cfRule>
    <cfRule type="cellIs" dxfId="8498" priority="8473" stopIfTrue="1" operator="between">
      <formula>220001</formula>
      <formula>221144</formula>
    </cfRule>
  </conditionalFormatting>
  <conditionalFormatting sqref="D13">
    <cfRule type="cellIs" dxfId="8497" priority="8468" stopIfTrue="1" operator="between">
      <formula>221101</formula>
      <formula>221118</formula>
    </cfRule>
    <cfRule type="cellIs" dxfId="8496" priority="8469" stopIfTrue="1" operator="between">
      <formula>221142</formula>
      <formula>221144</formula>
    </cfRule>
    <cfRule type="cellIs" dxfId="8495" priority="8470" stopIfTrue="1" operator="between">
      <formula>220001</formula>
      <formula>221144</formula>
    </cfRule>
  </conditionalFormatting>
  <conditionalFormatting sqref="AD13">
    <cfRule type="cellIs" dxfId="8494" priority="8465" stopIfTrue="1" operator="between">
      <formula>221101</formula>
      <formula>221118</formula>
    </cfRule>
    <cfRule type="cellIs" dxfId="8493" priority="8466" stopIfTrue="1" operator="between">
      <formula>221142</formula>
      <formula>221144</formula>
    </cfRule>
    <cfRule type="cellIs" dxfId="8492" priority="8467" stopIfTrue="1" operator="between">
      <formula>220001</formula>
      <formula>221144</formula>
    </cfRule>
  </conditionalFormatting>
  <conditionalFormatting sqref="AC13">
    <cfRule type="cellIs" dxfId="8491" priority="8462" stopIfTrue="1" operator="between">
      <formula>221101</formula>
      <formula>221118</formula>
    </cfRule>
    <cfRule type="cellIs" dxfId="8490" priority="8463" stopIfTrue="1" operator="between">
      <formula>221142</formula>
      <formula>221144</formula>
    </cfRule>
    <cfRule type="cellIs" dxfId="8489" priority="8464" stopIfTrue="1" operator="between">
      <formula>220001</formula>
      <formula>221144</formula>
    </cfRule>
  </conditionalFormatting>
  <conditionalFormatting sqref="AM13">
    <cfRule type="cellIs" dxfId="8488" priority="8459" stopIfTrue="1" operator="between">
      <formula>221101</formula>
      <formula>221118</formula>
    </cfRule>
    <cfRule type="cellIs" dxfId="8487" priority="8460" stopIfTrue="1" operator="between">
      <formula>221142</formula>
      <formula>221144</formula>
    </cfRule>
    <cfRule type="cellIs" dxfId="8486" priority="8461" stopIfTrue="1" operator="between">
      <formula>220001</formula>
      <formula>221144</formula>
    </cfRule>
  </conditionalFormatting>
  <conditionalFormatting sqref="AN13">
    <cfRule type="cellIs" dxfId="8485" priority="8456" stopIfTrue="1" operator="between">
      <formula>221101</formula>
      <formula>221118</formula>
    </cfRule>
    <cfRule type="cellIs" dxfId="8484" priority="8457" stopIfTrue="1" operator="between">
      <formula>221142</formula>
      <formula>221144</formula>
    </cfRule>
    <cfRule type="cellIs" dxfId="8483" priority="8458" stopIfTrue="1" operator="between">
      <formula>220001</formula>
      <formula>221144</formula>
    </cfRule>
  </conditionalFormatting>
  <conditionalFormatting sqref="AC13">
    <cfRule type="cellIs" dxfId="8482" priority="8453" stopIfTrue="1" operator="between">
      <formula>221101</formula>
      <formula>221118</formula>
    </cfRule>
    <cfRule type="cellIs" dxfId="8481" priority="8454" stopIfTrue="1" operator="between">
      <formula>221142</formula>
      <formula>221144</formula>
    </cfRule>
    <cfRule type="cellIs" dxfId="8480" priority="8455" stopIfTrue="1" operator="between">
      <formula>220001</formula>
      <formula>221144</formula>
    </cfRule>
  </conditionalFormatting>
  <conditionalFormatting sqref="AB13">
    <cfRule type="cellIs" dxfId="8479" priority="8450" stopIfTrue="1" operator="between">
      <formula>221101</formula>
      <formula>221118</formula>
    </cfRule>
    <cfRule type="cellIs" dxfId="8478" priority="8451" stopIfTrue="1" operator="between">
      <formula>221142</formula>
      <formula>221144</formula>
    </cfRule>
    <cfRule type="cellIs" dxfId="8477" priority="8452" stopIfTrue="1" operator="between">
      <formula>220001</formula>
      <formula>221144</formula>
    </cfRule>
  </conditionalFormatting>
  <conditionalFormatting sqref="AL13">
    <cfRule type="cellIs" dxfId="8476" priority="8447" stopIfTrue="1" operator="between">
      <formula>221101</formula>
      <formula>221118</formula>
    </cfRule>
    <cfRule type="cellIs" dxfId="8475" priority="8448" stopIfTrue="1" operator="between">
      <formula>221142</formula>
      <formula>221144</formula>
    </cfRule>
    <cfRule type="cellIs" dxfId="8474" priority="8449" stopIfTrue="1" operator="between">
      <formula>220001</formula>
      <formula>221144</formula>
    </cfRule>
  </conditionalFormatting>
  <conditionalFormatting sqref="AM13">
    <cfRule type="cellIs" dxfId="8473" priority="8444" stopIfTrue="1" operator="between">
      <formula>221101</formula>
      <formula>221118</formula>
    </cfRule>
    <cfRule type="cellIs" dxfId="8472" priority="8445" stopIfTrue="1" operator="between">
      <formula>221142</formula>
      <formula>221144</formula>
    </cfRule>
    <cfRule type="cellIs" dxfId="8471" priority="8446" stopIfTrue="1" operator="between">
      <formula>220001</formula>
      <formula>221144</formula>
    </cfRule>
  </conditionalFormatting>
  <conditionalFormatting sqref="C13">
    <cfRule type="cellIs" dxfId="8470" priority="8441" stopIfTrue="1" operator="between">
      <formula>221101</formula>
      <formula>221118</formula>
    </cfRule>
    <cfRule type="cellIs" dxfId="8469" priority="8442" stopIfTrue="1" operator="between">
      <formula>221142</formula>
      <formula>221144</formula>
    </cfRule>
    <cfRule type="cellIs" dxfId="8468" priority="8443" stopIfTrue="1" operator="between">
      <formula>220001</formula>
      <formula>221144</formula>
    </cfRule>
  </conditionalFormatting>
  <conditionalFormatting sqref="C13">
    <cfRule type="cellIs" dxfId="8467" priority="8438" stopIfTrue="1" operator="between">
      <formula>221101</formula>
      <formula>221118</formula>
    </cfRule>
    <cfRule type="cellIs" dxfId="8466" priority="8439" stopIfTrue="1" operator="between">
      <formula>221142</formula>
      <formula>221144</formula>
    </cfRule>
    <cfRule type="cellIs" dxfId="8465" priority="8440" stopIfTrue="1" operator="between">
      <formula>220001</formula>
      <formula>221144</formula>
    </cfRule>
  </conditionalFormatting>
  <conditionalFormatting sqref="C13">
    <cfRule type="cellIs" dxfId="8464" priority="8435" stopIfTrue="1" operator="between">
      <formula>221101</formula>
      <formula>221118</formula>
    </cfRule>
    <cfRule type="cellIs" dxfId="8463" priority="8436" stopIfTrue="1" operator="between">
      <formula>221142</formula>
      <formula>221144</formula>
    </cfRule>
    <cfRule type="cellIs" dxfId="8462" priority="8437" stopIfTrue="1" operator="between">
      <formula>220001</formula>
      <formula>221144</formula>
    </cfRule>
  </conditionalFormatting>
  <conditionalFormatting sqref="C13">
    <cfRule type="cellIs" dxfId="8461" priority="8432" stopIfTrue="1" operator="between">
      <formula>221101</formula>
      <formula>221118</formula>
    </cfRule>
    <cfRule type="cellIs" dxfId="8460" priority="8433" stopIfTrue="1" operator="between">
      <formula>221142</formula>
      <formula>221144</formula>
    </cfRule>
    <cfRule type="cellIs" dxfId="8459" priority="8434" stopIfTrue="1" operator="between">
      <formula>220001</formula>
      <formula>221144</formula>
    </cfRule>
  </conditionalFormatting>
  <conditionalFormatting sqref="D13">
    <cfRule type="cellIs" dxfId="8458" priority="8429" stopIfTrue="1" operator="between">
      <formula>221101</formula>
      <formula>221118</formula>
    </cfRule>
    <cfRule type="cellIs" dxfId="8457" priority="8430" stopIfTrue="1" operator="between">
      <formula>221142</formula>
      <formula>221144</formula>
    </cfRule>
    <cfRule type="cellIs" dxfId="8456" priority="8431" stopIfTrue="1" operator="between">
      <formula>220001</formula>
      <formula>221144</formula>
    </cfRule>
  </conditionalFormatting>
  <conditionalFormatting sqref="AD13">
    <cfRule type="cellIs" dxfId="8455" priority="8426" stopIfTrue="1" operator="between">
      <formula>221101</formula>
      <formula>221118</formula>
    </cfRule>
    <cfRule type="cellIs" dxfId="8454" priority="8427" stopIfTrue="1" operator="between">
      <formula>221142</formula>
      <formula>221144</formula>
    </cfRule>
    <cfRule type="cellIs" dxfId="8453" priority="8428" stopIfTrue="1" operator="between">
      <formula>220001</formula>
      <formula>221144</formula>
    </cfRule>
  </conditionalFormatting>
  <conditionalFormatting sqref="AC13">
    <cfRule type="cellIs" dxfId="8452" priority="8423" stopIfTrue="1" operator="between">
      <formula>221101</formula>
      <formula>221118</formula>
    </cfRule>
    <cfRule type="cellIs" dxfId="8451" priority="8424" stopIfTrue="1" operator="between">
      <formula>221142</formula>
      <formula>221144</formula>
    </cfRule>
    <cfRule type="cellIs" dxfId="8450" priority="8425" stopIfTrue="1" operator="between">
      <formula>220001</formula>
      <formula>221144</formula>
    </cfRule>
  </conditionalFormatting>
  <conditionalFormatting sqref="AM13">
    <cfRule type="cellIs" dxfId="8449" priority="8420" stopIfTrue="1" operator="between">
      <formula>221101</formula>
      <formula>221118</formula>
    </cfRule>
    <cfRule type="cellIs" dxfId="8448" priority="8421" stopIfTrue="1" operator="between">
      <formula>221142</formula>
      <formula>221144</formula>
    </cfRule>
    <cfRule type="cellIs" dxfId="8447" priority="8422" stopIfTrue="1" operator="between">
      <formula>220001</formula>
      <formula>221144</formula>
    </cfRule>
  </conditionalFormatting>
  <conditionalFormatting sqref="AN13">
    <cfRule type="cellIs" dxfId="8446" priority="8417" stopIfTrue="1" operator="between">
      <formula>221101</formula>
      <formula>221118</formula>
    </cfRule>
    <cfRule type="cellIs" dxfId="8445" priority="8418" stopIfTrue="1" operator="between">
      <formula>221142</formula>
      <formula>221144</formula>
    </cfRule>
    <cfRule type="cellIs" dxfId="8444" priority="8419" stopIfTrue="1" operator="between">
      <formula>220001</formula>
      <formula>221144</formula>
    </cfRule>
  </conditionalFormatting>
  <conditionalFormatting sqref="AC13">
    <cfRule type="cellIs" dxfId="8443" priority="8414" stopIfTrue="1" operator="between">
      <formula>221101</formula>
      <formula>221118</formula>
    </cfRule>
    <cfRule type="cellIs" dxfId="8442" priority="8415" stopIfTrue="1" operator="between">
      <formula>221142</formula>
      <formula>221144</formula>
    </cfRule>
    <cfRule type="cellIs" dxfId="8441" priority="8416" stopIfTrue="1" operator="between">
      <formula>220001</formula>
      <formula>221144</formula>
    </cfRule>
  </conditionalFormatting>
  <conditionalFormatting sqref="AB13">
    <cfRule type="cellIs" dxfId="8440" priority="8411" stopIfTrue="1" operator="between">
      <formula>221101</formula>
      <formula>221118</formula>
    </cfRule>
    <cfRule type="cellIs" dxfId="8439" priority="8412" stopIfTrue="1" operator="between">
      <formula>221142</formula>
      <formula>221144</formula>
    </cfRule>
    <cfRule type="cellIs" dxfId="8438" priority="8413" stopIfTrue="1" operator="between">
      <formula>220001</formula>
      <formula>221144</formula>
    </cfRule>
  </conditionalFormatting>
  <conditionalFormatting sqref="AL13">
    <cfRule type="cellIs" dxfId="8437" priority="8408" stopIfTrue="1" operator="between">
      <formula>221101</formula>
      <formula>221118</formula>
    </cfRule>
    <cfRule type="cellIs" dxfId="8436" priority="8409" stopIfTrue="1" operator="between">
      <formula>221142</formula>
      <formula>221144</formula>
    </cfRule>
    <cfRule type="cellIs" dxfId="8435" priority="8410" stopIfTrue="1" operator="between">
      <formula>220001</formula>
      <formula>221144</formula>
    </cfRule>
  </conditionalFormatting>
  <conditionalFormatting sqref="AM13">
    <cfRule type="cellIs" dxfId="8434" priority="8405" stopIfTrue="1" operator="between">
      <formula>221101</formula>
      <formula>221118</formula>
    </cfRule>
    <cfRule type="cellIs" dxfId="8433" priority="8406" stopIfTrue="1" operator="between">
      <formula>221142</formula>
      <formula>221144</formula>
    </cfRule>
    <cfRule type="cellIs" dxfId="8432" priority="8407" stopIfTrue="1" operator="between">
      <formula>220001</formula>
      <formula>221144</formula>
    </cfRule>
  </conditionalFormatting>
  <conditionalFormatting sqref="C13">
    <cfRule type="cellIs" dxfId="8431" priority="8402" stopIfTrue="1" operator="between">
      <formula>221101</formula>
      <formula>221118</formula>
    </cfRule>
    <cfRule type="cellIs" dxfId="8430" priority="8403" stopIfTrue="1" operator="between">
      <formula>221142</formula>
      <formula>221144</formula>
    </cfRule>
    <cfRule type="cellIs" dxfId="8429" priority="8404" stopIfTrue="1" operator="between">
      <formula>220001</formula>
      <formula>221144</formula>
    </cfRule>
  </conditionalFormatting>
  <conditionalFormatting sqref="C13">
    <cfRule type="cellIs" dxfId="8428" priority="8399" stopIfTrue="1" operator="between">
      <formula>221101</formula>
      <formula>221118</formula>
    </cfRule>
    <cfRule type="cellIs" dxfId="8427" priority="8400" stopIfTrue="1" operator="between">
      <formula>221142</formula>
      <formula>221144</formula>
    </cfRule>
    <cfRule type="cellIs" dxfId="8426" priority="8401" stopIfTrue="1" operator="between">
      <formula>220001</formula>
      <formula>221144</formula>
    </cfRule>
  </conditionalFormatting>
  <conditionalFormatting sqref="C13">
    <cfRule type="cellIs" dxfId="8425" priority="8396" stopIfTrue="1" operator="between">
      <formula>221101</formula>
      <formula>221118</formula>
    </cfRule>
    <cfRule type="cellIs" dxfId="8424" priority="8397" stopIfTrue="1" operator="between">
      <formula>221142</formula>
      <formula>221144</formula>
    </cfRule>
    <cfRule type="cellIs" dxfId="8423" priority="8398" stopIfTrue="1" operator="between">
      <formula>220001</formula>
      <formula>221144</formula>
    </cfRule>
  </conditionalFormatting>
  <conditionalFormatting sqref="C13">
    <cfRule type="cellIs" dxfId="8422" priority="8393" stopIfTrue="1" operator="between">
      <formula>221101</formula>
      <formula>221118</formula>
    </cfRule>
    <cfRule type="cellIs" dxfId="8421" priority="8394" stopIfTrue="1" operator="between">
      <formula>221142</formula>
      <formula>221144</formula>
    </cfRule>
    <cfRule type="cellIs" dxfId="8420" priority="8395" stopIfTrue="1" operator="between">
      <formula>220001</formula>
      <formula>221144</formula>
    </cfRule>
  </conditionalFormatting>
  <conditionalFormatting sqref="C13">
    <cfRule type="cellIs" dxfId="8419" priority="8390" stopIfTrue="1" operator="between">
      <formula>221101</formula>
      <formula>221118</formula>
    </cfRule>
    <cfRule type="cellIs" dxfId="8418" priority="8391" stopIfTrue="1" operator="between">
      <formula>221142</formula>
      <formula>221144</formula>
    </cfRule>
    <cfRule type="cellIs" dxfId="8417" priority="8392" stopIfTrue="1" operator="between">
      <formula>220001</formula>
      <formula>221144</formula>
    </cfRule>
  </conditionalFormatting>
  <conditionalFormatting sqref="AC13">
    <cfRule type="cellIs" dxfId="8416" priority="8387" stopIfTrue="1" operator="between">
      <formula>221101</formula>
      <formula>221118</formula>
    </cfRule>
    <cfRule type="cellIs" dxfId="8415" priority="8388" stopIfTrue="1" operator="between">
      <formula>221142</formula>
      <formula>221144</formula>
    </cfRule>
    <cfRule type="cellIs" dxfId="8414" priority="8389" stopIfTrue="1" operator="between">
      <formula>220001</formula>
      <formula>221144</formula>
    </cfRule>
  </conditionalFormatting>
  <conditionalFormatting sqref="AB13">
    <cfRule type="cellIs" dxfId="8413" priority="8384" stopIfTrue="1" operator="between">
      <formula>221101</formula>
      <formula>221118</formula>
    </cfRule>
    <cfRule type="cellIs" dxfId="8412" priority="8385" stopIfTrue="1" operator="between">
      <formula>221142</formula>
      <formula>221144</formula>
    </cfRule>
    <cfRule type="cellIs" dxfId="8411" priority="8386" stopIfTrue="1" operator="between">
      <formula>220001</formula>
      <formula>221144</formula>
    </cfRule>
  </conditionalFormatting>
  <conditionalFormatting sqref="AL13">
    <cfRule type="cellIs" dxfId="8410" priority="8381" stopIfTrue="1" operator="between">
      <formula>221101</formula>
      <formula>221118</formula>
    </cfRule>
    <cfRule type="cellIs" dxfId="8409" priority="8382" stopIfTrue="1" operator="between">
      <formula>221142</formula>
      <formula>221144</formula>
    </cfRule>
    <cfRule type="cellIs" dxfId="8408" priority="8383" stopIfTrue="1" operator="between">
      <formula>220001</formula>
      <formula>221144</formula>
    </cfRule>
  </conditionalFormatting>
  <conditionalFormatting sqref="AM13">
    <cfRule type="cellIs" dxfId="8407" priority="8378" stopIfTrue="1" operator="between">
      <formula>221101</formula>
      <formula>221118</formula>
    </cfRule>
    <cfRule type="cellIs" dxfId="8406" priority="8379" stopIfTrue="1" operator="between">
      <formula>221142</formula>
      <formula>221144</formula>
    </cfRule>
    <cfRule type="cellIs" dxfId="8405" priority="8380" stopIfTrue="1" operator="between">
      <formula>220001</formula>
      <formula>221144</formula>
    </cfRule>
  </conditionalFormatting>
  <conditionalFormatting sqref="AB13">
    <cfRule type="cellIs" dxfId="8404" priority="8375" stopIfTrue="1" operator="between">
      <formula>221101</formula>
      <formula>221118</formula>
    </cfRule>
    <cfRule type="cellIs" dxfId="8403" priority="8376" stopIfTrue="1" operator="between">
      <formula>221142</formula>
      <formula>221144</formula>
    </cfRule>
    <cfRule type="cellIs" dxfId="8402" priority="8377" stopIfTrue="1" operator="between">
      <formula>220001</formula>
      <formula>221144</formula>
    </cfRule>
  </conditionalFormatting>
  <conditionalFormatting sqref="AA13">
    <cfRule type="cellIs" dxfId="8401" priority="8372" stopIfTrue="1" operator="between">
      <formula>221101</formula>
      <formula>221118</formula>
    </cfRule>
    <cfRule type="cellIs" dxfId="8400" priority="8373" stopIfTrue="1" operator="between">
      <formula>221142</formula>
      <formula>221144</formula>
    </cfRule>
    <cfRule type="cellIs" dxfId="8399" priority="8374" stopIfTrue="1" operator="between">
      <formula>220001</formula>
      <formula>221144</formula>
    </cfRule>
  </conditionalFormatting>
  <conditionalFormatting sqref="AK13">
    <cfRule type="cellIs" dxfId="8398" priority="8369" stopIfTrue="1" operator="between">
      <formula>221101</formula>
      <formula>221118</formula>
    </cfRule>
    <cfRule type="cellIs" dxfId="8397" priority="8370" stopIfTrue="1" operator="between">
      <formula>221142</formula>
      <formula>221144</formula>
    </cfRule>
    <cfRule type="cellIs" dxfId="8396" priority="8371" stopIfTrue="1" operator="between">
      <formula>220001</formula>
      <formula>221144</formula>
    </cfRule>
  </conditionalFormatting>
  <conditionalFormatting sqref="AL13">
    <cfRule type="cellIs" dxfId="8395" priority="8366" stopIfTrue="1" operator="between">
      <formula>221101</formula>
      <formula>221118</formula>
    </cfRule>
    <cfRule type="cellIs" dxfId="8394" priority="8367" stopIfTrue="1" operator="between">
      <formula>221142</formula>
      <formula>221144</formula>
    </cfRule>
    <cfRule type="cellIs" dxfId="8393" priority="8368" stopIfTrue="1" operator="between">
      <formula>220001</formula>
      <formula>221144</formula>
    </cfRule>
  </conditionalFormatting>
  <conditionalFormatting sqref="D13">
    <cfRule type="cellIs" dxfId="8392" priority="8363" stopIfTrue="1" operator="between">
      <formula>221101</formula>
      <formula>221118</formula>
    </cfRule>
    <cfRule type="cellIs" dxfId="8391" priority="8364" stopIfTrue="1" operator="between">
      <formula>221142</formula>
      <formula>221144</formula>
    </cfRule>
    <cfRule type="cellIs" dxfId="8390" priority="8365" stopIfTrue="1" operator="between">
      <formula>220001</formula>
      <formula>221144</formula>
    </cfRule>
  </conditionalFormatting>
  <conditionalFormatting sqref="AD13">
    <cfRule type="cellIs" dxfId="8389" priority="8360" stopIfTrue="1" operator="between">
      <formula>221101</formula>
      <formula>221118</formula>
    </cfRule>
    <cfRule type="cellIs" dxfId="8388" priority="8361" stopIfTrue="1" operator="between">
      <formula>221142</formula>
      <formula>221144</formula>
    </cfRule>
    <cfRule type="cellIs" dxfId="8387" priority="8362" stopIfTrue="1" operator="between">
      <formula>220001</formula>
      <formula>221144</formula>
    </cfRule>
  </conditionalFormatting>
  <conditionalFormatting sqref="AC13">
    <cfRule type="cellIs" dxfId="8386" priority="8357" stopIfTrue="1" operator="between">
      <formula>221101</formula>
      <formula>221118</formula>
    </cfRule>
    <cfRule type="cellIs" dxfId="8385" priority="8358" stopIfTrue="1" operator="between">
      <formula>221142</formula>
      <formula>221144</formula>
    </cfRule>
    <cfRule type="cellIs" dxfId="8384" priority="8359" stopIfTrue="1" operator="between">
      <formula>220001</formula>
      <formula>221144</formula>
    </cfRule>
  </conditionalFormatting>
  <conditionalFormatting sqref="AM13">
    <cfRule type="cellIs" dxfId="8383" priority="8354" stopIfTrue="1" operator="between">
      <formula>221101</formula>
      <formula>221118</formula>
    </cfRule>
    <cfRule type="cellIs" dxfId="8382" priority="8355" stopIfTrue="1" operator="between">
      <formula>221142</formula>
      <formula>221144</formula>
    </cfRule>
    <cfRule type="cellIs" dxfId="8381" priority="8356" stopIfTrue="1" operator="between">
      <formula>220001</formula>
      <formula>221144</formula>
    </cfRule>
  </conditionalFormatting>
  <conditionalFormatting sqref="AN13">
    <cfRule type="cellIs" dxfId="8380" priority="8351" stopIfTrue="1" operator="between">
      <formula>221101</formula>
      <formula>221118</formula>
    </cfRule>
    <cfRule type="cellIs" dxfId="8379" priority="8352" stopIfTrue="1" operator="between">
      <formula>221142</formula>
      <formula>221144</formula>
    </cfRule>
    <cfRule type="cellIs" dxfId="8378" priority="8353" stopIfTrue="1" operator="between">
      <formula>220001</formula>
      <formula>221144</formula>
    </cfRule>
  </conditionalFormatting>
  <conditionalFormatting sqref="AC13">
    <cfRule type="cellIs" dxfId="8377" priority="8348" stopIfTrue="1" operator="between">
      <formula>221101</formula>
      <formula>221118</formula>
    </cfRule>
    <cfRule type="cellIs" dxfId="8376" priority="8349" stopIfTrue="1" operator="between">
      <formula>221142</formula>
      <formula>221144</formula>
    </cfRule>
    <cfRule type="cellIs" dxfId="8375" priority="8350" stopIfTrue="1" operator="between">
      <formula>220001</formula>
      <formula>221144</formula>
    </cfRule>
  </conditionalFormatting>
  <conditionalFormatting sqref="AB13">
    <cfRule type="cellIs" dxfId="8374" priority="8345" stopIfTrue="1" operator="between">
      <formula>221101</formula>
      <formula>221118</formula>
    </cfRule>
    <cfRule type="cellIs" dxfId="8373" priority="8346" stopIfTrue="1" operator="between">
      <formula>221142</formula>
      <formula>221144</formula>
    </cfRule>
    <cfRule type="cellIs" dxfId="8372" priority="8347" stopIfTrue="1" operator="between">
      <formula>220001</formula>
      <formula>221144</formula>
    </cfRule>
  </conditionalFormatting>
  <conditionalFormatting sqref="AL13">
    <cfRule type="cellIs" dxfId="8371" priority="8342" stopIfTrue="1" operator="between">
      <formula>221101</formula>
      <formula>221118</formula>
    </cfRule>
    <cfRule type="cellIs" dxfId="8370" priority="8343" stopIfTrue="1" operator="between">
      <formula>221142</formula>
      <formula>221144</formula>
    </cfRule>
    <cfRule type="cellIs" dxfId="8369" priority="8344" stopIfTrue="1" operator="between">
      <formula>220001</formula>
      <formula>221144</formula>
    </cfRule>
  </conditionalFormatting>
  <conditionalFormatting sqref="AM13">
    <cfRule type="cellIs" dxfId="8368" priority="8339" stopIfTrue="1" operator="between">
      <formula>221101</formula>
      <formula>221118</formula>
    </cfRule>
    <cfRule type="cellIs" dxfId="8367" priority="8340" stopIfTrue="1" operator="between">
      <formula>221142</formula>
      <formula>221144</formula>
    </cfRule>
    <cfRule type="cellIs" dxfId="8366" priority="8341" stopIfTrue="1" operator="between">
      <formula>220001</formula>
      <formula>221144</formula>
    </cfRule>
  </conditionalFormatting>
  <conditionalFormatting sqref="C13">
    <cfRule type="cellIs" dxfId="8365" priority="8336" stopIfTrue="1" operator="between">
      <formula>221101</formula>
      <formula>221118</formula>
    </cfRule>
    <cfRule type="cellIs" dxfId="8364" priority="8337" stopIfTrue="1" operator="between">
      <formula>221142</formula>
      <formula>221144</formula>
    </cfRule>
    <cfRule type="cellIs" dxfId="8363" priority="8338" stopIfTrue="1" operator="between">
      <formula>220001</formula>
      <formula>221144</formula>
    </cfRule>
  </conditionalFormatting>
  <conditionalFormatting sqref="C13">
    <cfRule type="cellIs" dxfId="8362" priority="8333" stopIfTrue="1" operator="between">
      <formula>221101</formula>
      <formula>221118</formula>
    </cfRule>
    <cfRule type="cellIs" dxfId="8361" priority="8334" stopIfTrue="1" operator="between">
      <formula>221142</formula>
      <formula>221144</formula>
    </cfRule>
    <cfRule type="cellIs" dxfId="8360" priority="8335" stopIfTrue="1" operator="between">
      <formula>220001</formula>
      <formula>221144</formula>
    </cfRule>
  </conditionalFormatting>
  <conditionalFormatting sqref="C13">
    <cfRule type="cellIs" dxfId="8359" priority="8330" stopIfTrue="1" operator="between">
      <formula>221101</formula>
      <formula>221118</formula>
    </cfRule>
    <cfRule type="cellIs" dxfId="8358" priority="8331" stopIfTrue="1" operator="between">
      <formula>221142</formula>
      <formula>221144</formula>
    </cfRule>
    <cfRule type="cellIs" dxfId="8357" priority="8332" stopIfTrue="1" operator="between">
      <formula>220001</formula>
      <formula>221144</formula>
    </cfRule>
  </conditionalFormatting>
  <conditionalFormatting sqref="C13">
    <cfRule type="cellIs" dxfId="8356" priority="8327" stopIfTrue="1" operator="between">
      <formula>221101</formula>
      <formula>221118</formula>
    </cfRule>
    <cfRule type="cellIs" dxfId="8355" priority="8328" stopIfTrue="1" operator="between">
      <formula>221142</formula>
      <formula>221144</formula>
    </cfRule>
    <cfRule type="cellIs" dxfId="8354" priority="8329" stopIfTrue="1" operator="between">
      <formula>220001</formula>
      <formula>221144</formula>
    </cfRule>
  </conditionalFormatting>
  <conditionalFormatting sqref="C13">
    <cfRule type="cellIs" dxfId="8353" priority="8324" stopIfTrue="1" operator="between">
      <formula>221101</formula>
      <formula>221118</formula>
    </cfRule>
    <cfRule type="cellIs" dxfId="8352" priority="8325" stopIfTrue="1" operator="between">
      <formula>221142</formula>
      <formula>221144</formula>
    </cfRule>
    <cfRule type="cellIs" dxfId="8351" priority="8326" stopIfTrue="1" operator="between">
      <formula>220001</formula>
      <formula>221144</formula>
    </cfRule>
  </conditionalFormatting>
  <conditionalFormatting sqref="AC13">
    <cfRule type="cellIs" dxfId="8350" priority="8321" stopIfTrue="1" operator="between">
      <formula>221101</formula>
      <formula>221118</formula>
    </cfRule>
    <cfRule type="cellIs" dxfId="8349" priority="8322" stopIfTrue="1" operator="between">
      <formula>221142</formula>
      <formula>221144</formula>
    </cfRule>
    <cfRule type="cellIs" dxfId="8348" priority="8323" stopIfTrue="1" operator="between">
      <formula>220001</formula>
      <formula>221144</formula>
    </cfRule>
  </conditionalFormatting>
  <conditionalFormatting sqref="AB13">
    <cfRule type="cellIs" dxfId="8347" priority="8318" stopIfTrue="1" operator="between">
      <formula>221101</formula>
      <formula>221118</formula>
    </cfRule>
    <cfRule type="cellIs" dxfId="8346" priority="8319" stopIfTrue="1" operator="between">
      <formula>221142</formula>
      <formula>221144</formula>
    </cfRule>
    <cfRule type="cellIs" dxfId="8345" priority="8320" stopIfTrue="1" operator="between">
      <formula>220001</formula>
      <formula>221144</formula>
    </cfRule>
  </conditionalFormatting>
  <conditionalFormatting sqref="AL13">
    <cfRule type="cellIs" dxfId="8344" priority="8315" stopIfTrue="1" operator="between">
      <formula>221101</formula>
      <formula>221118</formula>
    </cfRule>
    <cfRule type="cellIs" dxfId="8343" priority="8316" stopIfTrue="1" operator="between">
      <formula>221142</formula>
      <formula>221144</formula>
    </cfRule>
    <cfRule type="cellIs" dxfId="8342" priority="8317" stopIfTrue="1" operator="between">
      <formula>220001</formula>
      <formula>221144</formula>
    </cfRule>
  </conditionalFormatting>
  <conditionalFormatting sqref="AM13">
    <cfRule type="cellIs" dxfId="8341" priority="8312" stopIfTrue="1" operator="between">
      <formula>221101</formula>
      <formula>221118</formula>
    </cfRule>
    <cfRule type="cellIs" dxfId="8340" priority="8313" stopIfTrue="1" operator="between">
      <formula>221142</formula>
      <formula>221144</formula>
    </cfRule>
    <cfRule type="cellIs" dxfId="8339" priority="8314" stopIfTrue="1" operator="between">
      <formula>220001</formula>
      <formula>221144</formula>
    </cfRule>
  </conditionalFormatting>
  <conditionalFormatting sqref="AB13">
    <cfRule type="cellIs" dxfId="8338" priority="8309" stopIfTrue="1" operator="between">
      <formula>221101</formula>
      <formula>221118</formula>
    </cfRule>
    <cfRule type="cellIs" dxfId="8337" priority="8310" stopIfTrue="1" operator="between">
      <formula>221142</formula>
      <formula>221144</formula>
    </cfRule>
    <cfRule type="cellIs" dxfId="8336" priority="8311" stopIfTrue="1" operator="between">
      <formula>220001</formula>
      <formula>221144</formula>
    </cfRule>
  </conditionalFormatting>
  <conditionalFormatting sqref="AA13">
    <cfRule type="cellIs" dxfId="8335" priority="8306" stopIfTrue="1" operator="between">
      <formula>221101</formula>
      <formula>221118</formula>
    </cfRule>
    <cfRule type="cellIs" dxfId="8334" priority="8307" stopIfTrue="1" operator="between">
      <formula>221142</formula>
      <formula>221144</formula>
    </cfRule>
    <cfRule type="cellIs" dxfId="8333" priority="8308" stopIfTrue="1" operator="between">
      <formula>220001</formula>
      <formula>221144</formula>
    </cfRule>
  </conditionalFormatting>
  <conditionalFormatting sqref="AK13">
    <cfRule type="cellIs" dxfId="8332" priority="8303" stopIfTrue="1" operator="between">
      <formula>221101</formula>
      <formula>221118</formula>
    </cfRule>
    <cfRule type="cellIs" dxfId="8331" priority="8304" stopIfTrue="1" operator="between">
      <formula>221142</formula>
      <formula>221144</formula>
    </cfRule>
    <cfRule type="cellIs" dxfId="8330" priority="8305" stopIfTrue="1" operator="between">
      <formula>220001</formula>
      <formula>221144</formula>
    </cfRule>
  </conditionalFormatting>
  <conditionalFormatting sqref="AL13">
    <cfRule type="cellIs" dxfId="8329" priority="8300" stopIfTrue="1" operator="between">
      <formula>221101</formula>
      <formula>221118</formula>
    </cfRule>
    <cfRule type="cellIs" dxfId="8328" priority="8301" stopIfTrue="1" operator="between">
      <formula>221142</formula>
      <formula>221144</formula>
    </cfRule>
    <cfRule type="cellIs" dxfId="8327" priority="8302" stopIfTrue="1" operator="between">
      <formula>220001</formula>
      <formula>221144</formula>
    </cfRule>
  </conditionalFormatting>
  <conditionalFormatting sqref="C13">
    <cfRule type="cellIs" dxfId="8326" priority="8297" stopIfTrue="1" operator="between">
      <formula>221101</formula>
      <formula>221118</formula>
    </cfRule>
    <cfRule type="cellIs" dxfId="8325" priority="8298" stopIfTrue="1" operator="between">
      <formula>221142</formula>
      <formula>221144</formula>
    </cfRule>
    <cfRule type="cellIs" dxfId="8324" priority="8299" stopIfTrue="1" operator="between">
      <formula>220001</formula>
      <formula>221144</formula>
    </cfRule>
  </conditionalFormatting>
  <conditionalFormatting sqref="AC13">
    <cfRule type="cellIs" dxfId="8323" priority="8294" stopIfTrue="1" operator="between">
      <formula>221101</formula>
      <formula>221118</formula>
    </cfRule>
    <cfRule type="cellIs" dxfId="8322" priority="8295" stopIfTrue="1" operator="between">
      <formula>221142</formula>
      <formula>221144</formula>
    </cfRule>
    <cfRule type="cellIs" dxfId="8321" priority="8296" stopIfTrue="1" operator="between">
      <formula>220001</formula>
      <formula>221144</formula>
    </cfRule>
  </conditionalFormatting>
  <conditionalFormatting sqref="AB13">
    <cfRule type="cellIs" dxfId="8320" priority="8291" stopIfTrue="1" operator="between">
      <formula>221101</formula>
      <formula>221118</formula>
    </cfRule>
    <cfRule type="cellIs" dxfId="8319" priority="8292" stopIfTrue="1" operator="between">
      <formula>221142</formula>
      <formula>221144</formula>
    </cfRule>
    <cfRule type="cellIs" dxfId="8318" priority="8293" stopIfTrue="1" operator="between">
      <formula>220001</formula>
      <formula>221144</formula>
    </cfRule>
  </conditionalFormatting>
  <conditionalFormatting sqref="AL13">
    <cfRule type="cellIs" dxfId="8317" priority="8288" stopIfTrue="1" operator="between">
      <formula>221101</formula>
      <formula>221118</formula>
    </cfRule>
    <cfRule type="cellIs" dxfId="8316" priority="8289" stopIfTrue="1" operator="between">
      <formula>221142</formula>
      <formula>221144</formula>
    </cfRule>
    <cfRule type="cellIs" dxfId="8315" priority="8290" stopIfTrue="1" operator="between">
      <formula>220001</formula>
      <formula>221144</formula>
    </cfRule>
  </conditionalFormatting>
  <conditionalFormatting sqref="AM13">
    <cfRule type="cellIs" dxfId="8314" priority="8285" stopIfTrue="1" operator="between">
      <formula>221101</formula>
      <formula>221118</formula>
    </cfRule>
    <cfRule type="cellIs" dxfId="8313" priority="8286" stopIfTrue="1" operator="between">
      <formula>221142</formula>
      <formula>221144</formula>
    </cfRule>
    <cfRule type="cellIs" dxfId="8312" priority="8287" stopIfTrue="1" operator="between">
      <formula>220001</formula>
      <formula>221144</formula>
    </cfRule>
  </conditionalFormatting>
  <conditionalFormatting sqref="AB13">
    <cfRule type="cellIs" dxfId="8311" priority="8282" stopIfTrue="1" operator="between">
      <formula>221101</formula>
      <formula>221118</formula>
    </cfRule>
    <cfRule type="cellIs" dxfId="8310" priority="8283" stopIfTrue="1" operator="between">
      <formula>221142</formula>
      <formula>221144</formula>
    </cfRule>
    <cfRule type="cellIs" dxfId="8309" priority="8284" stopIfTrue="1" operator="between">
      <formula>220001</formula>
      <formula>221144</formula>
    </cfRule>
  </conditionalFormatting>
  <conditionalFormatting sqref="AA13">
    <cfRule type="cellIs" dxfId="8308" priority="8279" stopIfTrue="1" operator="between">
      <formula>221101</formula>
      <formula>221118</formula>
    </cfRule>
    <cfRule type="cellIs" dxfId="8307" priority="8280" stopIfTrue="1" operator="between">
      <formula>221142</formula>
      <formula>221144</formula>
    </cfRule>
    <cfRule type="cellIs" dxfId="8306" priority="8281" stopIfTrue="1" operator="between">
      <formula>220001</formula>
      <formula>221144</formula>
    </cfRule>
  </conditionalFormatting>
  <conditionalFormatting sqref="AK13">
    <cfRule type="cellIs" dxfId="8305" priority="8276" stopIfTrue="1" operator="between">
      <formula>221101</formula>
      <formula>221118</formula>
    </cfRule>
    <cfRule type="cellIs" dxfId="8304" priority="8277" stopIfTrue="1" operator="between">
      <formula>221142</formula>
      <formula>221144</formula>
    </cfRule>
    <cfRule type="cellIs" dxfId="8303" priority="8278" stopIfTrue="1" operator="between">
      <formula>220001</formula>
      <formula>221144</formula>
    </cfRule>
  </conditionalFormatting>
  <conditionalFormatting sqref="AL13">
    <cfRule type="cellIs" dxfId="8302" priority="8273" stopIfTrue="1" operator="between">
      <formula>221101</formula>
      <formula>221118</formula>
    </cfRule>
    <cfRule type="cellIs" dxfId="8301" priority="8274" stopIfTrue="1" operator="between">
      <formula>221142</formula>
      <formula>221144</formula>
    </cfRule>
    <cfRule type="cellIs" dxfId="8300" priority="8275" stopIfTrue="1" operator="between">
      <formula>220001</formula>
      <formula>221144</formula>
    </cfRule>
  </conditionalFormatting>
  <conditionalFormatting sqref="AB13">
    <cfRule type="cellIs" dxfId="8299" priority="8270" stopIfTrue="1" operator="between">
      <formula>221101</formula>
      <formula>221118</formula>
    </cfRule>
    <cfRule type="cellIs" dxfId="8298" priority="8271" stopIfTrue="1" operator="between">
      <formula>221142</formula>
      <formula>221144</formula>
    </cfRule>
    <cfRule type="cellIs" dxfId="8297" priority="8272" stopIfTrue="1" operator="between">
      <formula>220001</formula>
      <formula>221144</formula>
    </cfRule>
  </conditionalFormatting>
  <conditionalFormatting sqref="AA13">
    <cfRule type="cellIs" dxfId="8296" priority="8267" stopIfTrue="1" operator="between">
      <formula>221101</formula>
      <formula>221118</formula>
    </cfRule>
    <cfRule type="cellIs" dxfId="8295" priority="8268" stopIfTrue="1" operator="between">
      <formula>221142</formula>
      <formula>221144</formula>
    </cfRule>
    <cfRule type="cellIs" dxfId="8294" priority="8269" stopIfTrue="1" operator="between">
      <formula>220001</formula>
      <formula>221144</formula>
    </cfRule>
  </conditionalFormatting>
  <conditionalFormatting sqref="AK13">
    <cfRule type="cellIs" dxfId="8293" priority="8264" stopIfTrue="1" operator="between">
      <formula>221101</formula>
      <formula>221118</formula>
    </cfRule>
    <cfRule type="cellIs" dxfId="8292" priority="8265" stopIfTrue="1" operator="between">
      <formula>221142</formula>
      <formula>221144</formula>
    </cfRule>
    <cfRule type="cellIs" dxfId="8291" priority="8266" stopIfTrue="1" operator="between">
      <formula>220001</formula>
      <formula>221144</formula>
    </cfRule>
  </conditionalFormatting>
  <conditionalFormatting sqref="AL13">
    <cfRule type="cellIs" dxfId="8290" priority="8261" stopIfTrue="1" operator="between">
      <formula>221101</formula>
      <formula>221118</formula>
    </cfRule>
    <cfRule type="cellIs" dxfId="8289" priority="8262" stopIfTrue="1" operator="between">
      <formula>221142</formula>
      <formula>221144</formula>
    </cfRule>
    <cfRule type="cellIs" dxfId="8288" priority="8263" stopIfTrue="1" operator="between">
      <formula>220001</formula>
      <formula>221144</formula>
    </cfRule>
  </conditionalFormatting>
  <conditionalFormatting sqref="AA13">
    <cfRule type="cellIs" dxfId="8287" priority="8258" stopIfTrue="1" operator="between">
      <formula>221101</formula>
      <formula>221118</formula>
    </cfRule>
    <cfRule type="cellIs" dxfId="8286" priority="8259" stopIfTrue="1" operator="between">
      <formula>221142</formula>
      <formula>221144</formula>
    </cfRule>
    <cfRule type="cellIs" dxfId="8285" priority="8260" stopIfTrue="1" operator="between">
      <formula>220001</formula>
      <formula>221144</formula>
    </cfRule>
  </conditionalFormatting>
  <conditionalFormatting sqref="Z13">
    <cfRule type="cellIs" dxfId="8284" priority="8255" stopIfTrue="1" operator="between">
      <formula>221101</formula>
      <formula>221118</formula>
    </cfRule>
    <cfRule type="cellIs" dxfId="8283" priority="8256" stopIfTrue="1" operator="between">
      <formula>221142</formula>
      <formula>221144</formula>
    </cfRule>
    <cfRule type="cellIs" dxfId="8282" priority="8257" stopIfTrue="1" operator="between">
      <formula>220001</formula>
      <formula>221144</formula>
    </cfRule>
  </conditionalFormatting>
  <conditionalFormatting sqref="AJ13">
    <cfRule type="cellIs" dxfId="8281" priority="8252" stopIfTrue="1" operator="between">
      <formula>221101</formula>
      <formula>221118</formula>
    </cfRule>
    <cfRule type="cellIs" dxfId="8280" priority="8253" stopIfTrue="1" operator="between">
      <formula>221142</formula>
      <formula>221144</formula>
    </cfRule>
    <cfRule type="cellIs" dxfId="8279" priority="8254" stopIfTrue="1" operator="between">
      <formula>220001</formula>
      <formula>221144</formula>
    </cfRule>
  </conditionalFormatting>
  <conditionalFormatting sqref="AK13">
    <cfRule type="cellIs" dxfId="8278" priority="8249" stopIfTrue="1" operator="between">
      <formula>221101</formula>
      <formula>221118</formula>
    </cfRule>
    <cfRule type="cellIs" dxfId="8277" priority="8250" stopIfTrue="1" operator="between">
      <formula>221142</formula>
      <formula>221144</formula>
    </cfRule>
    <cfRule type="cellIs" dxfId="8276" priority="8251" stopIfTrue="1" operator="between">
      <formula>220001</formula>
      <formula>221144</formula>
    </cfRule>
  </conditionalFormatting>
  <conditionalFormatting sqref="E21">
    <cfRule type="cellIs" dxfId="8275" priority="8246" stopIfTrue="1" operator="between">
      <formula>221101</formula>
      <formula>221118</formula>
    </cfRule>
    <cfRule type="cellIs" dxfId="8274" priority="8247" stopIfTrue="1" operator="between">
      <formula>221142</formula>
      <formula>221144</formula>
    </cfRule>
    <cfRule type="cellIs" dxfId="8273" priority="8248" stopIfTrue="1" operator="between">
      <formula>220001</formula>
      <formula>221144</formula>
    </cfRule>
  </conditionalFormatting>
  <conditionalFormatting sqref="C21">
    <cfRule type="cellIs" dxfId="8272" priority="8243" stopIfTrue="1" operator="between">
      <formula>221101</formula>
      <formula>221118</formula>
    </cfRule>
    <cfRule type="cellIs" dxfId="8271" priority="8244" stopIfTrue="1" operator="between">
      <formula>221142</formula>
      <formula>221144</formula>
    </cfRule>
    <cfRule type="cellIs" dxfId="8270" priority="8245" stopIfTrue="1" operator="between">
      <formula>220001</formula>
      <formula>221144</formula>
    </cfRule>
  </conditionalFormatting>
  <conditionalFormatting sqref="AN21">
    <cfRule type="cellIs" dxfId="8269" priority="8237" stopIfTrue="1" operator="between">
      <formula>221101</formula>
      <formula>221118</formula>
    </cfRule>
    <cfRule type="cellIs" dxfId="8268" priority="8238" stopIfTrue="1" operator="between">
      <formula>221142</formula>
      <formula>221144</formula>
    </cfRule>
    <cfRule type="cellIs" dxfId="8267" priority="8239" stopIfTrue="1" operator="between">
      <formula>220001</formula>
      <formula>221144</formula>
    </cfRule>
  </conditionalFormatting>
  <conditionalFormatting sqref="C21">
    <cfRule type="cellIs" dxfId="8266" priority="8234" stopIfTrue="1" operator="between">
      <formula>221101</formula>
      <formula>221118</formula>
    </cfRule>
    <cfRule type="cellIs" dxfId="8265" priority="8235" stopIfTrue="1" operator="between">
      <formula>221142</formula>
      <formula>221144</formula>
    </cfRule>
    <cfRule type="cellIs" dxfId="8264" priority="8236" stopIfTrue="1" operator="between">
      <formula>220001</formula>
      <formula>221144</formula>
    </cfRule>
  </conditionalFormatting>
  <conditionalFormatting sqref="C21">
    <cfRule type="cellIs" dxfId="8263" priority="8231" stopIfTrue="1" operator="between">
      <formula>221101</formula>
      <formula>221118</formula>
    </cfRule>
    <cfRule type="cellIs" dxfId="8262" priority="8232" stopIfTrue="1" operator="between">
      <formula>221142</formula>
      <formula>221144</formula>
    </cfRule>
    <cfRule type="cellIs" dxfId="8261" priority="8233" stopIfTrue="1" operator="between">
      <formula>220001</formula>
      <formula>221144</formula>
    </cfRule>
  </conditionalFormatting>
  <conditionalFormatting sqref="AN21">
    <cfRule type="cellIs" dxfId="8260" priority="8228" stopIfTrue="1" operator="between">
      <formula>221101</formula>
      <formula>221118</formula>
    </cfRule>
    <cfRule type="cellIs" dxfId="8259" priority="8229" stopIfTrue="1" operator="between">
      <formula>221142</formula>
      <formula>221144</formula>
    </cfRule>
    <cfRule type="cellIs" dxfId="8258" priority="8230" stopIfTrue="1" operator="between">
      <formula>220001</formula>
      <formula>221144</formula>
    </cfRule>
  </conditionalFormatting>
  <conditionalFormatting sqref="AM21">
    <cfRule type="cellIs" dxfId="8257" priority="8225" stopIfTrue="1" operator="between">
      <formula>221101</formula>
      <formula>221118</formula>
    </cfRule>
    <cfRule type="cellIs" dxfId="8256" priority="8226" stopIfTrue="1" operator="between">
      <formula>221142</formula>
      <formula>221144</formula>
    </cfRule>
    <cfRule type="cellIs" dxfId="8255" priority="8227" stopIfTrue="1" operator="between">
      <formula>220001</formula>
      <formula>221144</formula>
    </cfRule>
  </conditionalFormatting>
  <conditionalFormatting sqref="D21">
    <cfRule type="cellIs" dxfId="8254" priority="8222" stopIfTrue="1" operator="between">
      <formula>221101</formula>
      <formula>221118</formula>
    </cfRule>
    <cfRule type="cellIs" dxfId="8253" priority="8223" stopIfTrue="1" operator="between">
      <formula>221142</formula>
      <formula>221144</formula>
    </cfRule>
    <cfRule type="cellIs" dxfId="8252" priority="8224" stopIfTrue="1" operator="between">
      <formula>220001</formula>
      <formula>221144</formula>
    </cfRule>
  </conditionalFormatting>
  <conditionalFormatting sqref="D21">
    <cfRule type="cellIs" dxfId="8251" priority="8219" stopIfTrue="1" operator="between">
      <formula>221101</formula>
      <formula>221118</formula>
    </cfRule>
    <cfRule type="cellIs" dxfId="8250" priority="8220" stopIfTrue="1" operator="between">
      <formula>221142</formula>
      <formula>221144</formula>
    </cfRule>
    <cfRule type="cellIs" dxfId="8249" priority="8221" stopIfTrue="1" operator="between">
      <formula>220001</formula>
      <formula>221144</formula>
    </cfRule>
  </conditionalFormatting>
  <conditionalFormatting sqref="D21">
    <cfRule type="cellIs" dxfId="8248" priority="8216" stopIfTrue="1" operator="between">
      <formula>221101</formula>
      <formula>221118</formula>
    </cfRule>
    <cfRule type="cellIs" dxfId="8247" priority="8217" stopIfTrue="1" operator="between">
      <formula>221142</formula>
      <formula>221144</formula>
    </cfRule>
    <cfRule type="cellIs" dxfId="8246" priority="8218" stopIfTrue="1" operator="between">
      <formula>220001</formula>
      <formula>221144</formula>
    </cfRule>
  </conditionalFormatting>
  <conditionalFormatting sqref="D21">
    <cfRule type="cellIs" dxfId="8245" priority="8213" stopIfTrue="1" operator="between">
      <formula>221101</formula>
      <formula>221118</formula>
    </cfRule>
    <cfRule type="cellIs" dxfId="8244" priority="8214" stopIfTrue="1" operator="between">
      <formula>221142</formula>
      <formula>221144</formula>
    </cfRule>
    <cfRule type="cellIs" dxfId="8243" priority="8215" stopIfTrue="1" operator="between">
      <formula>220001</formula>
      <formula>221144</formula>
    </cfRule>
  </conditionalFormatting>
  <conditionalFormatting sqref="D21">
    <cfRule type="cellIs" dxfId="8242" priority="8210" stopIfTrue="1" operator="between">
      <formula>221101</formula>
      <formula>221118</formula>
    </cfRule>
    <cfRule type="cellIs" dxfId="8241" priority="8211" stopIfTrue="1" operator="between">
      <formula>221142</formula>
      <formula>221144</formula>
    </cfRule>
    <cfRule type="cellIs" dxfId="8240" priority="8212" stopIfTrue="1" operator="between">
      <formula>220001</formula>
      <formula>221144</formula>
    </cfRule>
  </conditionalFormatting>
  <conditionalFormatting sqref="AN21">
    <cfRule type="cellIs" dxfId="8239" priority="8207" stopIfTrue="1" operator="between">
      <formula>221101</formula>
      <formula>221118</formula>
    </cfRule>
    <cfRule type="cellIs" dxfId="8238" priority="8208" stopIfTrue="1" operator="between">
      <formula>221142</formula>
      <formula>221144</formula>
    </cfRule>
    <cfRule type="cellIs" dxfId="8237" priority="8209" stopIfTrue="1" operator="between">
      <formula>220001</formula>
      <formula>221144</formula>
    </cfRule>
  </conditionalFormatting>
  <conditionalFormatting sqref="AM21">
    <cfRule type="cellIs" dxfId="8236" priority="8204" stopIfTrue="1" operator="between">
      <formula>221101</formula>
      <formula>221118</formula>
    </cfRule>
    <cfRule type="cellIs" dxfId="8235" priority="8205" stopIfTrue="1" operator="between">
      <formula>221142</formula>
      <formula>221144</formula>
    </cfRule>
    <cfRule type="cellIs" dxfId="8234" priority="8206" stopIfTrue="1" operator="between">
      <formula>220001</formula>
      <formula>221144</formula>
    </cfRule>
  </conditionalFormatting>
  <conditionalFormatting sqref="AM21">
    <cfRule type="cellIs" dxfId="8233" priority="8201" stopIfTrue="1" operator="between">
      <formula>221101</formula>
      <formula>221118</formula>
    </cfRule>
    <cfRule type="cellIs" dxfId="8232" priority="8202" stopIfTrue="1" operator="between">
      <formula>221142</formula>
      <formula>221144</formula>
    </cfRule>
    <cfRule type="cellIs" dxfId="8231" priority="8203" stopIfTrue="1" operator="between">
      <formula>220001</formula>
      <formula>221144</formula>
    </cfRule>
  </conditionalFormatting>
  <conditionalFormatting sqref="AL21">
    <cfRule type="cellIs" dxfId="8230" priority="8198" stopIfTrue="1" operator="between">
      <formula>221101</formula>
      <formula>221118</formula>
    </cfRule>
    <cfRule type="cellIs" dxfId="8229" priority="8199" stopIfTrue="1" operator="between">
      <formula>221142</formula>
      <formula>221144</formula>
    </cfRule>
    <cfRule type="cellIs" dxfId="8228" priority="8200" stopIfTrue="1" operator="between">
      <formula>220001</formula>
      <formula>221144</formula>
    </cfRule>
  </conditionalFormatting>
  <conditionalFormatting sqref="C21">
    <cfRule type="cellIs" dxfId="8227" priority="8195" stopIfTrue="1" operator="between">
      <formula>221101</formula>
      <formula>221118</formula>
    </cfRule>
    <cfRule type="cellIs" dxfId="8226" priority="8196" stopIfTrue="1" operator="between">
      <formula>221142</formula>
      <formula>221144</formula>
    </cfRule>
    <cfRule type="cellIs" dxfId="8225" priority="8197" stopIfTrue="1" operator="between">
      <formula>220001</formula>
      <formula>221144</formula>
    </cfRule>
  </conditionalFormatting>
  <conditionalFormatting sqref="C21">
    <cfRule type="cellIs" dxfId="8224" priority="8192" stopIfTrue="1" operator="between">
      <formula>221101</formula>
      <formula>221118</formula>
    </cfRule>
    <cfRule type="cellIs" dxfId="8223" priority="8193" stopIfTrue="1" operator="between">
      <formula>221142</formula>
      <formula>221144</formula>
    </cfRule>
    <cfRule type="cellIs" dxfId="8222" priority="8194" stopIfTrue="1" operator="between">
      <formula>220001</formula>
      <formula>221144</formula>
    </cfRule>
  </conditionalFormatting>
  <conditionalFormatting sqref="C21">
    <cfRule type="cellIs" dxfId="8221" priority="8189" stopIfTrue="1" operator="between">
      <formula>221101</formula>
      <formula>221118</formula>
    </cfRule>
    <cfRule type="cellIs" dxfId="8220" priority="8190" stopIfTrue="1" operator="between">
      <formula>221142</formula>
      <formula>221144</formula>
    </cfRule>
    <cfRule type="cellIs" dxfId="8219" priority="8191" stopIfTrue="1" operator="between">
      <formula>220001</formula>
      <formula>221144</formula>
    </cfRule>
  </conditionalFormatting>
  <conditionalFormatting sqref="C21">
    <cfRule type="cellIs" dxfId="8218" priority="8186" stopIfTrue="1" operator="between">
      <formula>221101</formula>
      <formula>221118</formula>
    </cfRule>
    <cfRule type="cellIs" dxfId="8217" priority="8187" stopIfTrue="1" operator="between">
      <formula>221142</formula>
      <formula>221144</formula>
    </cfRule>
    <cfRule type="cellIs" dxfId="8216" priority="8188" stopIfTrue="1" operator="between">
      <formula>220001</formula>
      <formula>221144</formula>
    </cfRule>
  </conditionalFormatting>
  <conditionalFormatting sqref="D21">
    <cfRule type="cellIs" dxfId="8215" priority="8183" stopIfTrue="1" operator="between">
      <formula>221101</formula>
      <formula>221118</formula>
    </cfRule>
    <cfRule type="cellIs" dxfId="8214" priority="8184" stopIfTrue="1" operator="between">
      <formula>221142</formula>
      <formula>221144</formula>
    </cfRule>
    <cfRule type="cellIs" dxfId="8213" priority="8185" stopIfTrue="1" operator="between">
      <formula>220001</formula>
      <formula>221144</formula>
    </cfRule>
  </conditionalFormatting>
  <conditionalFormatting sqref="AN21">
    <cfRule type="cellIs" dxfId="8212" priority="8180" stopIfTrue="1" operator="between">
      <formula>221101</formula>
      <formula>221118</formula>
    </cfRule>
    <cfRule type="cellIs" dxfId="8211" priority="8181" stopIfTrue="1" operator="between">
      <formula>221142</formula>
      <formula>221144</formula>
    </cfRule>
    <cfRule type="cellIs" dxfId="8210" priority="8182" stopIfTrue="1" operator="between">
      <formula>220001</formula>
      <formula>221144</formula>
    </cfRule>
  </conditionalFormatting>
  <conditionalFormatting sqref="AM21">
    <cfRule type="cellIs" dxfId="8209" priority="8177" stopIfTrue="1" operator="between">
      <formula>221101</formula>
      <formula>221118</formula>
    </cfRule>
    <cfRule type="cellIs" dxfId="8208" priority="8178" stopIfTrue="1" operator="between">
      <formula>221142</formula>
      <formula>221144</formula>
    </cfRule>
    <cfRule type="cellIs" dxfId="8207" priority="8179" stopIfTrue="1" operator="between">
      <formula>220001</formula>
      <formula>221144</formula>
    </cfRule>
  </conditionalFormatting>
  <conditionalFormatting sqref="AM21">
    <cfRule type="cellIs" dxfId="8206" priority="8174" stopIfTrue="1" operator="between">
      <formula>221101</formula>
      <formula>221118</formula>
    </cfRule>
    <cfRule type="cellIs" dxfId="8205" priority="8175" stopIfTrue="1" operator="between">
      <formula>221142</formula>
      <formula>221144</formula>
    </cfRule>
    <cfRule type="cellIs" dxfId="8204" priority="8176" stopIfTrue="1" operator="between">
      <formula>220001</formula>
      <formula>221144</formula>
    </cfRule>
  </conditionalFormatting>
  <conditionalFormatting sqref="AL21">
    <cfRule type="cellIs" dxfId="8203" priority="8171" stopIfTrue="1" operator="between">
      <formula>221101</formula>
      <formula>221118</formula>
    </cfRule>
    <cfRule type="cellIs" dxfId="8202" priority="8172" stopIfTrue="1" operator="between">
      <formula>221142</formula>
      <formula>221144</formula>
    </cfRule>
    <cfRule type="cellIs" dxfId="8201" priority="8173" stopIfTrue="1" operator="between">
      <formula>220001</formula>
      <formula>221144</formula>
    </cfRule>
  </conditionalFormatting>
  <conditionalFormatting sqref="C21">
    <cfRule type="cellIs" dxfId="8200" priority="8168" stopIfTrue="1" operator="between">
      <formula>221101</formula>
      <formula>221118</formula>
    </cfRule>
    <cfRule type="cellIs" dxfId="8199" priority="8169" stopIfTrue="1" operator="between">
      <formula>221142</formula>
      <formula>221144</formula>
    </cfRule>
    <cfRule type="cellIs" dxfId="8198" priority="8170" stopIfTrue="1" operator="between">
      <formula>220001</formula>
      <formula>221144</formula>
    </cfRule>
  </conditionalFormatting>
  <conditionalFormatting sqref="C21">
    <cfRule type="cellIs" dxfId="8197" priority="8165" stopIfTrue="1" operator="between">
      <formula>221101</formula>
      <formula>221118</formula>
    </cfRule>
    <cfRule type="cellIs" dxfId="8196" priority="8166" stopIfTrue="1" operator="between">
      <formula>221142</formula>
      <formula>221144</formula>
    </cfRule>
    <cfRule type="cellIs" dxfId="8195" priority="8167" stopIfTrue="1" operator="between">
      <formula>220001</formula>
      <formula>221144</formula>
    </cfRule>
  </conditionalFormatting>
  <conditionalFormatting sqref="C21">
    <cfRule type="cellIs" dxfId="8194" priority="8162" stopIfTrue="1" operator="between">
      <formula>221101</formula>
      <formula>221118</formula>
    </cfRule>
    <cfRule type="cellIs" dxfId="8193" priority="8163" stopIfTrue="1" operator="between">
      <formula>221142</formula>
      <formula>221144</formula>
    </cfRule>
    <cfRule type="cellIs" dxfId="8192" priority="8164" stopIfTrue="1" operator="between">
      <formula>220001</formula>
      <formula>221144</formula>
    </cfRule>
  </conditionalFormatting>
  <conditionalFormatting sqref="C21">
    <cfRule type="cellIs" dxfId="8191" priority="8159" stopIfTrue="1" operator="between">
      <formula>221101</formula>
      <formula>221118</formula>
    </cfRule>
    <cfRule type="cellIs" dxfId="8190" priority="8160" stopIfTrue="1" operator="between">
      <formula>221142</formula>
      <formula>221144</formula>
    </cfRule>
    <cfRule type="cellIs" dxfId="8189" priority="8161" stopIfTrue="1" operator="between">
      <formula>220001</formula>
      <formula>221144</formula>
    </cfRule>
  </conditionalFormatting>
  <conditionalFormatting sqref="C21">
    <cfRule type="cellIs" dxfId="8188" priority="8156" stopIfTrue="1" operator="between">
      <formula>221101</formula>
      <formula>221118</formula>
    </cfRule>
    <cfRule type="cellIs" dxfId="8187" priority="8157" stopIfTrue="1" operator="between">
      <formula>221142</formula>
      <formula>221144</formula>
    </cfRule>
    <cfRule type="cellIs" dxfId="8186" priority="8158" stopIfTrue="1" operator="between">
      <formula>220001</formula>
      <formula>221144</formula>
    </cfRule>
  </conditionalFormatting>
  <conditionalFormatting sqref="AM21">
    <cfRule type="cellIs" dxfId="8185" priority="8153" stopIfTrue="1" operator="between">
      <formula>221101</formula>
      <formula>221118</formula>
    </cfRule>
    <cfRule type="cellIs" dxfId="8184" priority="8154" stopIfTrue="1" operator="between">
      <formula>221142</formula>
      <formula>221144</formula>
    </cfRule>
    <cfRule type="cellIs" dxfId="8183" priority="8155" stopIfTrue="1" operator="between">
      <formula>220001</formula>
      <formula>221144</formula>
    </cfRule>
  </conditionalFormatting>
  <conditionalFormatting sqref="AL21">
    <cfRule type="cellIs" dxfId="8182" priority="8150" stopIfTrue="1" operator="between">
      <formula>221101</formula>
      <formula>221118</formula>
    </cfRule>
    <cfRule type="cellIs" dxfId="8181" priority="8151" stopIfTrue="1" operator="between">
      <formula>221142</formula>
      <formula>221144</formula>
    </cfRule>
    <cfRule type="cellIs" dxfId="8180" priority="8152" stopIfTrue="1" operator="between">
      <formula>220001</formula>
      <formula>221144</formula>
    </cfRule>
  </conditionalFormatting>
  <conditionalFormatting sqref="AL21">
    <cfRule type="cellIs" dxfId="8179" priority="8147" stopIfTrue="1" operator="between">
      <formula>221101</formula>
      <formula>221118</formula>
    </cfRule>
    <cfRule type="cellIs" dxfId="8178" priority="8148" stopIfTrue="1" operator="between">
      <formula>221142</formula>
      <formula>221144</formula>
    </cfRule>
    <cfRule type="cellIs" dxfId="8177" priority="8149" stopIfTrue="1" operator="between">
      <formula>220001</formula>
      <formula>221144</formula>
    </cfRule>
  </conditionalFormatting>
  <conditionalFormatting sqref="AK21">
    <cfRule type="cellIs" dxfId="8176" priority="8144" stopIfTrue="1" operator="between">
      <formula>221101</formula>
      <formula>221118</formula>
    </cfRule>
    <cfRule type="cellIs" dxfId="8175" priority="8145" stopIfTrue="1" operator="between">
      <formula>221142</formula>
      <formula>221144</formula>
    </cfRule>
    <cfRule type="cellIs" dxfId="8174" priority="8146" stopIfTrue="1" operator="between">
      <formula>220001</formula>
      <formula>221144</formula>
    </cfRule>
  </conditionalFormatting>
  <conditionalFormatting sqref="D21">
    <cfRule type="cellIs" dxfId="8173" priority="8141" stopIfTrue="1" operator="between">
      <formula>221101</formula>
      <formula>221118</formula>
    </cfRule>
    <cfRule type="cellIs" dxfId="8172" priority="8142" stopIfTrue="1" operator="between">
      <formula>221142</formula>
      <formula>221144</formula>
    </cfRule>
    <cfRule type="cellIs" dxfId="8171" priority="8143" stopIfTrue="1" operator="between">
      <formula>220001</formula>
      <formula>221144</formula>
    </cfRule>
  </conditionalFormatting>
  <conditionalFormatting sqref="AN21">
    <cfRule type="cellIs" dxfId="8170" priority="8138" stopIfTrue="1" operator="between">
      <formula>221101</formula>
      <formula>221118</formula>
    </cfRule>
    <cfRule type="cellIs" dxfId="8169" priority="8139" stopIfTrue="1" operator="between">
      <formula>221142</formula>
      <formula>221144</formula>
    </cfRule>
    <cfRule type="cellIs" dxfId="8168" priority="8140" stopIfTrue="1" operator="between">
      <formula>220001</formula>
      <formula>221144</formula>
    </cfRule>
  </conditionalFormatting>
  <conditionalFormatting sqref="AM21">
    <cfRule type="cellIs" dxfId="8167" priority="8135" stopIfTrue="1" operator="between">
      <formula>221101</formula>
      <formula>221118</formula>
    </cfRule>
    <cfRule type="cellIs" dxfId="8166" priority="8136" stopIfTrue="1" operator="between">
      <formula>221142</formula>
      <formula>221144</formula>
    </cfRule>
    <cfRule type="cellIs" dxfId="8165" priority="8137" stopIfTrue="1" operator="between">
      <formula>220001</formula>
      <formula>221144</formula>
    </cfRule>
  </conditionalFormatting>
  <conditionalFormatting sqref="AM21">
    <cfRule type="cellIs" dxfId="8164" priority="8132" stopIfTrue="1" operator="between">
      <formula>221101</formula>
      <formula>221118</formula>
    </cfRule>
    <cfRule type="cellIs" dxfId="8163" priority="8133" stopIfTrue="1" operator="between">
      <formula>221142</formula>
      <formula>221144</formula>
    </cfRule>
    <cfRule type="cellIs" dxfId="8162" priority="8134" stopIfTrue="1" operator="between">
      <formula>220001</formula>
      <formula>221144</formula>
    </cfRule>
  </conditionalFormatting>
  <conditionalFormatting sqref="AL21">
    <cfRule type="cellIs" dxfId="8161" priority="8129" stopIfTrue="1" operator="between">
      <formula>221101</formula>
      <formula>221118</formula>
    </cfRule>
    <cfRule type="cellIs" dxfId="8160" priority="8130" stopIfTrue="1" operator="between">
      <formula>221142</formula>
      <formula>221144</formula>
    </cfRule>
    <cfRule type="cellIs" dxfId="8159" priority="8131" stopIfTrue="1" operator="between">
      <formula>220001</formula>
      <formula>221144</formula>
    </cfRule>
  </conditionalFormatting>
  <conditionalFormatting sqref="C21">
    <cfRule type="cellIs" dxfId="8158" priority="8126" stopIfTrue="1" operator="between">
      <formula>221101</formula>
      <formula>221118</formula>
    </cfRule>
    <cfRule type="cellIs" dxfId="8157" priority="8127" stopIfTrue="1" operator="between">
      <formula>221142</formula>
      <formula>221144</formula>
    </cfRule>
    <cfRule type="cellIs" dxfId="8156" priority="8128" stopIfTrue="1" operator="between">
      <formula>220001</formula>
      <formula>221144</formula>
    </cfRule>
  </conditionalFormatting>
  <conditionalFormatting sqref="C21">
    <cfRule type="cellIs" dxfId="8155" priority="8123" stopIfTrue="1" operator="between">
      <formula>221101</formula>
      <formula>221118</formula>
    </cfRule>
    <cfRule type="cellIs" dxfId="8154" priority="8124" stopIfTrue="1" operator="between">
      <formula>221142</formula>
      <formula>221144</formula>
    </cfRule>
    <cfRule type="cellIs" dxfId="8153" priority="8125" stopIfTrue="1" operator="between">
      <formula>220001</formula>
      <formula>221144</formula>
    </cfRule>
  </conditionalFormatting>
  <conditionalFormatting sqref="C21">
    <cfRule type="cellIs" dxfId="8152" priority="8120" stopIfTrue="1" operator="between">
      <formula>221101</formula>
      <formula>221118</formula>
    </cfRule>
    <cfRule type="cellIs" dxfId="8151" priority="8121" stopIfTrue="1" operator="between">
      <formula>221142</formula>
      <formula>221144</formula>
    </cfRule>
    <cfRule type="cellIs" dxfId="8150" priority="8122" stopIfTrue="1" operator="between">
      <formula>220001</formula>
      <formula>221144</formula>
    </cfRule>
  </conditionalFormatting>
  <conditionalFormatting sqref="C21">
    <cfRule type="cellIs" dxfId="8149" priority="8117" stopIfTrue="1" operator="between">
      <formula>221101</formula>
      <formula>221118</formula>
    </cfRule>
    <cfRule type="cellIs" dxfId="8148" priority="8118" stopIfTrue="1" operator="between">
      <formula>221142</formula>
      <formula>221144</formula>
    </cfRule>
    <cfRule type="cellIs" dxfId="8147" priority="8119" stopIfTrue="1" operator="between">
      <formula>220001</formula>
      <formula>221144</formula>
    </cfRule>
  </conditionalFormatting>
  <conditionalFormatting sqref="C21">
    <cfRule type="cellIs" dxfId="8146" priority="8114" stopIfTrue="1" operator="between">
      <formula>221101</formula>
      <formula>221118</formula>
    </cfRule>
    <cfRule type="cellIs" dxfId="8145" priority="8115" stopIfTrue="1" operator="between">
      <formula>221142</formula>
      <formula>221144</formula>
    </cfRule>
    <cfRule type="cellIs" dxfId="8144" priority="8116" stopIfTrue="1" operator="between">
      <formula>220001</formula>
      <formula>221144</formula>
    </cfRule>
  </conditionalFormatting>
  <conditionalFormatting sqref="AM21">
    <cfRule type="cellIs" dxfId="8143" priority="8111" stopIfTrue="1" operator="between">
      <formula>221101</formula>
      <formula>221118</formula>
    </cfRule>
    <cfRule type="cellIs" dxfId="8142" priority="8112" stopIfTrue="1" operator="between">
      <formula>221142</formula>
      <formula>221144</formula>
    </cfRule>
    <cfRule type="cellIs" dxfId="8141" priority="8113" stopIfTrue="1" operator="between">
      <formula>220001</formula>
      <formula>221144</formula>
    </cfRule>
  </conditionalFormatting>
  <conditionalFormatting sqref="AL21">
    <cfRule type="cellIs" dxfId="8140" priority="8108" stopIfTrue="1" operator="between">
      <formula>221101</formula>
      <formula>221118</formula>
    </cfRule>
    <cfRule type="cellIs" dxfId="8139" priority="8109" stopIfTrue="1" operator="between">
      <formula>221142</formula>
      <formula>221144</formula>
    </cfRule>
    <cfRule type="cellIs" dxfId="8138" priority="8110" stopIfTrue="1" operator="between">
      <formula>220001</formula>
      <formula>221144</formula>
    </cfRule>
  </conditionalFormatting>
  <conditionalFormatting sqref="AL21">
    <cfRule type="cellIs" dxfId="8137" priority="8105" stopIfTrue="1" operator="between">
      <formula>221101</formula>
      <formula>221118</formula>
    </cfRule>
    <cfRule type="cellIs" dxfId="8136" priority="8106" stopIfTrue="1" operator="between">
      <formula>221142</formula>
      <formula>221144</formula>
    </cfRule>
    <cfRule type="cellIs" dxfId="8135" priority="8107" stopIfTrue="1" operator="between">
      <formula>220001</formula>
      <formula>221144</formula>
    </cfRule>
  </conditionalFormatting>
  <conditionalFormatting sqref="AK21">
    <cfRule type="cellIs" dxfId="8134" priority="8102" stopIfTrue="1" operator="between">
      <formula>221101</formula>
      <formula>221118</formula>
    </cfRule>
    <cfRule type="cellIs" dxfId="8133" priority="8103" stopIfTrue="1" operator="between">
      <formula>221142</formula>
      <formula>221144</formula>
    </cfRule>
    <cfRule type="cellIs" dxfId="8132" priority="8104" stopIfTrue="1" operator="between">
      <formula>220001</formula>
      <formula>221144</formula>
    </cfRule>
  </conditionalFormatting>
  <conditionalFormatting sqref="C21">
    <cfRule type="cellIs" dxfId="8131" priority="8099" stopIfTrue="1" operator="between">
      <formula>221101</formula>
      <formula>221118</formula>
    </cfRule>
    <cfRule type="cellIs" dxfId="8130" priority="8100" stopIfTrue="1" operator="between">
      <formula>221142</formula>
      <formula>221144</formula>
    </cfRule>
    <cfRule type="cellIs" dxfId="8129" priority="8101" stopIfTrue="1" operator="between">
      <formula>220001</formula>
      <formula>221144</formula>
    </cfRule>
  </conditionalFormatting>
  <conditionalFormatting sqref="AM21">
    <cfRule type="cellIs" dxfId="8128" priority="8096" stopIfTrue="1" operator="between">
      <formula>221101</formula>
      <formula>221118</formula>
    </cfRule>
    <cfRule type="cellIs" dxfId="8127" priority="8097" stopIfTrue="1" operator="between">
      <formula>221142</formula>
      <formula>221144</formula>
    </cfRule>
    <cfRule type="cellIs" dxfId="8126" priority="8098" stopIfTrue="1" operator="between">
      <formula>220001</formula>
      <formula>221144</formula>
    </cfRule>
  </conditionalFormatting>
  <conditionalFormatting sqref="AL21">
    <cfRule type="cellIs" dxfId="8125" priority="8093" stopIfTrue="1" operator="between">
      <formula>221101</formula>
      <formula>221118</formula>
    </cfRule>
    <cfRule type="cellIs" dxfId="8124" priority="8094" stopIfTrue="1" operator="between">
      <formula>221142</formula>
      <formula>221144</formula>
    </cfRule>
    <cfRule type="cellIs" dxfId="8123" priority="8095" stopIfTrue="1" operator="between">
      <formula>220001</formula>
      <formula>221144</formula>
    </cfRule>
  </conditionalFormatting>
  <conditionalFormatting sqref="AL21">
    <cfRule type="cellIs" dxfId="8122" priority="8090" stopIfTrue="1" operator="between">
      <formula>221101</formula>
      <formula>221118</formula>
    </cfRule>
    <cfRule type="cellIs" dxfId="8121" priority="8091" stopIfTrue="1" operator="between">
      <formula>221142</formula>
      <formula>221144</formula>
    </cfRule>
    <cfRule type="cellIs" dxfId="8120" priority="8092" stopIfTrue="1" operator="between">
      <formula>220001</formula>
      <formula>221144</formula>
    </cfRule>
  </conditionalFormatting>
  <conditionalFormatting sqref="AK21">
    <cfRule type="cellIs" dxfId="8119" priority="8087" stopIfTrue="1" operator="between">
      <formula>221101</formula>
      <formula>221118</formula>
    </cfRule>
    <cfRule type="cellIs" dxfId="8118" priority="8088" stopIfTrue="1" operator="between">
      <formula>221142</formula>
      <formula>221144</formula>
    </cfRule>
    <cfRule type="cellIs" dxfId="8117" priority="8089" stopIfTrue="1" operator="between">
      <formula>220001</formula>
      <formula>221144</formula>
    </cfRule>
  </conditionalFormatting>
  <conditionalFormatting sqref="AL21">
    <cfRule type="cellIs" dxfId="8116" priority="8084" stopIfTrue="1" operator="between">
      <formula>221101</formula>
      <formula>221118</formula>
    </cfRule>
    <cfRule type="cellIs" dxfId="8115" priority="8085" stopIfTrue="1" operator="between">
      <formula>221142</formula>
      <formula>221144</formula>
    </cfRule>
    <cfRule type="cellIs" dxfId="8114" priority="8086" stopIfTrue="1" operator="between">
      <formula>220001</formula>
      <formula>221144</formula>
    </cfRule>
  </conditionalFormatting>
  <conditionalFormatting sqref="AK21">
    <cfRule type="cellIs" dxfId="8113" priority="8081" stopIfTrue="1" operator="between">
      <formula>221101</formula>
      <formula>221118</formula>
    </cfRule>
    <cfRule type="cellIs" dxfId="8112" priority="8082" stopIfTrue="1" operator="between">
      <formula>221142</formula>
      <formula>221144</formula>
    </cfRule>
    <cfRule type="cellIs" dxfId="8111" priority="8083" stopIfTrue="1" operator="between">
      <formula>220001</formula>
      <formula>221144</formula>
    </cfRule>
  </conditionalFormatting>
  <conditionalFormatting sqref="AK21">
    <cfRule type="cellIs" dxfId="8110" priority="8078" stopIfTrue="1" operator="between">
      <formula>221101</formula>
      <formula>221118</formula>
    </cfRule>
    <cfRule type="cellIs" dxfId="8109" priority="8079" stopIfTrue="1" operator="between">
      <formula>221142</formula>
      <formula>221144</formula>
    </cfRule>
    <cfRule type="cellIs" dxfId="8108" priority="8080" stopIfTrue="1" operator="between">
      <formula>220001</formula>
      <formula>221144</formula>
    </cfRule>
  </conditionalFormatting>
  <conditionalFormatting sqref="AJ21">
    <cfRule type="cellIs" dxfId="8107" priority="8075" stopIfTrue="1" operator="between">
      <formula>221101</formula>
      <formula>221118</formula>
    </cfRule>
    <cfRule type="cellIs" dxfId="8106" priority="8076" stopIfTrue="1" operator="between">
      <formula>221142</formula>
      <formula>221144</formula>
    </cfRule>
    <cfRule type="cellIs" dxfId="8105" priority="8077" stopIfTrue="1" operator="between">
      <formula>220001</formula>
      <formula>221144</formula>
    </cfRule>
  </conditionalFormatting>
  <conditionalFormatting sqref="C29">
    <cfRule type="cellIs" dxfId="8104" priority="8072" stopIfTrue="1" operator="between">
      <formula>221101</formula>
      <formula>221118</formula>
    </cfRule>
    <cfRule type="cellIs" dxfId="8103" priority="8073" stopIfTrue="1" operator="between">
      <formula>221142</formula>
      <formula>221144</formula>
    </cfRule>
    <cfRule type="cellIs" dxfId="8102" priority="8074" stopIfTrue="1" operator="between">
      <formula>220001</formula>
      <formula>221144</formula>
    </cfRule>
  </conditionalFormatting>
  <conditionalFormatting sqref="AO29">
    <cfRule type="cellIs" dxfId="8101" priority="8069" stopIfTrue="1" operator="between">
      <formula>221101</formula>
      <formula>221118</formula>
    </cfRule>
    <cfRule type="cellIs" dxfId="8100" priority="8070" stopIfTrue="1" operator="between">
      <formula>221142</formula>
      <formula>221144</formula>
    </cfRule>
    <cfRule type="cellIs" dxfId="8099" priority="8071" stopIfTrue="1" operator="between">
      <formula>220001</formula>
      <formula>221144</formula>
    </cfRule>
  </conditionalFormatting>
  <conditionalFormatting sqref="AN29">
    <cfRule type="cellIs" dxfId="8098" priority="8066" stopIfTrue="1" operator="between">
      <formula>221101</formula>
      <formula>221118</formula>
    </cfRule>
    <cfRule type="cellIs" dxfId="8097" priority="8067" stopIfTrue="1" operator="between">
      <formula>221142</formula>
      <formula>221144</formula>
    </cfRule>
    <cfRule type="cellIs" dxfId="8096" priority="8068" stopIfTrue="1" operator="between">
      <formula>220001</formula>
      <formula>221144</formula>
    </cfRule>
  </conditionalFormatting>
  <conditionalFormatting sqref="AN29">
    <cfRule type="cellIs" dxfId="8095" priority="8063" stopIfTrue="1" operator="between">
      <formula>221101</formula>
      <formula>221118</formula>
    </cfRule>
    <cfRule type="cellIs" dxfId="8094" priority="8064" stopIfTrue="1" operator="between">
      <formula>221142</formula>
      <formula>221144</formula>
    </cfRule>
    <cfRule type="cellIs" dxfId="8093" priority="8065" stopIfTrue="1" operator="between">
      <formula>220001</formula>
      <formula>221144</formula>
    </cfRule>
  </conditionalFormatting>
  <conditionalFormatting sqref="AM29">
    <cfRule type="cellIs" dxfId="8092" priority="8060" stopIfTrue="1" operator="between">
      <formula>221101</formula>
      <formula>221118</formula>
    </cfRule>
    <cfRule type="cellIs" dxfId="8091" priority="8061" stopIfTrue="1" operator="between">
      <formula>221142</formula>
      <formula>221144</formula>
    </cfRule>
    <cfRule type="cellIs" dxfId="8090" priority="8062" stopIfTrue="1" operator="between">
      <formula>220001</formula>
      <formula>221144</formula>
    </cfRule>
  </conditionalFormatting>
  <conditionalFormatting sqref="D29">
    <cfRule type="cellIs" dxfId="8089" priority="8057" stopIfTrue="1" operator="between">
      <formula>221101</formula>
      <formula>221118</formula>
    </cfRule>
    <cfRule type="cellIs" dxfId="8088" priority="8058" stopIfTrue="1" operator="between">
      <formula>221142</formula>
      <formula>221144</formula>
    </cfRule>
    <cfRule type="cellIs" dxfId="8087" priority="8059" stopIfTrue="1" operator="between">
      <formula>220001</formula>
      <formula>221144</formula>
    </cfRule>
  </conditionalFormatting>
  <conditionalFormatting sqref="D29">
    <cfRule type="cellIs" dxfId="8086" priority="8054" stopIfTrue="1" operator="between">
      <formula>221101</formula>
      <formula>221118</formula>
    </cfRule>
    <cfRule type="cellIs" dxfId="8085" priority="8055" stopIfTrue="1" operator="between">
      <formula>221142</formula>
      <formula>221144</formula>
    </cfRule>
    <cfRule type="cellIs" dxfId="8084" priority="8056" stopIfTrue="1" operator="between">
      <formula>220001</formula>
      <formula>221144</formula>
    </cfRule>
  </conditionalFormatting>
  <conditionalFormatting sqref="D29">
    <cfRule type="cellIs" dxfId="8083" priority="8051" stopIfTrue="1" operator="between">
      <formula>221101</formula>
      <formula>221118</formula>
    </cfRule>
    <cfRule type="cellIs" dxfId="8082" priority="8052" stopIfTrue="1" operator="between">
      <formula>221142</formula>
      <formula>221144</formula>
    </cfRule>
    <cfRule type="cellIs" dxfId="8081" priority="8053" stopIfTrue="1" operator="between">
      <formula>220001</formula>
      <formula>221144</formula>
    </cfRule>
  </conditionalFormatting>
  <conditionalFormatting sqref="D29">
    <cfRule type="cellIs" dxfId="8080" priority="8048" stopIfTrue="1" operator="between">
      <formula>221101</formula>
      <formula>221118</formula>
    </cfRule>
    <cfRule type="cellIs" dxfId="8079" priority="8049" stopIfTrue="1" operator="between">
      <formula>221142</formula>
      <formula>221144</formula>
    </cfRule>
    <cfRule type="cellIs" dxfId="8078" priority="8050" stopIfTrue="1" operator="between">
      <formula>220001</formula>
      <formula>221144</formula>
    </cfRule>
  </conditionalFormatting>
  <conditionalFormatting sqref="AN29">
    <cfRule type="cellIs" dxfId="8077" priority="8045" stopIfTrue="1" operator="between">
      <formula>221101</formula>
      <formula>221118</formula>
    </cfRule>
    <cfRule type="cellIs" dxfId="8076" priority="8046" stopIfTrue="1" operator="between">
      <formula>221142</formula>
      <formula>221144</formula>
    </cfRule>
    <cfRule type="cellIs" dxfId="8075" priority="8047" stopIfTrue="1" operator="between">
      <formula>220001</formula>
      <formula>221144</formula>
    </cfRule>
  </conditionalFormatting>
  <conditionalFormatting sqref="AM29">
    <cfRule type="cellIs" dxfId="8074" priority="8042" stopIfTrue="1" operator="between">
      <formula>221101</formula>
      <formula>221118</formula>
    </cfRule>
    <cfRule type="cellIs" dxfId="8073" priority="8043" stopIfTrue="1" operator="between">
      <formula>221142</formula>
      <formula>221144</formula>
    </cfRule>
    <cfRule type="cellIs" dxfId="8072" priority="8044" stopIfTrue="1" operator="between">
      <formula>220001</formula>
      <formula>221144</formula>
    </cfRule>
  </conditionalFormatting>
  <conditionalFormatting sqref="AM29">
    <cfRule type="cellIs" dxfId="8071" priority="8039" stopIfTrue="1" operator="between">
      <formula>221101</formula>
      <formula>221118</formula>
    </cfRule>
    <cfRule type="cellIs" dxfId="8070" priority="8040" stopIfTrue="1" operator="between">
      <formula>221142</formula>
      <formula>221144</formula>
    </cfRule>
    <cfRule type="cellIs" dxfId="8069" priority="8041" stopIfTrue="1" operator="between">
      <formula>220001</formula>
      <formula>221144</formula>
    </cfRule>
  </conditionalFormatting>
  <conditionalFormatting sqref="AL29">
    <cfRule type="cellIs" dxfId="8068" priority="8036" stopIfTrue="1" operator="between">
      <formula>221101</formula>
      <formula>221118</formula>
    </cfRule>
    <cfRule type="cellIs" dxfId="8067" priority="8037" stopIfTrue="1" operator="between">
      <formula>221142</formula>
      <formula>221144</formula>
    </cfRule>
    <cfRule type="cellIs" dxfId="8066" priority="8038" stopIfTrue="1" operator="between">
      <formula>220001</formula>
      <formula>221144</formula>
    </cfRule>
  </conditionalFormatting>
  <conditionalFormatting sqref="C29">
    <cfRule type="cellIs" dxfId="8065" priority="8033" stopIfTrue="1" operator="between">
      <formula>221101</formula>
      <formula>221118</formula>
    </cfRule>
    <cfRule type="cellIs" dxfId="8064" priority="8034" stopIfTrue="1" operator="between">
      <formula>221142</formula>
      <formula>221144</formula>
    </cfRule>
    <cfRule type="cellIs" dxfId="8063" priority="8035" stopIfTrue="1" operator="between">
      <formula>220001</formula>
      <formula>221144</formula>
    </cfRule>
  </conditionalFormatting>
  <conditionalFormatting sqref="C29">
    <cfRule type="cellIs" dxfId="8062" priority="8030" stopIfTrue="1" operator="between">
      <formula>221101</formula>
      <formula>221118</formula>
    </cfRule>
    <cfRule type="cellIs" dxfId="8061" priority="8031" stopIfTrue="1" operator="between">
      <formula>221142</formula>
      <formula>221144</formula>
    </cfRule>
    <cfRule type="cellIs" dxfId="8060" priority="8032" stopIfTrue="1" operator="between">
      <formula>220001</formula>
      <formula>221144</formula>
    </cfRule>
  </conditionalFormatting>
  <conditionalFormatting sqref="C29">
    <cfRule type="cellIs" dxfId="8059" priority="8027" stopIfTrue="1" operator="between">
      <formula>221101</formula>
      <formula>221118</formula>
    </cfRule>
    <cfRule type="cellIs" dxfId="8058" priority="8028" stopIfTrue="1" operator="between">
      <formula>221142</formula>
      <formula>221144</formula>
    </cfRule>
    <cfRule type="cellIs" dxfId="8057" priority="8029" stopIfTrue="1" operator="between">
      <formula>220001</formula>
      <formula>221144</formula>
    </cfRule>
  </conditionalFormatting>
  <conditionalFormatting sqref="C29">
    <cfRule type="cellIs" dxfId="8056" priority="8024" stopIfTrue="1" operator="between">
      <formula>221101</formula>
      <formula>221118</formula>
    </cfRule>
    <cfRule type="cellIs" dxfId="8055" priority="8025" stopIfTrue="1" operator="between">
      <formula>221142</formula>
      <formula>221144</formula>
    </cfRule>
    <cfRule type="cellIs" dxfId="8054" priority="8026" stopIfTrue="1" operator="between">
      <formula>220001</formula>
      <formula>221144</formula>
    </cfRule>
  </conditionalFormatting>
  <conditionalFormatting sqref="AN29">
    <cfRule type="cellIs" dxfId="8053" priority="8021" stopIfTrue="1" operator="between">
      <formula>221101</formula>
      <formula>221118</formula>
    </cfRule>
    <cfRule type="cellIs" dxfId="8052" priority="8022" stopIfTrue="1" operator="between">
      <formula>221142</formula>
      <formula>221144</formula>
    </cfRule>
    <cfRule type="cellIs" dxfId="8051" priority="8023" stopIfTrue="1" operator="between">
      <formula>220001</formula>
      <formula>221144</formula>
    </cfRule>
  </conditionalFormatting>
  <conditionalFormatting sqref="AM29">
    <cfRule type="cellIs" dxfId="8050" priority="8018" stopIfTrue="1" operator="between">
      <formula>221101</formula>
      <formula>221118</formula>
    </cfRule>
    <cfRule type="cellIs" dxfId="8049" priority="8019" stopIfTrue="1" operator="between">
      <formula>221142</formula>
      <formula>221144</formula>
    </cfRule>
    <cfRule type="cellIs" dxfId="8048" priority="8020" stopIfTrue="1" operator="between">
      <formula>220001</formula>
      <formula>221144</formula>
    </cfRule>
  </conditionalFormatting>
  <conditionalFormatting sqref="AM29">
    <cfRule type="cellIs" dxfId="8047" priority="8015" stopIfTrue="1" operator="between">
      <formula>221101</formula>
      <formula>221118</formula>
    </cfRule>
    <cfRule type="cellIs" dxfId="8046" priority="8016" stopIfTrue="1" operator="between">
      <formula>221142</formula>
      <formula>221144</formula>
    </cfRule>
    <cfRule type="cellIs" dxfId="8045" priority="8017" stopIfTrue="1" operator="between">
      <formula>220001</formula>
      <formula>221144</formula>
    </cfRule>
  </conditionalFormatting>
  <conditionalFormatting sqref="AL29">
    <cfRule type="cellIs" dxfId="8044" priority="8012" stopIfTrue="1" operator="between">
      <formula>221101</formula>
      <formula>221118</formula>
    </cfRule>
    <cfRule type="cellIs" dxfId="8043" priority="8013" stopIfTrue="1" operator="between">
      <formula>221142</formula>
      <formula>221144</formula>
    </cfRule>
    <cfRule type="cellIs" dxfId="8042" priority="8014" stopIfTrue="1" operator="between">
      <formula>220001</formula>
      <formula>221144</formula>
    </cfRule>
  </conditionalFormatting>
  <conditionalFormatting sqref="C29">
    <cfRule type="cellIs" dxfId="8041" priority="8009" stopIfTrue="1" operator="between">
      <formula>221101</formula>
      <formula>221118</formula>
    </cfRule>
    <cfRule type="cellIs" dxfId="8040" priority="8010" stopIfTrue="1" operator="between">
      <formula>221142</formula>
      <formula>221144</formula>
    </cfRule>
    <cfRule type="cellIs" dxfId="8039" priority="8011" stopIfTrue="1" operator="between">
      <formula>220001</formula>
      <formula>221144</formula>
    </cfRule>
  </conditionalFormatting>
  <conditionalFormatting sqref="C29">
    <cfRule type="cellIs" dxfId="8038" priority="8006" stopIfTrue="1" operator="between">
      <formula>221101</formula>
      <formula>221118</formula>
    </cfRule>
    <cfRule type="cellIs" dxfId="8037" priority="8007" stopIfTrue="1" operator="between">
      <formula>221142</formula>
      <formula>221144</formula>
    </cfRule>
    <cfRule type="cellIs" dxfId="8036" priority="8008" stopIfTrue="1" operator="between">
      <formula>220001</formula>
      <formula>221144</formula>
    </cfRule>
  </conditionalFormatting>
  <conditionalFormatting sqref="C29">
    <cfRule type="cellIs" dxfId="8035" priority="8003" stopIfTrue="1" operator="between">
      <formula>221101</formula>
      <formula>221118</formula>
    </cfRule>
    <cfRule type="cellIs" dxfId="8034" priority="8004" stopIfTrue="1" operator="between">
      <formula>221142</formula>
      <formula>221144</formula>
    </cfRule>
    <cfRule type="cellIs" dxfId="8033" priority="8005" stopIfTrue="1" operator="between">
      <formula>220001</formula>
      <formula>221144</formula>
    </cfRule>
  </conditionalFormatting>
  <conditionalFormatting sqref="C29">
    <cfRule type="cellIs" dxfId="8032" priority="8000" stopIfTrue="1" operator="between">
      <formula>221101</formula>
      <formula>221118</formula>
    </cfRule>
    <cfRule type="cellIs" dxfId="8031" priority="8001" stopIfTrue="1" operator="between">
      <formula>221142</formula>
      <formula>221144</formula>
    </cfRule>
    <cfRule type="cellIs" dxfId="8030" priority="8002" stopIfTrue="1" operator="between">
      <formula>220001</formula>
      <formula>221144</formula>
    </cfRule>
  </conditionalFormatting>
  <conditionalFormatting sqref="AM29">
    <cfRule type="cellIs" dxfId="8029" priority="7997" stopIfTrue="1" operator="between">
      <formula>221101</formula>
      <formula>221118</formula>
    </cfRule>
    <cfRule type="cellIs" dxfId="8028" priority="7998" stopIfTrue="1" operator="between">
      <formula>221142</formula>
      <formula>221144</formula>
    </cfRule>
    <cfRule type="cellIs" dxfId="8027" priority="7999" stopIfTrue="1" operator="between">
      <formula>220001</formula>
      <formula>221144</formula>
    </cfRule>
  </conditionalFormatting>
  <conditionalFormatting sqref="AL29">
    <cfRule type="cellIs" dxfId="8026" priority="7994" stopIfTrue="1" operator="between">
      <formula>221101</formula>
      <formula>221118</formula>
    </cfRule>
    <cfRule type="cellIs" dxfId="8025" priority="7995" stopIfTrue="1" operator="between">
      <formula>221142</formula>
      <formula>221144</formula>
    </cfRule>
    <cfRule type="cellIs" dxfId="8024" priority="7996" stopIfTrue="1" operator="between">
      <formula>220001</formula>
      <formula>221144</formula>
    </cfRule>
  </conditionalFormatting>
  <conditionalFormatting sqref="AL29">
    <cfRule type="cellIs" dxfId="8023" priority="7991" stopIfTrue="1" operator="between">
      <formula>221101</formula>
      <formula>221118</formula>
    </cfRule>
    <cfRule type="cellIs" dxfId="8022" priority="7992" stopIfTrue="1" operator="between">
      <formula>221142</formula>
      <formula>221144</formula>
    </cfRule>
    <cfRule type="cellIs" dxfId="8021" priority="7993" stopIfTrue="1" operator="between">
      <formula>220001</formula>
      <formula>221144</formula>
    </cfRule>
  </conditionalFormatting>
  <conditionalFormatting sqref="AK29">
    <cfRule type="cellIs" dxfId="8020" priority="7988" stopIfTrue="1" operator="between">
      <formula>221101</formula>
      <formula>221118</formula>
    </cfRule>
    <cfRule type="cellIs" dxfId="8019" priority="7989" stopIfTrue="1" operator="between">
      <formula>221142</formula>
      <formula>221144</formula>
    </cfRule>
    <cfRule type="cellIs" dxfId="8018" priority="7990" stopIfTrue="1" operator="between">
      <formula>220001</formula>
      <formula>221144</formula>
    </cfRule>
  </conditionalFormatting>
  <conditionalFormatting sqref="AN29">
    <cfRule type="cellIs" dxfId="8017" priority="7985" stopIfTrue="1" operator="between">
      <formula>221101</formula>
      <formula>221118</formula>
    </cfRule>
    <cfRule type="cellIs" dxfId="8016" priority="7986" stopIfTrue="1" operator="between">
      <formula>221142</formula>
      <formula>221144</formula>
    </cfRule>
    <cfRule type="cellIs" dxfId="8015" priority="7987" stopIfTrue="1" operator="between">
      <formula>220001</formula>
      <formula>221144</formula>
    </cfRule>
  </conditionalFormatting>
  <conditionalFormatting sqref="AM29">
    <cfRule type="cellIs" dxfId="8014" priority="7982" stopIfTrue="1" operator="between">
      <formula>221101</formula>
      <formula>221118</formula>
    </cfRule>
    <cfRule type="cellIs" dxfId="8013" priority="7983" stopIfTrue="1" operator="between">
      <formula>221142</formula>
      <formula>221144</formula>
    </cfRule>
    <cfRule type="cellIs" dxfId="8012" priority="7984" stopIfTrue="1" operator="between">
      <formula>220001</formula>
      <formula>221144</formula>
    </cfRule>
  </conditionalFormatting>
  <conditionalFormatting sqref="AM29">
    <cfRule type="cellIs" dxfId="8011" priority="7979" stopIfTrue="1" operator="between">
      <formula>221101</formula>
      <formula>221118</formula>
    </cfRule>
    <cfRule type="cellIs" dxfId="8010" priority="7980" stopIfTrue="1" operator="between">
      <formula>221142</formula>
      <formula>221144</formula>
    </cfRule>
    <cfRule type="cellIs" dxfId="8009" priority="7981" stopIfTrue="1" operator="between">
      <formula>220001</formula>
      <formula>221144</formula>
    </cfRule>
  </conditionalFormatting>
  <conditionalFormatting sqref="AL29">
    <cfRule type="cellIs" dxfId="8008" priority="7976" stopIfTrue="1" operator="between">
      <formula>221101</formula>
      <formula>221118</formula>
    </cfRule>
    <cfRule type="cellIs" dxfId="8007" priority="7977" stopIfTrue="1" operator="between">
      <formula>221142</formula>
      <formula>221144</formula>
    </cfRule>
    <cfRule type="cellIs" dxfId="8006" priority="7978" stopIfTrue="1" operator="between">
      <formula>220001</formula>
      <formula>221144</formula>
    </cfRule>
  </conditionalFormatting>
  <conditionalFormatting sqref="C29">
    <cfRule type="cellIs" dxfId="8005" priority="7973" stopIfTrue="1" operator="between">
      <formula>221101</formula>
      <formula>221118</formula>
    </cfRule>
    <cfRule type="cellIs" dxfId="8004" priority="7974" stopIfTrue="1" operator="between">
      <formula>221142</formula>
      <formula>221144</formula>
    </cfRule>
    <cfRule type="cellIs" dxfId="8003" priority="7975" stopIfTrue="1" operator="between">
      <formula>220001</formula>
      <formula>221144</formula>
    </cfRule>
  </conditionalFormatting>
  <conditionalFormatting sqref="C29">
    <cfRule type="cellIs" dxfId="8002" priority="7970" stopIfTrue="1" operator="between">
      <formula>221101</formula>
      <formula>221118</formula>
    </cfRule>
    <cfRule type="cellIs" dxfId="8001" priority="7971" stopIfTrue="1" operator="between">
      <formula>221142</formula>
      <formula>221144</formula>
    </cfRule>
    <cfRule type="cellIs" dxfId="8000" priority="7972" stopIfTrue="1" operator="between">
      <formula>220001</formula>
      <formula>221144</formula>
    </cfRule>
  </conditionalFormatting>
  <conditionalFormatting sqref="C29">
    <cfRule type="cellIs" dxfId="7999" priority="7967" stopIfTrue="1" operator="between">
      <formula>221101</formula>
      <formula>221118</formula>
    </cfRule>
    <cfRule type="cellIs" dxfId="7998" priority="7968" stopIfTrue="1" operator="between">
      <formula>221142</formula>
      <formula>221144</formula>
    </cfRule>
    <cfRule type="cellIs" dxfId="7997" priority="7969" stopIfTrue="1" operator="between">
      <formula>220001</formula>
      <formula>221144</formula>
    </cfRule>
  </conditionalFormatting>
  <conditionalFormatting sqref="C29">
    <cfRule type="cellIs" dxfId="7996" priority="7964" stopIfTrue="1" operator="between">
      <formula>221101</formula>
      <formula>221118</formula>
    </cfRule>
    <cfRule type="cellIs" dxfId="7995" priority="7965" stopIfTrue="1" operator="between">
      <formula>221142</formula>
      <formula>221144</formula>
    </cfRule>
    <cfRule type="cellIs" dxfId="7994" priority="7966" stopIfTrue="1" operator="between">
      <formula>220001</formula>
      <formula>221144</formula>
    </cfRule>
  </conditionalFormatting>
  <conditionalFormatting sqref="AM29">
    <cfRule type="cellIs" dxfId="7993" priority="7961" stopIfTrue="1" operator="between">
      <formula>221101</formula>
      <formula>221118</formula>
    </cfRule>
    <cfRule type="cellIs" dxfId="7992" priority="7962" stopIfTrue="1" operator="between">
      <formula>221142</formula>
      <formula>221144</formula>
    </cfRule>
    <cfRule type="cellIs" dxfId="7991" priority="7963" stopIfTrue="1" operator="between">
      <formula>220001</formula>
      <formula>221144</formula>
    </cfRule>
  </conditionalFormatting>
  <conditionalFormatting sqref="AL29">
    <cfRule type="cellIs" dxfId="7990" priority="7958" stopIfTrue="1" operator="between">
      <formula>221101</formula>
      <formula>221118</formula>
    </cfRule>
    <cfRule type="cellIs" dxfId="7989" priority="7959" stopIfTrue="1" operator="between">
      <formula>221142</formula>
      <formula>221144</formula>
    </cfRule>
    <cfRule type="cellIs" dxfId="7988" priority="7960" stopIfTrue="1" operator="between">
      <formula>220001</formula>
      <formula>221144</formula>
    </cfRule>
  </conditionalFormatting>
  <conditionalFormatting sqref="AL29">
    <cfRule type="cellIs" dxfId="7987" priority="7955" stopIfTrue="1" operator="between">
      <formula>221101</formula>
      <formula>221118</formula>
    </cfRule>
    <cfRule type="cellIs" dxfId="7986" priority="7956" stopIfTrue="1" operator="between">
      <formula>221142</formula>
      <formula>221144</formula>
    </cfRule>
    <cfRule type="cellIs" dxfId="7985" priority="7957" stopIfTrue="1" operator="between">
      <formula>220001</formula>
      <formula>221144</formula>
    </cfRule>
  </conditionalFormatting>
  <conditionalFormatting sqref="AK29">
    <cfRule type="cellIs" dxfId="7984" priority="7952" stopIfTrue="1" operator="between">
      <formula>221101</formula>
      <formula>221118</formula>
    </cfRule>
    <cfRule type="cellIs" dxfId="7983" priority="7953" stopIfTrue="1" operator="between">
      <formula>221142</formula>
      <formula>221144</formula>
    </cfRule>
    <cfRule type="cellIs" dxfId="7982" priority="7954" stopIfTrue="1" operator="between">
      <formula>220001</formula>
      <formula>221144</formula>
    </cfRule>
  </conditionalFormatting>
  <conditionalFormatting sqref="AM29">
    <cfRule type="cellIs" dxfId="7981" priority="7949" stopIfTrue="1" operator="between">
      <formula>221101</formula>
      <formula>221118</formula>
    </cfRule>
    <cfRule type="cellIs" dxfId="7980" priority="7950" stopIfTrue="1" operator="between">
      <formula>221142</formula>
      <formula>221144</formula>
    </cfRule>
    <cfRule type="cellIs" dxfId="7979" priority="7951" stopIfTrue="1" operator="between">
      <formula>220001</formula>
      <formula>221144</formula>
    </cfRule>
  </conditionalFormatting>
  <conditionalFormatting sqref="AL29">
    <cfRule type="cellIs" dxfId="7978" priority="7946" stopIfTrue="1" operator="between">
      <formula>221101</formula>
      <formula>221118</formula>
    </cfRule>
    <cfRule type="cellIs" dxfId="7977" priority="7947" stopIfTrue="1" operator="between">
      <formula>221142</formula>
      <formula>221144</formula>
    </cfRule>
    <cfRule type="cellIs" dxfId="7976" priority="7948" stopIfTrue="1" operator="between">
      <formula>220001</formula>
      <formula>221144</formula>
    </cfRule>
  </conditionalFormatting>
  <conditionalFormatting sqref="AL29">
    <cfRule type="cellIs" dxfId="7975" priority="7943" stopIfTrue="1" operator="between">
      <formula>221101</formula>
      <formula>221118</formula>
    </cfRule>
    <cfRule type="cellIs" dxfId="7974" priority="7944" stopIfTrue="1" operator="between">
      <formula>221142</formula>
      <formula>221144</formula>
    </cfRule>
    <cfRule type="cellIs" dxfId="7973" priority="7945" stopIfTrue="1" operator="between">
      <formula>220001</formula>
      <formula>221144</formula>
    </cfRule>
  </conditionalFormatting>
  <conditionalFormatting sqref="AK29">
    <cfRule type="cellIs" dxfId="7972" priority="7940" stopIfTrue="1" operator="between">
      <formula>221101</formula>
      <formula>221118</formula>
    </cfRule>
    <cfRule type="cellIs" dxfId="7971" priority="7941" stopIfTrue="1" operator="between">
      <formula>221142</formula>
      <formula>221144</formula>
    </cfRule>
    <cfRule type="cellIs" dxfId="7970" priority="7942" stopIfTrue="1" operator="between">
      <formula>220001</formula>
      <formula>221144</formula>
    </cfRule>
  </conditionalFormatting>
  <conditionalFormatting sqref="AL29">
    <cfRule type="cellIs" dxfId="7969" priority="7937" stopIfTrue="1" operator="between">
      <formula>221101</formula>
      <formula>221118</formula>
    </cfRule>
    <cfRule type="cellIs" dxfId="7968" priority="7938" stopIfTrue="1" operator="between">
      <formula>221142</formula>
      <formula>221144</formula>
    </cfRule>
    <cfRule type="cellIs" dxfId="7967" priority="7939" stopIfTrue="1" operator="between">
      <formula>220001</formula>
      <formula>221144</formula>
    </cfRule>
  </conditionalFormatting>
  <conditionalFormatting sqref="AK29">
    <cfRule type="cellIs" dxfId="7966" priority="7934" stopIfTrue="1" operator="between">
      <formula>221101</formula>
      <formula>221118</formula>
    </cfRule>
    <cfRule type="cellIs" dxfId="7965" priority="7935" stopIfTrue="1" operator="between">
      <formula>221142</formula>
      <formula>221144</formula>
    </cfRule>
    <cfRule type="cellIs" dxfId="7964" priority="7936" stopIfTrue="1" operator="between">
      <formula>220001</formula>
      <formula>221144</formula>
    </cfRule>
  </conditionalFormatting>
  <conditionalFormatting sqref="AK29">
    <cfRule type="cellIs" dxfId="7963" priority="7931" stopIfTrue="1" operator="between">
      <formula>221101</formula>
      <formula>221118</formula>
    </cfRule>
    <cfRule type="cellIs" dxfId="7962" priority="7932" stopIfTrue="1" operator="between">
      <formula>221142</formula>
      <formula>221144</formula>
    </cfRule>
    <cfRule type="cellIs" dxfId="7961" priority="7933" stopIfTrue="1" operator="between">
      <formula>220001</formula>
      <formula>221144</formula>
    </cfRule>
  </conditionalFormatting>
  <conditionalFormatting sqref="AJ29">
    <cfRule type="cellIs" dxfId="7960" priority="7928" stopIfTrue="1" operator="between">
      <formula>221101</formula>
      <formula>221118</formula>
    </cfRule>
    <cfRule type="cellIs" dxfId="7959" priority="7929" stopIfTrue="1" operator="between">
      <formula>221142</formula>
      <formula>221144</formula>
    </cfRule>
    <cfRule type="cellIs" dxfId="7958" priority="7930" stopIfTrue="1" operator="between">
      <formula>220001</formula>
      <formula>221144</formula>
    </cfRule>
  </conditionalFormatting>
  <conditionalFormatting sqref="AO37">
    <cfRule type="cellIs" dxfId="7957" priority="7925" stopIfTrue="1" operator="between">
      <formula>221101</formula>
      <formula>221118</formula>
    </cfRule>
    <cfRule type="cellIs" dxfId="7956" priority="7926" stopIfTrue="1" operator="between">
      <formula>221142</formula>
      <formula>221144</formula>
    </cfRule>
    <cfRule type="cellIs" dxfId="7955" priority="7927" stopIfTrue="1" operator="between">
      <formula>220001</formula>
      <formula>221144</formula>
    </cfRule>
  </conditionalFormatting>
  <conditionalFormatting sqref="AN37">
    <cfRule type="cellIs" dxfId="7954" priority="7922" stopIfTrue="1" operator="between">
      <formula>221101</formula>
      <formula>221118</formula>
    </cfRule>
    <cfRule type="cellIs" dxfId="7953" priority="7923" stopIfTrue="1" operator="between">
      <formula>221142</formula>
      <formula>221144</formula>
    </cfRule>
    <cfRule type="cellIs" dxfId="7952" priority="7924" stopIfTrue="1" operator="between">
      <formula>220001</formula>
      <formula>221144</formula>
    </cfRule>
  </conditionalFormatting>
  <conditionalFormatting sqref="AN37">
    <cfRule type="cellIs" dxfId="7951" priority="7919" stopIfTrue="1" operator="between">
      <formula>221101</formula>
      <formula>221118</formula>
    </cfRule>
    <cfRule type="cellIs" dxfId="7950" priority="7920" stopIfTrue="1" operator="between">
      <formula>221142</formula>
      <formula>221144</formula>
    </cfRule>
    <cfRule type="cellIs" dxfId="7949" priority="7921" stopIfTrue="1" operator="between">
      <formula>220001</formula>
      <formula>221144</formula>
    </cfRule>
  </conditionalFormatting>
  <conditionalFormatting sqref="AM37">
    <cfRule type="cellIs" dxfId="7948" priority="7916" stopIfTrue="1" operator="between">
      <formula>221101</formula>
      <formula>221118</formula>
    </cfRule>
    <cfRule type="cellIs" dxfId="7947" priority="7917" stopIfTrue="1" operator="between">
      <formula>221142</formula>
      <formula>221144</formula>
    </cfRule>
    <cfRule type="cellIs" dxfId="7946" priority="7918" stopIfTrue="1" operator="between">
      <formula>220001</formula>
      <formula>221144</formula>
    </cfRule>
  </conditionalFormatting>
  <conditionalFormatting sqref="D37">
    <cfRule type="cellIs" dxfId="7945" priority="7913" stopIfTrue="1" operator="between">
      <formula>221101</formula>
      <formula>221118</formula>
    </cfRule>
    <cfRule type="cellIs" dxfId="7944" priority="7914" stopIfTrue="1" operator="between">
      <formula>221142</formula>
      <formula>221144</formula>
    </cfRule>
    <cfRule type="cellIs" dxfId="7943" priority="7915" stopIfTrue="1" operator="between">
      <formula>220001</formula>
      <formula>221144</formula>
    </cfRule>
  </conditionalFormatting>
  <conditionalFormatting sqref="D37">
    <cfRule type="cellIs" dxfId="7942" priority="7910" stopIfTrue="1" operator="between">
      <formula>221101</formula>
      <formula>221118</formula>
    </cfRule>
    <cfRule type="cellIs" dxfId="7941" priority="7911" stopIfTrue="1" operator="between">
      <formula>221142</formula>
      <formula>221144</formula>
    </cfRule>
    <cfRule type="cellIs" dxfId="7940" priority="7912" stopIfTrue="1" operator="between">
      <formula>220001</formula>
      <formula>221144</formula>
    </cfRule>
  </conditionalFormatting>
  <conditionalFormatting sqref="D37">
    <cfRule type="cellIs" dxfId="7939" priority="7907" stopIfTrue="1" operator="between">
      <formula>221101</formula>
      <formula>221118</formula>
    </cfRule>
    <cfRule type="cellIs" dxfId="7938" priority="7908" stopIfTrue="1" operator="between">
      <formula>221142</formula>
      <formula>221144</formula>
    </cfRule>
    <cfRule type="cellIs" dxfId="7937" priority="7909" stopIfTrue="1" operator="between">
      <formula>220001</formula>
      <formula>221144</formula>
    </cfRule>
  </conditionalFormatting>
  <conditionalFormatting sqref="D37">
    <cfRule type="cellIs" dxfId="7936" priority="7904" stopIfTrue="1" operator="between">
      <formula>221101</formula>
      <formula>221118</formula>
    </cfRule>
    <cfRule type="cellIs" dxfId="7935" priority="7905" stopIfTrue="1" operator="between">
      <formula>221142</formula>
      <formula>221144</formula>
    </cfRule>
    <cfRule type="cellIs" dxfId="7934" priority="7906" stopIfTrue="1" operator="between">
      <formula>220001</formula>
      <formula>221144</formula>
    </cfRule>
  </conditionalFormatting>
  <conditionalFormatting sqref="AN37">
    <cfRule type="cellIs" dxfId="7933" priority="7901" stopIfTrue="1" operator="between">
      <formula>221101</formula>
      <formula>221118</formula>
    </cfRule>
    <cfRule type="cellIs" dxfId="7932" priority="7902" stopIfTrue="1" operator="between">
      <formula>221142</formula>
      <formula>221144</formula>
    </cfRule>
    <cfRule type="cellIs" dxfId="7931" priority="7903" stopIfTrue="1" operator="between">
      <formula>220001</formula>
      <formula>221144</formula>
    </cfRule>
  </conditionalFormatting>
  <conditionalFormatting sqref="AM37">
    <cfRule type="cellIs" dxfId="7930" priority="7898" stopIfTrue="1" operator="between">
      <formula>221101</formula>
      <formula>221118</formula>
    </cfRule>
    <cfRule type="cellIs" dxfId="7929" priority="7899" stopIfTrue="1" operator="between">
      <formula>221142</formula>
      <formula>221144</formula>
    </cfRule>
    <cfRule type="cellIs" dxfId="7928" priority="7900" stopIfTrue="1" operator="between">
      <formula>220001</formula>
      <formula>221144</formula>
    </cfRule>
  </conditionalFormatting>
  <conditionalFormatting sqref="AM37">
    <cfRule type="cellIs" dxfId="7927" priority="7895" stopIfTrue="1" operator="between">
      <formula>221101</formula>
      <formula>221118</formula>
    </cfRule>
    <cfRule type="cellIs" dxfId="7926" priority="7896" stopIfTrue="1" operator="between">
      <formula>221142</formula>
      <formula>221144</formula>
    </cfRule>
    <cfRule type="cellIs" dxfId="7925" priority="7897" stopIfTrue="1" operator="between">
      <formula>220001</formula>
      <formula>221144</formula>
    </cfRule>
  </conditionalFormatting>
  <conditionalFormatting sqref="AL37">
    <cfRule type="cellIs" dxfId="7924" priority="7892" stopIfTrue="1" operator="between">
      <formula>221101</formula>
      <formula>221118</formula>
    </cfRule>
    <cfRule type="cellIs" dxfId="7923" priority="7893" stopIfTrue="1" operator="between">
      <formula>221142</formula>
      <formula>221144</formula>
    </cfRule>
    <cfRule type="cellIs" dxfId="7922" priority="7894" stopIfTrue="1" operator="between">
      <formula>220001</formula>
      <formula>221144</formula>
    </cfRule>
  </conditionalFormatting>
  <conditionalFormatting sqref="C37">
    <cfRule type="cellIs" dxfId="7921" priority="7889" stopIfTrue="1" operator="between">
      <formula>221101</formula>
      <formula>221118</formula>
    </cfRule>
    <cfRule type="cellIs" dxfId="7920" priority="7890" stopIfTrue="1" operator="between">
      <formula>221142</formula>
      <formula>221144</formula>
    </cfRule>
    <cfRule type="cellIs" dxfId="7919" priority="7891" stopIfTrue="1" operator="between">
      <formula>220001</formula>
      <formula>221144</formula>
    </cfRule>
  </conditionalFormatting>
  <conditionalFormatting sqref="C37">
    <cfRule type="cellIs" dxfId="7918" priority="7886" stopIfTrue="1" operator="between">
      <formula>221101</formula>
      <formula>221118</formula>
    </cfRule>
    <cfRule type="cellIs" dxfId="7917" priority="7887" stopIfTrue="1" operator="between">
      <formula>221142</formula>
      <formula>221144</formula>
    </cfRule>
    <cfRule type="cellIs" dxfId="7916" priority="7888" stopIfTrue="1" operator="between">
      <formula>220001</formula>
      <formula>221144</formula>
    </cfRule>
  </conditionalFormatting>
  <conditionalFormatting sqref="C37">
    <cfRule type="cellIs" dxfId="7915" priority="7883" stopIfTrue="1" operator="between">
      <formula>221101</formula>
      <formula>221118</formula>
    </cfRule>
    <cfRule type="cellIs" dxfId="7914" priority="7884" stopIfTrue="1" operator="between">
      <formula>221142</formula>
      <formula>221144</formula>
    </cfRule>
    <cfRule type="cellIs" dxfId="7913" priority="7885" stopIfTrue="1" operator="between">
      <formula>220001</formula>
      <formula>221144</formula>
    </cfRule>
  </conditionalFormatting>
  <conditionalFormatting sqref="C37">
    <cfRule type="cellIs" dxfId="7912" priority="7880" stopIfTrue="1" operator="between">
      <formula>221101</formula>
      <formula>221118</formula>
    </cfRule>
    <cfRule type="cellIs" dxfId="7911" priority="7881" stopIfTrue="1" operator="between">
      <formula>221142</formula>
      <formula>221144</formula>
    </cfRule>
    <cfRule type="cellIs" dxfId="7910" priority="7882" stopIfTrue="1" operator="between">
      <formula>220001</formula>
      <formula>221144</formula>
    </cfRule>
  </conditionalFormatting>
  <conditionalFormatting sqref="AN37">
    <cfRule type="cellIs" dxfId="7909" priority="7877" stopIfTrue="1" operator="between">
      <formula>221101</formula>
      <formula>221118</formula>
    </cfRule>
    <cfRule type="cellIs" dxfId="7908" priority="7878" stopIfTrue="1" operator="between">
      <formula>221142</formula>
      <formula>221144</formula>
    </cfRule>
    <cfRule type="cellIs" dxfId="7907" priority="7879" stopIfTrue="1" operator="between">
      <formula>220001</formula>
      <formula>221144</formula>
    </cfRule>
  </conditionalFormatting>
  <conditionalFormatting sqref="AM37">
    <cfRule type="cellIs" dxfId="7906" priority="7874" stopIfTrue="1" operator="between">
      <formula>221101</formula>
      <formula>221118</formula>
    </cfRule>
    <cfRule type="cellIs" dxfId="7905" priority="7875" stopIfTrue="1" operator="between">
      <formula>221142</formula>
      <formula>221144</formula>
    </cfRule>
    <cfRule type="cellIs" dxfId="7904" priority="7876" stopIfTrue="1" operator="between">
      <formula>220001</formula>
      <formula>221144</formula>
    </cfRule>
  </conditionalFormatting>
  <conditionalFormatting sqref="AM37">
    <cfRule type="cellIs" dxfId="7903" priority="7871" stopIfTrue="1" operator="between">
      <formula>221101</formula>
      <formula>221118</formula>
    </cfRule>
    <cfRule type="cellIs" dxfId="7902" priority="7872" stopIfTrue="1" operator="between">
      <formula>221142</formula>
      <formula>221144</formula>
    </cfRule>
    <cfRule type="cellIs" dxfId="7901" priority="7873" stopIfTrue="1" operator="between">
      <formula>220001</formula>
      <formula>221144</formula>
    </cfRule>
  </conditionalFormatting>
  <conditionalFormatting sqref="AL37">
    <cfRule type="cellIs" dxfId="7900" priority="7868" stopIfTrue="1" operator="between">
      <formula>221101</formula>
      <formula>221118</formula>
    </cfRule>
    <cfRule type="cellIs" dxfId="7899" priority="7869" stopIfTrue="1" operator="between">
      <formula>221142</formula>
      <formula>221144</formula>
    </cfRule>
    <cfRule type="cellIs" dxfId="7898" priority="7870" stopIfTrue="1" operator="between">
      <formula>220001</formula>
      <formula>221144</formula>
    </cfRule>
  </conditionalFormatting>
  <conditionalFormatting sqref="C37">
    <cfRule type="cellIs" dxfId="7897" priority="7865" stopIfTrue="1" operator="between">
      <formula>221101</formula>
      <formula>221118</formula>
    </cfRule>
    <cfRule type="cellIs" dxfId="7896" priority="7866" stopIfTrue="1" operator="between">
      <formula>221142</formula>
      <formula>221144</formula>
    </cfRule>
    <cfRule type="cellIs" dxfId="7895" priority="7867" stopIfTrue="1" operator="between">
      <formula>220001</formula>
      <formula>221144</formula>
    </cfRule>
  </conditionalFormatting>
  <conditionalFormatting sqref="C37">
    <cfRule type="cellIs" dxfId="7894" priority="7862" stopIfTrue="1" operator="between">
      <formula>221101</formula>
      <formula>221118</formula>
    </cfRule>
    <cfRule type="cellIs" dxfId="7893" priority="7863" stopIfTrue="1" operator="between">
      <formula>221142</formula>
      <formula>221144</formula>
    </cfRule>
    <cfRule type="cellIs" dxfId="7892" priority="7864" stopIfTrue="1" operator="between">
      <formula>220001</formula>
      <formula>221144</formula>
    </cfRule>
  </conditionalFormatting>
  <conditionalFormatting sqref="C37">
    <cfRule type="cellIs" dxfId="7891" priority="7859" stopIfTrue="1" operator="between">
      <formula>221101</formula>
      <formula>221118</formula>
    </cfRule>
    <cfRule type="cellIs" dxfId="7890" priority="7860" stopIfTrue="1" operator="between">
      <formula>221142</formula>
      <formula>221144</formula>
    </cfRule>
    <cfRule type="cellIs" dxfId="7889" priority="7861" stopIfTrue="1" operator="between">
      <formula>220001</formula>
      <formula>221144</formula>
    </cfRule>
  </conditionalFormatting>
  <conditionalFormatting sqref="C37">
    <cfRule type="cellIs" dxfId="7888" priority="7856" stopIfTrue="1" operator="between">
      <formula>221101</formula>
      <formula>221118</formula>
    </cfRule>
    <cfRule type="cellIs" dxfId="7887" priority="7857" stopIfTrue="1" operator="between">
      <formula>221142</formula>
      <formula>221144</formula>
    </cfRule>
    <cfRule type="cellIs" dxfId="7886" priority="7858" stopIfTrue="1" operator="between">
      <formula>220001</formula>
      <formula>221144</formula>
    </cfRule>
  </conditionalFormatting>
  <conditionalFormatting sqref="AM37">
    <cfRule type="cellIs" dxfId="7885" priority="7853" stopIfTrue="1" operator="between">
      <formula>221101</formula>
      <formula>221118</formula>
    </cfRule>
    <cfRule type="cellIs" dxfId="7884" priority="7854" stopIfTrue="1" operator="between">
      <formula>221142</formula>
      <formula>221144</formula>
    </cfRule>
    <cfRule type="cellIs" dxfId="7883" priority="7855" stopIfTrue="1" operator="between">
      <formula>220001</formula>
      <formula>221144</formula>
    </cfRule>
  </conditionalFormatting>
  <conditionalFormatting sqref="AL37">
    <cfRule type="cellIs" dxfId="7882" priority="7850" stopIfTrue="1" operator="between">
      <formula>221101</formula>
      <formula>221118</formula>
    </cfRule>
    <cfRule type="cellIs" dxfId="7881" priority="7851" stopIfTrue="1" operator="between">
      <formula>221142</formula>
      <formula>221144</formula>
    </cfRule>
    <cfRule type="cellIs" dxfId="7880" priority="7852" stopIfTrue="1" operator="between">
      <formula>220001</formula>
      <formula>221144</formula>
    </cfRule>
  </conditionalFormatting>
  <conditionalFormatting sqref="AL37">
    <cfRule type="cellIs" dxfId="7879" priority="7847" stopIfTrue="1" operator="between">
      <formula>221101</formula>
      <formula>221118</formula>
    </cfRule>
    <cfRule type="cellIs" dxfId="7878" priority="7848" stopIfTrue="1" operator="between">
      <formula>221142</formula>
      <formula>221144</formula>
    </cfRule>
    <cfRule type="cellIs" dxfId="7877" priority="7849" stopIfTrue="1" operator="between">
      <formula>220001</formula>
      <formula>221144</formula>
    </cfRule>
  </conditionalFormatting>
  <conditionalFormatting sqref="AK37">
    <cfRule type="cellIs" dxfId="7876" priority="7844" stopIfTrue="1" operator="between">
      <formula>221101</formula>
      <formula>221118</formula>
    </cfRule>
    <cfRule type="cellIs" dxfId="7875" priority="7845" stopIfTrue="1" operator="between">
      <formula>221142</formula>
      <formula>221144</formula>
    </cfRule>
    <cfRule type="cellIs" dxfId="7874" priority="7846" stopIfTrue="1" operator="between">
      <formula>220001</formula>
      <formula>221144</formula>
    </cfRule>
  </conditionalFormatting>
  <conditionalFormatting sqref="AN37">
    <cfRule type="cellIs" dxfId="7873" priority="7841" stopIfTrue="1" operator="between">
      <formula>221101</formula>
      <formula>221118</formula>
    </cfRule>
    <cfRule type="cellIs" dxfId="7872" priority="7842" stopIfTrue="1" operator="between">
      <formula>221142</formula>
      <formula>221144</formula>
    </cfRule>
    <cfRule type="cellIs" dxfId="7871" priority="7843" stopIfTrue="1" operator="between">
      <formula>220001</formula>
      <formula>221144</formula>
    </cfRule>
  </conditionalFormatting>
  <conditionalFormatting sqref="AM37">
    <cfRule type="cellIs" dxfId="7870" priority="7838" stopIfTrue="1" operator="between">
      <formula>221101</formula>
      <formula>221118</formula>
    </cfRule>
    <cfRule type="cellIs" dxfId="7869" priority="7839" stopIfTrue="1" operator="between">
      <formula>221142</formula>
      <formula>221144</formula>
    </cfRule>
    <cfRule type="cellIs" dxfId="7868" priority="7840" stopIfTrue="1" operator="between">
      <formula>220001</formula>
      <formula>221144</formula>
    </cfRule>
  </conditionalFormatting>
  <conditionalFormatting sqref="AM37">
    <cfRule type="cellIs" dxfId="7867" priority="7835" stopIfTrue="1" operator="between">
      <formula>221101</formula>
      <formula>221118</formula>
    </cfRule>
    <cfRule type="cellIs" dxfId="7866" priority="7836" stopIfTrue="1" operator="between">
      <formula>221142</formula>
      <formula>221144</formula>
    </cfRule>
    <cfRule type="cellIs" dxfId="7865" priority="7837" stopIfTrue="1" operator="between">
      <formula>220001</formula>
      <formula>221144</formula>
    </cfRule>
  </conditionalFormatting>
  <conditionalFormatting sqref="AL37">
    <cfRule type="cellIs" dxfId="7864" priority="7832" stopIfTrue="1" operator="between">
      <formula>221101</formula>
      <formula>221118</formula>
    </cfRule>
    <cfRule type="cellIs" dxfId="7863" priority="7833" stopIfTrue="1" operator="between">
      <formula>221142</formula>
      <formula>221144</formula>
    </cfRule>
    <cfRule type="cellIs" dxfId="7862" priority="7834" stopIfTrue="1" operator="between">
      <formula>220001</formula>
      <formula>221144</formula>
    </cfRule>
  </conditionalFormatting>
  <conditionalFormatting sqref="C37">
    <cfRule type="cellIs" dxfId="7861" priority="7829" stopIfTrue="1" operator="between">
      <formula>221101</formula>
      <formula>221118</formula>
    </cfRule>
    <cfRule type="cellIs" dxfId="7860" priority="7830" stopIfTrue="1" operator="between">
      <formula>221142</formula>
      <formula>221144</formula>
    </cfRule>
    <cfRule type="cellIs" dxfId="7859" priority="7831" stopIfTrue="1" operator="between">
      <formula>220001</formula>
      <formula>221144</formula>
    </cfRule>
  </conditionalFormatting>
  <conditionalFormatting sqref="C37">
    <cfRule type="cellIs" dxfId="7858" priority="7826" stopIfTrue="1" operator="between">
      <formula>221101</formula>
      <formula>221118</formula>
    </cfRule>
    <cfRule type="cellIs" dxfId="7857" priority="7827" stopIfTrue="1" operator="between">
      <formula>221142</formula>
      <formula>221144</formula>
    </cfRule>
    <cfRule type="cellIs" dxfId="7856" priority="7828" stopIfTrue="1" operator="between">
      <formula>220001</formula>
      <formula>221144</formula>
    </cfRule>
  </conditionalFormatting>
  <conditionalFormatting sqref="C37">
    <cfRule type="cellIs" dxfId="7855" priority="7823" stopIfTrue="1" operator="between">
      <formula>221101</formula>
      <formula>221118</formula>
    </cfRule>
    <cfRule type="cellIs" dxfId="7854" priority="7824" stopIfTrue="1" operator="between">
      <formula>221142</formula>
      <formula>221144</formula>
    </cfRule>
    <cfRule type="cellIs" dxfId="7853" priority="7825" stopIfTrue="1" operator="between">
      <formula>220001</formula>
      <formula>221144</formula>
    </cfRule>
  </conditionalFormatting>
  <conditionalFormatting sqref="C37">
    <cfRule type="cellIs" dxfId="7852" priority="7820" stopIfTrue="1" operator="between">
      <formula>221101</formula>
      <formula>221118</formula>
    </cfRule>
    <cfRule type="cellIs" dxfId="7851" priority="7821" stopIfTrue="1" operator="between">
      <formula>221142</formula>
      <formula>221144</formula>
    </cfRule>
    <cfRule type="cellIs" dxfId="7850" priority="7822" stopIfTrue="1" operator="between">
      <formula>220001</formula>
      <formula>221144</formula>
    </cfRule>
  </conditionalFormatting>
  <conditionalFormatting sqref="AM37">
    <cfRule type="cellIs" dxfId="7849" priority="7817" stopIfTrue="1" operator="between">
      <formula>221101</formula>
      <formula>221118</formula>
    </cfRule>
    <cfRule type="cellIs" dxfId="7848" priority="7818" stopIfTrue="1" operator="between">
      <formula>221142</formula>
      <formula>221144</formula>
    </cfRule>
    <cfRule type="cellIs" dxfId="7847" priority="7819" stopIfTrue="1" operator="between">
      <formula>220001</formula>
      <formula>221144</formula>
    </cfRule>
  </conditionalFormatting>
  <conditionalFormatting sqref="AL37">
    <cfRule type="cellIs" dxfId="7846" priority="7814" stopIfTrue="1" operator="between">
      <formula>221101</formula>
      <formula>221118</formula>
    </cfRule>
    <cfRule type="cellIs" dxfId="7845" priority="7815" stopIfTrue="1" operator="between">
      <formula>221142</formula>
      <formula>221144</formula>
    </cfRule>
    <cfRule type="cellIs" dxfId="7844" priority="7816" stopIfTrue="1" operator="between">
      <formula>220001</formula>
      <formula>221144</formula>
    </cfRule>
  </conditionalFormatting>
  <conditionalFormatting sqref="AL37">
    <cfRule type="cellIs" dxfId="7843" priority="7811" stopIfTrue="1" operator="between">
      <formula>221101</formula>
      <formula>221118</formula>
    </cfRule>
    <cfRule type="cellIs" dxfId="7842" priority="7812" stopIfTrue="1" operator="between">
      <formula>221142</formula>
      <formula>221144</formula>
    </cfRule>
    <cfRule type="cellIs" dxfId="7841" priority="7813" stopIfTrue="1" operator="between">
      <formula>220001</formula>
      <formula>221144</formula>
    </cfRule>
  </conditionalFormatting>
  <conditionalFormatting sqref="AK37">
    <cfRule type="cellIs" dxfId="7840" priority="7808" stopIfTrue="1" operator="between">
      <formula>221101</formula>
      <formula>221118</formula>
    </cfRule>
    <cfRule type="cellIs" dxfId="7839" priority="7809" stopIfTrue="1" operator="between">
      <formula>221142</formula>
      <formula>221144</formula>
    </cfRule>
    <cfRule type="cellIs" dxfId="7838" priority="7810" stopIfTrue="1" operator="between">
      <formula>220001</formula>
      <formula>221144</formula>
    </cfRule>
  </conditionalFormatting>
  <conditionalFormatting sqref="AM37">
    <cfRule type="cellIs" dxfId="7837" priority="7805" stopIfTrue="1" operator="between">
      <formula>221101</formula>
      <formula>221118</formula>
    </cfRule>
    <cfRule type="cellIs" dxfId="7836" priority="7806" stopIfTrue="1" operator="between">
      <formula>221142</formula>
      <formula>221144</formula>
    </cfRule>
    <cfRule type="cellIs" dxfId="7835" priority="7807" stopIfTrue="1" operator="between">
      <formula>220001</formula>
      <formula>221144</formula>
    </cfRule>
  </conditionalFormatting>
  <conditionalFormatting sqref="AL37">
    <cfRule type="cellIs" dxfId="7834" priority="7802" stopIfTrue="1" operator="between">
      <formula>221101</formula>
      <formula>221118</formula>
    </cfRule>
    <cfRule type="cellIs" dxfId="7833" priority="7803" stopIfTrue="1" operator="between">
      <formula>221142</formula>
      <formula>221144</formula>
    </cfRule>
    <cfRule type="cellIs" dxfId="7832" priority="7804" stopIfTrue="1" operator="between">
      <formula>220001</formula>
      <formula>221144</formula>
    </cfRule>
  </conditionalFormatting>
  <conditionalFormatting sqref="AL37">
    <cfRule type="cellIs" dxfId="7831" priority="7799" stopIfTrue="1" operator="between">
      <formula>221101</formula>
      <formula>221118</formula>
    </cfRule>
    <cfRule type="cellIs" dxfId="7830" priority="7800" stopIfTrue="1" operator="between">
      <formula>221142</formula>
      <formula>221144</formula>
    </cfRule>
    <cfRule type="cellIs" dxfId="7829" priority="7801" stopIfTrue="1" operator="between">
      <formula>220001</formula>
      <formula>221144</formula>
    </cfRule>
  </conditionalFormatting>
  <conditionalFormatting sqref="AK37">
    <cfRule type="cellIs" dxfId="7828" priority="7796" stopIfTrue="1" operator="between">
      <formula>221101</formula>
      <formula>221118</formula>
    </cfRule>
    <cfRule type="cellIs" dxfId="7827" priority="7797" stopIfTrue="1" operator="between">
      <formula>221142</formula>
      <formula>221144</formula>
    </cfRule>
    <cfRule type="cellIs" dxfId="7826" priority="7798" stopIfTrue="1" operator="between">
      <formula>220001</formula>
      <formula>221144</formula>
    </cfRule>
  </conditionalFormatting>
  <conditionalFormatting sqref="AL37">
    <cfRule type="cellIs" dxfId="7825" priority="7793" stopIfTrue="1" operator="between">
      <formula>221101</formula>
      <formula>221118</formula>
    </cfRule>
    <cfRule type="cellIs" dxfId="7824" priority="7794" stopIfTrue="1" operator="between">
      <formula>221142</formula>
      <formula>221144</formula>
    </cfRule>
    <cfRule type="cellIs" dxfId="7823" priority="7795" stopIfTrue="1" operator="between">
      <formula>220001</formula>
      <formula>221144</formula>
    </cfRule>
  </conditionalFormatting>
  <conditionalFormatting sqref="AK37">
    <cfRule type="cellIs" dxfId="7822" priority="7790" stopIfTrue="1" operator="between">
      <formula>221101</formula>
      <formula>221118</formula>
    </cfRule>
    <cfRule type="cellIs" dxfId="7821" priority="7791" stopIfTrue="1" operator="between">
      <formula>221142</formula>
      <formula>221144</formula>
    </cfRule>
    <cfRule type="cellIs" dxfId="7820" priority="7792" stopIfTrue="1" operator="between">
      <formula>220001</formula>
      <formula>221144</formula>
    </cfRule>
  </conditionalFormatting>
  <conditionalFormatting sqref="AK37">
    <cfRule type="cellIs" dxfId="7819" priority="7787" stopIfTrue="1" operator="between">
      <formula>221101</formula>
      <formula>221118</formula>
    </cfRule>
    <cfRule type="cellIs" dxfId="7818" priority="7788" stopIfTrue="1" operator="between">
      <formula>221142</formula>
      <formula>221144</formula>
    </cfRule>
    <cfRule type="cellIs" dxfId="7817" priority="7789" stopIfTrue="1" operator="between">
      <formula>220001</formula>
      <formula>221144</formula>
    </cfRule>
  </conditionalFormatting>
  <conditionalFormatting sqref="AJ37">
    <cfRule type="cellIs" dxfId="7816" priority="7784" stopIfTrue="1" operator="between">
      <formula>221101</formula>
      <formula>221118</formula>
    </cfRule>
    <cfRule type="cellIs" dxfId="7815" priority="7785" stopIfTrue="1" operator="between">
      <formula>221142</formula>
      <formula>221144</formula>
    </cfRule>
    <cfRule type="cellIs" dxfId="7814" priority="7786" stopIfTrue="1" operator="between">
      <formula>220001</formula>
      <formula>221144</formula>
    </cfRule>
  </conditionalFormatting>
  <conditionalFormatting sqref="AO42">
    <cfRule type="cellIs" dxfId="7813" priority="7781" stopIfTrue="1" operator="between">
      <formula>221101</formula>
      <formula>221118</formula>
    </cfRule>
    <cfRule type="cellIs" dxfId="7812" priority="7782" stopIfTrue="1" operator="between">
      <formula>221142</formula>
      <formula>221144</formula>
    </cfRule>
    <cfRule type="cellIs" dxfId="7811" priority="7783" stopIfTrue="1" operator="between">
      <formula>220001</formula>
      <formula>221144</formula>
    </cfRule>
  </conditionalFormatting>
  <conditionalFormatting sqref="AN42">
    <cfRule type="cellIs" dxfId="7810" priority="7778" stopIfTrue="1" operator="between">
      <formula>221101</formula>
      <formula>221118</formula>
    </cfRule>
    <cfRule type="cellIs" dxfId="7809" priority="7779" stopIfTrue="1" operator="between">
      <formula>221142</formula>
      <formula>221144</formula>
    </cfRule>
    <cfRule type="cellIs" dxfId="7808" priority="7780" stopIfTrue="1" operator="between">
      <formula>220001</formula>
      <formula>221144</formula>
    </cfRule>
  </conditionalFormatting>
  <conditionalFormatting sqref="AN42">
    <cfRule type="cellIs" dxfId="7807" priority="7775" stopIfTrue="1" operator="between">
      <formula>221101</formula>
      <formula>221118</formula>
    </cfRule>
    <cfRule type="cellIs" dxfId="7806" priority="7776" stopIfTrue="1" operator="between">
      <formula>221142</formula>
      <formula>221144</formula>
    </cfRule>
    <cfRule type="cellIs" dxfId="7805" priority="7777" stopIfTrue="1" operator="between">
      <formula>220001</formula>
      <formula>221144</formula>
    </cfRule>
  </conditionalFormatting>
  <conditionalFormatting sqref="AM42">
    <cfRule type="cellIs" dxfId="7804" priority="7772" stopIfTrue="1" operator="between">
      <formula>221101</formula>
      <formula>221118</formula>
    </cfRule>
    <cfRule type="cellIs" dxfId="7803" priority="7773" stopIfTrue="1" operator="between">
      <formula>221142</formula>
      <formula>221144</formula>
    </cfRule>
    <cfRule type="cellIs" dxfId="7802" priority="7774" stopIfTrue="1" operator="between">
      <formula>220001</formula>
      <formula>221144</formula>
    </cfRule>
  </conditionalFormatting>
  <conditionalFormatting sqref="D42">
    <cfRule type="cellIs" dxfId="7801" priority="7769" stopIfTrue="1" operator="between">
      <formula>221101</formula>
      <formula>221118</formula>
    </cfRule>
    <cfRule type="cellIs" dxfId="7800" priority="7770" stopIfTrue="1" operator="between">
      <formula>221142</formula>
      <formula>221144</formula>
    </cfRule>
    <cfRule type="cellIs" dxfId="7799" priority="7771" stopIfTrue="1" operator="between">
      <formula>220001</formula>
      <formula>221144</formula>
    </cfRule>
  </conditionalFormatting>
  <conditionalFormatting sqref="D42">
    <cfRule type="cellIs" dxfId="7798" priority="7766" stopIfTrue="1" operator="between">
      <formula>221101</formula>
      <formula>221118</formula>
    </cfRule>
    <cfRule type="cellIs" dxfId="7797" priority="7767" stopIfTrue="1" operator="between">
      <formula>221142</formula>
      <formula>221144</formula>
    </cfRule>
    <cfRule type="cellIs" dxfId="7796" priority="7768" stopIfTrue="1" operator="between">
      <formula>220001</formula>
      <formula>221144</formula>
    </cfRule>
  </conditionalFormatting>
  <conditionalFormatting sqref="D42">
    <cfRule type="cellIs" dxfId="7795" priority="7763" stopIfTrue="1" operator="between">
      <formula>221101</formula>
      <formula>221118</formula>
    </cfRule>
    <cfRule type="cellIs" dxfId="7794" priority="7764" stopIfTrue="1" operator="between">
      <formula>221142</formula>
      <formula>221144</formula>
    </cfRule>
    <cfRule type="cellIs" dxfId="7793" priority="7765" stopIfTrue="1" operator="between">
      <formula>220001</formula>
      <formula>221144</formula>
    </cfRule>
  </conditionalFormatting>
  <conditionalFormatting sqref="D42">
    <cfRule type="cellIs" dxfId="7792" priority="7760" stopIfTrue="1" operator="between">
      <formula>221101</formula>
      <formula>221118</formula>
    </cfRule>
    <cfRule type="cellIs" dxfId="7791" priority="7761" stopIfTrue="1" operator="between">
      <formula>221142</formula>
      <formula>221144</formula>
    </cfRule>
    <cfRule type="cellIs" dxfId="7790" priority="7762" stopIfTrue="1" operator="between">
      <formula>220001</formula>
      <formula>221144</formula>
    </cfRule>
  </conditionalFormatting>
  <conditionalFormatting sqref="AN42">
    <cfRule type="cellIs" dxfId="7789" priority="7757" stopIfTrue="1" operator="between">
      <formula>221101</formula>
      <formula>221118</formula>
    </cfRule>
    <cfRule type="cellIs" dxfId="7788" priority="7758" stopIfTrue="1" operator="between">
      <formula>221142</formula>
      <formula>221144</formula>
    </cfRule>
    <cfRule type="cellIs" dxfId="7787" priority="7759" stopIfTrue="1" operator="between">
      <formula>220001</formula>
      <formula>221144</formula>
    </cfRule>
  </conditionalFormatting>
  <conditionalFormatting sqref="AM42">
    <cfRule type="cellIs" dxfId="7786" priority="7754" stopIfTrue="1" operator="between">
      <formula>221101</formula>
      <formula>221118</formula>
    </cfRule>
    <cfRule type="cellIs" dxfId="7785" priority="7755" stopIfTrue="1" operator="between">
      <formula>221142</formula>
      <formula>221144</formula>
    </cfRule>
    <cfRule type="cellIs" dxfId="7784" priority="7756" stopIfTrue="1" operator="between">
      <formula>220001</formula>
      <formula>221144</formula>
    </cfRule>
  </conditionalFormatting>
  <conditionalFormatting sqref="AM42">
    <cfRule type="cellIs" dxfId="7783" priority="7751" stopIfTrue="1" operator="between">
      <formula>221101</formula>
      <formula>221118</formula>
    </cfRule>
    <cfRule type="cellIs" dxfId="7782" priority="7752" stopIfTrue="1" operator="between">
      <formula>221142</formula>
      <formula>221144</formula>
    </cfRule>
    <cfRule type="cellIs" dxfId="7781" priority="7753" stopIfTrue="1" operator="between">
      <formula>220001</formula>
      <formula>221144</formula>
    </cfRule>
  </conditionalFormatting>
  <conditionalFormatting sqref="AL42">
    <cfRule type="cellIs" dxfId="7780" priority="7748" stopIfTrue="1" operator="between">
      <formula>221101</formula>
      <formula>221118</formula>
    </cfRule>
    <cfRule type="cellIs" dxfId="7779" priority="7749" stopIfTrue="1" operator="between">
      <formula>221142</formula>
      <formula>221144</formula>
    </cfRule>
    <cfRule type="cellIs" dxfId="7778" priority="7750" stopIfTrue="1" operator="between">
      <formula>220001</formula>
      <formula>221144</formula>
    </cfRule>
  </conditionalFormatting>
  <conditionalFormatting sqref="C42">
    <cfRule type="cellIs" dxfId="7777" priority="7745" stopIfTrue="1" operator="between">
      <formula>221101</formula>
      <formula>221118</formula>
    </cfRule>
    <cfRule type="cellIs" dxfId="7776" priority="7746" stopIfTrue="1" operator="between">
      <formula>221142</formula>
      <formula>221144</formula>
    </cfRule>
    <cfRule type="cellIs" dxfId="7775" priority="7747" stopIfTrue="1" operator="between">
      <formula>220001</formula>
      <formula>221144</formula>
    </cfRule>
  </conditionalFormatting>
  <conditionalFormatting sqref="C42">
    <cfRule type="cellIs" dxfId="7774" priority="7742" stopIfTrue="1" operator="between">
      <formula>221101</formula>
      <formula>221118</formula>
    </cfRule>
    <cfRule type="cellIs" dxfId="7773" priority="7743" stopIfTrue="1" operator="between">
      <formula>221142</formula>
      <formula>221144</formula>
    </cfRule>
    <cfRule type="cellIs" dxfId="7772" priority="7744" stopIfTrue="1" operator="between">
      <formula>220001</formula>
      <formula>221144</formula>
    </cfRule>
  </conditionalFormatting>
  <conditionalFormatting sqref="C42">
    <cfRule type="cellIs" dxfId="7771" priority="7739" stopIfTrue="1" operator="between">
      <formula>221101</formula>
      <formula>221118</formula>
    </cfRule>
    <cfRule type="cellIs" dxfId="7770" priority="7740" stopIfTrue="1" operator="between">
      <formula>221142</formula>
      <formula>221144</formula>
    </cfRule>
    <cfRule type="cellIs" dxfId="7769" priority="7741" stopIfTrue="1" operator="between">
      <formula>220001</formula>
      <formula>221144</formula>
    </cfRule>
  </conditionalFormatting>
  <conditionalFormatting sqref="C42">
    <cfRule type="cellIs" dxfId="7768" priority="7736" stopIfTrue="1" operator="between">
      <formula>221101</formula>
      <formula>221118</formula>
    </cfRule>
    <cfRule type="cellIs" dxfId="7767" priority="7737" stopIfTrue="1" operator="between">
      <formula>221142</formula>
      <formula>221144</formula>
    </cfRule>
    <cfRule type="cellIs" dxfId="7766" priority="7738" stopIfTrue="1" operator="between">
      <formula>220001</formula>
      <formula>221144</formula>
    </cfRule>
  </conditionalFormatting>
  <conditionalFormatting sqref="AN42">
    <cfRule type="cellIs" dxfId="7765" priority="7733" stopIfTrue="1" operator="between">
      <formula>221101</formula>
      <formula>221118</formula>
    </cfRule>
    <cfRule type="cellIs" dxfId="7764" priority="7734" stopIfTrue="1" operator="between">
      <formula>221142</formula>
      <formula>221144</formula>
    </cfRule>
    <cfRule type="cellIs" dxfId="7763" priority="7735" stopIfTrue="1" operator="between">
      <formula>220001</formula>
      <formula>221144</formula>
    </cfRule>
  </conditionalFormatting>
  <conditionalFormatting sqref="AM42">
    <cfRule type="cellIs" dxfId="7762" priority="7730" stopIfTrue="1" operator="between">
      <formula>221101</formula>
      <formula>221118</formula>
    </cfRule>
    <cfRule type="cellIs" dxfId="7761" priority="7731" stopIfTrue="1" operator="between">
      <formula>221142</formula>
      <formula>221144</formula>
    </cfRule>
    <cfRule type="cellIs" dxfId="7760" priority="7732" stopIfTrue="1" operator="between">
      <formula>220001</formula>
      <formula>221144</formula>
    </cfRule>
  </conditionalFormatting>
  <conditionalFormatting sqref="AM42">
    <cfRule type="cellIs" dxfId="7759" priority="7727" stopIfTrue="1" operator="between">
      <formula>221101</formula>
      <formula>221118</formula>
    </cfRule>
    <cfRule type="cellIs" dxfId="7758" priority="7728" stopIfTrue="1" operator="between">
      <formula>221142</formula>
      <formula>221144</formula>
    </cfRule>
    <cfRule type="cellIs" dxfId="7757" priority="7729" stopIfTrue="1" operator="between">
      <formula>220001</formula>
      <formula>221144</formula>
    </cfRule>
  </conditionalFormatting>
  <conditionalFormatting sqref="AL42">
    <cfRule type="cellIs" dxfId="7756" priority="7724" stopIfTrue="1" operator="between">
      <formula>221101</formula>
      <formula>221118</formula>
    </cfRule>
    <cfRule type="cellIs" dxfId="7755" priority="7725" stopIfTrue="1" operator="between">
      <formula>221142</formula>
      <formula>221144</formula>
    </cfRule>
    <cfRule type="cellIs" dxfId="7754" priority="7726" stopIfTrue="1" operator="between">
      <formula>220001</formula>
      <formula>221144</formula>
    </cfRule>
  </conditionalFormatting>
  <conditionalFormatting sqref="C42">
    <cfRule type="cellIs" dxfId="7753" priority="7721" stopIfTrue="1" operator="between">
      <formula>221101</formula>
      <formula>221118</formula>
    </cfRule>
    <cfRule type="cellIs" dxfId="7752" priority="7722" stopIfTrue="1" operator="between">
      <formula>221142</formula>
      <formula>221144</formula>
    </cfRule>
    <cfRule type="cellIs" dxfId="7751" priority="7723" stopIfTrue="1" operator="between">
      <formula>220001</formula>
      <formula>221144</formula>
    </cfRule>
  </conditionalFormatting>
  <conditionalFormatting sqref="C42">
    <cfRule type="cellIs" dxfId="7750" priority="7718" stopIfTrue="1" operator="between">
      <formula>221101</formula>
      <formula>221118</formula>
    </cfRule>
    <cfRule type="cellIs" dxfId="7749" priority="7719" stopIfTrue="1" operator="between">
      <formula>221142</formula>
      <formula>221144</formula>
    </cfRule>
    <cfRule type="cellIs" dxfId="7748" priority="7720" stopIfTrue="1" operator="between">
      <formula>220001</formula>
      <formula>221144</formula>
    </cfRule>
  </conditionalFormatting>
  <conditionalFormatting sqref="C42">
    <cfRule type="cellIs" dxfId="7747" priority="7715" stopIfTrue="1" operator="between">
      <formula>221101</formula>
      <formula>221118</formula>
    </cfRule>
    <cfRule type="cellIs" dxfId="7746" priority="7716" stopIfTrue="1" operator="between">
      <formula>221142</formula>
      <formula>221144</formula>
    </cfRule>
    <cfRule type="cellIs" dxfId="7745" priority="7717" stopIfTrue="1" operator="between">
      <formula>220001</formula>
      <formula>221144</formula>
    </cfRule>
  </conditionalFormatting>
  <conditionalFormatting sqref="C42">
    <cfRule type="cellIs" dxfId="7744" priority="7712" stopIfTrue="1" operator="between">
      <formula>221101</formula>
      <formula>221118</formula>
    </cfRule>
    <cfRule type="cellIs" dxfId="7743" priority="7713" stopIfTrue="1" operator="between">
      <formula>221142</formula>
      <formula>221144</formula>
    </cfRule>
    <cfRule type="cellIs" dxfId="7742" priority="7714" stopIfTrue="1" operator="between">
      <formula>220001</formula>
      <formula>221144</formula>
    </cfRule>
  </conditionalFormatting>
  <conditionalFormatting sqref="AM42">
    <cfRule type="cellIs" dxfId="7741" priority="7709" stopIfTrue="1" operator="between">
      <formula>221101</formula>
      <formula>221118</formula>
    </cfRule>
    <cfRule type="cellIs" dxfId="7740" priority="7710" stopIfTrue="1" operator="between">
      <formula>221142</formula>
      <formula>221144</formula>
    </cfRule>
    <cfRule type="cellIs" dxfId="7739" priority="7711" stopIfTrue="1" operator="between">
      <formula>220001</formula>
      <formula>221144</formula>
    </cfRule>
  </conditionalFormatting>
  <conditionalFormatting sqref="AL42">
    <cfRule type="cellIs" dxfId="7738" priority="7706" stopIfTrue="1" operator="between">
      <formula>221101</formula>
      <formula>221118</formula>
    </cfRule>
    <cfRule type="cellIs" dxfId="7737" priority="7707" stopIfTrue="1" operator="between">
      <formula>221142</formula>
      <formula>221144</formula>
    </cfRule>
    <cfRule type="cellIs" dxfId="7736" priority="7708" stopIfTrue="1" operator="between">
      <formula>220001</formula>
      <formula>221144</formula>
    </cfRule>
  </conditionalFormatting>
  <conditionalFormatting sqref="AL42">
    <cfRule type="cellIs" dxfId="7735" priority="7703" stopIfTrue="1" operator="between">
      <formula>221101</formula>
      <formula>221118</formula>
    </cfRule>
    <cfRule type="cellIs" dxfId="7734" priority="7704" stopIfTrue="1" operator="between">
      <formula>221142</formula>
      <formula>221144</formula>
    </cfRule>
    <cfRule type="cellIs" dxfId="7733" priority="7705" stopIfTrue="1" operator="between">
      <formula>220001</formula>
      <formula>221144</formula>
    </cfRule>
  </conditionalFormatting>
  <conditionalFormatting sqref="AK42">
    <cfRule type="cellIs" dxfId="7732" priority="7700" stopIfTrue="1" operator="between">
      <formula>221101</formula>
      <formula>221118</formula>
    </cfRule>
    <cfRule type="cellIs" dxfId="7731" priority="7701" stopIfTrue="1" operator="between">
      <formula>221142</formula>
      <formula>221144</formula>
    </cfRule>
    <cfRule type="cellIs" dxfId="7730" priority="7702" stopIfTrue="1" operator="between">
      <formula>220001</formula>
      <formula>221144</formula>
    </cfRule>
  </conditionalFormatting>
  <conditionalFormatting sqref="AN42">
    <cfRule type="cellIs" dxfId="7729" priority="7697" stopIfTrue="1" operator="between">
      <formula>221101</formula>
      <formula>221118</formula>
    </cfRule>
    <cfRule type="cellIs" dxfId="7728" priority="7698" stopIfTrue="1" operator="between">
      <formula>221142</formula>
      <formula>221144</formula>
    </cfRule>
    <cfRule type="cellIs" dxfId="7727" priority="7699" stopIfTrue="1" operator="between">
      <formula>220001</formula>
      <formula>221144</formula>
    </cfRule>
  </conditionalFormatting>
  <conditionalFormatting sqref="AM42">
    <cfRule type="cellIs" dxfId="7726" priority="7694" stopIfTrue="1" operator="between">
      <formula>221101</formula>
      <formula>221118</formula>
    </cfRule>
    <cfRule type="cellIs" dxfId="7725" priority="7695" stopIfTrue="1" operator="between">
      <formula>221142</formula>
      <formula>221144</formula>
    </cfRule>
    <cfRule type="cellIs" dxfId="7724" priority="7696" stopIfTrue="1" operator="between">
      <formula>220001</formula>
      <formula>221144</formula>
    </cfRule>
  </conditionalFormatting>
  <conditionalFormatting sqref="AM42">
    <cfRule type="cellIs" dxfId="7723" priority="7691" stopIfTrue="1" operator="between">
      <formula>221101</formula>
      <formula>221118</formula>
    </cfRule>
    <cfRule type="cellIs" dxfId="7722" priority="7692" stopIfTrue="1" operator="between">
      <formula>221142</formula>
      <formula>221144</formula>
    </cfRule>
    <cfRule type="cellIs" dxfId="7721" priority="7693" stopIfTrue="1" operator="between">
      <formula>220001</formula>
      <formula>221144</formula>
    </cfRule>
  </conditionalFormatting>
  <conditionalFormatting sqref="AL42">
    <cfRule type="cellIs" dxfId="7720" priority="7688" stopIfTrue="1" operator="between">
      <formula>221101</formula>
      <formula>221118</formula>
    </cfRule>
    <cfRule type="cellIs" dxfId="7719" priority="7689" stopIfTrue="1" operator="between">
      <formula>221142</formula>
      <formula>221144</formula>
    </cfRule>
    <cfRule type="cellIs" dxfId="7718" priority="7690" stopIfTrue="1" operator="between">
      <formula>220001</formula>
      <formula>221144</formula>
    </cfRule>
  </conditionalFormatting>
  <conditionalFormatting sqref="C42">
    <cfRule type="cellIs" dxfId="7717" priority="7685" stopIfTrue="1" operator="between">
      <formula>221101</formula>
      <formula>221118</formula>
    </cfRule>
    <cfRule type="cellIs" dxfId="7716" priority="7686" stopIfTrue="1" operator="between">
      <formula>221142</formula>
      <formula>221144</formula>
    </cfRule>
    <cfRule type="cellIs" dxfId="7715" priority="7687" stopIfTrue="1" operator="between">
      <formula>220001</formula>
      <formula>221144</formula>
    </cfRule>
  </conditionalFormatting>
  <conditionalFormatting sqref="C42">
    <cfRule type="cellIs" dxfId="7714" priority="7682" stopIfTrue="1" operator="between">
      <formula>221101</formula>
      <formula>221118</formula>
    </cfRule>
    <cfRule type="cellIs" dxfId="7713" priority="7683" stopIfTrue="1" operator="between">
      <formula>221142</formula>
      <formula>221144</formula>
    </cfRule>
    <cfRule type="cellIs" dxfId="7712" priority="7684" stopIfTrue="1" operator="between">
      <formula>220001</formula>
      <formula>221144</formula>
    </cfRule>
  </conditionalFormatting>
  <conditionalFormatting sqref="C42">
    <cfRule type="cellIs" dxfId="7711" priority="7679" stopIfTrue="1" operator="between">
      <formula>221101</formula>
      <formula>221118</formula>
    </cfRule>
    <cfRule type="cellIs" dxfId="7710" priority="7680" stopIfTrue="1" operator="between">
      <formula>221142</formula>
      <formula>221144</formula>
    </cfRule>
    <cfRule type="cellIs" dxfId="7709" priority="7681" stopIfTrue="1" operator="between">
      <formula>220001</formula>
      <formula>221144</formula>
    </cfRule>
  </conditionalFormatting>
  <conditionalFormatting sqref="C42">
    <cfRule type="cellIs" dxfId="7708" priority="7676" stopIfTrue="1" operator="between">
      <formula>221101</formula>
      <formula>221118</formula>
    </cfRule>
    <cfRule type="cellIs" dxfId="7707" priority="7677" stopIfTrue="1" operator="between">
      <formula>221142</formula>
      <formula>221144</formula>
    </cfRule>
    <cfRule type="cellIs" dxfId="7706" priority="7678" stopIfTrue="1" operator="between">
      <formula>220001</formula>
      <formula>221144</formula>
    </cfRule>
  </conditionalFormatting>
  <conditionalFormatting sqref="AM42">
    <cfRule type="cellIs" dxfId="7705" priority="7673" stopIfTrue="1" operator="between">
      <formula>221101</formula>
      <formula>221118</formula>
    </cfRule>
    <cfRule type="cellIs" dxfId="7704" priority="7674" stopIfTrue="1" operator="between">
      <formula>221142</formula>
      <formula>221144</formula>
    </cfRule>
    <cfRule type="cellIs" dxfId="7703" priority="7675" stopIfTrue="1" operator="between">
      <formula>220001</formula>
      <formula>221144</formula>
    </cfRule>
  </conditionalFormatting>
  <conditionalFormatting sqref="AL42">
    <cfRule type="cellIs" dxfId="7702" priority="7670" stopIfTrue="1" operator="between">
      <formula>221101</formula>
      <formula>221118</formula>
    </cfRule>
    <cfRule type="cellIs" dxfId="7701" priority="7671" stopIfTrue="1" operator="between">
      <formula>221142</formula>
      <formula>221144</formula>
    </cfRule>
    <cfRule type="cellIs" dxfId="7700" priority="7672" stopIfTrue="1" operator="between">
      <formula>220001</formula>
      <formula>221144</formula>
    </cfRule>
  </conditionalFormatting>
  <conditionalFormatting sqref="AL42">
    <cfRule type="cellIs" dxfId="7699" priority="7667" stopIfTrue="1" operator="between">
      <formula>221101</formula>
      <formula>221118</formula>
    </cfRule>
    <cfRule type="cellIs" dxfId="7698" priority="7668" stopIfTrue="1" operator="between">
      <formula>221142</formula>
      <formula>221144</formula>
    </cfRule>
    <cfRule type="cellIs" dxfId="7697" priority="7669" stopIfTrue="1" operator="between">
      <formula>220001</formula>
      <formula>221144</formula>
    </cfRule>
  </conditionalFormatting>
  <conditionalFormatting sqref="AK42">
    <cfRule type="cellIs" dxfId="7696" priority="7664" stopIfTrue="1" operator="between">
      <formula>221101</formula>
      <formula>221118</formula>
    </cfRule>
    <cfRule type="cellIs" dxfId="7695" priority="7665" stopIfTrue="1" operator="between">
      <formula>221142</formula>
      <formula>221144</formula>
    </cfRule>
    <cfRule type="cellIs" dxfId="7694" priority="7666" stopIfTrue="1" operator="between">
      <formula>220001</formula>
      <formula>221144</formula>
    </cfRule>
  </conditionalFormatting>
  <conditionalFormatting sqref="AM42">
    <cfRule type="cellIs" dxfId="7693" priority="7661" stopIfTrue="1" operator="between">
      <formula>221101</formula>
      <formula>221118</formula>
    </cfRule>
    <cfRule type="cellIs" dxfId="7692" priority="7662" stopIfTrue="1" operator="between">
      <formula>221142</formula>
      <formula>221144</formula>
    </cfRule>
    <cfRule type="cellIs" dxfId="7691" priority="7663" stopIfTrue="1" operator="between">
      <formula>220001</formula>
      <formula>221144</formula>
    </cfRule>
  </conditionalFormatting>
  <conditionalFormatting sqref="AL42">
    <cfRule type="cellIs" dxfId="7690" priority="7658" stopIfTrue="1" operator="between">
      <formula>221101</formula>
      <formula>221118</formula>
    </cfRule>
    <cfRule type="cellIs" dxfId="7689" priority="7659" stopIfTrue="1" operator="between">
      <formula>221142</formula>
      <formula>221144</formula>
    </cfRule>
    <cfRule type="cellIs" dxfId="7688" priority="7660" stopIfTrue="1" operator="between">
      <formula>220001</formula>
      <formula>221144</formula>
    </cfRule>
  </conditionalFormatting>
  <conditionalFormatting sqref="AL42">
    <cfRule type="cellIs" dxfId="7687" priority="7655" stopIfTrue="1" operator="between">
      <formula>221101</formula>
      <formula>221118</formula>
    </cfRule>
    <cfRule type="cellIs" dxfId="7686" priority="7656" stopIfTrue="1" operator="between">
      <formula>221142</formula>
      <formula>221144</formula>
    </cfRule>
    <cfRule type="cellIs" dxfId="7685" priority="7657" stopIfTrue="1" operator="between">
      <formula>220001</formula>
      <formula>221144</formula>
    </cfRule>
  </conditionalFormatting>
  <conditionalFormatting sqref="AK42">
    <cfRule type="cellIs" dxfId="7684" priority="7652" stopIfTrue="1" operator="between">
      <formula>221101</formula>
      <formula>221118</formula>
    </cfRule>
    <cfRule type="cellIs" dxfId="7683" priority="7653" stopIfTrue="1" operator="between">
      <formula>221142</formula>
      <formula>221144</formula>
    </cfRule>
    <cfRule type="cellIs" dxfId="7682" priority="7654" stopIfTrue="1" operator="between">
      <formula>220001</formula>
      <formula>221144</formula>
    </cfRule>
  </conditionalFormatting>
  <conditionalFormatting sqref="AL42">
    <cfRule type="cellIs" dxfId="7681" priority="7649" stopIfTrue="1" operator="between">
      <formula>221101</formula>
      <formula>221118</formula>
    </cfRule>
    <cfRule type="cellIs" dxfId="7680" priority="7650" stopIfTrue="1" operator="between">
      <formula>221142</formula>
      <formula>221144</formula>
    </cfRule>
    <cfRule type="cellIs" dxfId="7679" priority="7651" stopIfTrue="1" operator="between">
      <formula>220001</formula>
      <formula>221144</formula>
    </cfRule>
  </conditionalFormatting>
  <conditionalFormatting sqref="AK42">
    <cfRule type="cellIs" dxfId="7678" priority="7646" stopIfTrue="1" operator="between">
      <formula>221101</formula>
      <formula>221118</formula>
    </cfRule>
    <cfRule type="cellIs" dxfId="7677" priority="7647" stopIfTrue="1" operator="between">
      <formula>221142</formula>
      <formula>221144</formula>
    </cfRule>
    <cfRule type="cellIs" dxfId="7676" priority="7648" stopIfTrue="1" operator="between">
      <formula>220001</formula>
      <formula>221144</formula>
    </cfRule>
  </conditionalFormatting>
  <conditionalFormatting sqref="AK42">
    <cfRule type="cellIs" dxfId="7675" priority="7643" stopIfTrue="1" operator="between">
      <formula>221101</formula>
      <formula>221118</formula>
    </cfRule>
    <cfRule type="cellIs" dxfId="7674" priority="7644" stopIfTrue="1" operator="between">
      <formula>221142</formula>
      <formula>221144</formula>
    </cfRule>
    <cfRule type="cellIs" dxfId="7673" priority="7645" stopIfTrue="1" operator="between">
      <formula>220001</formula>
      <formula>221144</formula>
    </cfRule>
  </conditionalFormatting>
  <conditionalFormatting sqref="AJ42">
    <cfRule type="cellIs" dxfId="7672" priority="7640" stopIfTrue="1" operator="between">
      <formula>221101</formula>
      <formula>221118</formula>
    </cfRule>
    <cfRule type="cellIs" dxfId="7671" priority="7641" stopIfTrue="1" operator="between">
      <formula>221142</formula>
      <formula>221144</formula>
    </cfRule>
    <cfRule type="cellIs" dxfId="7670" priority="7642" stopIfTrue="1" operator="between">
      <formula>220001</formula>
      <formula>221144</formula>
    </cfRule>
  </conditionalFormatting>
  <conditionalFormatting sqref="C5">
    <cfRule type="cellIs" dxfId="7669" priority="7637" stopIfTrue="1" operator="between">
      <formula>221101</formula>
      <formula>221118</formula>
    </cfRule>
    <cfRule type="cellIs" dxfId="7668" priority="7638" stopIfTrue="1" operator="between">
      <formula>221142</formula>
      <formula>221144</formula>
    </cfRule>
    <cfRule type="cellIs" dxfId="7667" priority="7639" stopIfTrue="1" operator="between">
      <formula>220001</formula>
      <formula>221144</formula>
    </cfRule>
  </conditionalFormatting>
  <conditionalFormatting sqref="D5">
    <cfRule type="cellIs" dxfId="7666" priority="7634" stopIfTrue="1" operator="between">
      <formula>221101</formula>
      <formula>221118</formula>
    </cfRule>
    <cfRule type="cellIs" dxfId="7665" priority="7635" stopIfTrue="1" operator="between">
      <formula>221142</formula>
      <formula>221144</formula>
    </cfRule>
    <cfRule type="cellIs" dxfId="7664" priority="7636" stopIfTrue="1" operator="between">
      <formula>220001</formula>
      <formula>221144</formula>
    </cfRule>
  </conditionalFormatting>
  <conditionalFormatting sqref="C5">
    <cfRule type="cellIs" dxfId="7663" priority="7631" stopIfTrue="1" operator="between">
      <formula>221101</formula>
      <formula>221118</formula>
    </cfRule>
    <cfRule type="cellIs" dxfId="7662" priority="7632" stopIfTrue="1" operator="between">
      <formula>221142</formula>
      <formula>221144</formula>
    </cfRule>
    <cfRule type="cellIs" dxfId="7661" priority="7633" stopIfTrue="1" operator="between">
      <formula>220001</formula>
      <formula>221144</formula>
    </cfRule>
  </conditionalFormatting>
  <conditionalFormatting sqref="D5">
    <cfRule type="cellIs" dxfId="7660" priority="7628" stopIfTrue="1" operator="between">
      <formula>221101</formula>
      <formula>221118</formula>
    </cfRule>
    <cfRule type="cellIs" dxfId="7659" priority="7629" stopIfTrue="1" operator="between">
      <formula>221142</formula>
      <formula>221144</formula>
    </cfRule>
    <cfRule type="cellIs" dxfId="7658" priority="7630" stopIfTrue="1" operator="between">
      <formula>220001</formula>
      <formula>221144</formula>
    </cfRule>
  </conditionalFormatting>
  <conditionalFormatting sqref="D5">
    <cfRule type="cellIs" dxfId="7657" priority="7625" stopIfTrue="1" operator="between">
      <formula>221101</formula>
      <formula>221118</formula>
    </cfRule>
    <cfRule type="cellIs" dxfId="7656" priority="7626" stopIfTrue="1" operator="between">
      <formula>221142</formula>
      <formula>221144</formula>
    </cfRule>
    <cfRule type="cellIs" dxfId="7655" priority="7627" stopIfTrue="1" operator="between">
      <formula>220001</formula>
      <formula>221144</formula>
    </cfRule>
  </conditionalFormatting>
  <conditionalFormatting sqref="C5">
    <cfRule type="cellIs" dxfId="7654" priority="7622" stopIfTrue="1" operator="between">
      <formula>221101</formula>
      <formula>221118</formula>
    </cfRule>
    <cfRule type="cellIs" dxfId="7653" priority="7623" stopIfTrue="1" operator="between">
      <formula>221142</formula>
      <formula>221144</formula>
    </cfRule>
    <cfRule type="cellIs" dxfId="7652" priority="7624" stopIfTrue="1" operator="between">
      <formula>220001</formula>
      <formula>221144</formula>
    </cfRule>
  </conditionalFormatting>
  <conditionalFormatting sqref="C5">
    <cfRule type="cellIs" dxfId="7651" priority="7619" stopIfTrue="1" operator="between">
      <formula>221101</formula>
      <formula>221118</formula>
    </cfRule>
    <cfRule type="cellIs" dxfId="7650" priority="7620" stopIfTrue="1" operator="between">
      <formula>221142</formula>
      <formula>221144</formula>
    </cfRule>
    <cfRule type="cellIs" dxfId="7649" priority="7621" stopIfTrue="1" operator="between">
      <formula>220001</formula>
      <formula>221144</formula>
    </cfRule>
  </conditionalFormatting>
  <conditionalFormatting sqref="C5">
    <cfRule type="cellIs" dxfId="7648" priority="7616" stopIfTrue="1" operator="between">
      <formula>221101</formula>
      <formula>221118</formula>
    </cfRule>
    <cfRule type="cellIs" dxfId="7647" priority="7617" stopIfTrue="1" operator="between">
      <formula>221142</formula>
      <formula>221144</formula>
    </cfRule>
    <cfRule type="cellIs" dxfId="7646" priority="7618" stopIfTrue="1" operator="between">
      <formula>220001</formula>
      <formula>221144</formula>
    </cfRule>
  </conditionalFormatting>
  <conditionalFormatting sqref="C5">
    <cfRule type="cellIs" dxfId="7645" priority="7613" stopIfTrue="1" operator="between">
      <formula>221101</formula>
      <formula>221118</formula>
    </cfRule>
    <cfRule type="cellIs" dxfId="7644" priority="7614" stopIfTrue="1" operator="between">
      <formula>221142</formula>
      <formula>221144</formula>
    </cfRule>
    <cfRule type="cellIs" dxfId="7643" priority="7615" stopIfTrue="1" operator="between">
      <formula>220001</formula>
      <formula>221144</formula>
    </cfRule>
  </conditionalFormatting>
  <conditionalFormatting sqref="C5">
    <cfRule type="cellIs" dxfId="7642" priority="7610" stopIfTrue="1" operator="between">
      <formula>221101</formula>
      <formula>221118</formula>
    </cfRule>
    <cfRule type="cellIs" dxfId="7641" priority="7611" stopIfTrue="1" operator="between">
      <formula>221142</formula>
      <formula>221144</formula>
    </cfRule>
    <cfRule type="cellIs" dxfId="7640" priority="7612" stopIfTrue="1" operator="between">
      <formula>220001</formula>
      <formula>221144</formula>
    </cfRule>
  </conditionalFormatting>
  <conditionalFormatting sqref="C5">
    <cfRule type="cellIs" dxfId="7639" priority="7607" stopIfTrue="1" operator="between">
      <formula>221101</formula>
      <formula>221118</formula>
    </cfRule>
    <cfRule type="cellIs" dxfId="7638" priority="7608" stopIfTrue="1" operator="between">
      <formula>221142</formula>
      <formula>221144</formula>
    </cfRule>
    <cfRule type="cellIs" dxfId="7637" priority="7609" stopIfTrue="1" operator="between">
      <formula>220001</formula>
      <formula>221144</formula>
    </cfRule>
  </conditionalFormatting>
  <conditionalFormatting sqref="C5">
    <cfRule type="cellIs" dxfId="7636" priority="7604" stopIfTrue="1" operator="between">
      <formula>221101</formula>
      <formula>221118</formula>
    </cfRule>
    <cfRule type="cellIs" dxfId="7635" priority="7605" stopIfTrue="1" operator="between">
      <formula>221142</formula>
      <formula>221144</formula>
    </cfRule>
    <cfRule type="cellIs" dxfId="7634" priority="7606" stopIfTrue="1" operator="between">
      <formula>220001</formula>
      <formula>221144</formula>
    </cfRule>
  </conditionalFormatting>
  <conditionalFormatting sqref="C5">
    <cfRule type="cellIs" dxfId="7633" priority="7601" stopIfTrue="1" operator="between">
      <formula>221101</formula>
      <formula>221118</formula>
    </cfRule>
    <cfRule type="cellIs" dxfId="7632" priority="7602" stopIfTrue="1" operator="between">
      <formula>221142</formula>
      <formula>221144</formula>
    </cfRule>
    <cfRule type="cellIs" dxfId="7631" priority="7603" stopIfTrue="1" operator="between">
      <formula>220001</formula>
      <formula>221144</formula>
    </cfRule>
  </conditionalFormatting>
  <conditionalFormatting sqref="C5">
    <cfRule type="cellIs" dxfId="7630" priority="7598" stopIfTrue="1" operator="between">
      <formula>221101</formula>
      <formula>221118</formula>
    </cfRule>
    <cfRule type="cellIs" dxfId="7629" priority="7599" stopIfTrue="1" operator="between">
      <formula>221142</formula>
      <formula>221144</formula>
    </cfRule>
    <cfRule type="cellIs" dxfId="7628" priority="7600" stopIfTrue="1" operator="between">
      <formula>220001</formula>
      <formula>221144</formula>
    </cfRule>
  </conditionalFormatting>
  <conditionalFormatting sqref="C5">
    <cfRule type="cellIs" dxfId="7627" priority="7595" stopIfTrue="1" operator="between">
      <formula>221101</formula>
      <formula>221118</formula>
    </cfRule>
    <cfRule type="cellIs" dxfId="7626" priority="7596" stopIfTrue="1" operator="between">
      <formula>221142</formula>
      <formula>221144</formula>
    </cfRule>
    <cfRule type="cellIs" dxfId="7625" priority="7597" stopIfTrue="1" operator="between">
      <formula>220001</formula>
      <formula>221144</formula>
    </cfRule>
  </conditionalFormatting>
  <conditionalFormatting sqref="C5">
    <cfRule type="cellIs" dxfId="7624" priority="7592" stopIfTrue="1" operator="between">
      <formula>221101</formula>
      <formula>221118</formula>
    </cfRule>
    <cfRule type="cellIs" dxfId="7623" priority="7593" stopIfTrue="1" operator="between">
      <formula>221142</formula>
      <formula>221144</formula>
    </cfRule>
    <cfRule type="cellIs" dxfId="7622" priority="7594" stopIfTrue="1" operator="between">
      <formula>220001</formula>
      <formula>221144</formula>
    </cfRule>
  </conditionalFormatting>
  <conditionalFormatting sqref="C5">
    <cfRule type="cellIs" dxfId="7621" priority="7589" stopIfTrue="1" operator="between">
      <formula>221101</formula>
      <formula>221118</formula>
    </cfRule>
    <cfRule type="cellIs" dxfId="7620" priority="7590" stopIfTrue="1" operator="between">
      <formula>221142</formula>
      <formula>221144</formula>
    </cfRule>
    <cfRule type="cellIs" dxfId="7619" priority="7591" stopIfTrue="1" operator="between">
      <formula>220001</formula>
      <formula>221144</formula>
    </cfRule>
  </conditionalFormatting>
  <conditionalFormatting sqref="E13">
    <cfRule type="cellIs" dxfId="7618" priority="7586" stopIfTrue="1" operator="between">
      <formula>221101</formula>
      <formula>221118</formula>
    </cfRule>
    <cfRule type="cellIs" dxfId="7617" priority="7587" stopIfTrue="1" operator="between">
      <formula>221142</formula>
      <formula>221144</formula>
    </cfRule>
    <cfRule type="cellIs" dxfId="7616" priority="7588" stopIfTrue="1" operator="between">
      <formula>220001</formula>
      <formula>221144</formula>
    </cfRule>
  </conditionalFormatting>
  <conditionalFormatting sqref="AE13">
    <cfRule type="cellIs" dxfId="7615" priority="7583" stopIfTrue="1" operator="between">
      <formula>221101</formula>
      <formula>221118</formula>
    </cfRule>
    <cfRule type="cellIs" dxfId="7614" priority="7584" stopIfTrue="1" operator="between">
      <formula>221142</formula>
      <formula>221144</formula>
    </cfRule>
    <cfRule type="cellIs" dxfId="7613" priority="7585" stopIfTrue="1" operator="between">
      <formula>220001</formula>
      <formula>221144</formula>
    </cfRule>
  </conditionalFormatting>
  <conditionalFormatting sqref="C13">
    <cfRule type="cellIs" dxfId="7612" priority="7580" stopIfTrue="1" operator="between">
      <formula>221101</formula>
      <formula>221118</formula>
    </cfRule>
    <cfRule type="cellIs" dxfId="7611" priority="7581" stopIfTrue="1" operator="between">
      <formula>221142</formula>
      <formula>221144</formula>
    </cfRule>
    <cfRule type="cellIs" dxfId="7610" priority="7582" stopIfTrue="1" operator="between">
      <formula>220001</formula>
      <formula>221144</formula>
    </cfRule>
  </conditionalFormatting>
  <conditionalFormatting sqref="AD13">
    <cfRule type="cellIs" dxfId="7609" priority="7577" stopIfTrue="1" operator="between">
      <formula>221101</formula>
      <formula>221118</formula>
    </cfRule>
    <cfRule type="cellIs" dxfId="7608" priority="7578" stopIfTrue="1" operator="between">
      <formula>221142</formula>
      <formula>221144</formula>
    </cfRule>
    <cfRule type="cellIs" dxfId="7607" priority="7579" stopIfTrue="1" operator="between">
      <formula>220001</formula>
      <formula>221144</formula>
    </cfRule>
  </conditionalFormatting>
  <conditionalFormatting sqref="C13">
    <cfRule type="cellIs" dxfId="7606" priority="7574" stopIfTrue="1" operator="between">
      <formula>221101</formula>
      <formula>221118</formula>
    </cfRule>
    <cfRule type="cellIs" dxfId="7605" priority="7575" stopIfTrue="1" operator="between">
      <formula>221142</formula>
      <formula>221144</formula>
    </cfRule>
    <cfRule type="cellIs" dxfId="7604" priority="7576" stopIfTrue="1" operator="between">
      <formula>220001</formula>
      <formula>221144</formula>
    </cfRule>
  </conditionalFormatting>
  <conditionalFormatting sqref="AN13">
    <cfRule type="cellIs" dxfId="7603" priority="7571" stopIfTrue="1" operator="between">
      <formula>221101</formula>
      <formula>221118</formula>
    </cfRule>
    <cfRule type="cellIs" dxfId="7602" priority="7572" stopIfTrue="1" operator="between">
      <formula>221142</formula>
      <formula>221144</formula>
    </cfRule>
    <cfRule type="cellIs" dxfId="7601" priority="7573" stopIfTrue="1" operator="between">
      <formula>220001</formula>
      <formula>221144</formula>
    </cfRule>
  </conditionalFormatting>
  <conditionalFormatting sqref="AO13">
    <cfRule type="cellIs" dxfId="7600" priority="7568" stopIfTrue="1" operator="between">
      <formula>221101</formula>
      <formula>221118</formula>
    </cfRule>
    <cfRule type="cellIs" dxfId="7599" priority="7569" stopIfTrue="1" operator="between">
      <formula>221142</formula>
      <formula>221144</formula>
    </cfRule>
    <cfRule type="cellIs" dxfId="7598" priority="7570" stopIfTrue="1" operator="between">
      <formula>220001</formula>
      <formula>221144</formula>
    </cfRule>
  </conditionalFormatting>
  <conditionalFormatting sqref="C13">
    <cfRule type="cellIs" dxfId="7597" priority="7565" stopIfTrue="1" operator="between">
      <formula>221101</formula>
      <formula>221118</formula>
    </cfRule>
    <cfRule type="cellIs" dxfId="7596" priority="7566" stopIfTrue="1" operator="between">
      <formula>221142</formula>
      <formula>221144</formula>
    </cfRule>
    <cfRule type="cellIs" dxfId="7595" priority="7567" stopIfTrue="1" operator="between">
      <formula>220001</formula>
      <formula>221144</formula>
    </cfRule>
  </conditionalFormatting>
  <conditionalFormatting sqref="AD13">
    <cfRule type="cellIs" dxfId="7594" priority="7562" stopIfTrue="1" operator="between">
      <formula>221101</formula>
      <formula>221118</formula>
    </cfRule>
    <cfRule type="cellIs" dxfId="7593" priority="7563" stopIfTrue="1" operator="between">
      <formula>221142</formula>
      <formula>221144</formula>
    </cfRule>
    <cfRule type="cellIs" dxfId="7592" priority="7564" stopIfTrue="1" operator="between">
      <formula>220001</formula>
      <formula>221144</formula>
    </cfRule>
  </conditionalFormatting>
  <conditionalFormatting sqref="C13">
    <cfRule type="cellIs" dxfId="7591" priority="7559" stopIfTrue="1" operator="between">
      <formula>221101</formula>
      <formula>221118</formula>
    </cfRule>
    <cfRule type="cellIs" dxfId="7590" priority="7560" stopIfTrue="1" operator="between">
      <formula>221142</formula>
      <formula>221144</formula>
    </cfRule>
    <cfRule type="cellIs" dxfId="7589" priority="7561" stopIfTrue="1" operator="between">
      <formula>220001</formula>
      <formula>221144</formula>
    </cfRule>
  </conditionalFormatting>
  <conditionalFormatting sqref="AC13">
    <cfRule type="cellIs" dxfId="7588" priority="7556" stopIfTrue="1" operator="between">
      <formula>221101</formula>
      <formula>221118</formula>
    </cfRule>
    <cfRule type="cellIs" dxfId="7587" priority="7557" stopIfTrue="1" operator="between">
      <formula>221142</formula>
      <formula>221144</formula>
    </cfRule>
    <cfRule type="cellIs" dxfId="7586" priority="7558" stopIfTrue="1" operator="between">
      <formula>220001</formula>
      <formula>221144</formula>
    </cfRule>
  </conditionalFormatting>
  <conditionalFormatting sqref="C13">
    <cfRule type="cellIs" dxfId="7585" priority="7553" stopIfTrue="1" operator="between">
      <formula>221101</formula>
      <formula>221118</formula>
    </cfRule>
    <cfRule type="cellIs" dxfId="7584" priority="7554" stopIfTrue="1" operator="between">
      <formula>221142</formula>
      <formula>221144</formula>
    </cfRule>
    <cfRule type="cellIs" dxfId="7583" priority="7555" stopIfTrue="1" operator="between">
      <formula>220001</formula>
      <formula>221144</formula>
    </cfRule>
  </conditionalFormatting>
  <conditionalFormatting sqref="C13">
    <cfRule type="cellIs" dxfId="7582" priority="7550" stopIfTrue="1" operator="between">
      <formula>221101</formula>
      <formula>221118</formula>
    </cfRule>
    <cfRule type="cellIs" dxfId="7581" priority="7551" stopIfTrue="1" operator="between">
      <formula>221142</formula>
      <formula>221144</formula>
    </cfRule>
    <cfRule type="cellIs" dxfId="7580" priority="7552" stopIfTrue="1" operator="between">
      <formula>220001</formula>
      <formula>221144</formula>
    </cfRule>
  </conditionalFormatting>
  <conditionalFormatting sqref="C13">
    <cfRule type="cellIs" dxfId="7579" priority="7547" stopIfTrue="1" operator="between">
      <formula>221101</formula>
      <formula>221118</formula>
    </cfRule>
    <cfRule type="cellIs" dxfId="7578" priority="7548" stopIfTrue="1" operator="between">
      <formula>221142</formula>
      <formula>221144</formula>
    </cfRule>
    <cfRule type="cellIs" dxfId="7577" priority="7549" stopIfTrue="1" operator="between">
      <formula>220001</formula>
      <formula>221144</formula>
    </cfRule>
  </conditionalFormatting>
  <conditionalFormatting sqref="AM13">
    <cfRule type="cellIs" dxfId="7576" priority="7544" stopIfTrue="1" operator="between">
      <formula>221101</formula>
      <formula>221118</formula>
    </cfRule>
    <cfRule type="cellIs" dxfId="7575" priority="7545" stopIfTrue="1" operator="between">
      <formula>221142</formula>
      <formula>221144</formula>
    </cfRule>
    <cfRule type="cellIs" dxfId="7574" priority="7546" stopIfTrue="1" operator="between">
      <formula>220001</formula>
      <formula>221144</formula>
    </cfRule>
  </conditionalFormatting>
  <conditionalFormatting sqref="AN13">
    <cfRule type="cellIs" dxfId="7573" priority="7541" stopIfTrue="1" operator="between">
      <formula>221101</formula>
      <formula>221118</formula>
    </cfRule>
    <cfRule type="cellIs" dxfId="7572" priority="7542" stopIfTrue="1" operator="between">
      <formula>221142</formula>
      <formula>221144</formula>
    </cfRule>
    <cfRule type="cellIs" dxfId="7571" priority="7543" stopIfTrue="1" operator="between">
      <formula>220001</formula>
      <formula>221144</formula>
    </cfRule>
  </conditionalFormatting>
  <conditionalFormatting sqref="D13">
    <cfRule type="cellIs" dxfId="7570" priority="7538" stopIfTrue="1" operator="between">
      <formula>221101</formula>
      <formula>221118</formula>
    </cfRule>
    <cfRule type="cellIs" dxfId="7569" priority="7539" stopIfTrue="1" operator="between">
      <formula>221142</formula>
      <formula>221144</formula>
    </cfRule>
    <cfRule type="cellIs" dxfId="7568" priority="7540" stopIfTrue="1" operator="between">
      <formula>220001</formula>
      <formula>221144</formula>
    </cfRule>
  </conditionalFormatting>
  <conditionalFormatting sqref="D13">
    <cfRule type="cellIs" dxfId="7567" priority="7535" stopIfTrue="1" operator="between">
      <formula>221101</formula>
      <formula>221118</formula>
    </cfRule>
    <cfRule type="cellIs" dxfId="7566" priority="7536" stopIfTrue="1" operator="between">
      <formula>221142</formula>
      <formula>221144</formula>
    </cfRule>
    <cfRule type="cellIs" dxfId="7565" priority="7537" stopIfTrue="1" operator="between">
      <formula>220001</formula>
      <formula>221144</formula>
    </cfRule>
  </conditionalFormatting>
  <conditionalFormatting sqref="D13">
    <cfRule type="cellIs" dxfId="7564" priority="7532" stopIfTrue="1" operator="between">
      <formula>221101</formula>
      <formula>221118</formula>
    </cfRule>
    <cfRule type="cellIs" dxfId="7563" priority="7533" stopIfTrue="1" operator="between">
      <formula>221142</formula>
      <formula>221144</formula>
    </cfRule>
    <cfRule type="cellIs" dxfId="7562" priority="7534" stopIfTrue="1" operator="between">
      <formula>220001</formula>
      <formula>221144</formula>
    </cfRule>
  </conditionalFormatting>
  <conditionalFormatting sqref="D13">
    <cfRule type="cellIs" dxfId="7561" priority="7529" stopIfTrue="1" operator="between">
      <formula>221101</formula>
      <formula>221118</formula>
    </cfRule>
    <cfRule type="cellIs" dxfId="7560" priority="7530" stopIfTrue="1" operator="between">
      <formula>221142</formula>
      <formula>221144</formula>
    </cfRule>
    <cfRule type="cellIs" dxfId="7559" priority="7531" stopIfTrue="1" operator="between">
      <formula>220001</formula>
      <formula>221144</formula>
    </cfRule>
  </conditionalFormatting>
  <conditionalFormatting sqref="D13">
    <cfRule type="cellIs" dxfId="7558" priority="7526" stopIfTrue="1" operator="between">
      <formula>221101</formula>
      <formula>221118</formula>
    </cfRule>
    <cfRule type="cellIs" dxfId="7557" priority="7527" stopIfTrue="1" operator="between">
      <formula>221142</formula>
      <formula>221144</formula>
    </cfRule>
    <cfRule type="cellIs" dxfId="7556" priority="7528" stopIfTrue="1" operator="between">
      <formula>220001</formula>
      <formula>221144</formula>
    </cfRule>
  </conditionalFormatting>
  <conditionalFormatting sqref="AD13">
    <cfRule type="cellIs" dxfId="7555" priority="7523" stopIfTrue="1" operator="between">
      <formula>221101</formula>
      <formula>221118</formula>
    </cfRule>
    <cfRule type="cellIs" dxfId="7554" priority="7524" stopIfTrue="1" operator="between">
      <formula>221142</formula>
      <formula>221144</formula>
    </cfRule>
    <cfRule type="cellIs" dxfId="7553" priority="7525" stopIfTrue="1" operator="between">
      <formula>220001</formula>
      <formula>221144</formula>
    </cfRule>
  </conditionalFormatting>
  <conditionalFormatting sqref="AC13">
    <cfRule type="cellIs" dxfId="7552" priority="7520" stopIfTrue="1" operator="between">
      <formula>221101</formula>
      <formula>221118</formula>
    </cfRule>
    <cfRule type="cellIs" dxfId="7551" priority="7521" stopIfTrue="1" operator="between">
      <formula>221142</formula>
      <formula>221144</formula>
    </cfRule>
    <cfRule type="cellIs" dxfId="7550" priority="7522" stopIfTrue="1" operator="between">
      <formula>220001</formula>
      <formula>221144</formula>
    </cfRule>
  </conditionalFormatting>
  <conditionalFormatting sqref="AM13">
    <cfRule type="cellIs" dxfId="7549" priority="7517" stopIfTrue="1" operator="between">
      <formula>221101</formula>
      <formula>221118</formula>
    </cfRule>
    <cfRule type="cellIs" dxfId="7548" priority="7518" stopIfTrue="1" operator="between">
      <formula>221142</formula>
      <formula>221144</formula>
    </cfRule>
    <cfRule type="cellIs" dxfId="7547" priority="7519" stopIfTrue="1" operator="between">
      <formula>220001</formula>
      <formula>221144</formula>
    </cfRule>
  </conditionalFormatting>
  <conditionalFormatting sqref="AN13">
    <cfRule type="cellIs" dxfId="7546" priority="7514" stopIfTrue="1" operator="between">
      <formula>221101</formula>
      <formula>221118</formula>
    </cfRule>
    <cfRule type="cellIs" dxfId="7545" priority="7515" stopIfTrue="1" operator="between">
      <formula>221142</formula>
      <formula>221144</formula>
    </cfRule>
    <cfRule type="cellIs" dxfId="7544" priority="7516" stopIfTrue="1" operator="between">
      <formula>220001</formula>
      <formula>221144</formula>
    </cfRule>
  </conditionalFormatting>
  <conditionalFormatting sqref="AC13">
    <cfRule type="cellIs" dxfId="7543" priority="7511" stopIfTrue="1" operator="between">
      <formula>221101</formula>
      <formula>221118</formula>
    </cfRule>
    <cfRule type="cellIs" dxfId="7542" priority="7512" stopIfTrue="1" operator="between">
      <formula>221142</formula>
      <formula>221144</formula>
    </cfRule>
    <cfRule type="cellIs" dxfId="7541" priority="7513" stopIfTrue="1" operator="between">
      <formula>220001</formula>
      <formula>221144</formula>
    </cfRule>
  </conditionalFormatting>
  <conditionalFormatting sqref="AB13">
    <cfRule type="cellIs" dxfId="7540" priority="7508" stopIfTrue="1" operator="between">
      <formula>221101</formula>
      <formula>221118</formula>
    </cfRule>
    <cfRule type="cellIs" dxfId="7539" priority="7509" stopIfTrue="1" operator="between">
      <formula>221142</formula>
      <formula>221144</formula>
    </cfRule>
    <cfRule type="cellIs" dxfId="7538" priority="7510" stopIfTrue="1" operator="between">
      <formula>220001</formula>
      <formula>221144</formula>
    </cfRule>
  </conditionalFormatting>
  <conditionalFormatting sqref="AL13">
    <cfRule type="cellIs" dxfId="7537" priority="7505" stopIfTrue="1" operator="between">
      <formula>221101</formula>
      <formula>221118</formula>
    </cfRule>
    <cfRule type="cellIs" dxfId="7536" priority="7506" stopIfTrue="1" operator="between">
      <formula>221142</formula>
      <formula>221144</formula>
    </cfRule>
    <cfRule type="cellIs" dxfId="7535" priority="7507" stopIfTrue="1" operator="between">
      <formula>220001</formula>
      <formula>221144</formula>
    </cfRule>
  </conditionalFormatting>
  <conditionalFormatting sqref="AM13">
    <cfRule type="cellIs" dxfId="7534" priority="7502" stopIfTrue="1" operator="between">
      <formula>221101</formula>
      <formula>221118</formula>
    </cfRule>
    <cfRule type="cellIs" dxfId="7533" priority="7503" stopIfTrue="1" operator="between">
      <formula>221142</formula>
      <formula>221144</formula>
    </cfRule>
    <cfRule type="cellIs" dxfId="7532" priority="7504" stopIfTrue="1" operator="between">
      <formula>220001</formula>
      <formula>221144</formula>
    </cfRule>
  </conditionalFormatting>
  <conditionalFormatting sqref="C13">
    <cfRule type="cellIs" dxfId="7531" priority="7499" stopIfTrue="1" operator="between">
      <formula>221101</formula>
      <formula>221118</formula>
    </cfRule>
    <cfRule type="cellIs" dxfId="7530" priority="7500" stopIfTrue="1" operator="between">
      <formula>221142</formula>
      <formula>221144</formula>
    </cfRule>
    <cfRule type="cellIs" dxfId="7529" priority="7501" stopIfTrue="1" operator="between">
      <formula>220001</formula>
      <formula>221144</formula>
    </cfRule>
  </conditionalFormatting>
  <conditionalFormatting sqref="C13">
    <cfRule type="cellIs" dxfId="7528" priority="7496" stopIfTrue="1" operator="between">
      <formula>221101</formula>
      <formula>221118</formula>
    </cfRule>
    <cfRule type="cellIs" dxfId="7527" priority="7497" stopIfTrue="1" operator="between">
      <formula>221142</formula>
      <formula>221144</formula>
    </cfRule>
    <cfRule type="cellIs" dxfId="7526" priority="7498" stopIfTrue="1" operator="between">
      <formula>220001</formula>
      <formula>221144</formula>
    </cfRule>
  </conditionalFormatting>
  <conditionalFormatting sqref="C13">
    <cfRule type="cellIs" dxfId="7525" priority="7493" stopIfTrue="1" operator="between">
      <formula>221101</formula>
      <formula>221118</formula>
    </cfRule>
    <cfRule type="cellIs" dxfId="7524" priority="7494" stopIfTrue="1" operator="between">
      <formula>221142</formula>
      <formula>221144</formula>
    </cfRule>
    <cfRule type="cellIs" dxfId="7523" priority="7495" stopIfTrue="1" operator="between">
      <formula>220001</formula>
      <formula>221144</formula>
    </cfRule>
  </conditionalFormatting>
  <conditionalFormatting sqref="C13">
    <cfRule type="cellIs" dxfId="7522" priority="7490" stopIfTrue="1" operator="between">
      <formula>221101</formula>
      <formula>221118</formula>
    </cfRule>
    <cfRule type="cellIs" dxfId="7521" priority="7491" stopIfTrue="1" operator="between">
      <formula>221142</formula>
      <formula>221144</formula>
    </cfRule>
    <cfRule type="cellIs" dxfId="7520" priority="7492" stopIfTrue="1" operator="between">
      <formula>220001</formula>
      <formula>221144</formula>
    </cfRule>
  </conditionalFormatting>
  <conditionalFormatting sqref="D13">
    <cfRule type="cellIs" dxfId="7519" priority="7487" stopIfTrue="1" operator="between">
      <formula>221101</formula>
      <formula>221118</formula>
    </cfRule>
    <cfRule type="cellIs" dxfId="7518" priority="7488" stopIfTrue="1" operator="between">
      <formula>221142</formula>
      <formula>221144</formula>
    </cfRule>
    <cfRule type="cellIs" dxfId="7517" priority="7489" stopIfTrue="1" operator="between">
      <formula>220001</formula>
      <formula>221144</formula>
    </cfRule>
  </conditionalFormatting>
  <conditionalFormatting sqref="AD13">
    <cfRule type="cellIs" dxfId="7516" priority="7484" stopIfTrue="1" operator="between">
      <formula>221101</formula>
      <formula>221118</formula>
    </cfRule>
    <cfRule type="cellIs" dxfId="7515" priority="7485" stopIfTrue="1" operator="between">
      <formula>221142</formula>
      <formula>221144</formula>
    </cfRule>
    <cfRule type="cellIs" dxfId="7514" priority="7486" stopIfTrue="1" operator="between">
      <formula>220001</formula>
      <formula>221144</formula>
    </cfRule>
  </conditionalFormatting>
  <conditionalFormatting sqref="AC13">
    <cfRule type="cellIs" dxfId="7513" priority="7481" stopIfTrue="1" operator="between">
      <formula>221101</formula>
      <formula>221118</formula>
    </cfRule>
    <cfRule type="cellIs" dxfId="7512" priority="7482" stopIfTrue="1" operator="between">
      <formula>221142</formula>
      <formula>221144</formula>
    </cfRule>
    <cfRule type="cellIs" dxfId="7511" priority="7483" stopIfTrue="1" operator="between">
      <formula>220001</formula>
      <formula>221144</formula>
    </cfRule>
  </conditionalFormatting>
  <conditionalFormatting sqref="AM13">
    <cfRule type="cellIs" dxfId="7510" priority="7478" stopIfTrue="1" operator="between">
      <formula>221101</formula>
      <formula>221118</formula>
    </cfRule>
    <cfRule type="cellIs" dxfId="7509" priority="7479" stopIfTrue="1" operator="between">
      <formula>221142</formula>
      <formula>221144</formula>
    </cfRule>
    <cfRule type="cellIs" dxfId="7508" priority="7480" stopIfTrue="1" operator="between">
      <formula>220001</formula>
      <formula>221144</formula>
    </cfRule>
  </conditionalFormatting>
  <conditionalFormatting sqref="AN13">
    <cfRule type="cellIs" dxfId="7507" priority="7475" stopIfTrue="1" operator="between">
      <formula>221101</formula>
      <formula>221118</formula>
    </cfRule>
    <cfRule type="cellIs" dxfId="7506" priority="7476" stopIfTrue="1" operator="between">
      <formula>221142</formula>
      <formula>221144</formula>
    </cfRule>
    <cfRule type="cellIs" dxfId="7505" priority="7477" stopIfTrue="1" operator="between">
      <formula>220001</formula>
      <formula>221144</formula>
    </cfRule>
  </conditionalFormatting>
  <conditionalFormatting sqref="AC13">
    <cfRule type="cellIs" dxfId="7504" priority="7472" stopIfTrue="1" operator="between">
      <formula>221101</formula>
      <formula>221118</formula>
    </cfRule>
    <cfRule type="cellIs" dxfId="7503" priority="7473" stopIfTrue="1" operator="between">
      <formula>221142</formula>
      <formula>221144</formula>
    </cfRule>
    <cfRule type="cellIs" dxfId="7502" priority="7474" stopIfTrue="1" operator="between">
      <formula>220001</formula>
      <formula>221144</formula>
    </cfRule>
  </conditionalFormatting>
  <conditionalFormatting sqref="AB13">
    <cfRule type="cellIs" dxfId="7501" priority="7469" stopIfTrue="1" operator="between">
      <formula>221101</formula>
      <formula>221118</formula>
    </cfRule>
    <cfRule type="cellIs" dxfId="7500" priority="7470" stopIfTrue="1" operator="between">
      <formula>221142</formula>
      <formula>221144</formula>
    </cfRule>
    <cfRule type="cellIs" dxfId="7499" priority="7471" stopIfTrue="1" operator="between">
      <formula>220001</formula>
      <formula>221144</formula>
    </cfRule>
  </conditionalFormatting>
  <conditionalFormatting sqref="AL13">
    <cfRule type="cellIs" dxfId="7498" priority="7466" stopIfTrue="1" operator="between">
      <formula>221101</formula>
      <formula>221118</formula>
    </cfRule>
    <cfRule type="cellIs" dxfId="7497" priority="7467" stopIfTrue="1" operator="between">
      <formula>221142</formula>
      <formula>221144</formula>
    </cfRule>
    <cfRule type="cellIs" dxfId="7496" priority="7468" stopIfTrue="1" operator="between">
      <formula>220001</formula>
      <formula>221144</formula>
    </cfRule>
  </conditionalFormatting>
  <conditionalFormatting sqref="AM13">
    <cfRule type="cellIs" dxfId="7495" priority="7463" stopIfTrue="1" operator="between">
      <formula>221101</formula>
      <formula>221118</formula>
    </cfRule>
    <cfRule type="cellIs" dxfId="7494" priority="7464" stopIfTrue="1" operator="between">
      <formula>221142</formula>
      <formula>221144</formula>
    </cfRule>
    <cfRule type="cellIs" dxfId="7493" priority="7465" stopIfTrue="1" operator="between">
      <formula>220001</formula>
      <formula>221144</formula>
    </cfRule>
  </conditionalFormatting>
  <conditionalFormatting sqref="C13">
    <cfRule type="cellIs" dxfId="7492" priority="7460" stopIfTrue="1" operator="between">
      <formula>221101</formula>
      <formula>221118</formula>
    </cfRule>
    <cfRule type="cellIs" dxfId="7491" priority="7461" stopIfTrue="1" operator="between">
      <formula>221142</formula>
      <formula>221144</formula>
    </cfRule>
    <cfRule type="cellIs" dxfId="7490" priority="7462" stopIfTrue="1" operator="between">
      <formula>220001</formula>
      <formula>221144</formula>
    </cfRule>
  </conditionalFormatting>
  <conditionalFormatting sqref="C13">
    <cfRule type="cellIs" dxfId="7489" priority="7457" stopIfTrue="1" operator="between">
      <formula>221101</formula>
      <formula>221118</formula>
    </cfRule>
    <cfRule type="cellIs" dxfId="7488" priority="7458" stopIfTrue="1" operator="between">
      <formula>221142</formula>
      <formula>221144</formula>
    </cfRule>
    <cfRule type="cellIs" dxfId="7487" priority="7459" stopIfTrue="1" operator="between">
      <formula>220001</formula>
      <formula>221144</formula>
    </cfRule>
  </conditionalFormatting>
  <conditionalFormatting sqref="C13">
    <cfRule type="cellIs" dxfId="7486" priority="7454" stopIfTrue="1" operator="between">
      <formula>221101</formula>
      <formula>221118</formula>
    </cfRule>
    <cfRule type="cellIs" dxfId="7485" priority="7455" stopIfTrue="1" operator="between">
      <formula>221142</formula>
      <formula>221144</formula>
    </cfRule>
    <cfRule type="cellIs" dxfId="7484" priority="7456" stopIfTrue="1" operator="between">
      <formula>220001</formula>
      <formula>221144</formula>
    </cfRule>
  </conditionalFormatting>
  <conditionalFormatting sqref="C13">
    <cfRule type="cellIs" dxfId="7483" priority="7451" stopIfTrue="1" operator="between">
      <formula>221101</formula>
      <formula>221118</formula>
    </cfRule>
    <cfRule type="cellIs" dxfId="7482" priority="7452" stopIfTrue="1" operator="between">
      <formula>221142</formula>
      <formula>221144</formula>
    </cfRule>
    <cfRule type="cellIs" dxfId="7481" priority="7453" stopIfTrue="1" operator="between">
      <formula>220001</formula>
      <formula>221144</formula>
    </cfRule>
  </conditionalFormatting>
  <conditionalFormatting sqref="C13">
    <cfRule type="cellIs" dxfId="7480" priority="7448" stopIfTrue="1" operator="between">
      <formula>221101</formula>
      <formula>221118</formula>
    </cfRule>
    <cfRule type="cellIs" dxfId="7479" priority="7449" stopIfTrue="1" operator="between">
      <formula>221142</formula>
      <formula>221144</formula>
    </cfRule>
    <cfRule type="cellIs" dxfId="7478" priority="7450" stopIfTrue="1" operator="between">
      <formula>220001</formula>
      <formula>221144</formula>
    </cfRule>
  </conditionalFormatting>
  <conditionalFormatting sqref="AC13">
    <cfRule type="cellIs" dxfId="7477" priority="7445" stopIfTrue="1" operator="between">
      <formula>221101</formula>
      <formula>221118</formula>
    </cfRule>
    <cfRule type="cellIs" dxfId="7476" priority="7446" stopIfTrue="1" operator="between">
      <formula>221142</formula>
      <formula>221144</formula>
    </cfRule>
    <cfRule type="cellIs" dxfId="7475" priority="7447" stopIfTrue="1" operator="between">
      <formula>220001</formula>
      <formula>221144</formula>
    </cfRule>
  </conditionalFormatting>
  <conditionalFormatting sqref="AB13">
    <cfRule type="cellIs" dxfId="7474" priority="7442" stopIfTrue="1" operator="between">
      <formula>221101</formula>
      <formula>221118</formula>
    </cfRule>
    <cfRule type="cellIs" dxfId="7473" priority="7443" stopIfTrue="1" operator="between">
      <formula>221142</formula>
      <formula>221144</formula>
    </cfRule>
    <cfRule type="cellIs" dxfId="7472" priority="7444" stopIfTrue="1" operator="between">
      <formula>220001</formula>
      <formula>221144</formula>
    </cfRule>
  </conditionalFormatting>
  <conditionalFormatting sqref="AL13">
    <cfRule type="cellIs" dxfId="7471" priority="7439" stopIfTrue="1" operator="between">
      <formula>221101</formula>
      <formula>221118</formula>
    </cfRule>
    <cfRule type="cellIs" dxfId="7470" priority="7440" stopIfTrue="1" operator="between">
      <formula>221142</formula>
      <formula>221144</formula>
    </cfRule>
    <cfRule type="cellIs" dxfId="7469" priority="7441" stopIfTrue="1" operator="between">
      <formula>220001</formula>
      <formula>221144</formula>
    </cfRule>
  </conditionalFormatting>
  <conditionalFormatting sqref="AM13">
    <cfRule type="cellIs" dxfId="7468" priority="7436" stopIfTrue="1" operator="between">
      <formula>221101</formula>
      <formula>221118</formula>
    </cfRule>
    <cfRule type="cellIs" dxfId="7467" priority="7437" stopIfTrue="1" operator="between">
      <formula>221142</formula>
      <formula>221144</formula>
    </cfRule>
    <cfRule type="cellIs" dxfId="7466" priority="7438" stopIfTrue="1" operator="between">
      <formula>220001</formula>
      <formula>221144</formula>
    </cfRule>
  </conditionalFormatting>
  <conditionalFormatting sqref="AB13">
    <cfRule type="cellIs" dxfId="7465" priority="7433" stopIfTrue="1" operator="between">
      <formula>221101</formula>
      <formula>221118</formula>
    </cfRule>
    <cfRule type="cellIs" dxfId="7464" priority="7434" stopIfTrue="1" operator="between">
      <formula>221142</formula>
      <formula>221144</formula>
    </cfRule>
    <cfRule type="cellIs" dxfId="7463" priority="7435" stopIfTrue="1" operator="between">
      <formula>220001</formula>
      <formula>221144</formula>
    </cfRule>
  </conditionalFormatting>
  <conditionalFormatting sqref="AA13">
    <cfRule type="cellIs" dxfId="7462" priority="7430" stopIfTrue="1" operator="between">
      <formula>221101</formula>
      <formula>221118</formula>
    </cfRule>
    <cfRule type="cellIs" dxfId="7461" priority="7431" stopIfTrue="1" operator="between">
      <formula>221142</formula>
      <formula>221144</formula>
    </cfRule>
    <cfRule type="cellIs" dxfId="7460" priority="7432" stopIfTrue="1" operator="between">
      <formula>220001</formula>
      <formula>221144</formula>
    </cfRule>
  </conditionalFormatting>
  <conditionalFormatting sqref="AK13">
    <cfRule type="cellIs" dxfId="7459" priority="7427" stopIfTrue="1" operator="between">
      <formula>221101</formula>
      <formula>221118</formula>
    </cfRule>
    <cfRule type="cellIs" dxfId="7458" priority="7428" stopIfTrue="1" operator="between">
      <formula>221142</formula>
      <formula>221144</formula>
    </cfRule>
    <cfRule type="cellIs" dxfId="7457" priority="7429" stopIfTrue="1" operator="between">
      <formula>220001</formula>
      <formula>221144</formula>
    </cfRule>
  </conditionalFormatting>
  <conditionalFormatting sqref="AL13">
    <cfRule type="cellIs" dxfId="7456" priority="7424" stopIfTrue="1" operator="between">
      <formula>221101</formula>
      <formula>221118</formula>
    </cfRule>
    <cfRule type="cellIs" dxfId="7455" priority="7425" stopIfTrue="1" operator="between">
      <formula>221142</formula>
      <formula>221144</formula>
    </cfRule>
    <cfRule type="cellIs" dxfId="7454" priority="7426" stopIfTrue="1" operator="between">
      <formula>220001</formula>
      <formula>221144</formula>
    </cfRule>
  </conditionalFormatting>
  <conditionalFormatting sqref="D13">
    <cfRule type="cellIs" dxfId="7453" priority="7421" stopIfTrue="1" operator="between">
      <formula>221101</formula>
      <formula>221118</formula>
    </cfRule>
    <cfRule type="cellIs" dxfId="7452" priority="7422" stopIfTrue="1" operator="between">
      <formula>221142</formula>
      <formula>221144</formula>
    </cfRule>
    <cfRule type="cellIs" dxfId="7451" priority="7423" stopIfTrue="1" operator="between">
      <formula>220001</formula>
      <formula>221144</formula>
    </cfRule>
  </conditionalFormatting>
  <conditionalFormatting sqref="AD13">
    <cfRule type="cellIs" dxfId="7450" priority="7418" stopIfTrue="1" operator="between">
      <formula>221101</formula>
      <formula>221118</formula>
    </cfRule>
    <cfRule type="cellIs" dxfId="7449" priority="7419" stopIfTrue="1" operator="between">
      <formula>221142</formula>
      <formula>221144</formula>
    </cfRule>
    <cfRule type="cellIs" dxfId="7448" priority="7420" stopIfTrue="1" operator="between">
      <formula>220001</formula>
      <formula>221144</formula>
    </cfRule>
  </conditionalFormatting>
  <conditionalFormatting sqref="AC13">
    <cfRule type="cellIs" dxfId="7447" priority="7415" stopIfTrue="1" operator="between">
      <formula>221101</formula>
      <formula>221118</formula>
    </cfRule>
    <cfRule type="cellIs" dxfId="7446" priority="7416" stopIfTrue="1" operator="between">
      <formula>221142</formula>
      <formula>221144</formula>
    </cfRule>
    <cfRule type="cellIs" dxfId="7445" priority="7417" stopIfTrue="1" operator="between">
      <formula>220001</formula>
      <formula>221144</formula>
    </cfRule>
  </conditionalFormatting>
  <conditionalFormatting sqref="AM13">
    <cfRule type="cellIs" dxfId="7444" priority="7412" stopIfTrue="1" operator="between">
      <formula>221101</formula>
      <formula>221118</formula>
    </cfRule>
    <cfRule type="cellIs" dxfId="7443" priority="7413" stopIfTrue="1" operator="between">
      <formula>221142</formula>
      <formula>221144</formula>
    </cfRule>
    <cfRule type="cellIs" dxfId="7442" priority="7414" stopIfTrue="1" operator="between">
      <formula>220001</formula>
      <formula>221144</formula>
    </cfRule>
  </conditionalFormatting>
  <conditionalFormatting sqref="AN13">
    <cfRule type="cellIs" dxfId="7441" priority="7409" stopIfTrue="1" operator="between">
      <formula>221101</formula>
      <formula>221118</formula>
    </cfRule>
    <cfRule type="cellIs" dxfId="7440" priority="7410" stopIfTrue="1" operator="between">
      <formula>221142</formula>
      <formula>221144</formula>
    </cfRule>
    <cfRule type="cellIs" dxfId="7439" priority="7411" stopIfTrue="1" operator="between">
      <formula>220001</formula>
      <formula>221144</formula>
    </cfRule>
  </conditionalFormatting>
  <conditionalFormatting sqref="AC13">
    <cfRule type="cellIs" dxfId="7438" priority="7406" stopIfTrue="1" operator="between">
      <formula>221101</formula>
      <formula>221118</formula>
    </cfRule>
    <cfRule type="cellIs" dxfId="7437" priority="7407" stopIfTrue="1" operator="between">
      <formula>221142</formula>
      <formula>221144</formula>
    </cfRule>
    <cfRule type="cellIs" dxfId="7436" priority="7408" stopIfTrue="1" operator="between">
      <formula>220001</formula>
      <formula>221144</formula>
    </cfRule>
  </conditionalFormatting>
  <conditionalFormatting sqref="AB13">
    <cfRule type="cellIs" dxfId="7435" priority="7403" stopIfTrue="1" operator="between">
      <formula>221101</formula>
      <formula>221118</formula>
    </cfRule>
    <cfRule type="cellIs" dxfId="7434" priority="7404" stopIfTrue="1" operator="between">
      <formula>221142</formula>
      <formula>221144</formula>
    </cfRule>
    <cfRule type="cellIs" dxfId="7433" priority="7405" stopIfTrue="1" operator="between">
      <formula>220001</formula>
      <formula>221144</formula>
    </cfRule>
  </conditionalFormatting>
  <conditionalFormatting sqref="AL13">
    <cfRule type="cellIs" dxfId="7432" priority="7400" stopIfTrue="1" operator="between">
      <formula>221101</formula>
      <formula>221118</formula>
    </cfRule>
    <cfRule type="cellIs" dxfId="7431" priority="7401" stopIfTrue="1" operator="between">
      <formula>221142</formula>
      <formula>221144</formula>
    </cfRule>
    <cfRule type="cellIs" dxfId="7430" priority="7402" stopIfTrue="1" operator="between">
      <formula>220001</formula>
      <formula>221144</formula>
    </cfRule>
  </conditionalFormatting>
  <conditionalFormatting sqref="AM13">
    <cfRule type="cellIs" dxfId="7429" priority="7397" stopIfTrue="1" operator="between">
      <formula>221101</formula>
      <formula>221118</formula>
    </cfRule>
    <cfRule type="cellIs" dxfId="7428" priority="7398" stopIfTrue="1" operator="between">
      <formula>221142</formula>
      <formula>221144</formula>
    </cfRule>
    <cfRule type="cellIs" dxfId="7427" priority="7399" stopIfTrue="1" operator="between">
      <formula>220001</formula>
      <formula>221144</formula>
    </cfRule>
  </conditionalFormatting>
  <conditionalFormatting sqref="C13">
    <cfRule type="cellIs" dxfId="7426" priority="7394" stopIfTrue="1" operator="between">
      <formula>221101</formula>
      <formula>221118</formula>
    </cfRule>
    <cfRule type="cellIs" dxfId="7425" priority="7395" stopIfTrue="1" operator="between">
      <formula>221142</formula>
      <formula>221144</formula>
    </cfRule>
    <cfRule type="cellIs" dxfId="7424" priority="7396" stopIfTrue="1" operator="between">
      <formula>220001</formula>
      <formula>221144</formula>
    </cfRule>
  </conditionalFormatting>
  <conditionalFormatting sqref="C13">
    <cfRule type="cellIs" dxfId="7423" priority="7391" stopIfTrue="1" operator="between">
      <formula>221101</formula>
      <formula>221118</formula>
    </cfRule>
    <cfRule type="cellIs" dxfId="7422" priority="7392" stopIfTrue="1" operator="between">
      <formula>221142</formula>
      <formula>221144</formula>
    </cfRule>
    <cfRule type="cellIs" dxfId="7421" priority="7393" stopIfTrue="1" operator="between">
      <formula>220001</formula>
      <formula>221144</formula>
    </cfRule>
  </conditionalFormatting>
  <conditionalFormatting sqref="C13">
    <cfRule type="cellIs" dxfId="7420" priority="7388" stopIfTrue="1" operator="between">
      <formula>221101</formula>
      <formula>221118</formula>
    </cfRule>
    <cfRule type="cellIs" dxfId="7419" priority="7389" stopIfTrue="1" operator="between">
      <formula>221142</formula>
      <formula>221144</formula>
    </cfRule>
    <cfRule type="cellIs" dxfId="7418" priority="7390" stopIfTrue="1" operator="between">
      <formula>220001</formula>
      <formula>221144</formula>
    </cfRule>
  </conditionalFormatting>
  <conditionalFormatting sqref="C13">
    <cfRule type="cellIs" dxfId="7417" priority="7385" stopIfTrue="1" operator="between">
      <formula>221101</formula>
      <formula>221118</formula>
    </cfRule>
    <cfRule type="cellIs" dxfId="7416" priority="7386" stopIfTrue="1" operator="between">
      <formula>221142</formula>
      <formula>221144</formula>
    </cfRule>
    <cfRule type="cellIs" dxfId="7415" priority="7387" stopIfTrue="1" operator="between">
      <formula>220001</formula>
      <formula>221144</formula>
    </cfRule>
  </conditionalFormatting>
  <conditionalFormatting sqref="C13">
    <cfRule type="cellIs" dxfId="7414" priority="7382" stopIfTrue="1" operator="between">
      <formula>221101</formula>
      <formula>221118</formula>
    </cfRule>
    <cfRule type="cellIs" dxfId="7413" priority="7383" stopIfTrue="1" operator="between">
      <formula>221142</formula>
      <formula>221144</formula>
    </cfRule>
    <cfRule type="cellIs" dxfId="7412" priority="7384" stopIfTrue="1" operator="between">
      <formula>220001</formula>
      <formula>221144</formula>
    </cfRule>
  </conditionalFormatting>
  <conditionalFormatting sqref="AC13">
    <cfRule type="cellIs" dxfId="7411" priority="7379" stopIfTrue="1" operator="between">
      <formula>221101</formula>
      <formula>221118</formula>
    </cfRule>
    <cfRule type="cellIs" dxfId="7410" priority="7380" stopIfTrue="1" operator="between">
      <formula>221142</formula>
      <formula>221144</formula>
    </cfRule>
    <cfRule type="cellIs" dxfId="7409" priority="7381" stopIfTrue="1" operator="between">
      <formula>220001</formula>
      <formula>221144</formula>
    </cfRule>
  </conditionalFormatting>
  <conditionalFormatting sqref="AB13">
    <cfRule type="cellIs" dxfId="7408" priority="7376" stopIfTrue="1" operator="between">
      <formula>221101</formula>
      <formula>221118</formula>
    </cfRule>
    <cfRule type="cellIs" dxfId="7407" priority="7377" stopIfTrue="1" operator="between">
      <formula>221142</formula>
      <formula>221144</formula>
    </cfRule>
    <cfRule type="cellIs" dxfId="7406" priority="7378" stopIfTrue="1" operator="between">
      <formula>220001</formula>
      <formula>221144</formula>
    </cfRule>
  </conditionalFormatting>
  <conditionalFormatting sqref="AL13">
    <cfRule type="cellIs" dxfId="7405" priority="7373" stopIfTrue="1" operator="between">
      <formula>221101</formula>
      <formula>221118</formula>
    </cfRule>
    <cfRule type="cellIs" dxfId="7404" priority="7374" stopIfTrue="1" operator="between">
      <formula>221142</formula>
      <formula>221144</formula>
    </cfRule>
    <cfRule type="cellIs" dxfId="7403" priority="7375" stopIfTrue="1" operator="between">
      <formula>220001</formula>
      <formula>221144</formula>
    </cfRule>
  </conditionalFormatting>
  <conditionalFormatting sqref="AM13">
    <cfRule type="cellIs" dxfId="7402" priority="7370" stopIfTrue="1" operator="between">
      <formula>221101</formula>
      <formula>221118</formula>
    </cfRule>
    <cfRule type="cellIs" dxfId="7401" priority="7371" stopIfTrue="1" operator="between">
      <formula>221142</formula>
      <formula>221144</formula>
    </cfRule>
    <cfRule type="cellIs" dxfId="7400" priority="7372" stopIfTrue="1" operator="between">
      <formula>220001</formula>
      <formula>221144</formula>
    </cfRule>
  </conditionalFormatting>
  <conditionalFormatting sqref="AB13">
    <cfRule type="cellIs" dxfId="7399" priority="7367" stopIfTrue="1" operator="between">
      <formula>221101</formula>
      <formula>221118</formula>
    </cfRule>
    <cfRule type="cellIs" dxfId="7398" priority="7368" stopIfTrue="1" operator="between">
      <formula>221142</formula>
      <formula>221144</formula>
    </cfRule>
    <cfRule type="cellIs" dxfId="7397" priority="7369" stopIfTrue="1" operator="between">
      <formula>220001</formula>
      <formula>221144</formula>
    </cfRule>
  </conditionalFormatting>
  <conditionalFormatting sqref="AA13">
    <cfRule type="cellIs" dxfId="7396" priority="7364" stopIfTrue="1" operator="between">
      <formula>221101</formula>
      <formula>221118</formula>
    </cfRule>
    <cfRule type="cellIs" dxfId="7395" priority="7365" stopIfTrue="1" operator="between">
      <formula>221142</formula>
      <formula>221144</formula>
    </cfRule>
    <cfRule type="cellIs" dxfId="7394" priority="7366" stopIfTrue="1" operator="between">
      <formula>220001</formula>
      <formula>221144</formula>
    </cfRule>
  </conditionalFormatting>
  <conditionalFormatting sqref="AK13">
    <cfRule type="cellIs" dxfId="7393" priority="7361" stopIfTrue="1" operator="between">
      <formula>221101</formula>
      <formula>221118</formula>
    </cfRule>
    <cfRule type="cellIs" dxfId="7392" priority="7362" stopIfTrue="1" operator="between">
      <formula>221142</formula>
      <formula>221144</formula>
    </cfRule>
    <cfRule type="cellIs" dxfId="7391" priority="7363" stopIfTrue="1" operator="between">
      <formula>220001</formula>
      <formula>221144</formula>
    </cfRule>
  </conditionalFormatting>
  <conditionalFormatting sqref="AL13">
    <cfRule type="cellIs" dxfId="7390" priority="7358" stopIfTrue="1" operator="between">
      <formula>221101</formula>
      <formula>221118</formula>
    </cfRule>
    <cfRule type="cellIs" dxfId="7389" priority="7359" stopIfTrue="1" operator="between">
      <formula>221142</formula>
      <formula>221144</formula>
    </cfRule>
    <cfRule type="cellIs" dxfId="7388" priority="7360" stopIfTrue="1" operator="between">
      <formula>220001</formula>
      <formula>221144</formula>
    </cfRule>
  </conditionalFormatting>
  <conditionalFormatting sqref="C13">
    <cfRule type="cellIs" dxfId="7387" priority="7355" stopIfTrue="1" operator="between">
      <formula>221101</formula>
      <formula>221118</formula>
    </cfRule>
    <cfRule type="cellIs" dxfId="7386" priority="7356" stopIfTrue="1" operator="between">
      <formula>221142</formula>
      <formula>221144</formula>
    </cfRule>
    <cfRule type="cellIs" dxfId="7385" priority="7357" stopIfTrue="1" operator="between">
      <formula>220001</formula>
      <formula>221144</formula>
    </cfRule>
  </conditionalFormatting>
  <conditionalFormatting sqref="AC13">
    <cfRule type="cellIs" dxfId="7384" priority="7352" stopIfTrue="1" operator="between">
      <formula>221101</formula>
      <formula>221118</formula>
    </cfRule>
    <cfRule type="cellIs" dxfId="7383" priority="7353" stopIfTrue="1" operator="between">
      <formula>221142</formula>
      <formula>221144</formula>
    </cfRule>
    <cfRule type="cellIs" dxfId="7382" priority="7354" stopIfTrue="1" operator="between">
      <formula>220001</formula>
      <formula>221144</formula>
    </cfRule>
  </conditionalFormatting>
  <conditionalFormatting sqref="AB13">
    <cfRule type="cellIs" dxfId="7381" priority="7349" stopIfTrue="1" operator="between">
      <formula>221101</formula>
      <formula>221118</formula>
    </cfRule>
    <cfRule type="cellIs" dxfId="7380" priority="7350" stopIfTrue="1" operator="between">
      <formula>221142</formula>
      <formula>221144</formula>
    </cfRule>
    <cfRule type="cellIs" dxfId="7379" priority="7351" stopIfTrue="1" operator="between">
      <formula>220001</formula>
      <formula>221144</formula>
    </cfRule>
  </conditionalFormatting>
  <conditionalFormatting sqref="AL13">
    <cfRule type="cellIs" dxfId="7378" priority="7346" stopIfTrue="1" operator="between">
      <formula>221101</formula>
      <formula>221118</formula>
    </cfRule>
    <cfRule type="cellIs" dxfId="7377" priority="7347" stopIfTrue="1" operator="between">
      <formula>221142</formula>
      <formula>221144</formula>
    </cfRule>
    <cfRule type="cellIs" dxfId="7376" priority="7348" stopIfTrue="1" operator="between">
      <formula>220001</formula>
      <formula>221144</formula>
    </cfRule>
  </conditionalFormatting>
  <conditionalFormatting sqref="AM13">
    <cfRule type="cellIs" dxfId="7375" priority="7343" stopIfTrue="1" operator="between">
      <formula>221101</formula>
      <formula>221118</formula>
    </cfRule>
    <cfRule type="cellIs" dxfId="7374" priority="7344" stopIfTrue="1" operator="between">
      <formula>221142</formula>
      <formula>221144</formula>
    </cfRule>
    <cfRule type="cellIs" dxfId="7373" priority="7345" stopIfTrue="1" operator="between">
      <formula>220001</formula>
      <formula>221144</formula>
    </cfRule>
  </conditionalFormatting>
  <conditionalFormatting sqref="AB13">
    <cfRule type="cellIs" dxfId="7372" priority="7340" stopIfTrue="1" operator="between">
      <formula>221101</formula>
      <formula>221118</formula>
    </cfRule>
    <cfRule type="cellIs" dxfId="7371" priority="7341" stopIfTrue="1" operator="between">
      <formula>221142</formula>
      <formula>221144</formula>
    </cfRule>
    <cfRule type="cellIs" dxfId="7370" priority="7342" stopIfTrue="1" operator="between">
      <formula>220001</formula>
      <formula>221144</formula>
    </cfRule>
  </conditionalFormatting>
  <conditionalFormatting sqref="AA13">
    <cfRule type="cellIs" dxfId="7369" priority="7337" stopIfTrue="1" operator="between">
      <formula>221101</formula>
      <formula>221118</formula>
    </cfRule>
    <cfRule type="cellIs" dxfId="7368" priority="7338" stopIfTrue="1" operator="between">
      <formula>221142</formula>
      <formula>221144</formula>
    </cfRule>
    <cfRule type="cellIs" dxfId="7367" priority="7339" stopIfTrue="1" operator="between">
      <formula>220001</formula>
      <formula>221144</formula>
    </cfRule>
  </conditionalFormatting>
  <conditionalFormatting sqref="AK13">
    <cfRule type="cellIs" dxfId="7366" priority="7334" stopIfTrue="1" operator="between">
      <formula>221101</formula>
      <formula>221118</formula>
    </cfRule>
    <cfRule type="cellIs" dxfId="7365" priority="7335" stopIfTrue="1" operator="between">
      <formula>221142</formula>
      <formula>221144</formula>
    </cfRule>
    <cfRule type="cellIs" dxfId="7364" priority="7336" stopIfTrue="1" operator="between">
      <formula>220001</formula>
      <formula>221144</formula>
    </cfRule>
  </conditionalFormatting>
  <conditionalFormatting sqref="AL13">
    <cfRule type="cellIs" dxfId="7363" priority="7331" stopIfTrue="1" operator="between">
      <formula>221101</formula>
      <formula>221118</formula>
    </cfRule>
    <cfRule type="cellIs" dxfId="7362" priority="7332" stopIfTrue="1" operator="between">
      <formula>221142</formula>
      <formula>221144</formula>
    </cfRule>
    <cfRule type="cellIs" dxfId="7361" priority="7333" stopIfTrue="1" operator="between">
      <formula>220001</formula>
      <formula>221144</formula>
    </cfRule>
  </conditionalFormatting>
  <conditionalFormatting sqref="AB13">
    <cfRule type="cellIs" dxfId="7360" priority="7328" stopIfTrue="1" operator="between">
      <formula>221101</formula>
      <formula>221118</formula>
    </cfRule>
    <cfRule type="cellIs" dxfId="7359" priority="7329" stopIfTrue="1" operator="between">
      <formula>221142</formula>
      <formula>221144</formula>
    </cfRule>
    <cfRule type="cellIs" dxfId="7358" priority="7330" stopIfTrue="1" operator="between">
      <formula>220001</formula>
      <formula>221144</formula>
    </cfRule>
  </conditionalFormatting>
  <conditionalFormatting sqref="AA13">
    <cfRule type="cellIs" dxfId="7357" priority="7325" stopIfTrue="1" operator="between">
      <formula>221101</formula>
      <formula>221118</formula>
    </cfRule>
    <cfRule type="cellIs" dxfId="7356" priority="7326" stopIfTrue="1" operator="between">
      <formula>221142</formula>
      <formula>221144</formula>
    </cfRule>
    <cfRule type="cellIs" dxfId="7355" priority="7327" stopIfTrue="1" operator="between">
      <formula>220001</formula>
      <formula>221144</formula>
    </cfRule>
  </conditionalFormatting>
  <conditionalFormatting sqref="AK13">
    <cfRule type="cellIs" dxfId="7354" priority="7322" stopIfTrue="1" operator="between">
      <formula>221101</formula>
      <formula>221118</formula>
    </cfRule>
    <cfRule type="cellIs" dxfId="7353" priority="7323" stopIfTrue="1" operator="between">
      <formula>221142</formula>
      <formula>221144</formula>
    </cfRule>
    <cfRule type="cellIs" dxfId="7352" priority="7324" stopIfTrue="1" operator="between">
      <formula>220001</formula>
      <formula>221144</formula>
    </cfRule>
  </conditionalFormatting>
  <conditionalFormatting sqref="AL13">
    <cfRule type="cellIs" dxfId="7351" priority="7319" stopIfTrue="1" operator="between">
      <formula>221101</formula>
      <formula>221118</formula>
    </cfRule>
    <cfRule type="cellIs" dxfId="7350" priority="7320" stopIfTrue="1" operator="between">
      <formula>221142</formula>
      <formula>221144</formula>
    </cfRule>
    <cfRule type="cellIs" dxfId="7349" priority="7321" stopIfTrue="1" operator="between">
      <formula>220001</formula>
      <formula>221144</formula>
    </cfRule>
  </conditionalFormatting>
  <conditionalFormatting sqref="AA13">
    <cfRule type="cellIs" dxfId="7348" priority="7316" stopIfTrue="1" operator="between">
      <formula>221101</formula>
      <formula>221118</formula>
    </cfRule>
    <cfRule type="cellIs" dxfId="7347" priority="7317" stopIfTrue="1" operator="between">
      <formula>221142</formula>
      <formula>221144</formula>
    </cfRule>
    <cfRule type="cellIs" dxfId="7346" priority="7318" stopIfTrue="1" operator="between">
      <formula>220001</formula>
      <formula>221144</formula>
    </cfRule>
  </conditionalFormatting>
  <conditionalFormatting sqref="Z13">
    <cfRule type="cellIs" dxfId="7345" priority="7313" stopIfTrue="1" operator="between">
      <formula>221101</formula>
      <formula>221118</formula>
    </cfRule>
    <cfRule type="cellIs" dxfId="7344" priority="7314" stopIfTrue="1" operator="between">
      <formula>221142</formula>
      <formula>221144</formula>
    </cfRule>
    <cfRule type="cellIs" dxfId="7343" priority="7315" stopIfTrue="1" operator="between">
      <formula>220001</formula>
      <formula>221144</formula>
    </cfRule>
  </conditionalFormatting>
  <conditionalFormatting sqref="AJ13">
    <cfRule type="cellIs" dxfId="7342" priority="7310" stopIfTrue="1" operator="between">
      <formula>221101</formula>
      <formula>221118</formula>
    </cfRule>
    <cfRule type="cellIs" dxfId="7341" priority="7311" stopIfTrue="1" operator="between">
      <formula>221142</formula>
      <formula>221144</formula>
    </cfRule>
    <cfRule type="cellIs" dxfId="7340" priority="7312" stopIfTrue="1" operator="between">
      <formula>220001</formula>
      <formula>221144</formula>
    </cfRule>
  </conditionalFormatting>
  <conditionalFormatting sqref="AK13">
    <cfRule type="cellIs" dxfId="7339" priority="7307" stopIfTrue="1" operator="between">
      <formula>221101</formula>
      <formula>221118</formula>
    </cfRule>
    <cfRule type="cellIs" dxfId="7338" priority="7308" stopIfTrue="1" operator="between">
      <formula>221142</formula>
      <formula>221144</formula>
    </cfRule>
    <cfRule type="cellIs" dxfId="7337" priority="7309" stopIfTrue="1" operator="between">
      <formula>220001</formula>
      <formula>221144</formula>
    </cfRule>
  </conditionalFormatting>
  <conditionalFormatting sqref="D13">
    <cfRule type="cellIs" dxfId="7336" priority="7304" stopIfTrue="1" operator="between">
      <formula>221101</formula>
      <formula>221118</formula>
    </cfRule>
    <cfRule type="cellIs" dxfId="7335" priority="7305" stopIfTrue="1" operator="between">
      <formula>221142</formula>
      <formula>221144</formula>
    </cfRule>
    <cfRule type="cellIs" dxfId="7334" priority="7306" stopIfTrue="1" operator="between">
      <formula>220001</formula>
      <formula>221144</formula>
    </cfRule>
  </conditionalFormatting>
  <conditionalFormatting sqref="AD13">
    <cfRule type="cellIs" dxfId="7333" priority="7301" stopIfTrue="1" operator="between">
      <formula>221101</formula>
      <formula>221118</formula>
    </cfRule>
    <cfRule type="cellIs" dxfId="7332" priority="7302" stopIfTrue="1" operator="between">
      <formula>221142</formula>
      <formula>221144</formula>
    </cfRule>
    <cfRule type="cellIs" dxfId="7331" priority="7303" stopIfTrue="1" operator="between">
      <formula>220001</formula>
      <formula>221144</formula>
    </cfRule>
  </conditionalFormatting>
  <conditionalFormatting sqref="AC13">
    <cfRule type="cellIs" dxfId="7330" priority="7298" stopIfTrue="1" operator="between">
      <formula>221101</formula>
      <formula>221118</formula>
    </cfRule>
    <cfRule type="cellIs" dxfId="7329" priority="7299" stopIfTrue="1" operator="between">
      <formula>221142</formula>
      <formula>221144</formula>
    </cfRule>
    <cfRule type="cellIs" dxfId="7328" priority="7300" stopIfTrue="1" operator="between">
      <formula>220001</formula>
      <formula>221144</formula>
    </cfRule>
  </conditionalFormatting>
  <conditionalFormatting sqref="AM13">
    <cfRule type="cellIs" dxfId="7327" priority="7295" stopIfTrue="1" operator="between">
      <formula>221101</formula>
      <formula>221118</formula>
    </cfRule>
    <cfRule type="cellIs" dxfId="7326" priority="7296" stopIfTrue="1" operator="between">
      <formula>221142</formula>
      <formula>221144</formula>
    </cfRule>
    <cfRule type="cellIs" dxfId="7325" priority="7297" stopIfTrue="1" operator="between">
      <formula>220001</formula>
      <formula>221144</formula>
    </cfRule>
  </conditionalFormatting>
  <conditionalFormatting sqref="AN13">
    <cfRule type="cellIs" dxfId="7324" priority="7292" stopIfTrue="1" operator="between">
      <formula>221101</formula>
      <formula>221118</formula>
    </cfRule>
    <cfRule type="cellIs" dxfId="7323" priority="7293" stopIfTrue="1" operator="between">
      <formula>221142</formula>
      <formula>221144</formula>
    </cfRule>
    <cfRule type="cellIs" dxfId="7322" priority="7294" stopIfTrue="1" operator="between">
      <formula>220001</formula>
      <formula>221144</formula>
    </cfRule>
  </conditionalFormatting>
  <conditionalFormatting sqref="AC13">
    <cfRule type="cellIs" dxfId="7321" priority="7289" stopIfTrue="1" operator="between">
      <formula>221101</formula>
      <formula>221118</formula>
    </cfRule>
    <cfRule type="cellIs" dxfId="7320" priority="7290" stopIfTrue="1" operator="between">
      <formula>221142</formula>
      <formula>221144</formula>
    </cfRule>
    <cfRule type="cellIs" dxfId="7319" priority="7291" stopIfTrue="1" operator="between">
      <formula>220001</formula>
      <formula>221144</formula>
    </cfRule>
  </conditionalFormatting>
  <conditionalFormatting sqref="AB13">
    <cfRule type="cellIs" dxfId="7318" priority="7286" stopIfTrue="1" operator="between">
      <formula>221101</formula>
      <formula>221118</formula>
    </cfRule>
    <cfRule type="cellIs" dxfId="7317" priority="7287" stopIfTrue="1" operator="between">
      <formula>221142</formula>
      <formula>221144</formula>
    </cfRule>
    <cfRule type="cellIs" dxfId="7316" priority="7288" stopIfTrue="1" operator="between">
      <formula>220001</formula>
      <formula>221144</formula>
    </cfRule>
  </conditionalFormatting>
  <conditionalFormatting sqref="AL13">
    <cfRule type="cellIs" dxfId="7315" priority="7283" stopIfTrue="1" operator="between">
      <formula>221101</formula>
      <formula>221118</formula>
    </cfRule>
    <cfRule type="cellIs" dxfId="7314" priority="7284" stopIfTrue="1" operator="between">
      <formula>221142</formula>
      <formula>221144</formula>
    </cfRule>
    <cfRule type="cellIs" dxfId="7313" priority="7285" stopIfTrue="1" operator="between">
      <formula>220001</formula>
      <formula>221144</formula>
    </cfRule>
  </conditionalFormatting>
  <conditionalFormatting sqref="AM13">
    <cfRule type="cellIs" dxfId="7312" priority="7280" stopIfTrue="1" operator="between">
      <formula>221101</formula>
      <formula>221118</formula>
    </cfRule>
    <cfRule type="cellIs" dxfId="7311" priority="7281" stopIfTrue="1" operator="between">
      <formula>221142</formula>
      <formula>221144</formula>
    </cfRule>
    <cfRule type="cellIs" dxfId="7310" priority="7282" stopIfTrue="1" operator="between">
      <formula>220001</formula>
      <formula>221144</formula>
    </cfRule>
  </conditionalFormatting>
  <conditionalFormatting sqref="C13">
    <cfRule type="cellIs" dxfId="7309" priority="7277" stopIfTrue="1" operator="between">
      <formula>221101</formula>
      <formula>221118</formula>
    </cfRule>
    <cfRule type="cellIs" dxfId="7308" priority="7278" stopIfTrue="1" operator="between">
      <formula>221142</formula>
      <formula>221144</formula>
    </cfRule>
    <cfRule type="cellIs" dxfId="7307" priority="7279" stopIfTrue="1" operator="between">
      <formula>220001</formula>
      <formula>221144</formula>
    </cfRule>
  </conditionalFormatting>
  <conditionalFormatting sqref="C13">
    <cfRule type="cellIs" dxfId="7306" priority="7274" stopIfTrue="1" operator="between">
      <formula>221101</formula>
      <formula>221118</formula>
    </cfRule>
    <cfRule type="cellIs" dxfId="7305" priority="7275" stopIfTrue="1" operator="between">
      <formula>221142</formula>
      <formula>221144</formula>
    </cfRule>
    <cfRule type="cellIs" dxfId="7304" priority="7276" stopIfTrue="1" operator="between">
      <formula>220001</formula>
      <formula>221144</formula>
    </cfRule>
  </conditionalFormatting>
  <conditionalFormatting sqref="C13">
    <cfRule type="cellIs" dxfId="7303" priority="7271" stopIfTrue="1" operator="between">
      <formula>221101</formula>
      <formula>221118</formula>
    </cfRule>
    <cfRule type="cellIs" dxfId="7302" priority="7272" stopIfTrue="1" operator="between">
      <formula>221142</formula>
      <formula>221144</formula>
    </cfRule>
    <cfRule type="cellIs" dxfId="7301" priority="7273" stopIfTrue="1" operator="between">
      <formula>220001</formula>
      <formula>221144</formula>
    </cfRule>
  </conditionalFormatting>
  <conditionalFormatting sqref="C13">
    <cfRule type="cellIs" dxfId="7300" priority="7268" stopIfTrue="1" operator="between">
      <formula>221101</formula>
      <formula>221118</formula>
    </cfRule>
    <cfRule type="cellIs" dxfId="7299" priority="7269" stopIfTrue="1" operator="between">
      <formula>221142</formula>
      <formula>221144</formula>
    </cfRule>
    <cfRule type="cellIs" dxfId="7298" priority="7270" stopIfTrue="1" operator="between">
      <formula>220001</formula>
      <formula>221144</formula>
    </cfRule>
  </conditionalFormatting>
  <conditionalFormatting sqref="C13">
    <cfRule type="cellIs" dxfId="7297" priority="7265" stopIfTrue="1" operator="between">
      <formula>221101</formula>
      <formula>221118</formula>
    </cfRule>
    <cfRule type="cellIs" dxfId="7296" priority="7266" stopIfTrue="1" operator="between">
      <formula>221142</formula>
      <formula>221144</formula>
    </cfRule>
    <cfRule type="cellIs" dxfId="7295" priority="7267" stopIfTrue="1" operator="between">
      <formula>220001</formula>
      <formula>221144</formula>
    </cfRule>
  </conditionalFormatting>
  <conditionalFormatting sqref="AC13">
    <cfRule type="cellIs" dxfId="7294" priority="7262" stopIfTrue="1" operator="between">
      <formula>221101</formula>
      <formula>221118</formula>
    </cfRule>
    <cfRule type="cellIs" dxfId="7293" priority="7263" stopIfTrue="1" operator="between">
      <formula>221142</formula>
      <formula>221144</formula>
    </cfRule>
    <cfRule type="cellIs" dxfId="7292" priority="7264" stopIfTrue="1" operator="between">
      <formula>220001</formula>
      <formula>221144</formula>
    </cfRule>
  </conditionalFormatting>
  <conditionalFormatting sqref="AB13">
    <cfRule type="cellIs" dxfId="7291" priority="7259" stopIfTrue="1" operator="between">
      <formula>221101</formula>
      <formula>221118</formula>
    </cfRule>
    <cfRule type="cellIs" dxfId="7290" priority="7260" stopIfTrue="1" operator="between">
      <formula>221142</formula>
      <formula>221144</formula>
    </cfRule>
    <cfRule type="cellIs" dxfId="7289" priority="7261" stopIfTrue="1" operator="between">
      <formula>220001</formula>
      <formula>221144</formula>
    </cfRule>
  </conditionalFormatting>
  <conditionalFormatting sqref="AL13">
    <cfRule type="cellIs" dxfId="7288" priority="7256" stopIfTrue="1" operator="between">
      <formula>221101</formula>
      <formula>221118</formula>
    </cfRule>
    <cfRule type="cellIs" dxfId="7287" priority="7257" stopIfTrue="1" operator="between">
      <formula>221142</formula>
      <formula>221144</formula>
    </cfRule>
    <cfRule type="cellIs" dxfId="7286" priority="7258" stopIfTrue="1" operator="between">
      <formula>220001</formula>
      <formula>221144</formula>
    </cfRule>
  </conditionalFormatting>
  <conditionalFormatting sqref="AM13">
    <cfRule type="cellIs" dxfId="7285" priority="7253" stopIfTrue="1" operator="between">
      <formula>221101</formula>
      <formula>221118</formula>
    </cfRule>
    <cfRule type="cellIs" dxfId="7284" priority="7254" stopIfTrue="1" operator="between">
      <formula>221142</formula>
      <formula>221144</formula>
    </cfRule>
    <cfRule type="cellIs" dxfId="7283" priority="7255" stopIfTrue="1" operator="between">
      <formula>220001</formula>
      <formula>221144</formula>
    </cfRule>
  </conditionalFormatting>
  <conditionalFormatting sqref="AB13">
    <cfRule type="cellIs" dxfId="7282" priority="7250" stopIfTrue="1" operator="between">
      <formula>221101</formula>
      <formula>221118</formula>
    </cfRule>
    <cfRule type="cellIs" dxfId="7281" priority="7251" stopIfTrue="1" operator="between">
      <formula>221142</formula>
      <formula>221144</formula>
    </cfRule>
    <cfRule type="cellIs" dxfId="7280" priority="7252" stopIfTrue="1" operator="between">
      <formula>220001</formula>
      <formula>221144</formula>
    </cfRule>
  </conditionalFormatting>
  <conditionalFormatting sqref="AA13">
    <cfRule type="cellIs" dxfId="7279" priority="7247" stopIfTrue="1" operator="between">
      <formula>221101</formula>
      <formula>221118</formula>
    </cfRule>
    <cfRule type="cellIs" dxfId="7278" priority="7248" stopIfTrue="1" operator="between">
      <formula>221142</formula>
      <formula>221144</formula>
    </cfRule>
    <cfRule type="cellIs" dxfId="7277" priority="7249" stopIfTrue="1" operator="between">
      <formula>220001</formula>
      <formula>221144</formula>
    </cfRule>
  </conditionalFormatting>
  <conditionalFormatting sqref="AK13">
    <cfRule type="cellIs" dxfId="7276" priority="7244" stopIfTrue="1" operator="between">
      <formula>221101</formula>
      <formula>221118</formula>
    </cfRule>
    <cfRule type="cellIs" dxfId="7275" priority="7245" stopIfTrue="1" operator="between">
      <formula>221142</formula>
      <formula>221144</formula>
    </cfRule>
    <cfRule type="cellIs" dxfId="7274" priority="7246" stopIfTrue="1" operator="between">
      <formula>220001</formula>
      <formula>221144</formula>
    </cfRule>
  </conditionalFormatting>
  <conditionalFormatting sqref="AL13">
    <cfRule type="cellIs" dxfId="7273" priority="7241" stopIfTrue="1" operator="between">
      <formula>221101</formula>
      <formula>221118</formula>
    </cfRule>
    <cfRule type="cellIs" dxfId="7272" priority="7242" stopIfTrue="1" operator="between">
      <formula>221142</formula>
      <formula>221144</formula>
    </cfRule>
    <cfRule type="cellIs" dxfId="7271" priority="7243" stopIfTrue="1" operator="between">
      <formula>220001</formula>
      <formula>221144</formula>
    </cfRule>
  </conditionalFormatting>
  <conditionalFormatting sqref="C13">
    <cfRule type="cellIs" dxfId="7270" priority="7238" stopIfTrue="1" operator="between">
      <formula>221101</formula>
      <formula>221118</formula>
    </cfRule>
    <cfRule type="cellIs" dxfId="7269" priority="7239" stopIfTrue="1" operator="between">
      <formula>221142</formula>
      <formula>221144</formula>
    </cfRule>
    <cfRule type="cellIs" dxfId="7268" priority="7240" stopIfTrue="1" operator="between">
      <formula>220001</formula>
      <formula>221144</formula>
    </cfRule>
  </conditionalFormatting>
  <conditionalFormatting sqref="AC13">
    <cfRule type="cellIs" dxfId="7267" priority="7235" stopIfTrue="1" operator="between">
      <formula>221101</formula>
      <formula>221118</formula>
    </cfRule>
    <cfRule type="cellIs" dxfId="7266" priority="7236" stopIfTrue="1" operator="between">
      <formula>221142</formula>
      <formula>221144</formula>
    </cfRule>
    <cfRule type="cellIs" dxfId="7265" priority="7237" stopIfTrue="1" operator="between">
      <formula>220001</formula>
      <formula>221144</formula>
    </cfRule>
  </conditionalFormatting>
  <conditionalFormatting sqref="AB13">
    <cfRule type="cellIs" dxfId="7264" priority="7232" stopIfTrue="1" operator="between">
      <formula>221101</formula>
      <formula>221118</formula>
    </cfRule>
    <cfRule type="cellIs" dxfId="7263" priority="7233" stopIfTrue="1" operator="between">
      <formula>221142</formula>
      <formula>221144</formula>
    </cfRule>
    <cfRule type="cellIs" dxfId="7262" priority="7234" stopIfTrue="1" operator="between">
      <formula>220001</formula>
      <formula>221144</formula>
    </cfRule>
  </conditionalFormatting>
  <conditionalFormatting sqref="AL13">
    <cfRule type="cellIs" dxfId="7261" priority="7229" stopIfTrue="1" operator="between">
      <formula>221101</formula>
      <formula>221118</formula>
    </cfRule>
    <cfRule type="cellIs" dxfId="7260" priority="7230" stopIfTrue="1" operator="between">
      <formula>221142</formula>
      <formula>221144</formula>
    </cfRule>
    <cfRule type="cellIs" dxfId="7259" priority="7231" stopIfTrue="1" operator="between">
      <formula>220001</formula>
      <formula>221144</formula>
    </cfRule>
  </conditionalFormatting>
  <conditionalFormatting sqref="AM13">
    <cfRule type="cellIs" dxfId="7258" priority="7226" stopIfTrue="1" operator="between">
      <formula>221101</formula>
      <formula>221118</formula>
    </cfRule>
    <cfRule type="cellIs" dxfId="7257" priority="7227" stopIfTrue="1" operator="between">
      <formula>221142</formula>
      <formula>221144</formula>
    </cfRule>
    <cfRule type="cellIs" dxfId="7256" priority="7228" stopIfTrue="1" operator="between">
      <formula>220001</formula>
      <formula>221144</formula>
    </cfRule>
  </conditionalFormatting>
  <conditionalFormatting sqref="AB13">
    <cfRule type="cellIs" dxfId="7255" priority="7223" stopIfTrue="1" operator="between">
      <formula>221101</formula>
      <formula>221118</formula>
    </cfRule>
    <cfRule type="cellIs" dxfId="7254" priority="7224" stopIfTrue="1" operator="between">
      <formula>221142</formula>
      <formula>221144</formula>
    </cfRule>
    <cfRule type="cellIs" dxfId="7253" priority="7225" stopIfTrue="1" operator="between">
      <formula>220001</formula>
      <formula>221144</formula>
    </cfRule>
  </conditionalFormatting>
  <conditionalFormatting sqref="AA13">
    <cfRule type="cellIs" dxfId="7252" priority="7220" stopIfTrue="1" operator="between">
      <formula>221101</formula>
      <formula>221118</formula>
    </cfRule>
    <cfRule type="cellIs" dxfId="7251" priority="7221" stopIfTrue="1" operator="between">
      <formula>221142</formula>
      <formula>221144</formula>
    </cfRule>
    <cfRule type="cellIs" dxfId="7250" priority="7222" stopIfTrue="1" operator="between">
      <formula>220001</formula>
      <formula>221144</formula>
    </cfRule>
  </conditionalFormatting>
  <conditionalFormatting sqref="AK13">
    <cfRule type="cellIs" dxfId="7249" priority="7217" stopIfTrue="1" operator="between">
      <formula>221101</formula>
      <formula>221118</formula>
    </cfRule>
    <cfRule type="cellIs" dxfId="7248" priority="7218" stopIfTrue="1" operator="between">
      <formula>221142</formula>
      <formula>221144</formula>
    </cfRule>
    <cfRule type="cellIs" dxfId="7247" priority="7219" stopIfTrue="1" operator="between">
      <formula>220001</formula>
      <formula>221144</formula>
    </cfRule>
  </conditionalFormatting>
  <conditionalFormatting sqref="AL13">
    <cfRule type="cellIs" dxfId="7246" priority="7214" stopIfTrue="1" operator="between">
      <formula>221101</formula>
      <formula>221118</formula>
    </cfRule>
    <cfRule type="cellIs" dxfId="7245" priority="7215" stopIfTrue="1" operator="between">
      <formula>221142</formula>
      <formula>221144</formula>
    </cfRule>
    <cfRule type="cellIs" dxfId="7244" priority="7216" stopIfTrue="1" operator="between">
      <formula>220001</formula>
      <formula>221144</formula>
    </cfRule>
  </conditionalFormatting>
  <conditionalFormatting sqref="AB13">
    <cfRule type="cellIs" dxfId="7243" priority="7211" stopIfTrue="1" operator="between">
      <formula>221101</formula>
      <formula>221118</formula>
    </cfRule>
    <cfRule type="cellIs" dxfId="7242" priority="7212" stopIfTrue="1" operator="between">
      <formula>221142</formula>
      <formula>221144</formula>
    </cfRule>
    <cfRule type="cellIs" dxfId="7241" priority="7213" stopIfTrue="1" operator="between">
      <formula>220001</formula>
      <formula>221144</formula>
    </cfRule>
  </conditionalFormatting>
  <conditionalFormatting sqref="AA13">
    <cfRule type="cellIs" dxfId="7240" priority="7208" stopIfTrue="1" operator="between">
      <formula>221101</formula>
      <formula>221118</formula>
    </cfRule>
    <cfRule type="cellIs" dxfId="7239" priority="7209" stopIfTrue="1" operator="between">
      <formula>221142</formula>
      <formula>221144</formula>
    </cfRule>
    <cfRule type="cellIs" dxfId="7238" priority="7210" stopIfTrue="1" operator="between">
      <formula>220001</formula>
      <formula>221144</formula>
    </cfRule>
  </conditionalFormatting>
  <conditionalFormatting sqref="AK13">
    <cfRule type="cellIs" dxfId="7237" priority="7205" stopIfTrue="1" operator="between">
      <formula>221101</formula>
      <formula>221118</formula>
    </cfRule>
    <cfRule type="cellIs" dxfId="7236" priority="7206" stopIfTrue="1" operator="between">
      <formula>221142</formula>
      <formula>221144</formula>
    </cfRule>
    <cfRule type="cellIs" dxfId="7235" priority="7207" stopIfTrue="1" operator="between">
      <formula>220001</formula>
      <formula>221144</formula>
    </cfRule>
  </conditionalFormatting>
  <conditionalFormatting sqref="AL13">
    <cfRule type="cellIs" dxfId="7234" priority="7202" stopIfTrue="1" operator="between">
      <formula>221101</formula>
      <formula>221118</formula>
    </cfRule>
    <cfRule type="cellIs" dxfId="7233" priority="7203" stopIfTrue="1" operator="between">
      <formula>221142</formula>
      <formula>221144</formula>
    </cfRule>
    <cfRule type="cellIs" dxfId="7232" priority="7204" stopIfTrue="1" operator="between">
      <formula>220001</formula>
      <formula>221144</formula>
    </cfRule>
  </conditionalFormatting>
  <conditionalFormatting sqref="AA13">
    <cfRule type="cellIs" dxfId="7231" priority="7199" stopIfTrue="1" operator="between">
      <formula>221101</formula>
      <formula>221118</formula>
    </cfRule>
    <cfRule type="cellIs" dxfId="7230" priority="7200" stopIfTrue="1" operator="between">
      <formula>221142</formula>
      <formula>221144</formula>
    </cfRule>
    <cfRule type="cellIs" dxfId="7229" priority="7201" stopIfTrue="1" operator="between">
      <formula>220001</formula>
      <formula>221144</formula>
    </cfRule>
  </conditionalFormatting>
  <conditionalFormatting sqref="Z13">
    <cfRule type="cellIs" dxfId="7228" priority="7196" stopIfTrue="1" operator="between">
      <formula>221101</formula>
      <formula>221118</formula>
    </cfRule>
    <cfRule type="cellIs" dxfId="7227" priority="7197" stopIfTrue="1" operator="between">
      <formula>221142</formula>
      <formula>221144</formula>
    </cfRule>
    <cfRule type="cellIs" dxfId="7226" priority="7198" stopIfTrue="1" operator="between">
      <formula>220001</formula>
      <formula>221144</formula>
    </cfRule>
  </conditionalFormatting>
  <conditionalFormatting sqref="AJ13">
    <cfRule type="cellIs" dxfId="7225" priority="7193" stopIfTrue="1" operator="between">
      <formula>221101</formula>
      <formula>221118</formula>
    </cfRule>
    <cfRule type="cellIs" dxfId="7224" priority="7194" stopIfTrue="1" operator="between">
      <formula>221142</formula>
      <formula>221144</formula>
    </cfRule>
    <cfRule type="cellIs" dxfId="7223" priority="7195" stopIfTrue="1" operator="between">
      <formula>220001</formula>
      <formula>221144</formula>
    </cfRule>
  </conditionalFormatting>
  <conditionalFormatting sqref="AK13">
    <cfRule type="cellIs" dxfId="7222" priority="7190" stopIfTrue="1" operator="between">
      <formula>221101</formula>
      <formula>221118</formula>
    </cfRule>
    <cfRule type="cellIs" dxfId="7221" priority="7191" stopIfTrue="1" operator="between">
      <formula>221142</formula>
      <formula>221144</formula>
    </cfRule>
    <cfRule type="cellIs" dxfId="7220" priority="7192" stopIfTrue="1" operator="between">
      <formula>220001</formula>
      <formula>221144</formula>
    </cfRule>
  </conditionalFormatting>
  <conditionalFormatting sqref="C13">
    <cfRule type="cellIs" dxfId="7219" priority="7187" stopIfTrue="1" operator="between">
      <formula>221101</formula>
      <formula>221118</formula>
    </cfRule>
    <cfRule type="cellIs" dxfId="7218" priority="7188" stopIfTrue="1" operator="between">
      <formula>221142</formula>
      <formula>221144</formula>
    </cfRule>
    <cfRule type="cellIs" dxfId="7217" priority="7189" stopIfTrue="1" operator="between">
      <formula>220001</formula>
      <formula>221144</formula>
    </cfRule>
  </conditionalFormatting>
  <conditionalFormatting sqref="AC13">
    <cfRule type="cellIs" dxfId="7216" priority="7184" stopIfTrue="1" operator="between">
      <formula>221101</formula>
      <formula>221118</formula>
    </cfRule>
    <cfRule type="cellIs" dxfId="7215" priority="7185" stopIfTrue="1" operator="between">
      <formula>221142</formula>
      <formula>221144</formula>
    </cfRule>
    <cfRule type="cellIs" dxfId="7214" priority="7186" stopIfTrue="1" operator="between">
      <formula>220001</formula>
      <formula>221144</formula>
    </cfRule>
  </conditionalFormatting>
  <conditionalFormatting sqref="AB13">
    <cfRule type="cellIs" dxfId="7213" priority="7181" stopIfTrue="1" operator="between">
      <formula>221101</formula>
      <formula>221118</formula>
    </cfRule>
    <cfRule type="cellIs" dxfId="7212" priority="7182" stopIfTrue="1" operator="between">
      <formula>221142</formula>
      <formula>221144</formula>
    </cfRule>
    <cfRule type="cellIs" dxfId="7211" priority="7183" stopIfTrue="1" operator="between">
      <formula>220001</formula>
      <formula>221144</formula>
    </cfRule>
  </conditionalFormatting>
  <conditionalFormatting sqref="AL13">
    <cfRule type="cellIs" dxfId="7210" priority="7178" stopIfTrue="1" operator="between">
      <formula>221101</formula>
      <formula>221118</formula>
    </cfRule>
    <cfRule type="cellIs" dxfId="7209" priority="7179" stopIfTrue="1" operator="between">
      <formula>221142</formula>
      <formula>221144</formula>
    </cfRule>
    <cfRule type="cellIs" dxfId="7208" priority="7180" stopIfTrue="1" operator="between">
      <formula>220001</formula>
      <formula>221144</formula>
    </cfRule>
  </conditionalFormatting>
  <conditionalFormatting sqref="AM13">
    <cfRule type="cellIs" dxfId="7207" priority="7175" stopIfTrue="1" operator="between">
      <formula>221101</formula>
      <formula>221118</formula>
    </cfRule>
    <cfRule type="cellIs" dxfId="7206" priority="7176" stopIfTrue="1" operator="between">
      <formula>221142</formula>
      <formula>221144</formula>
    </cfRule>
    <cfRule type="cellIs" dxfId="7205" priority="7177" stopIfTrue="1" operator="between">
      <formula>220001</formula>
      <formula>221144</formula>
    </cfRule>
  </conditionalFormatting>
  <conditionalFormatting sqref="AB13">
    <cfRule type="cellIs" dxfId="7204" priority="7172" stopIfTrue="1" operator="between">
      <formula>221101</formula>
      <formula>221118</formula>
    </cfRule>
    <cfRule type="cellIs" dxfId="7203" priority="7173" stopIfTrue="1" operator="between">
      <formula>221142</formula>
      <formula>221144</formula>
    </cfRule>
    <cfRule type="cellIs" dxfId="7202" priority="7174" stopIfTrue="1" operator="between">
      <formula>220001</formula>
      <formula>221144</formula>
    </cfRule>
  </conditionalFormatting>
  <conditionalFormatting sqref="AA13">
    <cfRule type="cellIs" dxfId="7201" priority="7169" stopIfTrue="1" operator="between">
      <formula>221101</formula>
      <formula>221118</formula>
    </cfRule>
    <cfRule type="cellIs" dxfId="7200" priority="7170" stopIfTrue="1" operator="between">
      <formula>221142</formula>
      <formula>221144</formula>
    </cfRule>
    <cfRule type="cellIs" dxfId="7199" priority="7171" stopIfTrue="1" operator="between">
      <formula>220001</formula>
      <formula>221144</formula>
    </cfRule>
  </conditionalFormatting>
  <conditionalFormatting sqref="AK13">
    <cfRule type="cellIs" dxfId="7198" priority="7166" stopIfTrue="1" operator="between">
      <formula>221101</formula>
      <formula>221118</formula>
    </cfRule>
    <cfRule type="cellIs" dxfId="7197" priority="7167" stopIfTrue="1" operator="between">
      <formula>221142</formula>
      <formula>221144</formula>
    </cfRule>
    <cfRule type="cellIs" dxfId="7196" priority="7168" stopIfTrue="1" operator="between">
      <formula>220001</formula>
      <formula>221144</formula>
    </cfRule>
  </conditionalFormatting>
  <conditionalFormatting sqref="AL13">
    <cfRule type="cellIs" dxfId="7195" priority="7163" stopIfTrue="1" operator="between">
      <formula>221101</formula>
      <formula>221118</formula>
    </cfRule>
    <cfRule type="cellIs" dxfId="7194" priority="7164" stopIfTrue="1" operator="between">
      <formula>221142</formula>
      <formula>221144</formula>
    </cfRule>
    <cfRule type="cellIs" dxfId="7193" priority="7165" stopIfTrue="1" operator="between">
      <formula>220001</formula>
      <formula>221144</formula>
    </cfRule>
  </conditionalFormatting>
  <conditionalFormatting sqref="AB13">
    <cfRule type="cellIs" dxfId="7192" priority="7160" stopIfTrue="1" operator="between">
      <formula>221101</formula>
      <formula>221118</formula>
    </cfRule>
    <cfRule type="cellIs" dxfId="7191" priority="7161" stopIfTrue="1" operator="between">
      <formula>221142</formula>
      <formula>221144</formula>
    </cfRule>
    <cfRule type="cellIs" dxfId="7190" priority="7162" stopIfTrue="1" operator="between">
      <formula>220001</formula>
      <formula>221144</formula>
    </cfRule>
  </conditionalFormatting>
  <conditionalFormatting sqref="AA13">
    <cfRule type="cellIs" dxfId="7189" priority="7157" stopIfTrue="1" operator="between">
      <formula>221101</formula>
      <formula>221118</formula>
    </cfRule>
    <cfRule type="cellIs" dxfId="7188" priority="7158" stopIfTrue="1" operator="between">
      <formula>221142</formula>
      <formula>221144</formula>
    </cfRule>
    <cfRule type="cellIs" dxfId="7187" priority="7159" stopIfTrue="1" operator="between">
      <formula>220001</formula>
      <formula>221144</formula>
    </cfRule>
  </conditionalFormatting>
  <conditionalFormatting sqref="AK13">
    <cfRule type="cellIs" dxfId="7186" priority="7154" stopIfTrue="1" operator="between">
      <formula>221101</formula>
      <formula>221118</formula>
    </cfRule>
    <cfRule type="cellIs" dxfId="7185" priority="7155" stopIfTrue="1" operator="between">
      <formula>221142</formula>
      <formula>221144</formula>
    </cfRule>
    <cfRule type="cellIs" dxfId="7184" priority="7156" stopIfTrue="1" operator="between">
      <formula>220001</formula>
      <formula>221144</formula>
    </cfRule>
  </conditionalFormatting>
  <conditionalFormatting sqref="AL13">
    <cfRule type="cellIs" dxfId="7183" priority="7151" stopIfTrue="1" operator="between">
      <formula>221101</formula>
      <formula>221118</formula>
    </cfRule>
    <cfRule type="cellIs" dxfId="7182" priority="7152" stopIfTrue="1" operator="between">
      <formula>221142</formula>
      <formula>221144</formula>
    </cfRule>
    <cfRule type="cellIs" dxfId="7181" priority="7153" stopIfTrue="1" operator="between">
      <formula>220001</formula>
      <formula>221144</formula>
    </cfRule>
  </conditionalFormatting>
  <conditionalFormatting sqref="AA13">
    <cfRule type="cellIs" dxfId="7180" priority="7148" stopIfTrue="1" operator="between">
      <formula>221101</formula>
      <formula>221118</formula>
    </cfRule>
    <cfRule type="cellIs" dxfId="7179" priority="7149" stopIfTrue="1" operator="between">
      <formula>221142</formula>
      <formula>221144</formula>
    </cfRule>
    <cfRule type="cellIs" dxfId="7178" priority="7150" stopIfTrue="1" operator="between">
      <formula>220001</formula>
      <formula>221144</formula>
    </cfRule>
  </conditionalFormatting>
  <conditionalFormatting sqref="Z13">
    <cfRule type="cellIs" dxfId="7177" priority="7145" stopIfTrue="1" operator="between">
      <formula>221101</formula>
      <formula>221118</formula>
    </cfRule>
    <cfRule type="cellIs" dxfId="7176" priority="7146" stopIfTrue="1" operator="between">
      <formula>221142</formula>
      <formula>221144</formula>
    </cfRule>
    <cfRule type="cellIs" dxfId="7175" priority="7147" stopIfTrue="1" operator="between">
      <formula>220001</formula>
      <formula>221144</formula>
    </cfRule>
  </conditionalFormatting>
  <conditionalFormatting sqref="AJ13">
    <cfRule type="cellIs" dxfId="7174" priority="7142" stopIfTrue="1" operator="between">
      <formula>221101</formula>
      <formula>221118</formula>
    </cfRule>
    <cfRule type="cellIs" dxfId="7173" priority="7143" stopIfTrue="1" operator="between">
      <formula>221142</formula>
      <formula>221144</formula>
    </cfRule>
    <cfRule type="cellIs" dxfId="7172" priority="7144" stopIfTrue="1" operator="between">
      <formula>220001</formula>
      <formula>221144</formula>
    </cfRule>
  </conditionalFormatting>
  <conditionalFormatting sqref="AK13">
    <cfRule type="cellIs" dxfId="7171" priority="7139" stopIfTrue="1" operator="between">
      <formula>221101</formula>
      <formula>221118</formula>
    </cfRule>
    <cfRule type="cellIs" dxfId="7170" priority="7140" stopIfTrue="1" operator="between">
      <formula>221142</formula>
      <formula>221144</formula>
    </cfRule>
    <cfRule type="cellIs" dxfId="7169" priority="7141" stopIfTrue="1" operator="between">
      <formula>220001</formula>
      <formula>221144</formula>
    </cfRule>
  </conditionalFormatting>
  <conditionalFormatting sqref="AB13">
    <cfRule type="cellIs" dxfId="7168" priority="7136" stopIfTrue="1" operator="between">
      <formula>221101</formula>
      <formula>221118</formula>
    </cfRule>
    <cfRule type="cellIs" dxfId="7167" priority="7137" stopIfTrue="1" operator="between">
      <formula>221142</formula>
      <formula>221144</formula>
    </cfRule>
    <cfRule type="cellIs" dxfId="7166" priority="7138" stopIfTrue="1" operator="between">
      <formula>220001</formula>
      <formula>221144</formula>
    </cfRule>
  </conditionalFormatting>
  <conditionalFormatting sqref="AA13">
    <cfRule type="cellIs" dxfId="7165" priority="7133" stopIfTrue="1" operator="between">
      <formula>221101</formula>
      <formula>221118</formula>
    </cfRule>
    <cfRule type="cellIs" dxfId="7164" priority="7134" stopIfTrue="1" operator="between">
      <formula>221142</formula>
      <formula>221144</formula>
    </cfRule>
    <cfRule type="cellIs" dxfId="7163" priority="7135" stopIfTrue="1" operator="between">
      <formula>220001</formula>
      <formula>221144</formula>
    </cfRule>
  </conditionalFormatting>
  <conditionalFormatting sqref="AK13">
    <cfRule type="cellIs" dxfId="7162" priority="7130" stopIfTrue="1" operator="between">
      <formula>221101</formula>
      <formula>221118</formula>
    </cfRule>
    <cfRule type="cellIs" dxfId="7161" priority="7131" stopIfTrue="1" operator="between">
      <formula>221142</formula>
      <formula>221144</formula>
    </cfRule>
    <cfRule type="cellIs" dxfId="7160" priority="7132" stopIfTrue="1" operator="between">
      <formula>220001</formula>
      <formula>221144</formula>
    </cfRule>
  </conditionalFormatting>
  <conditionalFormatting sqref="AL13">
    <cfRule type="cellIs" dxfId="7159" priority="7127" stopIfTrue="1" operator="between">
      <formula>221101</formula>
      <formula>221118</formula>
    </cfRule>
    <cfRule type="cellIs" dxfId="7158" priority="7128" stopIfTrue="1" operator="between">
      <formula>221142</formula>
      <formula>221144</formula>
    </cfRule>
    <cfRule type="cellIs" dxfId="7157" priority="7129" stopIfTrue="1" operator="between">
      <formula>220001</formula>
      <formula>221144</formula>
    </cfRule>
  </conditionalFormatting>
  <conditionalFormatting sqref="AA13">
    <cfRule type="cellIs" dxfId="7156" priority="7124" stopIfTrue="1" operator="between">
      <formula>221101</formula>
      <formula>221118</formula>
    </cfRule>
    <cfRule type="cellIs" dxfId="7155" priority="7125" stopIfTrue="1" operator="between">
      <formula>221142</formula>
      <formula>221144</formula>
    </cfRule>
    <cfRule type="cellIs" dxfId="7154" priority="7126" stopIfTrue="1" operator="between">
      <formula>220001</formula>
      <formula>221144</formula>
    </cfRule>
  </conditionalFormatting>
  <conditionalFormatting sqref="Z13">
    <cfRule type="cellIs" dxfId="7153" priority="7121" stopIfTrue="1" operator="between">
      <formula>221101</formula>
      <formula>221118</formula>
    </cfRule>
    <cfRule type="cellIs" dxfId="7152" priority="7122" stopIfTrue="1" operator="between">
      <formula>221142</formula>
      <formula>221144</formula>
    </cfRule>
    <cfRule type="cellIs" dxfId="7151" priority="7123" stopIfTrue="1" operator="between">
      <formula>220001</formula>
      <formula>221144</formula>
    </cfRule>
  </conditionalFormatting>
  <conditionalFormatting sqref="AJ13">
    <cfRule type="cellIs" dxfId="7150" priority="7118" stopIfTrue="1" operator="between">
      <formula>221101</formula>
      <formula>221118</formula>
    </cfRule>
    <cfRule type="cellIs" dxfId="7149" priority="7119" stopIfTrue="1" operator="between">
      <formula>221142</formula>
      <formula>221144</formula>
    </cfRule>
    <cfRule type="cellIs" dxfId="7148" priority="7120" stopIfTrue="1" operator="between">
      <formula>220001</formula>
      <formula>221144</formula>
    </cfRule>
  </conditionalFormatting>
  <conditionalFormatting sqref="AK13">
    <cfRule type="cellIs" dxfId="7147" priority="7115" stopIfTrue="1" operator="between">
      <formula>221101</formula>
      <formula>221118</formula>
    </cfRule>
    <cfRule type="cellIs" dxfId="7146" priority="7116" stopIfTrue="1" operator="between">
      <formula>221142</formula>
      <formula>221144</formula>
    </cfRule>
    <cfRule type="cellIs" dxfId="7145" priority="7117" stopIfTrue="1" operator="between">
      <formula>220001</formula>
      <formula>221144</formula>
    </cfRule>
  </conditionalFormatting>
  <conditionalFormatting sqref="AA13">
    <cfRule type="cellIs" dxfId="7144" priority="7112" stopIfTrue="1" operator="between">
      <formula>221101</formula>
      <formula>221118</formula>
    </cfRule>
    <cfRule type="cellIs" dxfId="7143" priority="7113" stopIfTrue="1" operator="between">
      <formula>221142</formula>
      <formula>221144</formula>
    </cfRule>
    <cfRule type="cellIs" dxfId="7142" priority="7114" stopIfTrue="1" operator="between">
      <formula>220001</formula>
      <formula>221144</formula>
    </cfRule>
  </conditionalFormatting>
  <conditionalFormatting sqref="Z13">
    <cfRule type="cellIs" dxfId="7141" priority="7109" stopIfTrue="1" operator="between">
      <formula>221101</formula>
      <formula>221118</formula>
    </cfRule>
    <cfRule type="cellIs" dxfId="7140" priority="7110" stopIfTrue="1" operator="between">
      <formula>221142</formula>
      <formula>221144</formula>
    </cfRule>
    <cfRule type="cellIs" dxfId="7139" priority="7111" stopIfTrue="1" operator="between">
      <formula>220001</formula>
      <formula>221144</formula>
    </cfRule>
  </conditionalFormatting>
  <conditionalFormatting sqref="AJ13">
    <cfRule type="cellIs" dxfId="7138" priority="7106" stopIfTrue="1" operator="between">
      <formula>221101</formula>
      <formula>221118</formula>
    </cfRule>
    <cfRule type="cellIs" dxfId="7137" priority="7107" stopIfTrue="1" operator="between">
      <formula>221142</formula>
      <formula>221144</formula>
    </cfRule>
    <cfRule type="cellIs" dxfId="7136" priority="7108" stopIfTrue="1" operator="between">
      <formula>220001</formula>
      <formula>221144</formula>
    </cfRule>
  </conditionalFormatting>
  <conditionalFormatting sqref="AK13">
    <cfRule type="cellIs" dxfId="7135" priority="7103" stopIfTrue="1" operator="between">
      <formula>221101</formula>
      <formula>221118</formula>
    </cfRule>
    <cfRule type="cellIs" dxfId="7134" priority="7104" stopIfTrue="1" operator="between">
      <formula>221142</formula>
      <formula>221144</formula>
    </cfRule>
    <cfRule type="cellIs" dxfId="7133" priority="7105" stopIfTrue="1" operator="between">
      <formula>220001</formula>
      <formula>221144</formula>
    </cfRule>
  </conditionalFormatting>
  <conditionalFormatting sqref="Z13">
    <cfRule type="cellIs" dxfId="7132" priority="7100" stopIfTrue="1" operator="between">
      <formula>221101</formula>
      <formula>221118</formula>
    </cfRule>
    <cfRule type="cellIs" dxfId="7131" priority="7101" stopIfTrue="1" operator="between">
      <formula>221142</formula>
      <formula>221144</formula>
    </cfRule>
    <cfRule type="cellIs" dxfId="7130" priority="7102" stopIfTrue="1" operator="between">
      <formula>220001</formula>
      <formula>221144</formula>
    </cfRule>
  </conditionalFormatting>
  <conditionalFormatting sqref="Y13">
    <cfRule type="cellIs" dxfId="7129" priority="7097" stopIfTrue="1" operator="between">
      <formula>221101</formula>
      <formula>221118</formula>
    </cfRule>
    <cfRule type="cellIs" dxfId="7128" priority="7098" stopIfTrue="1" operator="between">
      <formula>221142</formula>
      <formula>221144</formula>
    </cfRule>
    <cfRule type="cellIs" dxfId="7127" priority="7099" stopIfTrue="1" operator="between">
      <formula>220001</formula>
      <formula>221144</formula>
    </cfRule>
  </conditionalFormatting>
  <conditionalFormatting sqref="AI13">
    <cfRule type="cellIs" dxfId="7126" priority="7094" stopIfTrue="1" operator="between">
      <formula>221101</formula>
      <formula>221118</formula>
    </cfRule>
    <cfRule type="cellIs" dxfId="7125" priority="7095" stopIfTrue="1" operator="between">
      <formula>221142</formula>
      <formula>221144</formula>
    </cfRule>
    <cfRule type="cellIs" dxfId="7124" priority="7096" stopIfTrue="1" operator="between">
      <formula>220001</formula>
      <formula>221144</formula>
    </cfRule>
  </conditionalFormatting>
  <conditionalFormatting sqref="AJ13">
    <cfRule type="cellIs" dxfId="7123" priority="7091" stopIfTrue="1" operator="between">
      <formula>221101</formula>
      <formula>221118</formula>
    </cfRule>
    <cfRule type="cellIs" dxfId="7122" priority="7092" stopIfTrue="1" operator="between">
      <formula>221142</formula>
      <formula>221144</formula>
    </cfRule>
    <cfRule type="cellIs" dxfId="7121" priority="7093" stopIfTrue="1" operator="between">
      <formula>220001</formula>
      <formula>221144</formula>
    </cfRule>
  </conditionalFormatting>
  <conditionalFormatting sqref="E21">
    <cfRule type="cellIs" dxfId="7120" priority="7088" stopIfTrue="1" operator="between">
      <formula>221101</formula>
      <formula>221118</formula>
    </cfRule>
    <cfRule type="cellIs" dxfId="7119" priority="7089" stopIfTrue="1" operator="between">
      <formula>221142</formula>
      <formula>221144</formula>
    </cfRule>
    <cfRule type="cellIs" dxfId="7118" priority="7090" stopIfTrue="1" operator="between">
      <formula>220001</formula>
      <formula>221144</formula>
    </cfRule>
  </conditionalFormatting>
  <conditionalFormatting sqref="C21">
    <cfRule type="cellIs" dxfId="7117" priority="7085" stopIfTrue="1" operator="between">
      <formula>221101</formula>
      <formula>221118</formula>
    </cfRule>
    <cfRule type="cellIs" dxfId="7116" priority="7086" stopIfTrue="1" operator="between">
      <formula>221142</formula>
      <formula>221144</formula>
    </cfRule>
    <cfRule type="cellIs" dxfId="7115" priority="7087" stopIfTrue="1" operator="between">
      <formula>220001</formula>
      <formula>221144</formula>
    </cfRule>
  </conditionalFormatting>
  <conditionalFormatting sqref="AN21">
    <cfRule type="cellIs" dxfId="7114" priority="7079" stopIfTrue="1" operator="between">
      <formula>221101</formula>
      <formula>221118</formula>
    </cfRule>
    <cfRule type="cellIs" dxfId="7113" priority="7080" stopIfTrue="1" operator="between">
      <formula>221142</formula>
      <formula>221144</formula>
    </cfRule>
    <cfRule type="cellIs" dxfId="7112" priority="7081" stopIfTrue="1" operator="between">
      <formula>220001</formula>
      <formula>221144</formula>
    </cfRule>
  </conditionalFormatting>
  <conditionalFormatting sqref="C21">
    <cfRule type="cellIs" dxfId="7111" priority="7076" stopIfTrue="1" operator="between">
      <formula>221101</formula>
      <formula>221118</formula>
    </cfRule>
    <cfRule type="cellIs" dxfId="7110" priority="7077" stopIfTrue="1" operator="between">
      <formula>221142</formula>
      <formula>221144</formula>
    </cfRule>
    <cfRule type="cellIs" dxfId="7109" priority="7078" stopIfTrue="1" operator="between">
      <formula>220001</formula>
      <formula>221144</formula>
    </cfRule>
  </conditionalFormatting>
  <conditionalFormatting sqref="C21">
    <cfRule type="cellIs" dxfId="7108" priority="7073" stopIfTrue="1" operator="between">
      <formula>221101</formula>
      <formula>221118</formula>
    </cfRule>
    <cfRule type="cellIs" dxfId="7107" priority="7074" stopIfTrue="1" operator="between">
      <formula>221142</formula>
      <formula>221144</formula>
    </cfRule>
    <cfRule type="cellIs" dxfId="7106" priority="7075" stopIfTrue="1" operator="between">
      <formula>220001</formula>
      <formula>221144</formula>
    </cfRule>
  </conditionalFormatting>
  <conditionalFormatting sqref="AN21">
    <cfRule type="cellIs" dxfId="7105" priority="7070" stopIfTrue="1" operator="between">
      <formula>221101</formula>
      <formula>221118</formula>
    </cfRule>
    <cfRule type="cellIs" dxfId="7104" priority="7071" stopIfTrue="1" operator="between">
      <formula>221142</formula>
      <formula>221144</formula>
    </cfRule>
    <cfRule type="cellIs" dxfId="7103" priority="7072" stopIfTrue="1" operator="between">
      <formula>220001</formula>
      <formula>221144</formula>
    </cfRule>
  </conditionalFormatting>
  <conditionalFormatting sqref="AM21">
    <cfRule type="cellIs" dxfId="7102" priority="7067" stopIfTrue="1" operator="between">
      <formula>221101</formula>
      <formula>221118</formula>
    </cfRule>
    <cfRule type="cellIs" dxfId="7101" priority="7068" stopIfTrue="1" operator="between">
      <formula>221142</formula>
      <formula>221144</formula>
    </cfRule>
    <cfRule type="cellIs" dxfId="7100" priority="7069" stopIfTrue="1" operator="between">
      <formula>220001</formula>
      <formula>221144</formula>
    </cfRule>
  </conditionalFormatting>
  <conditionalFormatting sqref="D21">
    <cfRule type="cellIs" dxfId="7099" priority="7064" stopIfTrue="1" operator="between">
      <formula>221101</formula>
      <formula>221118</formula>
    </cfRule>
    <cfRule type="cellIs" dxfId="7098" priority="7065" stopIfTrue="1" operator="between">
      <formula>221142</formula>
      <formula>221144</formula>
    </cfRule>
    <cfRule type="cellIs" dxfId="7097" priority="7066" stopIfTrue="1" operator="between">
      <formula>220001</formula>
      <formula>221144</formula>
    </cfRule>
  </conditionalFormatting>
  <conditionalFormatting sqref="D21">
    <cfRule type="cellIs" dxfId="7096" priority="7061" stopIfTrue="1" operator="between">
      <formula>221101</formula>
      <formula>221118</formula>
    </cfRule>
    <cfRule type="cellIs" dxfId="7095" priority="7062" stopIfTrue="1" operator="between">
      <formula>221142</formula>
      <formula>221144</formula>
    </cfRule>
    <cfRule type="cellIs" dxfId="7094" priority="7063" stopIfTrue="1" operator="between">
      <formula>220001</formula>
      <formula>221144</formula>
    </cfRule>
  </conditionalFormatting>
  <conditionalFormatting sqref="D21">
    <cfRule type="cellIs" dxfId="7093" priority="7058" stopIfTrue="1" operator="between">
      <formula>221101</formula>
      <formula>221118</formula>
    </cfRule>
    <cfRule type="cellIs" dxfId="7092" priority="7059" stopIfTrue="1" operator="between">
      <formula>221142</formula>
      <formula>221144</formula>
    </cfRule>
    <cfRule type="cellIs" dxfId="7091" priority="7060" stopIfTrue="1" operator="between">
      <formula>220001</formula>
      <formula>221144</formula>
    </cfRule>
  </conditionalFormatting>
  <conditionalFormatting sqref="D21">
    <cfRule type="cellIs" dxfId="7090" priority="7055" stopIfTrue="1" operator="between">
      <formula>221101</formula>
      <formula>221118</formula>
    </cfRule>
    <cfRule type="cellIs" dxfId="7089" priority="7056" stopIfTrue="1" operator="between">
      <formula>221142</formula>
      <formula>221144</formula>
    </cfRule>
    <cfRule type="cellIs" dxfId="7088" priority="7057" stopIfTrue="1" operator="between">
      <formula>220001</formula>
      <formula>221144</formula>
    </cfRule>
  </conditionalFormatting>
  <conditionalFormatting sqref="D21">
    <cfRule type="cellIs" dxfId="7087" priority="7052" stopIfTrue="1" operator="between">
      <formula>221101</formula>
      <formula>221118</formula>
    </cfRule>
    <cfRule type="cellIs" dxfId="7086" priority="7053" stopIfTrue="1" operator="between">
      <formula>221142</formula>
      <formula>221144</formula>
    </cfRule>
    <cfRule type="cellIs" dxfId="7085" priority="7054" stopIfTrue="1" operator="between">
      <formula>220001</formula>
      <formula>221144</formula>
    </cfRule>
  </conditionalFormatting>
  <conditionalFormatting sqref="AN21">
    <cfRule type="cellIs" dxfId="7084" priority="7049" stopIfTrue="1" operator="between">
      <formula>221101</formula>
      <formula>221118</formula>
    </cfRule>
    <cfRule type="cellIs" dxfId="7083" priority="7050" stopIfTrue="1" operator="between">
      <formula>221142</formula>
      <formula>221144</formula>
    </cfRule>
    <cfRule type="cellIs" dxfId="7082" priority="7051" stopIfTrue="1" operator="between">
      <formula>220001</formula>
      <formula>221144</formula>
    </cfRule>
  </conditionalFormatting>
  <conditionalFormatting sqref="AM21">
    <cfRule type="cellIs" dxfId="7081" priority="7046" stopIfTrue="1" operator="between">
      <formula>221101</formula>
      <formula>221118</formula>
    </cfRule>
    <cfRule type="cellIs" dxfId="7080" priority="7047" stopIfTrue="1" operator="between">
      <formula>221142</formula>
      <formula>221144</formula>
    </cfRule>
    <cfRule type="cellIs" dxfId="7079" priority="7048" stopIfTrue="1" operator="between">
      <formula>220001</formula>
      <formula>221144</formula>
    </cfRule>
  </conditionalFormatting>
  <conditionalFormatting sqref="AM21">
    <cfRule type="cellIs" dxfId="7078" priority="7043" stopIfTrue="1" operator="between">
      <formula>221101</formula>
      <formula>221118</formula>
    </cfRule>
    <cfRule type="cellIs" dxfId="7077" priority="7044" stopIfTrue="1" operator="between">
      <formula>221142</formula>
      <formula>221144</formula>
    </cfRule>
    <cfRule type="cellIs" dxfId="7076" priority="7045" stopIfTrue="1" operator="between">
      <formula>220001</formula>
      <formula>221144</formula>
    </cfRule>
  </conditionalFormatting>
  <conditionalFormatting sqref="AL21">
    <cfRule type="cellIs" dxfId="7075" priority="7040" stopIfTrue="1" operator="between">
      <formula>221101</formula>
      <formula>221118</formula>
    </cfRule>
    <cfRule type="cellIs" dxfId="7074" priority="7041" stopIfTrue="1" operator="between">
      <formula>221142</formula>
      <formula>221144</formula>
    </cfRule>
    <cfRule type="cellIs" dxfId="7073" priority="7042" stopIfTrue="1" operator="between">
      <formula>220001</formula>
      <formula>221144</formula>
    </cfRule>
  </conditionalFormatting>
  <conditionalFormatting sqref="C21">
    <cfRule type="cellIs" dxfId="7072" priority="7037" stopIfTrue="1" operator="between">
      <formula>221101</formula>
      <formula>221118</formula>
    </cfRule>
    <cfRule type="cellIs" dxfId="7071" priority="7038" stopIfTrue="1" operator="between">
      <formula>221142</formula>
      <formula>221144</formula>
    </cfRule>
    <cfRule type="cellIs" dxfId="7070" priority="7039" stopIfTrue="1" operator="between">
      <formula>220001</formula>
      <formula>221144</formula>
    </cfRule>
  </conditionalFormatting>
  <conditionalFormatting sqref="C21">
    <cfRule type="cellIs" dxfId="7069" priority="7034" stopIfTrue="1" operator="between">
      <formula>221101</formula>
      <formula>221118</formula>
    </cfRule>
    <cfRule type="cellIs" dxfId="7068" priority="7035" stopIfTrue="1" operator="between">
      <formula>221142</formula>
      <formula>221144</formula>
    </cfRule>
    <cfRule type="cellIs" dxfId="7067" priority="7036" stopIfTrue="1" operator="between">
      <formula>220001</formula>
      <formula>221144</formula>
    </cfRule>
  </conditionalFormatting>
  <conditionalFormatting sqref="C21">
    <cfRule type="cellIs" dxfId="7066" priority="7031" stopIfTrue="1" operator="between">
      <formula>221101</formula>
      <formula>221118</formula>
    </cfRule>
    <cfRule type="cellIs" dxfId="7065" priority="7032" stopIfTrue="1" operator="between">
      <formula>221142</formula>
      <formula>221144</formula>
    </cfRule>
    <cfRule type="cellIs" dxfId="7064" priority="7033" stopIfTrue="1" operator="between">
      <formula>220001</formula>
      <formula>221144</formula>
    </cfRule>
  </conditionalFormatting>
  <conditionalFormatting sqref="C21">
    <cfRule type="cellIs" dxfId="7063" priority="7028" stopIfTrue="1" operator="between">
      <formula>221101</formula>
      <formula>221118</formula>
    </cfRule>
    <cfRule type="cellIs" dxfId="7062" priority="7029" stopIfTrue="1" operator="between">
      <formula>221142</formula>
      <formula>221144</formula>
    </cfRule>
    <cfRule type="cellIs" dxfId="7061" priority="7030" stopIfTrue="1" operator="between">
      <formula>220001</formula>
      <formula>221144</formula>
    </cfRule>
  </conditionalFormatting>
  <conditionalFormatting sqref="D21">
    <cfRule type="cellIs" dxfId="7060" priority="7025" stopIfTrue="1" operator="between">
      <formula>221101</formula>
      <formula>221118</formula>
    </cfRule>
    <cfRule type="cellIs" dxfId="7059" priority="7026" stopIfTrue="1" operator="between">
      <formula>221142</formula>
      <formula>221144</formula>
    </cfRule>
    <cfRule type="cellIs" dxfId="7058" priority="7027" stopIfTrue="1" operator="between">
      <formula>220001</formula>
      <formula>221144</formula>
    </cfRule>
  </conditionalFormatting>
  <conditionalFormatting sqref="AN21">
    <cfRule type="cellIs" dxfId="7057" priority="7022" stopIfTrue="1" operator="between">
      <formula>221101</formula>
      <formula>221118</formula>
    </cfRule>
    <cfRule type="cellIs" dxfId="7056" priority="7023" stopIfTrue="1" operator="between">
      <formula>221142</formula>
      <formula>221144</formula>
    </cfRule>
    <cfRule type="cellIs" dxfId="7055" priority="7024" stopIfTrue="1" operator="between">
      <formula>220001</formula>
      <formula>221144</formula>
    </cfRule>
  </conditionalFormatting>
  <conditionalFormatting sqref="AM21">
    <cfRule type="cellIs" dxfId="7054" priority="7019" stopIfTrue="1" operator="between">
      <formula>221101</formula>
      <formula>221118</formula>
    </cfRule>
    <cfRule type="cellIs" dxfId="7053" priority="7020" stopIfTrue="1" operator="between">
      <formula>221142</formula>
      <formula>221144</formula>
    </cfRule>
    <cfRule type="cellIs" dxfId="7052" priority="7021" stopIfTrue="1" operator="between">
      <formula>220001</formula>
      <formula>221144</formula>
    </cfRule>
  </conditionalFormatting>
  <conditionalFormatting sqref="AM21">
    <cfRule type="cellIs" dxfId="7051" priority="7016" stopIfTrue="1" operator="between">
      <formula>221101</formula>
      <formula>221118</formula>
    </cfRule>
    <cfRule type="cellIs" dxfId="7050" priority="7017" stopIfTrue="1" operator="between">
      <formula>221142</formula>
      <formula>221144</formula>
    </cfRule>
    <cfRule type="cellIs" dxfId="7049" priority="7018" stopIfTrue="1" operator="between">
      <formula>220001</formula>
      <formula>221144</formula>
    </cfRule>
  </conditionalFormatting>
  <conditionalFormatting sqref="AL21">
    <cfRule type="cellIs" dxfId="7048" priority="7013" stopIfTrue="1" operator="between">
      <formula>221101</formula>
      <formula>221118</formula>
    </cfRule>
    <cfRule type="cellIs" dxfId="7047" priority="7014" stopIfTrue="1" operator="between">
      <formula>221142</formula>
      <formula>221144</formula>
    </cfRule>
    <cfRule type="cellIs" dxfId="7046" priority="7015" stopIfTrue="1" operator="between">
      <formula>220001</formula>
      <formula>221144</formula>
    </cfRule>
  </conditionalFormatting>
  <conditionalFormatting sqref="C21">
    <cfRule type="cellIs" dxfId="7045" priority="7010" stopIfTrue="1" operator="between">
      <formula>221101</formula>
      <formula>221118</formula>
    </cfRule>
    <cfRule type="cellIs" dxfId="7044" priority="7011" stopIfTrue="1" operator="between">
      <formula>221142</formula>
      <formula>221144</formula>
    </cfRule>
    <cfRule type="cellIs" dxfId="7043" priority="7012" stopIfTrue="1" operator="between">
      <formula>220001</formula>
      <formula>221144</formula>
    </cfRule>
  </conditionalFormatting>
  <conditionalFormatting sqref="C21">
    <cfRule type="cellIs" dxfId="7042" priority="7007" stopIfTrue="1" operator="between">
      <formula>221101</formula>
      <formula>221118</formula>
    </cfRule>
    <cfRule type="cellIs" dxfId="7041" priority="7008" stopIfTrue="1" operator="between">
      <formula>221142</formula>
      <formula>221144</formula>
    </cfRule>
    <cfRule type="cellIs" dxfId="7040" priority="7009" stopIfTrue="1" operator="between">
      <formula>220001</formula>
      <formula>221144</formula>
    </cfRule>
  </conditionalFormatting>
  <conditionalFormatting sqref="C21">
    <cfRule type="cellIs" dxfId="7039" priority="7004" stopIfTrue="1" operator="between">
      <formula>221101</formula>
      <formula>221118</formula>
    </cfRule>
    <cfRule type="cellIs" dxfId="7038" priority="7005" stopIfTrue="1" operator="between">
      <formula>221142</formula>
      <formula>221144</formula>
    </cfRule>
    <cfRule type="cellIs" dxfId="7037" priority="7006" stopIfTrue="1" operator="between">
      <formula>220001</formula>
      <formula>221144</formula>
    </cfRule>
  </conditionalFormatting>
  <conditionalFormatting sqref="C21">
    <cfRule type="cellIs" dxfId="7036" priority="7001" stopIfTrue="1" operator="between">
      <formula>221101</formula>
      <formula>221118</formula>
    </cfRule>
    <cfRule type="cellIs" dxfId="7035" priority="7002" stopIfTrue="1" operator="between">
      <formula>221142</formula>
      <formula>221144</formula>
    </cfRule>
    <cfRule type="cellIs" dxfId="7034" priority="7003" stopIfTrue="1" operator="between">
      <formula>220001</formula>
      <formula>221144</formula>
    </cfRule>
  </conditionalFormatting>
  <conditionalFormatting sqref="C21">
    <cfRule type="cellIs" dxfId="7033" priority="6998" stopIfTrue="1" operator="between">
      <formula>221101</formula>
      <formula>221118</formula>
    </cfRule>
    <cfRule type="cellIs" dxfId="7032" priority="6999" stopIfTrue="1" operator="between">
      <formula>221142</formula>
      <formula>221144</formula>
    </cfRule>
    <cfRule type="cellIs" dxfId="7031" priority="7000" stopIfTrue="1" operator="between">
      <formula>220001</formula>
      <formula>221144</formula>
    </cfRule>
  </conditionalFormatting>
  <conditionalFormatting sqref="AM21">
    <cfRule type="cellIs" dxfId="7030" priority="6995" stopIfTrue="1" operator="between">
      <formula>221101</formula>
      <formula>221118</formula>
    </cfRule>
    <cfRule type="cellIs" dxfId="7029" priority="6996" stopIfTrue="1" operator="between">
      <formula>221142</formula>
      <formula>221144</formula>
    </cfRule>
    <cfRule type="cellIs" dxfId="7028" priority="6997" stopIfTrue="1" operator="between">
      <formula>220001</formula>
      <formula>221144</formula>
    </cfRule>
  </conditionalFormatting>
  <conditionalFormatting sqref="AL21">
    <cfRule type="cellIs" dxfId="7027" priority="6992" stopIfTrue="1" operator="between">
      <formula>221101</formula>
      <formula>221118</formula>
    </cfRule>
    <cfRule type="cellIs" dxfId="7026" priority="6993" stopIfTrue="1" operator="between">
      <formula>221142</formula>
      <formula>221144</formula>
    </cfRule>
    <cfRule type="cellIs" dxfId="7025" priority="6994" stopIfTrue="1" operator="between">
      <formula>220001</formula>
      <formula>221144</formula>
    </cfRule>
  </conditionalFormatting>
  <conditionalFormatting sqref="AL21">
    <cfRule type="cellIs" dxfId="7024" priority="6989" stopIfTrue="1" operator="between">
      <formula>221101</formula>
      <formula>221118</formula>
    </cfRule>
    <cfRule type="cellIs" dxfId="7023" priority="6990" stopIfTrue="1" operator="between">
      <formula>221142</formula>
      <formula>221144</formula>
    </cfRule>
    <cfRule type="cellIs" dxfId="7022" priority="6991" stopIfTrue="1" operator="between">
      <formula>220001</formula>
      <formula>221144</formula>
    </cfRule>
  </conditionalFormatting>
  <conditionalFormatting sqref="AK21">
    <cfRule type="cellIs" dxfId="7021" priority="6986" stopIfTrue="1" operator="between">
      <formula>221101</formula>
      <formula>221118</formula>
    </cfRule>
    <cfRule type="cellIs" dxfId="7020" priority="6987" stopIfTrue="1" operator="between">
      <formula>221142</formula>
      <formula>221144</formula>
    </cfRule>
    <cfRule type="cellIs" dxfId="7019" priority="6988" stopIfTrue="1" operator="between">
      <formula>220001</formula>
      <formula>221144</formula>
    </cfRule>
  </conditionalFormatting>
  <conditionalFormatting sqref="D21">
    <cfRule type="cellIs" dxfId="7018" priority="6983" stopIfTrue="1" operator="between">
      <formula>221101</formula>
      <formula>221118</formula>
    </cfRule>
    <cfRule type="cellIs" dxfId="7017" priority="6984" stopIfTrue="1" operator="between">
      <formula>221142</formula>
      <formula>221144</formula>
    </cfRule>
    <cfRule type="cellIs" dxfId="7016" priority="6985" stopIfTrue="1" operator="between">
      <formula>220001</formula>
      <formula>221144</formula>
    </cfRule>
  </conditionalFormatting>
  <conditionalFormatting sqref="AN21">
    <cfRule type="cellIs" dxfId="7015" priority="6980" stopIfTrue="1" operator="between">
      <formula>221101</formula>
      <formula>221118</formula>
    </cfRule>
    <cfRule type="cellIs" dxfId="7014" priority="6981" stopIfTrue="1" operator="between">
      <formula>221142</formula>
      <formula>221144</formula>
    </cfRule>
    <cfRule type="cellIs" dxfId="7013" priority="6982" stopIfTrue="1" operator="between">
      <formula>220001</formula>
      <formula>221144</formula>
    </cfRule>
  </conditionalFormatting>
  <conditionalFormatting sqref="AM21">
    <cfRule type="cellIs" dxfId="7012" priority="6977" stopIfTrue="1" operator="between">
      <formula>221101</formula>
      <formula>221118</formula>
    </cfRule>
    <cfRule type="cellIs" dxfId="7011" priority="6978" stopIfTrue="1" operator="between">
      <formula>221142</formula>
      <formula>221144</formula>
    </cfRule>
    <cfRule type="cellIs" dxfId="7010" priority="6979" stopIfTrue="1" operator="between">
      <formula>220001</formula>
      <formula>221144</formula>
    </cfRule>
  </conditionalFormatting>
  <conditionalFormatting sqref="AM21">
    <cfRule type="cellIs" dxfId="7009" priority="6974" stopIfTrue="1" operator="between">
      <formula>221101</formula>
      <formula>221118</formula>
    </cfRule>
    <cfRule type="cellIs" dxfId="7008" priority="6975" stopIfTrue="1" operator="between">
      <formula>221142</formula>
      <formula>221144</formula>
    </cfRule>
    <cfRule type="cellIs" dxfId="7007" priority="6976" stopIfTrue="1" operator="between">
      <formula>220001</formula>
      <formula>221144</formula>
    </cfRule>
  </conditionalFormatting>
  <conditionalFormatting sqref="AL21">
    <cfRule type="cellIs" dxfId="7006" priority="6971" stopIfTrue="1" operator="between">
      <formula>221101</formula>
      <formula>221118</formula>
    </cfRule>
    <cfRule type="cellIs" dxfId="7005" priority="6972" stopIfTrue="1" operator="between">
      <formula>221142</formula>
      <formula>221144</formula>
    </cfRule>
    <cfRule type="cellIs" dxfId="7004" priority="6973" stopIfTrue="1" operator="between">
      <formula>220001</formula>
      <formula>221144</formula>
    </cfRule>
  </conditionalFormatting>
  <conditionalFormatting sqref="C21">
    <cfRule type="cellIs" dxfId="7003" priority="6968" stopIfTrue="1" operator="between">
      <formula>221101</formula>
      <formula>221118</formula>
    </cfRule>
    <cfRule type="cellIs" dxfId="7002" priority="6969" stopIfTrue="1" operator="between">
      <formula>221142</formula>
      <formula>221144</formula>
    </cfRule>
    <cfRule type="cellIs" dxfId="7001" priority="6970" stopIfTrue="1" operator="between">
      <formula>220001</formula>
      <formula>221144</formula>
    </cfRule>
  </conditionalFormatting>
  <conditionalFormatting sqref="C21">
    <cfRule type="cellIs" dxfId="7000" priority="6965" stopIfTrue="1" operator="between">
      <formula>221101</formula>
      <formula>221118</formula>
    </cfRule>
    <cfRule type="cellIs" dxfId="6999" priority="6966" stopIfTrue="1" operator="between">
      <formula>221142</formula>
      <formula>221144</formula>
    </cfRule>
    <cfRule type="cellIs" dxfId="6998" priority="6967" stopIfTrue="1" operator="between">
      <formula>220001</formula>
      <formula>221144</formula>
    </cfRule>
  </conditionalFormatting>
  <conditionalFormatting sqref="C21">
    <cfRule type="cellIs" dxfId="6997" priority="6962" stopIfTrue="1" operator="between">
      <formula>221101</formula>
      <formula>221118</formula>
    </cfRule>
    <cfRule type="cellIs" dxfId="6996" priority="6963" stopIfTrue="1" operator="between">
      <formula>221142</formula>
      <formula>221144</formula>
    </cfRule>
    <cfRule type="cellIs" dxfId="6995" priority="6964" stopIfTrue="1" operator="between">
      <formula>220001</formula>
      <formula>221144</formula>
    </cfRule>
  </conditionalFormatting>
  <conditionalFormatting sqref="C21">
    <cfRule type="cellIs" dxfId="6994" priority="6959" stopIfTrue="1" operator="between">
      <formula>221101</formula>
      <formula>221118</formula>
    </cfRule>
    <cfRule type="cellIs" dxfId="6993" priority="6960" stopIfTrue="1" operator="between">
      <formula>221142</formula>
      <formula>221144</formula>
    </cfRule>
    <cfRule type="cellIs" dxfId="6992" priority="6961" stopIfTrue="1" operator="between">
      <formula>220001</formula>
      <formula>221144</formula>
    </cfRule>
  </conditionalFormatting>
  <conditionalFormatting sqref="C21">
    <cfRule type="cellIs" dxfId="6991" priority="6956" stopIfTrue="1" operator="between">
      <formula>221101</formula>
      <formula>221118</formula>
    </cfRule>
    <cfRule type="cellIs" dxfId="6990" priority="6957" stopIfTrue="1" operator="between">
      <formula>221142</formula>
      <formula>221144</formula>
    </cfRule>
    <cfRule type="cellIs" dxfId="6989" priority="6958" stopIfTrue="1" operator="between">
      <formula>220001</formula>
      <formula>221144</formula>
    </cfRule>
  </conditionalFormatting>
  <conditionalFormatting sqref="AM21">
    <cfRule type="cellIs" dxfId="6988" priority="6953" stopIfTrue="1" operator="between">
      <formula>221101</formula>
      <formula>221118</formula>
    </cfRule>
    <cfRule type="cellIs" dxfId="6987" priority="6954" stopIfTrue="1" operator="between">
      <formula>221142</formula>
      <formula>221144</formula>
    </cfRule>
    <cfRule type="cellIs" dxfId="6986" priority="6955" stopIfTrue="1" operator="between">
      <formula>220001</formula>
      <formula>221144</formula>
    </cfRule>
  </conditionalFormatting>
  <conditionalFormatting sqref="AL21">
    <cfRule type="cellIs" dxfId="6985" priority="6950" stopIfTrue="1" operator="between">
      <formula>221101</formula>
      <formula>221118</formula>
    </cfRule>
    <cfRule type="cellIs" dxfId="6984" priority="6951" stopIfTrue="1" operator="between">
      <formula>221142</formula>
      <formula>221144</formula>
    </cfRule>
    <cfRule type="cellIs" dxfId="6983" priority="6952" stopIfTrue="1" operator="between">
      <formula>220001</formula>
      <formula>221144</formula>
    </cfRule>
  </conditionalFormatting>
  <conditionalFormatting sqref="AL21">
    <cfRule type="cellIs" dxfId="6982" priority="6947" stopIfTrue="1" operator="between">
      <formula>221101</formula>
      <formula>221118</formula>
    </cfRule>
    <cfRule type="cellIs" dxfId="6981" priority="6948" stopIfTrue="1" operator="between">
      <formula>221142</formula>
      <formula>221144</formula>
    </cfRule>
    <cfRule type="cellIs" dxfId="6980" priority="6949" stopIfTrue="1" operator="between">
      <formula>220001</formula>
      <formula>221144</formula>
    </cfRule>
  </conditionalFormatting>
  <conditionalFormatting sqref="AK21">
    <cfRule type="cellIs" dxfId="6979" priority="6944" stopIfTrue="1" operator="between">
      <formula>221101</formula>
      <formula>221118</formula>
    </cfRule>
    <cfRule type="cellIs" dxfId="6978" priority="6945" stopIfTrue="1" operator="between">
      <formula>221142</formula>
      <formula>221144</formula>
    </cfRule>
    <cfRule type="cellIs" dxfId="6977" priority="6946" stopIfTrue="1" operator="between">
      <formula>220001</formula>
      <formula>221144</formula>
    </cfRule>
  </conditionalFormatting>
  <conditionalFormatting sqref="C21">
    <cfRule type="cellIs" dxfId="6976" priority="6941" stopIfTrue="1" operator="between">
      <formula>221101</formula>
      <formula>221118</formula>
    </cfRule>
    <cfRule type="cellIs" dxfId="6975" priority="6942" stopIfTrue="1" operator="between">
      <formula>221142</formula>
      <formula>221144</formula>
    </cfRule>
    <cfRule type="cellIs" dxfId="6974" priority="6943" stopIfTrue="1" operator="between">
      <formula>220001</formula>
      <formula>221144</formula>
    </cfRule>
  </conditionalFormatting>
  <conditionalFormatting sqref="AM21">
    <cfRule type="cellIs" dxfId="6973" priority="6938" stopIfTrue="1" operator="between">
      <formula>221101</formula>
      <formula>221118</formula>
    </cfRule>
    <cfRule type="cellIs" dxfId="6972" priority="6939" stopIfTrue="1" operator="between">
      <formula>221142</formula>
      <formula>221144</formula>
    </cfRule>
    <cfRule type="cellIs" dxfId="6971" priority="6940" stopIfTrue="1" operator="between">
      <formula>220001</formula>
      <formula>221144</formula>
    </cfRule>
  </conditionalFormatting>
  <conditionalFormatting sqref="AL21">
    <cfRule type="cellIs" dxfId="6970" priority="6935" stopIfTrue="1" operator="between">
      <formula>221101</formula>
      <formula>221118</formula>
    </cfRule>
    <cfRule type="cellIs" dxfId="6969" priority="6936" stopIfTrue="1" operator="between">
      <formula>221142</formula>
      <formula>221144</formula>
    </cfRule>
    <cfRule type="cellIs" dxfId="6968" priority="6937" stopIfTrue="1" operator="between">
      <formula>220001</formula>
      <formula>221144</formula>
    </cfRule>
  </conditionalFormatting>
  <conditionalFormatting sqref="AL21">
    <cfRule type="cellIs" dxfId="6967" priority="6932" stopIfTrue="1" operator="between">
      <formula>221101</formula>
      <formula>221118</formula>
    </cfRule>
    <cfRule type="cellIs" dxfId="6966" priority="6933" stopIfTrue="1" operator="between">
      <formula>221142</formula>
      <formula>221144</formula>
    </cfRule>
    <cfRule type="cellIs" dxfId="6965" priority="6934" stopIfTrue="1" operator="between">
      <formula>220001</formula>
      <formula>221144</formula>
    </cfRule>
  </conditionalFormatting>
  <conditionalFormatting sqref="AK21">
    <cfRule type="cellIs" dxfId="6964" priority="6929" stopIfTrue="1" operator="between">
      <formula>221101</formula>
      <formula>221118</formula>
    </cfRule>
    <cfRule type="cellIs" dxfId="6963" priority="6930" stopIfTrue="1" operator="between">
      <formula>221142</formula>
      <formula>221144</formula>
    </cfRule>
    <cfRule type="cellIs" dxfId="6962" priority="6931" stopIfTrue="1" operator="between">
      <formula>220001</formula>
      <formula>221144</formula>
    </cfRule>
  </conditionalFormatting>
  <conditionalFormatting sqref="AL21">
    <cfRule type="cellIs" dxfId="6961" priority="6926" stopIfTrue="1" operator="between">
      <formula>221101</formula>
      <formula>221118</formula>
    </cfRule>
    <cfRule type="cellIs" dxfId="6960" priority="6927" stopIfTrue="1" operator="between">
      <formula>221142</formula>
      <formula>221144</formula>
    </cfRule>
    <cfRule type="cellIs" dxfId="6959" priority="6928" stopIfTrue="1" operator="between">
      <formula>220001</formula>
      <formula>221144</formula>
    </cfRule>
  </conditionalFormatting>
  <conditionalFormatting sqref="AK21">
    <cfRule type="cellIs" dxfId="6958" priority="6923" stopIfTrue="1" operator="between">
      <formula>221101</formula>
      <formula>221118</formula>
    </cfRule>
    <cfRule type="cellIs" dxfId="6957" priority="6924" stopIfTrue="1" operator="between">
      <formula>221142</formula>
      <formula>221144</formula>
    </cfRule>
    <cfRule type="cellIs" dxfId="6956" priority="6925" stopIfTrue="1" operator="between">
      <formula>220001</formula>
      <formula>221144</formula>
    </cfRule>
  </conditionalFormatting>
  <conditionalFormatting sqref="AK21">
    <cfRule type="cellIs" dxfId="6955" priority="6920" stopIfTrue="1" operator="between">
      <formula>221101</formula>
      <formula>221118</formula>
    </cfRule>
    <cfRule type="cellIs" dxfId="6954" priority="6921" stopIfTrue="1" operator="between">
      <formula>221142</formula>
      <formula>221144</formula>
    </cfRule>
    <cfRule type="cellIs" dxfId="6953" priority="6922" stopIfTrue="1" operator="between">
      <formula>220001</formula>
      <formula>221144</formula>
    </cfRule>
  </conditionalFormatting>
  <conditionalFormatting sqref="AJ21">
    <cfRule type="cellIs" dxfId="6952" priority="6917" stopIfTrue="1" operator="between">
      <formula>221101</formula>
      <formula>221118</formula>
    </cfRule>
    <cfRule type="cellIs" dxfId="6951" priority="6918" stopIfTrue="1" operator="between">
      <formula>221142</formula>
      <formula>221144</formula>
    </cfRule>
    <cfRule type="cellIs" dxfId="6950" priority="6919" stopIfTrue="1" operator="between">
      <formula>220001</formula>
      <formula>221144</formula>
    </cfRule>
  </conditionalFormatting>
  <conditionalFormatting sqref="D21">
    <cfRule type="cellIs" dxfId="6949" priority="6914" stopIfTrue="1" operator="between">
      <formula>221101</formula>
      <formula>221118</formula>
    </cfRule>
    <cfRule type="cellIs" dxfId="6948" priority="6915" stopIfTrue="1" operator="between">
      <formula>221142</formula>
      <formula>221144</formula>
    </cfRule>
    <cfRule type="cellIs" dxfId="6947" priority="6916" stopIfTrue="1" operator="between">
      <formula>220001</formula>
      <formula>221144</formula>
    </cfRule>
  </conditionalFormatting>
  <conditionalFormatting sqref="AN21">
    <cfRule type="cellIs" dxfId="6946" priority="6911" stopIfTrue="1" operator="between">
      <formula>221101</formula>
      <formula>221118</formula>
    </cfRule>
    <cfRule type="cellIs" dxfId="6945" priority="6912" stopIfTrue="1" operator="between">
      <formula>221142</formula>
      <formula>221144</formula>
    </cfRule>
    <cfRule type="cellIs" dxfId="6944" priority="6913" stopIfTrue="1" operator="between">
      <formula>220001</formula>
      <formula>221144</formula>
    </cfRule>
  </conditionalFormatting>
  <conditionalFormatting sqref="AM21">
    <cfRule type="cellIs" dxfId="6943" priority="6908" stopIfTrue="1" operator="between">
      <formula>221101</formula>
      <formula>221118</formula>
    </cfRule>
    <cfRule type="cellIs" dxfId="6942" priority="6909" stopIfTrue="1" operator="between">
      <formula>221142</formula>
      <formula>221144</formula>
    </cfRule>
    <cfRule type="cellIs" dxfId="6941" priority="6910" stopIfTrue="1" operator="between">
      <formula>220001</formula>
      <formula>221144</formula>
    </cfRule>
  </conditionalFormatting>
  <conditionalFormatting sqref="AM21">
    <cfRule type="cellIs" dxfId="6940" priority="6905" stopIfTrue="1" operator="between">
      <formula>221101</formula>
      <formula>221118</formula>
    </cfRule>
    <cfRule type="cellIs" dxfId="6939" priority="6906" stopIfTrue="1" operator="between">
      <formula>221142</formula>
      <formula>221144</formula>
    </cfRule>
    <cfRule type="cellIs" dxfId="6938" priority="6907" stopIfTrue="1" operator="between">
      <formula>220001</formula>
      <formula>221144</formula>
    </cfRule>
  </conditionalFormatting>
  <conditionalFormatting sqref="AL21">
    <cfRule type="cellIs" dxfId="6937" priority="6902" stopIfTrue="1" operator="between">
      <formula>221101</formula>
      <formula>221118</formula>
    </cfRule>
    <cfRule type="cellIs" dxfId="6936" priority="6903" stopIfTrue="1" operator="between">
      <formula>221142</formula>
      <formula>221144</formula>
    </cfRule>
    <cfRule type="cellIs" dxfId="6935" priority="6904" stopIfTrue="1" operator="between">
      <formula>220001</formula>
      <formula>221144</formula>
    </cfRule>
  </conditionalFormatting>
  <conditionalFormatting sqref="C21">
    <cfRule type="cellIs" dxfId="6934" priority="6899" stopIfTrue="1" operator="between">
      <formula>221101</formula>
      <formula>221118</formula>
    </cfRule>
    <cfRule type="cellIs" dxfId="6933" priority="6900" stopIfTrue="1" operator="between">
      <formula>221142</formula>
      <formula>221144</formula>
    </cfRule>
    <cfRule type="cellIs" dxfId="6932" priority="6901" stopIfTrue="1" operator="between">
      <formula>220001</formula>
      <formula>221144</formula>
    </cfRule>
  </conditionalFormatting>
  <conditionalFormatting sqref="C21">
    <cfRule type="cellIs" dxfId="6931" priority="6896" stopIfTrue="1" operator="between">
      <formula>221101</formula>
      <formula>221118</formula>
    </cfRule>
    <cfRule type="cellIs" dxfId="6930" priority="6897" stopIfTrue="1" operator="between">
      <formula>221142</formula>
      <formula>221144</formula>
    </cfRule>
    <cfRule type="cellIs" dxfId="6929" priority="6898" stopIfTrue="1" operator="between">
      <formula>220001</formula>
      <formula>221144</formula>
    </cfRule>
  </conditionalFormatting>
  <conditionalFormatting sqref="C21">
    <cfRule type="cellIs" dxfId="6928" priority="6893" stopIfTrue="1" operator="between">
      <formula>221101</formula>
      <formula>221118</formula>
    </cfRule>
    <cfRule type="cellIs" dxfId="6927" priority="6894" stopIfTrue="1" operator="between">
      <formula>221142</formula>
      <formula>221144</formula>
    </cfRule>
    <cfRule type="cellIs" dxfId="6926" priority="6895" stopIfTrue="1" operator="between">
      <formula>220001</formula>
      <formula>221144</formula>
    </cfRule>
  </conditionalFormatting>
  <conditionalFormatting sqref="C21">
    <cfRule type="cellIs" dxfId="6925" priority="6890" stopIfTrue="1" operator="between">
      <formula>221101</formula>
      <formula>221118</formula>
    </cfRule>
    <cfRule type="cellIs" dxfId="6924" priority="6891" stopIfTrue="1" operator="between">
      <formula>221142</formula>
      <formula>221144</formula>
    </cfRule>
    <cfRule type="cellIs" dxfId="6923" priority="6892" stopIfTrue="1" operator="between">
      <formula>220001</formula>
      <formula>221144</formula>
    </cfRule>
  </conditionalFormatting>
  <conditionalFormatting sqref="C21">
    <cfRule type="cellIs" dxfId="6922" priority="6887" stopIfTrue="1" operator="between">
      <formula>221101</formula>
      <formula>221118</formula>
    </cfRule>
    <cfRule type="cellIs" dxfId="6921" priority="6888" stopIfTrue="1" operator="between">
      <formula>221142</formula>
      <formula>221144</formula>
    </cfRule>
    <cfRule type="cellIs" dxfId="6920" priority="6889" stopIfTrue="1" operator="between">
      <formula>220001</formula>
      <formula>221144</formula>
    </cfRule>
  </conditionalFormatting>
  <conditionalFormatting sqref="AM21">
    <cfRule type="cellIs" dxfId="6919" priority="6884" stopIfTrue="1" operator="between">
      <formula>221101</formula>
      <formula>221118</formula>
    </cfRule>
    <cfRule type="cellIs" dxfId="6918" priority="6885" stopIfTrue="1" operator="between">
      <formula>221142</formula>
      <formula>221144</formula>
    </cfRule>
    <cfRule type="cellIs" dxfId="6917" priority="6886" stopIfTrue="1" operator="between">
      <formula>220001</formula>
      <formula>221144</formula>
    </cfRule>
  </conditionalFormatting>
  <conditionalFormatting sqref="AL21">
    <cfRule type="cellIs" dxfId="6916" priority="6881" stopIfTrue="1" operator="between">
      <formula>221101</formula>
      <formula>221118</formula>
    </cfRule>
    <cfRule type="cellIs" dxfId="6915" priority="6882" stopIfTrue="1" operator="between">
      <formula>221142</formula>
      <formula>221144</formula>
    </cfRule>
    <cfRule type="cellIs" dxfId="6914" priority="6883" stopIfTrue="1" operator="between">
      <formula>220001</formula>
      <formula>221144</formula>
    </cfRule>
  </conditionalFormatting>
  <conditionalFormatting sqref="AL21">
    <cfRule type="cellIs" dxfId="6913" priority="6878" stopIfTrue="1" operator="between">
      <formula>221101</formula>
      <formula>221118</formula>
    </cfRule>
    <cfRule type="cellIs" dxfId="6912" priority="6879" stopIfTrue="1" operator="between">
      <formula>221142</formula>
      <formula>221144</formula>
    </cfRule>
    <cfRule type="cellIs" dxfId="6911" priority="6880" stopIfTrue="1" operator="between">
      <formula>220001</formula>
      <formula>221144</formula>
    </cfRule>
  </conditionalFormatting>
  <conditionalFormatting sqref="AK21">
    <cfRule type="cellIs" dxfId="6910" priority="6875" stopIfTrue="1" operator="between">
      <formula>221101</formula>
      <formula>221118</formula>
    </cfRule>
    <cfRule type="cellIs" dxfId="6909" priority="6876" stopIfTrue="1" operator="between">
      <formula>221142</formula>
      <formula>221144</formula>
    </cfRule>
    <cfRule type="cellIs" dxfId="6908" priority="6877" stopIfTrue="1" operator="between">
      <formula>220001</formula>
      <formula>221144</formula>
    </cfRule>
  </conditionalFormatting>
  <conditionalFormatting sqref="C21">
    <cfRule type="cellIs" dxfId="6907" priority="6872" stopIfTrue="1" operator="between">
      <formula>221101</formula>
      <formula>221118</formula>
    </cfRule>
    <cfRule type="cellIs" dxfId="6906" priority="6873" stopIfTrue="1" operator="between">
      <formula>221142</formula>
      <formula>221144</formula>
    </cfRule>
    <cfRule type="cellIs" dxfId="6905" priority="6874" stopIfTrue="1" operator="between">
      <formula>220001</formula>
      <formula>221144</formula>
    </cfRule>
  </conditionalFormatting>
  <conditionalFormatting sqref="AM21">
    <cfRule type="cellIs" dxfId="6904" priority="6869" stopIfTrue="1" operator="between">
      <formula>221101</formula>
      <formula>221118</formula>
    </cfRule>
    <cfRule type="cellIs" dxfId="6903" priority="6870" stopIfTrue="1" operator="between">
      <formula>221142</formula>
      <formula>221144</formula>
    </cfRule>
    <cfRule type="cellIs" dxfId="6902" priority="6871" stopIfTrue="1" operator="between">
      <formula>220001</formula>
      <formula>221144</formula>
    </cfRule>
  </conditionalFormatting>
  <conditionalFormatting sqref="AL21">
    <cfRule type="cellIs" dxfId="6901" priority="6866" stopIfTrue="1" operator="between">
      <formula>221101</formula>
      <formula>221118</formula>
    </cfRule>
    <cfRule type="cellIs" dxfId="6900" priority="6867" stopIfTrue="1" operator="between">
      <formula>221142</formula>
      <formula>221144</formula>
    </cfRule>
    <cfRule type="cellIs" dxfId="6899" priority="6868" stopIfTrue="1" operator="between">
      <formula>220001</formula>
      <formula>221144</formula>
    </cfRule>
  </conditionalFormatting>
  <conditionalFormatting sqref="AL21">
    <cfRule type="cellIs" dxfId="6898" priority="6863" stopIfTrue="1" operator="between">
      <formula>221101</formula>
      <formula>221118</formula>
    </cfRule>
    <cfRule type="cellIs" dxfId="6897" priority="6864" stopIfTrue="1" operator="between">
      <formula>221142</formula>
      <formula>221144</formula>
    </cfRule>
    <cfRule type="cellIs" dxfId="6896" priority="6865" stopIfTrue="1" operator="between">
      <formula>220001</formula>
      <formula>221144</formula>
    </cfRule>
  </conditionalFormatting>
  <conditionalFormatting sqref="AK21">
    <cfRule type="cellIs" dxfId="6895" priority="6860" stopIfTrue="1" operator="between">
      <formula>221101</formula>
      <formula>221118</formula>
    </cfRule>
    <cfRule type="cellIs" dxfId="6894" priority="6861" stopIfTrue="1" operator="between">
      <formula>221142</formula>
      <formula>221144</formula>
    </cfRule>
    <cfRule type="cellIs" dxfId="6893" priority="6862" stopIfTrue="1" operator="between">
      <formula>220001</formula>
      <formula>221144</formula>
    </cfRule>
  </conditionalFormatting>
  <conditionalFormatting sqref="AL21">
    <cfRule type="cellIs" dxfId="6892" priority="6857" stopIfTrue="1" operator="between">
      <formula>221101</formula>
      <formula>221118</formula>
    </cfRule>
    <cfRule type="cellIs" dxfId="6891" priority="6858" stopIfTrue="1" operator="between">
      <formula>221142</formula>
      <formula>221144</formula>
    </cfRule>
    <cfRule type="cellIs" dxfId="6890" priority="6859" stopIfTrue="1" operator="between">
      <formula>220001</formula>
      <formula>221144</formula>
    </cfRule>
  </conditionalFormatting>
  <conditionalFormatting sqref="AK21">
    <cfRule type="cellIs" dxfId="6889" priority="6854" stopIfTrue="1" operator="between">
      <formula>221101</formula>
      <formula>221118</formula>
    </cfRule>
    <cfRule type="cellIs" dxfId="6888" priority="6855" stopIfTrue="1" operator="between">
      <formula>221142</formula>
      <formula>221144</formula>
    </cfRule>
    <cfRule type="cellIs" dxfId="6887" priority="6856" stopIfTrue="1" operator="between">
      <formula>220001</formula>
      <formula>221144</formula>
    </cfRule>
  </conditionalFormatting>
  <conditionalFormatting sqref="AK21">
    <cfRule type="cellIs" dxfId="6886" priority="6851" stopIfTrue="1" operator="between">
      <formula>221101</formula>
      <formula>221118</formula>
    </cfRule>
    <cfRule type="cellIs" dxfId="6885" priority="6852" stopIfTrue="1" operator="between">
      <formula>221142</formula>
      <formula>221144</formula>
    </cfRule>
    <cfRule type="cellIs" dxfId="6884" priority="6853" stopIfTrue="1" operator="between">
      <formula>220001</formula>
      <formula>221144</formula>
    </cfRule>
  </conditionalFormatting>
  <conditionalFormatting sqref="AJ21">
    <cfRule type="cellIs" dxfId="6883" priority="6848" stopIfTrue="1" operator="between">
      <formula>221101</formula>
      <formula>221118</formula>
    </cfRule>
    <cfRule type="cellIs" dxfId="6882" priority="6849" stopIfTrue="1" operator="between">
      <formula>221142</formula>
      <formula>221144</formula>
    </cfRule>
    <cfRule type="cellIs" dxfId="6881" priority="6850" stopIfTrue="1" operator="between">
      <formula>220001</formula>
      <formula>221144</formula>
    </cfRule>
  </conditionalFormatting>
  <conditionalFormatting sqref="C21">
    <cfRule type="cellIs" dxfId="6880" priority="6845" stopIfTrue="1" operator="between">
      <formula>221101</formula>
      <formula>221118</formula>
    </cfRule>
    <cfRule type="cellIs" dxfId="6879" priority="6846" stopIfTrue="1" operator="between">
      <formula>221142</formula>
      <formula>221144</formula>
    </cfRule>
    <cfRule type="cellIs" dxfId="6878" priority="6847" stopIfTrue="1" operator="between">
      <formula>220001</formula>
      <formula>221144</formula>
    </cfRule>
  </conditionalFormatting>
  <conditionalFormatting sqref="AM21">
    <cfRule type="cellIs" dxfId="6877" priority="6842" stopIfTrue="1" operator="between">
      <formula>221101</formula>
      <formula>221118</formula>
    </cfRule>
    <cfRule type="cellIs" dxfId="6876" priority="6843" stopIfTrue="1" operator="between">
      <formula>221142</formula>
      <formula>221144</formula>
    </cfRule>
    <cfRule type="cellIs" dxfId="6875" priority="6844" stopIfTrue="1" operator="between">
      <formula>220001</formula>
      <formula>221144</formula>
    </cfRule>
  </conditionalFormatting>
  <conditionalFormatting sqref="AL21">
    <cfRule type="cellIs" dxfId="6874" priority="6839" stopIfTrue="1" operator="between">
      <formula>221101</formula>
      <formula>221118</formula>
    </cfRule>
    <cfRule type="cellIs" dxfId="6873" priority="6840" stopIfTrue="1" operator="between">
      <formula>221142</formula>
      <formula>221144</formula>
    </cfRule>
    <cfRule type="cellIs" dxfId="6872" priority="6841" stopIfTrue="1" operator="between">
      <formula>220001</formula>
      <formula>221144</formula>
    </cfRule>
  </conditionalFormatting>
  <conditionalFormatting sqref="AL21">
    <cfRule type="cellIs" dxfId="6871" priority="6836" stopIfTrue="1" operator="between">
      <formula>221101</formula>
      <formula>221118</formula>
    </cfRule>
    <cfRule type="cellIs" dxfId="6870" priority="6837" stopIfTrue="1" operator="between">
      <formula>221142</formula>
      <formula>221144</formula>
    </cfRule>
    <cfRule type="cellIs" dxfId="6869" priority="6838" stopIfTrue="1" operator="between">
      <formula>220001</formula>
      <formula>221144</formula>
    </cfRule>
  </conditionalFormatting>
  <conditionalFormatting sqref="AK21">
    <cfRule type="cellIs" dxfId="6868" priority="6833" stopIfTrue="1" operator="between">
      <formula>221101</formula>
      <formula>221118</formula>
    </cfRule>
    <cfRule type="cellIs" dxfId="6867" priority="6834" stopIfTrue="1" operator="between">
      <formula>221142</formula>
      <formula>221144</formula>
    </cfRule>
    <cfRule type="cellIs" dxfId="6866" priority="6835" stopIfTrue="1" operator="between">
      <formula>220001</formula>
      <formula>221144</formula>
    </cfRule>
  </conditionalFormatting>
  <conditionalFormatting sqref="AL21">
    <cfRule type="cellIs" dxfId="6865" priority="6830" stopIfTrue="1" operator="between">
      <formula>221101</formula>
      <formula>221118</formula>
    </cfRule>
    <cfRule type="cellIs" dxfId="6864" priority="6831" stopIfTrue="1" operator="between">
      <formula>221142</formula>
      <formula>221144</formula>
    </cfRule>
    <cfRule type="cellIs" dxfId="6863" priority="6832" stopIfTrue="1" operator="between">
      <formula>220001</formula>
      <formula>221144</formula>
    </cfRule>
  </conditionalFormatting>
  <conditionalFormatting sqref="AK21">
    <cfRule type="cellIs" dxfId="6862" priority="6827" stopIfTrue="1" operator="between">
      <formula>221101</formula>
      <formula>221118</formula>
    </cfRule>
    <cfRule type="cellIs" dxfId="6861" priority="6828" stopIfTrue="1" operator="between">
      <formula>221142</formula>
      <formula>221144</formula>
    </cfRule>
    <cfRule type="cellIs" dxfId="6860" priority="6829" stopIfTrue="1" operator="between">
      <formula>220001</formula>
      <formula>221144</formula>
    </cfRule>
  </conditionalFormatting>
  <conditionalFormatting sqref="AK21">
    <cfRule type="cellIs" dxfId="6859" priority="6824" stopIfTrue="1" operator="between">
      <formula>221101</formula>
      <formula>221118</formula>
    </cfRule>
    <cfRule type="cellIs" dxfId="6858" priority="6825" stopIfTrue="1" operator="between">
      <formula>221142</formula>
      <formula>221144</formula>
    </cfRule>
    <cfRule type="cellIs" dxfId="6857" priority="6826" stopIfTrue="1" operator="between">
      <formula>220001</formula>
      <formula>221144</formula>
    </cfRule>
  </conditionalFormatting>
  <conditionalFormatting sqref="AJ21">
    <cfRule type="cellIs" dxfId="6856" priority="6821" stopIfTrue="1" operator="between">
      <formula>221101</formula>
      <formula>221118</formula>
    </cfRule>
    <cfRule type="cellIs" dxfId="6855" priority="6822" stopIfTrue="1" operator="between">
      <formula>221142</formula>
      <formula>221144</formula>
    </cfRule>
    <cfRule type="cellIs" dxfId="6854" priority="6823" stopIfTrue="1" operator="between">
      <formula>220001</formula>
      <formula>221144</formula>
    </cfRule>
  </conditionalFormatting>
  <conditionalFormatting sqref="AL21">
    <cfRule type="cellIs" dxfId="6853" priority="6818" stopIfTrue="1" operator="between">
      <formula>221101</formula>
      <formula>221118</formula>
    </cfRule>
    <cfRule type="cellIs" dxfId="6852" priority="6819" stopIfTrue="1" operator="between">
      <formula>221142</formula>
      <formula>221144</formula>
    </cfRule>
    <cfRule type="cellIs" dxfId="6851" priority="6820" stopIfTrue="1" operator="between">
      <formula>220001</formula>
      <formula>221144</formula>
    </cfRule>
  </conditionalFormatting>
  <conditionalFormatting sqref="AK21">
    <cfRule type="cellIs" dxfId="6850" priority="6815" stopIfTrue="1" operator="between">
      <formula>221101</formula>
      <formula>221118</formula>
    </cfRule>
    <cfRule type="cellIs" dxfId="6849" priority="6816" stopIfTrue="1" operator="between">
      <formula>221142</formula>
      <formula>221144</formula>
    </cfRule>
    <cfRule type="cellIs" dxfId="6848" priority="6817" stopIfTrue="1" operator="between">
      <formula>220001</formula>
      <formula>221144</formula>
    </cfRule>
  </conditionalFormatting>
  <conditionalFormatting sqref="AK21">
    <cfRule type="cellIs" dxfId="6847" priority="6812" stopIfTrue="1" operator="between">
      <formula>221101</formula>
      <formula>221118</formula>
    </cfRule>
    <cfRule type="cellIs" dxfId="6846" priority="6813" stopIfTrue="1" operator="between">
      <formula>221142</formula>
      <formula>221144</formula>
    </cfRule>
    <cfRule type="cellIs" dxfId="6845" priority="6814" stopIfTrue="1" operator="between">
      <formula>220001</formula>
      <formula>221144</formula>
    </cfRule>
  </conditionalFormatting>
  <conditionalFormatting sqref="AJ21">
    <cfRule type="cellIs" dxfId="6844" priority="6809" stopIfTrue="1" operator="between">
      <formula>221101</formula>
      <formula>221118</formula>
    </cfRule>
    <cfRule type="cellIs" dxfId="6843" priority="6810" stopIfTrue="1" operator="between">
      <formula>221142</formula>
      <formula>221144</formula>
    </cfRule>
    <cfRule type="cellIs" dxfId="6842" priority="6811" stopIfTrue="1" operator="between">
      <formula>220001</formula>
      <formula>221144</formula>
    </cfRule>
  </conditionalFormatting>
  <conditionalFormatting sqref="AK21">
    <cfRule type="cellIs" dxfId="6841" priority="6806" stopIfTrue="1" operator="between">
      <formula>221101</formula>
      <formula>221118</formula>
    </cfRule>
    <cfRule type="cellIs" dxfId="6840" priority="6807" stopIfTrue="1" operator="between">
      <formula>221142</formula>
      <formula>221144</formula>
    </cfRule>
    <cfRule type="cellIs" dxfId="6839" priority="6808" stopIfTrue="1" operator="between">
      <formula>220001</formula>
      <formula>221144</formula>
    </cfRule>
  </conditionalFormatting>
  <conditionalFormatting sqref="AJ21">
    <cfRule type="cellIs" dxfId="6838" priority="6803" stopIfTrue="1" operator="between">
      <formula>221101</formula>
      <formula>221118</formula>
    </cfRule>
    <cfRule type="cellIs" dxfId="6837" priority="6804" stopIfTrue="1" operator="between">
      <formula>221142</formula>
      <formula>221144</formula>
    </cfRule>
    <cfRule type="cellIs" dxfId="6836" priority="6805" stopIfTrue="1" operator="between">
      <formula>220001</formula>
      <formula>221144</formula>
    </cfRule>
  </conditionalFormatting>
  <conditionalFormatting sqref="AJ21">
    <cfRule type="cellIs" dxfId="6835" priority="6800" stopIfTrue="1" operator="between">
      <formula>221101</formula>
      <formula>221118</formula>
    </cfRule>
    <cfRule type="cellIs" dxfId="6834" priority="6801" stopIfTrue="1" operator="between">
      <formula>221142</formula>
      <formula>221144</formula>
    </cfRule>
    <cfRule type="cellIs" dxfId="6833" priority="6802" stopIfTrue="1" operator="between">
      <formula>220001</formula>
      <formula>221144</formula>
    </cfRule>
  </conditionalFormatting>
  <conditionalFormatting sqref="AI21">
    <cfRule type="cellIs" dxfId="6832" priority="6797" stopIfTrue="1" operator="between">
      <formula>221101</formula>
      <formula>221118</formula>
    </cfRule>
    <cfRule type="cellIs" dxfId="6831" priority="6798" stopIfTrue="1" operator="between">
      <formula>221142</formula>
      <formula>221144</formula>
    </cfRule>
    <cfRule type="cellIs" dxfId="6830" priority="6799" stopIfTrue="1" operator="between">
      <formula>220001</formula>
      <formula>221144</formula>
    </cfRule>
  </conditionalFormatting>
  <conditionalFormatting sqref="C29">
    <cfRule type="cellIs" dxfId="6829" priority="6794" stopIfTrue="1" operator="between">
      <formula>221101</formula>
      <formula>221118</formula>
    </cfRule>
    <cfRule type="cellIs" dxfId="6828" priority="6795" stopIfTrue="1" operator="between">
      <formula>221142</formula>
      <formula>221144</formula>
    </cfRule>
    <cfRule type="cellIs" dxfId="6827" priority="6796" stopIfTrue="1" operator="between">
      <formula>220001</formula>
      <formula>221144</formula>
    </cfRule>
  </conditionalFormatting>
  <conditionalFormatting sqref="AO29">
    <cfRule type="cellIs" dxfId="6826" priority="6791" stopIfTrue="1" operator="between">
      <formula>221101</formula>
      <formula>221118</formula>
    </cfRule>
    <cfRule type="cellIs" dxfId="6825" priority="6792" stopIfTrue="1" operator="between">
      <formula>221142</formula>
      <formula>221144</formula>
    </cfRule>
    <cfRule type="cellIs" dxfId="6824" priority="6793" stopIfTrue="1" operator="between">
      <formula>220001</formula>
      <formula>221144</formula>
    </cfRule>
  </conditionalFormatting>
  <conditionalFormatting sqref="AN29">
    <cfRule type="cellIs" dxfId="6823" priority="6788" stopIfTrue="1" operator="between">
      <formula>221101</formula>
      <formula>221118</formula>
    </cfRule>
    <cfRule type="cellIs" dxfId="6822" priority="6789" stopIfTrue="1" operator="between">
      <formula>221142</formula>
      <formula>221144</formula>
    </cfRule>
    <cfRule type="cellIs" dxfId="6821" priority="6790" stopIfTrue="1" operator="between">
      <formula>220001</formula>
      <formula>221144</formula>
    </cfRule>
  </conditionalFormatting>
  <conditionalFormatting sqref="B29">
    <cfRule type="cellIs" dxfId="6820" priority="6785" stopIfTrue="1" operator="between">
      <formula>221101</formula>
      <formula>221118</formula>
    </cfRule>
    <cfRule type="cellIs" dxfId="6819" priority="6786" stopIfTrue="1" operator="between">
      <formula>221142</formula>
      <formula>221144</formula>
    </cfRule>
    <cfRule type="cellIs" dxfId="6818" priority="6787" stopIfTrue="1" operator="between">
      <formula>220001</formula>
      <formula>221144</formula>
    </cfRule>
  </conditionalFormatting>
  <conditionalFormatting sqref="AN29">
    <cfRule type="cellIs" dxfId="6817" priority="6782" stopIfTrue="1" operator="between">
      <formula>221101</formula>
      <formula>221118</formula>
    </cfRule>
    <cfRule type="cellIs" dxfId="6816" priority="6783" stopIfTrue="1" operator="between">
      <formula>221142</formula>
      <formula>221144</formula>
    </cfRule>
    <cfRule type="cellIs" dxfId="6815" priority="6784" stopIfTrue="1" operator="between">
      <formula>220001</formula>
      <formula>221144</formula>
    </cfRule>
  </conditionalFormatting>
  <conditionalFormatting sqref="AM29">
    <cfRule type="cellIs" dxfId="6814" priority="6779" stopIfTrue="1" operator="between">
      <formula>221101</formula>
      <formula>221118</formula>
    </cfRule>
    <cfRule type="cellIs" dxfId="6813" priority="6780" stopIfTrue="1" operator="between">
      <formula>221142</formula>
      <formula>221144</formula>
    </cfRule>
    <cfRule type="cellIs" dxfId="6812" priority="6781" stopIfTrue="1" operator="between">
      <formula>220001</formula>
      <formula>221144</formula>
    </cfRule>
  </conditionalFormatting>
  <conditionalFormatting sqref="D29">
    <cfRule type="cellIs" dxfId="6811" priority="6776" stopIfTrue="1" operator="between">
      <formula>221101</formula>
      <formula>221118</formula>
    </cfRule>
    <cfRule type="cellIs" dxfId="6810" priority="6777" stopIfTrue="1" operator="between">
      <formula>221142</formula>
      <formula>221144</formula>
    </cfRule>
    <cfRule type="cellIs" dxfId="6809" priority="6778" stopIfTrue="1" operator="between">
      <formula>220001</formula>
      <formula>221144</formula>
    </cfRule>
  </conditionalFormatting>
  <conditionalFormatting sqref="D29">
    <cfRule type="cellIs" dxfId="6808" priority="6773" stopIfTrue="1" operator="between">
      <formula>221101</formula>
      <formula>221118</formula>
    </cfRule>
    <cfRule type="cellIs" dxfId="6807" priority="6774" stopIfTrue="1" operator="between">
      <formula>221142</formula>
      <formula>221144</formula>
    </cfRule>
    <cfRule type="cellIs" dxfId="6806" priority="6775" stopIfTrue="1" operator="between">
      <formula>220001</formula>
      <formula>221144</formula>
    </cfRule>
  </conditionalFormatting>
  <conditionalFormatting sqref="D29">
    <cfRule type="cellIs" dxfId="6805" priority="6770" stopIfTrue="1" operator="between">
      <formula>221101</formula>
      <formula>221118</formula>
    </cfRule>
    <cfRule type="cellIs" dxfId="6804" priority="6771" stopIfTrue="1" operator="between">
      <formula>221142</formula>
      <formula>221144</formula>
    </cfRule>
    <cfRule type="cellIs" dxfId="6803" priority="6772" stopIfTrue="1" operator="between">
      <formula>220001</formula>
      <formula>221144</formula>
    </cfRule>
  </conditionalFormatting>
  <conditionalFormatting sqref="D29">
    <cfRule type="cellIs" dxfId="6802" priority="6767" stopIfTrue="1" operator="between">
      <formula>221101</formula>
      <formula>221118</formula>
    </cfRule>
    <cfRule type="cellIs" dxfId="6801" priority="6768" stopIfTrue="1" operator="between">
      <formula>221142</formula>
      <formula>221144</formula>
    </cfRule>
    <cfRule type="cellIs" dxfId="6800" priority="6769" stopIfTrue="1" operator="between">
      <formula>220001</formula>
      <formula>221144</formula>
    </cfRule>
  </conditionalFormatting>
  <conditionalFormatting sqref="B29">
    <cfRule type="cellIs" dxfId="6799" priority="6764" stopIfTrue="1" operator="between">
      <formula>221101</formula>
      <formula>221118</formula>
    </cfRule>
    <cfRule type="cellIs" dxfId="6798" priority="6765" stopIfTrue="1" operator="between">
      <formula>221142</formula>
      <formula>221144</formula>
    </cfRule>
    <cfRule type="cellIs" dxfId="6797" priority="6766" stopIfTrue="1" operator="between">
      <formula>220001</formula>
      <formula>221144</formula>
    </cfRule>
  </conditionalFormatting>
  <conditionalFormatting sqref="AN29">
    <cfRule type="cellIs" dxfId="6796" priority="6761" stopIfTrue="1" operator="between">
      <formula>221101</formula>
      <formula>221118</formula>
    </cfRule>
    <cfRule type="cellIs" dxfId="6795" priority="6762" stopIfTrue="1" operator="between">
      <formula>221142</formula>
      <formula>221144</formula>
    </cfRule>
    <cfRule type="cellIs" dxfId="6794" priority="6763" stopIfTrue="1" operator="between">
      <formula>220001</formula>
      <formula>221144</formula>
    </cfRule>
  </conditionalFormatting>
  <conditionalFormatting sqref="AM29">
    <cfRule type="cellIs" dxfId="6793" priority="6758" stopIfTrue="1" operator="between">
      <formula>221101</formula>
      <formula>221118</formula>
    </cfRule>
    <cfRule type="cellIs" dxfId="6792" priority="6759" stopIfTrue="1" operator="between">
      <formula>221142</formula>
      <formula>221144</formula>
    </cfRule>
    <cfRule type="cellIs" dxfId="6791" priority="6760" stopIfTrue="1" operator="between">
      <formula>220001</formula>
      <formula>221144</formula>
    </cfRule>
  </conditionalFormatting>
  <conditionalFormatting sqref="AM29">
    <cfRule type="cellIs" dxfId="6790" priority="6755" stopIfTrue="1" operator="between">
      <formula>221101</formula>
      <formula>221118</formula>
    </cfRule>
    <cfRule type="cellIs" dxfId="6789" priority="6756" stopIfTrue="1" operator="between">
      <formula>221142</formula>
      <formula>221144</formula>
    </cfRule>
    <cfRule type="cellIs" dxfId="6788" priority="6757" stopIfTrue="1" operator="between">
      <formula>220001</formula>
      <formula>221144</formula>
    </cfRule>
  </conditionalFormatting>
  <conditionalFormatting sqref="AL29">
    <cfRule type="cellIs" dxfId="6787" priority="6752" stopIfTrue="1" operator="between">
      <formula>221101</formula>
      <formula>221118</formula>
    </cfRule>
    <cfRule type="cellIs" dxfId="6786" priority="6753" stopIfTrue="1" operator="between">
      <formula>221142</formula>
      <formula>221144</formula>
    </cfRule>
    <cfRule type="cellIs" dxfId="6785" priority="6754" stopIfTrue="1" operator="between">
      <formula>220001</formula>
      <formula>221144</formula>
    </cfRule>
  </conditionalFormatting>
  <conditionalFormatting sqref="C29">
    <cfRule type="cellIs" dxfId="6784" priority="6749" stopIfTrue="1" operator="between">
      <formula>221101</formula>
      <formula>221118</formula>
    </cfRule>
    <cfRule type="cellIs" dxfId="6783" priority="6750" stopIfTrue="1" operator="between">
      <formula>221142</formula>
      <formula>221144</formula>
    </cfRule>
    <cfRule type="cellIs" dxfId="6782" priority="6751" stopIfTrue="1" operator="between">
      <formula>220001</formula>
      <formula>221144</formula>
    </cfRule>
  </conditionalFormatting>
  <conditionalFormatting sqref="C29">
    <cfRule type="cellIs" dxfId="6781" priority="6746" stopIfTrue="1" operator="between">
      <formula>221101</formula>
      <formula>221118</formula>
    </cfRule>
    <cfRule type="cellIs" dxfId="6780" priority="6747" stopIfTrue="1" operator="between">
      <formula>221142</formula>
      <formula>221144</formula>
    </cfRule>
    <cfRule type="cellIs" dxfId="6779" priority="6748" stopIfTrue="1" operator="between">
      <formula>220001</formula>
      <formula>221144</formula>
    </cfRule>
  </conditionalFormatting>
  <conditionalFormatting sqref="C29">
    <cfRule type="cellIs" dxfId="6778" priority="6743" stopIfTrue="1" operator="between">
      <formula>221101</formula>
      <formula>221118</formula>
    </cfRule>
    <cfRule type="cellIs" dxfId="6777" priority="6744" stopIfTrue="1" operator="between">
      <formula>221142</formula>
      <formula>221144</formula>
    </cfRule>
    <cfRule type="cellIs" dxfId="6776" priority="6745" stopIfTrue="1" operator="between">
      <formula>220001</formula>
      <formula>221144</formula>
    </cfRule>
  </conditionalFormatting>
  <conditionalFormatting sqref="C29">
    <cfRule type="cellIs" dxfId="6775" priority="6740" stopIfTrue="1" operator="between">
      <formula>221101</formula>
      <formula>221118</formula>
    </cfRule>
    <cfRule type="cellIs" dxfId="6774" priority="6741" stopIfTrue="1" operator="between">
      <formula>221142</formula>
      <formula>221144</formula>
    </cfRule>
    <cfRule type="cellIs" dxfId="6773" priority="6742" stopIfTrue="1" operator="between">
      <formula>220001</formula>
      <formula>221144</formula>
    </cfRule>
  </conditionalFormatting>
  <conditionalFormatting sqref="B29">
    <cfRule type="cellIs" dxfId="6772" priority="6737" stopIfTrue="1" operator="between">
      <formula>221101</formula>
      <formula>221118</formula>
    </cfRule>
    <cfRule type="cellIs" dxfId="6771" priority="6738" stopIfTrue="1" operator="between">
      <formula>221142</formula>
      <formula>221144</formula>
    </cfRule>
    <cfRule type="cellIs" dxfId="6770" priority="6739" stopIfTrue="1" operator="between">
      <formula>220001</formula>
      <formula>221144</formula>
    </cfRule>
  </conditionalFormatting>
  <conditionalFormatting sqref="AN29">
    <cfRule type="cellIs" dxfId="6769" priority="6734" stopIfTrue="1" operator="between">
      <formula>221101</formula>
      <formula>221118</formula>
    </cfRule>
    <cfRule type="cellIs" dxfId="6768" priority="6735" stopIfTrue="1" operator="between">
      <formula>221142</formula>
      <formula>221144</formula>
    </cfRule>
    <cfRule type="cellIs" dxfId="6767" priority="6736" stopIfTrue="1" operator="between">
      <formula>220001</formula>
      <formula>221144</formula>
    </cfRule>
  </conditionalFormatting>
  <conditionalFormatting sqref="AM29">
    <cfRule type="cellIs" dxfId="6766" priority="6731" stopIfTrue="1" operator="between">
      <formula>221101</formula>
      <formula>221118</formula>
    </cfRule>
    <cfRule type="cellIs" dxfId="6765" priority="6732" stopIfTrue="1" operator="between">
      <formula>221142</formula>
      <formula>221144</formula>
    </cfRule>
    <cfRule type="cellIs" dxfId="6764" priority="6733" stopIfTrue="1" operator="between">
      <formula>220001</formula>
      <formula>221144</formula>
    </cfRule>
  </conditionalFormatting>
  <conditionalFormatting sqref="AM29">
    <cfRule type="cellIs" dxfId="6763" priority="6728" stopIfTrue="1" operator="between">
      <formula>221101</formula>
      <formula>221118</formula>
    </cfRule>
    <cfRule type="cellIs" dxfId="6762" priority="6729" stopIfTrue="1" operator="between">
      <formula>221142</formula>
      <formula>221144</formula>
    </cfRule>
    <cfRule type="cellIs" dxfId="6761" priority="6730" stopIfTrue="1" operator="between">
      <formula>220001</formula>
      <formula>221144</formula>
    </cfRule>
  </conditionalFormatting>
  <conditionalFormatting sqref="AL29">
    <cfRule type="cellIs" dxfId="6760" priority="6725" stopIfTrue="1" operator="between">
      <formula>221101</formula>
      <formula>221118</formula>
    </cfRule>
    <cfRule type="cellIs" dxfId="6759" priority="6726" stopIfTrue="1" operator="between">
      <formula>221142</formula>
      <formula>221144</formula>
    </cfRule>
    <cfRule type="cellIs" dxfId="6758" priority="6727" stopIfTrue="1" operator="between">
      <formula>220001</formula>
      <formula>221144</formula>
    </cfRule>
  </conditionalFormatting>
  <conditionalFormatting sqref="C29">
    <cfRule type="cellIs" dxfId="6757" priority="6722" stopIfTrue="1" operator="between">
      <formula>221101</formula>
      <formula>221118</formula>
    </cfRule>
    <cfRule type="cellIs" dxfId="6756" priority="6723" stopIfTrue="1" operator="between">
      <formula>221142</formula>
      <formula>221144</formula>
    </cfRule>
    <cfRule type="cellIs" dxfId="6755" priority="6724" stopIfTrue="1" operator="between">
      <formula>220001</formula>
      <formula>221144</formula>
    </cfRule>
  </conditionalFormatting>
  <conditionalFormatting sqref="C29">
    <cfRule type="cellIs" dxfId="6754" priority="6719" stopIfTrue="1" operator="between">
      <formula>221101</formula>
      <formula>221118</formula>
    </cfRule>
    <cfRule type="cellIs" dxfId="6753" priority="6720" stopIfTrue="1" operator="between">
      <formula>221142</formula>
      <formula>221144</formula>
    </cfRule>
    <cfRule type="cellIs" dxfId="6752" priority="6721" stopIfTrue="1" operator="between">
      <formula>220001</formula>
      <formula>221144</formula>
    </cfRule>
  </conditionalFormatting>
  <conditionalFormatting sqref="C29">
    <cfRule type="cellIs" dxfId="6751" priority="6716" stopIfTrue="1" operator="between">
      <formula>221101</formula>
      <formula>221118</formula>
    </cfRule>
    <cfRule type="cellIs" dxfId="6750" priority="6717" stopIfTrue="1" operator="between">
      <formula>221142</formula>
      <formula>221144</formula>
    </cfRule>
    <cfRule type="cellIs" dxfId="6749" priority="6718" stopIfTrue="1" operator="between">
      <formula>220001</formula>
      <formula>221144</formula>
    </cfRule>
  </conditionalFormatting>
  <conditionalFormatting sqref="C29">
    <cfRule type="cellIs" dxfId="6748" priority="6713" stopIfTrue="1" operator="between">
      <formula>221101</formula>
      <formula>221118</formula>
    </cfRule>
    <cfRule type="cellIs" dxfId="6747" priority="6714" stopIfTrue="1" operator="between">
      <formula>221142</formula>
      <formula>221144</formula>
    </cfRule>
    <cfRule type="cellIs" dxfId="6746" priority="6715" stopIfTrue="1" operator="between">
      <formula>220001</formula>
      <formula>221144</formula>
    </cfRule>
  </conditionalFormatting>
  <conditionalFormatting sqref="AM29">
    <cfRule type="cellIs" dxfId="6745" priority="6710" stopIfTrue="1" operator="between">
      <formula>221101</formula>
      <formula>221118</formula>
    </cfRule>
    <cfRule type="cellIs" dxfId="6744" priority="6711" stopIfTrue="1" operator="between">
      <formula>221142</formula>
      <formula>221144</formula>
    </cfRule>
    <cfRule type="cellIs" dxfId="6743" priority="6712" stopIfTrue="1" operator="between">
      <formula>220001</formula>
      <formula>221144</formula>
    </cfRule>
  </conditionalFormatting>
  <conditionalFormatting sqref="AL29">
    <cfRule type="cellIs" dxfId="6742" priority="6707" stopIfTrue="1" operator="between">
      <formula>221101</formula>
      <formula>221118</formula>
    </cfRule>
    <cfRule type="cellIs" dxfId="6741" priority="6708" stopIfTrue="1" operator="between">
      <formula>221142</formula>
      <formula>221144</formula>
    </cfRule>
    <cfRule type="cellIs" dxfId="6740" priority="6709" stopIfTrue="1" operator="between">
      <formula>220001</formula>
      <formula>221144</formula>
    </cfRule>
  </conditionalFormatting>
  <conditionalFormatting sqref="AL29">
    <cfRule type="cellIs" dxfId="6739" priority="6704" stopIfTrue="1" operator="between">
      <formula>221101</formula>
      <formula>221118</formula>
    </cfRule>
    <cfRule type="cellIs" dxfId="6738" priority="6705" stopIfTrue="1" operator="between">
      <formula>221142</formula>
      <formula>221144</formula>
    </cfRule>
    <cfRule type="cellIs" dxfId="6737" priority="6706" stopIfTrue="1" operator="between">
      <formula>220001</formula>
      <formula>221144</formula>
    </cfRule>
  </conditionalFormatting>
  <conditionalFormatting sqref="AK29">
    <cfRule type="cellIs" dxfId="6736" priority="6701" stopIfTrue="1" operator="between">
      <formula>221101</formula>
      <formula>221118</formula>
    </cfRule>
    <cfRule type="cellIs" dxfId="6735" priority="6702" stopIfTrue="1" operator="between">
      <formula>221142</formula>
      <formula>221144</formula>
    </cfRule>
    <cfRule type="cellIs" dxfId="6734" priority="6703" stopIfTrue="1" operator="between">
      <formula>220001</formula>
      <formula>221144</formula>
    </cfRule>
  </conditionalFormatting>
  <conditionalFormatting sqref="B29">
    <cfRule type="cellIs" dxfId="6733" priority="6698" stopIfTrue="1" operator="between">
      <formula>221101</formula>
      <formula>221118</formula>
    </cfRule>
    <cfRule type="cellIs" dxfId="6732" priority="6699" stopIfTrue="1" operator="between">
      <formula>221142</formula>
      <formula>221144</formula>
    </cfRule>
    <cfRule type="cellIs" dxfId="6731" priority="6700" stopIfTrue="1" operator="between">
      <formula>220001</formula>
      <formula>221144</formula>
    </cfRule>
  </conditionalFormatting>
  <conditionalFormatting sqref="B29">
    <cfRule type="cellIs" dxfId="6730" priority="6695" stopIfTrue="1" operator="between">
      <formula>221101</formula>
      <formula>221118</formula>
    </cfRule>
    <cfRule type="cellIs" dxfId="6729" priority="6696" stopIfTrue="1" operator="between">
      <formula>221142</formula>
      <formula>221144</formula>
    </cfRule>
    <cfRule type="cellIs" dxfId="6728" priority="6697" stopIfTrue="1" operator="between">
      <formula>220001</formula>
      <formula>221144</formula>
    </cfRule>
  </conditionalFormatting>
  <conditionalFormatting sqref="B29">
    <cfRule type="cellIs" dxfId="6727" priority="6692" stopIfTrue="1" operator="between">
      <formula>221101</formula>
      <formula>221118</formula>
    </cfRule>
    <cfRule type="cellIs" dxfId="6726" priority="6693" stopIfTrue="1" operator="between">
      <formula>221142</formula>
      <formula>221144</formula>
    </cfRule>
    <cfRule type="cellIs" dxfId="6725" priority="6694" stopIfTrue="1" operator="between">
      <formula>220001</formula>
      <formula>221144</formula>
    </cfRule>
  </conditionalFormatting>
  <conditionalFormatting sqref="B29">
    <cfRule type="cellIs" dxfId="6724" priority="6689" stopIfTrue="1" operator="between">
      <formula>221101</formula>
      <formula>221118</formula>
    </cfRule>
    <cfRule type="cellIs" dxfId="6723" priority="6690" stopIfTrue="1" operator="between">
      <formula>221142</formula>
      <formula>221144</formula>
    </cfRule>
    <cfRule type="cellIs" dxfId="6722" priority="6691" stopIfTrue="1" operator="between">
      <formula>220001</formula>
      <formula>221144</formula>
    </cfRule>
  </conditionalFormatting>
  <conditionalFormatting sqref="B29">
    <cfRule type="cellIs" dxfId="6721" priority="6686" stopIfTrue="1" operator="between">
      <formula>221101</formula>
      <formula>221118</formula>
    </cfRule>
    <cfRule type="cellIs" dxfId="6720" priority="6687" stopIfTrue="1" operator="between">
      <formula>221142</formula>
      <formula>221144</formula>
    </cfRule>
    <cfRule type="cellIs" dxfId="6719" priority="6688" stopIfTrue="1" operator="between">
      <formula>220001</formula>
      <formula>221144</formula>
    </cfRule>
  </conditionalFormatting>
  <conditionalFormatting sqref="AN29">
    <cfRule type="cellIs" dxfId="6718" priority="6683" stopIfTrue="1" operator="between">
      <formula>221101</formula>
      <formula>221118</formula>
    </cfRule>
    <cfRule type="cellIs" dxfId="6717" priority="6684" stopIfTrue="1" operator="between">
      <formula>221142</formula>
      <formula>221144</formula>
    </cfRule>
    <cfRule type="cellIs" dxfId="6716" priority="6685" stopIfTrue="1" operator="between">
      <formula>220001</formula>
      <formula>221144</formula>
    </cfRule>
  </conditionalFormatting>
  <conditionalFormatting sqref="AM29">
    <cfRule type="cellIs" dxfId="6715" priority="6680" stopIfTrue="1" operator="between">
      <formula>221101</formula>
      <formula>221118</formula>
    </cfRule>
    <cfRule type="cellIs" dxfId="6714" priority="6681" stopIfTrue="1" operator="between">
      <formula>221142</formula>
      <formula>221144</formula>
    </cfRule>
    <cfRule type="cellIs" dxfId="6713" priority="6682" stopIfTrue="1" operator="between">
      <formula>220001</formula>
      <formula>221144</formula>
    </cfRule>
  </conditionalFormatting>
  <conditionalFormatting sqref="AM29">
    <cfRule type="cellIs" dxfId="6712" priority="6677" stopIfTrue="1" operator="between">
      <formula>221101</formula>
      <formula>221118</formula>
    </cfRule>
    <cfRule type="cellIs" dxfId="6711" priority="6678" stopIfTrue="1" operator="between">
      <formula>221142</formula>
      <formula>221144</formula>
    </cfRule>
    <cfRule type="cellIs" dxfId="6710" priority="6679" stopIfTrue="1" operator="between">
      <formula>220001</formula>
      <formula>221144</formula>
    </cfRule>
  </conditionalFormatting>
  <conditionalFormatting sqref="AL29">
    <cfRule type="cellIs" dxfId="6709" priority="6674" stopIfTrue="1" operator="between">
      <formula>221101</formula>
      <formula>221118</formula>
    </cfRule>
    <cfRule type="cellIs" dxfId="6708" priority="6675" stopIfTrue="1" operator="between">
      <formula>221142</formula>
      <formula>221144</formula>
    </cfRule>
    <cfRule type="cellIs" dxfId="6707" priority="6676" stopIfTrue="1" operator="between">
      <formula>220001</formula>
      <formula>221144</formula>
    </cfRule>
  </conditionalFormatting>
  <conditionalFormatting sqref="C29">
    <cfRule type="cellIs" dxfId="6706" priority="6671" stopIfTrue="1" operator="between">
      <formula>221101</formula>
      <formula>221118</formula>
    </cfRule>
    <cfRule type="cellIs" dxfId="6705" priority="6672" stopIfTrue="1" operator="between">
      <formula>221142</formula>
      <formula>221144</formula>
    </cfRule>
    <cfRule type="cellIs" dxfId="6704" priority="6673" stopIfTrue="1" operator="between">
      <formula>220001</formula>
      <formula>221144</formula>
    </cfRule>
  </conditionalFormatting>
  <conditionalFormatting sqref="C29">
    <cfRule type="cellIs" dxfId="6703" priority="6668" stopIfTrue="1" operator="between">
      <formula>221101</formula>
      <formula>221118</formula>
    </cfRule>
    <cfRule type="cellIs" dxfId="6702" priority="6669" stopIfTrue="1" operator="between">
      <formula>221142</formula>
      <formula>221144</formula>
    </cfRule>
    <cfRule type="cellIs" dxfId="6701" priority="6670" stopIfTrue="1" operator="between">
      <formula>220001</formula>
      <formula>221144</formula>
    </cfRule>
  </conditionalFormatting>
  <conditionalFormatting sqref="C29">
    <cfRule type="cellIs" dxfId="6700" priority="6665" stopIfTrue="1" operator="between">
      <formula>221101</formula>
      <formula>221118</formula>
    </cfRule>
    <cfRule type="cellIs" dxfId="6699" priority="6666" stopIfTrue="1" operator="between">
      <formula>221142</formula>
      <formula>221144</formula>
    </cfRule>
    <cfRule type="cellIs" dxfId="6698" priority="6667" stopIfTrue="1" operator="between">
      <formula>220001</formula>
      <formula>221144</formula>
    </cfRule>
  </conditionalFormatting>
  <conditionalFormatting sqref="C29">
    <cfRule type="cellIs" dxfId="6697" priority="6662" stopIfTrue="1" operator="between">
      <formula>221101</formula>
      <formula>221118</formula>
    </cfRule>
    <cfRule type="cellIs" dxfId="6696" priority="6663" stopIfTrue="1" operator="between">
      <formula>221142</formula>
      <formula>221144</formula>
    </cfRule>
    <cfRule type="cellIs" dxfId="6695" priority="6664" stopIfTrue="1" operator="between">
      <formula>220001</formula>
      <formula>221144</formula>
    </cfRule>
  </conditionalFormatting>
  <conditionalFormatting sqref="AM29">
    <cfRule type="cellIs" dxfId="6694" priority="6659" stopIfTrue="1" operator="between">
      <formula>221101</formula>
      <formula>221118</formula>
    </cfRule>
    <cfRule type="cellIs" dxfId="6693" priority="6660" stopIfTrue="1" operator="between">
      <formula>221142</formula>
      <formula>221144</formula>
    </cfRule>
    <cfRule type="cellIs" dxfId="6692" priority="6661" stopIfTrue="1" operator="between">
      <formula>220001</formula>
      <formula>221144</formula>
    </cfRule>
  </conditionalFormatting>
  <conditionalFormatting sqref="AL29">
    <cfRule type="cellIs" dxfId="6691" priority="6656" stopIfTrue="1" operator="between">
      <formula>221101</formula>
      <formula>221118</formula>
    </cfRule>
    <cfRule type="cellIs" dxfId="6690" priority="6657" stopIfTrue="1" operator="between">
      <formula>221142</formula>
      <formula>221144</formula>
    </cfRule>
    <cfRule type="cellIs" dxfId="6689" priority="6658" stopIfTrue="1" operator="between">
      <formula>220001</formula>
      <formula>221144</formula>
    </cfRule>
  </conditionalFormatting>
  <conditionalFormatting sqref="AL29">
    <cfRule type="cellIs" dxfId="6688" priority="6653" stopIfTrue="1" operator="between">
      <formula>221101</formula>
      <formula>221118</formula>
    </cfRule>
    <cfRule type="cellIs" dxfId="6687" priority="6654" stopIfTrue="1" operator="between">
      <formula>221142</formula>
      <formula>221144</formula>
    </cfRule>
    <cfRule type="cellIs" dxfId="6686" priority="6655" stopIfTrue="1" operator="between">
      <formula>220001</formula>
      <formula>221144</formula>
    </cfRule>
  </conditionalFormatting>
  <conditionalFormatting sqref="AK29">
    <cfRule type="cellIs" dxfId="6685" priority="6650" stopIfTrue="1" operator="between">
      <formula>221101</formula>
      <formula>221118</formula>
    </cfRule>
    <cfRule type="cellIs" dxfId="6684" priority="6651" stopIfTrue="1" operator="between">
      <formula>221142</formula>
      <formula>221144</formula>
    </cfRule>
    <cfRule type="cellIs" dxfId="6683" priority="6652" stopIfTrue="1" operator="between">
      <formula>220001</formula>
      <formula>221144</formula>
    </cfRule>
  </conditionalFormatting>
  <conditionalFormatting sqref="B29">
    <cfRule type="cellIs" dxfId="6682" priority="6647" stopIfTrue="1" operator="between">
      <formula>221101</formula>
      <formula>221118</formula>
    </cfRule>
    <cfRule type="cellIs" dxfId="6681" priority="6648" stopIfTrue="1" operator="between">
      <formula>221142</formula>
      <formula>221144</formula>
    </cfRule>
    <cfRule type="cellIs" dxfId="6680" priority="6649" stopIfTrue="1" operator="between">
      <formula>220001</formula>
      <formula>221144</formula>
    </cfRule>
  </conditionalFormatting>
  <conditionalFormatting sqref="B29">
    <cfRule type="cellIs" dxfId="6679" priority="6644" stopIfTrue="1" operator="between">
      <formula>221101</formula>
      <formula>221118</formula>
    </cfRule>
    <cfRule type="cellIs" dxfId="6678" priority="6645" stopIfTrue="1" operator="between">
      <formula>221142</formula>
      <formula>221144</formula>
    </cfRule>
    <cfRule type="cellIs" dxfId="6677" priority="6646" stopIfTrue="1" operator="between">
      <formula>220001</formula>
      <formula>221144</formula>
    </cfRule>
  </conditionalFormatting>
  <conditionalFormatting sqref="B29">
    <cfRule type="cellIs" dxfId="6676" priority="6641" stopIfTrue="1" operator="between">
      <formula>221101</formula>
      <formula>221118</formula>
    </cfRule>
    <cfRule type="cellIs" dxfId="6675" priority="6642" stopIfTrue="1" operator="between">
      <formula>221142</formula>
      <formula>221144</formula>
    </cfRule>
    <cfRule type="cellIs" dxfId="6674" priority="6643" stopIfTrue="1" operator="between">
      <formula>220001</formula>
      <formula>221144</formula>
    </cfRule>
  </conditionalFormatting>
  <conditionalFormatting sqref="B29">
    <cfRule type="cellIs" dxfId="6673" priority="6638" stopIfTrue="1" operator="between">
      <formula>221101</formula>
      <formula>221118</formula>
    </cfRule>
    <cfRule type="cellIs" dxfId="6672" priority="6639" stopIfTrue="1" operator="between">
      <formula>221142</formula>
      <formula>221144</formula>
    </cfRule>
    <cfRule type="cellIs" dxfId="6671" priority="6640" stopIfTrue="1" operator="between">
      <formula>220001</formula>
      <formula>221144</formula>
    </cfRule>
  </conditionalFormatting>
  <conditionalFormatting sqref="AM29">
    <cfRule type="cellIs" dxfId="6670" priority="6635" stopIfTrue="1" operator="between">
      <formula>221101</formula>
      <formula>221118</formula>
    </cfRule>
    <cfRule type="cellIs" dxfId="6669" priority="6636" stopIfTrue="1" operator="between">
      <formula>221142</formula>
      <formula>221144</formula>
    </cfRule>
    <cfRule type="cellIs" dxfId="6668" priority="6637" stopIfTrue="1" operator="between">
      <formula>220001</formula>
      <formula>221144</formula>
    </cfRule>
  </conditionalFormatting>
  <conditionalFormatting sqref="AL29">
    <cfRule type="cellIs" dxfId="6667" priority="6632" stopIfTrue="1" operator="between">
      <formula>221101</formula>
      <formula>221118</formula>
    </cfRule>
    <cfRule type="cellIs" dxfId="6666" priority="6633" stopIfTrue="1" operator="between">
      <formula>221142</formula>
      <formula>221144</formula>
    </cfRule>
    <cfRule type="cellIs" dxfId="6665" priority="6634" stopIfTrue="1" operator="between">
      <formula>220001</formula>
      <formula>221144</formula>
    </cfRule>
  </conditionalFormatting>
  <conditionalFormatting sqref="AL29">
    <cfRule type="cellIs" dxfId="6664" priority="6629" stopIfTrue="1" operator="between">
      <formula>221101</formula>
      <formula>221118</formula>
    </cfRule>
    <cfRule type="cellIs" dxfId="6663" priority="6630" stopIfTrue="1" operator="between">
      <formula>221142</formula>
      <formula>221144</formula>
    </cfRule>
    <cfRule type="cellIs" dxfId="6662" priority="6631" stopIfTrue="1" operator="between">
      <formula>220001</formula>
      <formula>221144</formula>
    </cfRule>
  </conditionalFormatting>
  <conditionalFormatting sqref="AK29">
    <cfRule type="cellIs" dxfId="6661" priority="6626" stopIfTrue="1" operator="between">
      <formula>221101</formula>
      <formula>221118</formula>
    </cfRule>
    <cfRule type="cellIs" dxfId="6660" priority="6627" stopIfTrue="1" operator="between">
      <formula>221142</formula>
      <formula>221144</formula>
    </cfRule>
    <cfRule type="cellIs" dxfId="6659" priority="6628" stopIfTrue="1" operator="between">
      <formula>220001</formula>
      <formula>221144</formula>
    </cfRule>
  </conditionalFormatting>
  <conditionalFormatting sqref="B29">
    <cfRule type="cellIs" dxfId="6658" priority="6623" stopIfTrue="1" operator="between">
      <formula>221101</formula>
      <formula>221118</formula>
    </cfRule>
    <cfRule type="cellIs" dxfId="6657" priority="6624" stopIfTrue="1" operator="between">
      <formula>221142</formula>
      <formula>221144</formula>
    </cfRule>
    <cfRule type="cellIs" dxfId="6656" priority="6625" stopIfTrue="1" operator="between">
      <formula>220001</formula>
      <formula>221144</formula>
    </cfRule>
  </conditionalFormatting>
  <conditionalFormatting sqref="B29">
    <cfRule type="cellIs" dxfId="6655" priority="6620" stopIfTrue="1" operator="between">
      <formula>221101</formula>
      <formula>221118</formula>
    </cfRule>
    <cfRule type="cellIs" dxfId="6654" priority="6621" stopIfTrue="1" operator="between">
      <formula>221142</formula>
      <formula>221144</formula>
    </cfRule>
    <cfRule type="cellIs" dxfId="6653" priority="6622" stopIfTrue="1" operator="between">
      <formula>220001</formula>
      <formula>221144</formula>
    </cfRule>
  </conditionalFormatting>
  <conditionalFormatting sqref="B29">
    <cfRule type="cellIs" dxfId="6652" priority="6617" stopIfTrue="1" operator="between">
      <formula>221101</formula>
      <formula>221118</formula>
    </cfRule>
    <cfRule type="cellIs" dxfId="6651" priority="6618" stopIfTrue="1" operator="between">
      <formula>221142</formula>
      <formula>221144</formula>
    </cfRule>
    <cfRule type="cellIs" dxfId="6650" priority="6619" stopIfTrue="1" operator="between">
      <formula>220001</formula>
      <formula>221144</formula>
    </cfRule>
  </conditionalFormatting>
  <conditionalFormatting sqref="B29">
    <cfRule type="cellIs" dxfId="6649" priority="6614" stopIfTrue="1" operator="between">
      <formula>221101</formula>
      <formula>221118</formula>
    </cfRule>
    <cfRule type="cellIs" dxfId="6648" priority="6615" stopIfTrue="1" operator="between">
      <formula>221142</formula>
      <formula>221144</formula>
    </cfRule>
    <cfRule type="cellIs" dxfId="6647" priority="6616" stopIfTrue="1" operator="between">
      <formula>220001</formula>
      <formula>221144</formula>
    </cfRule>
  </conditionalFormatting>
  <conditionalFormatting sqref="AL29">
    <cfRule type="cellIs" dxfId="6646" priority="6611" stopIfTrue="1" operator="between">
      <formula>221101</formula>
      <formula>221118</formula>
    </cfRule>
    <cfRule type="cellIs" dxfId="6645" priority="6612" stopIfTrue="1" operator="between">
      <formula>221142</formula>
      <formula>221144</formula>
    </cfRule>
    <cfRule type="cellIs" dxfId="6644" priority="6613" stopIfTrue="1" operator="between">
      <formula>220001</formula>
      <formula>221144</formula>
    </cfRule>
  </conditionalFormatting>
  <conditionalFormatting sqref="AK29">
    <cfRule type="cellIs" dxfId="6643" priority="6608" stopIfTrue="1" operator="between">
      <formula>221101</formula>
      <formula>221118</formula>
    </cfRule>
    <cfRule type="cellIs" dxfId="6642" priority="6609" stopIfTrue="1" operator="between">
      <formula>221142</formula>
      <formula>221144</formula>
    </cfRule>
    <cfRule type="cellIs" dxfId="6641" priority="6610" stopIfTrue="1" operator="between">
      <formula>220001</formula>
      <formula>221144</formula>
    </cfRule>
  </conditionalFormatting>
  <conditionalFormatting sqref="AK29">
    <cfRule type="cellIs" dxfId="6640" priority="6605" stopIfTrue="1" operator="between">
      <formula>221101</formula>
      <formula>221118</formula>
    </cfRule>
    <cfRule type="cellIs" dxfId="6639" priority="6606" stopIfTrue="1" operator="between">
      <formula>221142</formula>
      <formula>221144</formula>
    </cfRule>
    <cfRule type="cellIs" dxfId="6638" priority="6607" stopIfTrue="1" operator="between">
      <formula>220001</formula>
      <formula>221144</formula>
    </cfRule>
  </conditionalFormatting>
  <conditionalFormatting sqref="AJ29">
    <cfRule type="cellIs" dxfId="6637" priority="6602" stopIfTrue="1" operator="between">
      <formula>221101</formula>
      <formula>221118</formula>
    </cfRule>
    <cfRule type="cellIs" dxfId="6636" priority="6603" stopIfTrue="1" operator="between">
      <formula>221142</formula>
      <formula>221144</formula>
    </cfRule>
    <cfRule type="cellIs" dxfId="6635" priority="6604" stopIfTrue="1" operator="between">
      <formula>220001</formula>
      <formula>221144</formula>
    </cfRule>
  </conditionalFormatting>
  <conditionalFormatting sqref="B29">
    <cfRule type="cellIs" dxfId="6634" priority="6599" stopIfTrue="1" operator="between">
      <formula>221101</formula>
      <formula>221118</formula>
    </cfRule>
    <cfRule type="cellIs" dxfId="6633" priority="6600" stopIfTrue="1" operator="between">
      <formula>221142</formula>
      <formula>221144</formula>
    </cfRule>
    <cfRule type="cellIs" dxfId="6632" priority="6601" stopIfTrue="1" operator="between">
      <formula>220001</formula>
      <formula>221144</formula>
    </cfRule>
  </conditionalFormatting>
  <conditionalFormatting sqref="AN29">
    <cfRule type="cellIs" dxfId="6631" priority="6596" stopIfTrue="1" operator="between">
      <formula>221101</formula>
      <formula>221118</formula>
    </cfRule>
    <cfRule type="cellIs" dxfId="6630" priority="6597" stopIfTrue="1" operator="between">
      <formula>221142</formula>
      <formula>221144</formula>
    </cfRule>
    <cfRule type="cellIs" dxfId="6629" priority="6598" stopIfTrue="1" operator="between">
      <formula>220001</formula>
      <formula>221144</formula>
    </cfRule>
  </conditionalFormatting>
  <conditionalFormatting sqref="AM29">
    <cfRule type="cellIs" dxfId="6628" priority="6593" stopIfTrue="1" operator="between">
      <formula>221101</formula>
      <formula>221118</formula>
    </cfRule>
    <cfRule type="cellIs" dxfId="6627" priority="6594" stopIfTrue="1" operator="between">
      <formula>221142</formula>
      <formula>221144</formula>
    </cfRule>
    <cfRule type="cellIs" dxfId="6626" priority="6595" stopIfTrue="1" operator="between">
      <formula>220001</formula>
      <formula>221144</formula>
    </cfRule>
  </conditionalFormatting>
  <conditionalFormatting sqref="AM29">
    <cfRule type="cellIs" dxfId="6625" priority="6590" stopIfTrue="1" operator="between">
      <formula>221101</formula>
      <formula>221118</formula>
    </cfRule>
    <cfRule type="cellIs" dxfId="6624" priority="6591" stopIfTrue="1" operator="between">
      <formula>221142</formula>
      <formula>221144</formula>
    </cfRule>
    <cfRule type="cellIs" dxfId="6623" priority="6592" stopIfTrue="1" operator="between">
      <formula>220001</formula>
      <formula>221144</formula>
    </cfRule>
  </conditionalFormatting>
  <conditionalFormatting sqref="AL29">
    <cfRule type="cellIs" dxfId="6622" priority="6587" stopIfTrue="1" operator="between">
      <formula>221101</formula>
      <formula>221118</formula>
    </cfRule>
    <cfRule type="cellIs" dxfId="6621" priority="6588" stopIfTrue="1" operator="between">
      <formula>221142</formula>
      <formula>221144</formula>
    </cfRule>
    <cfRule type="cellIs" dxfId="6620" priority="6589" stopIfTrue="1" operator="between">
      <formula>220001</formula>
      <formula>221144</formula>
    </cfRule>
  </conditionalFormatting>
  <conditionalFormatting sqref="C29">
    <cfRule type="cellIs" dxfId="6619" priority="6584" stopIfTrue="1" operator="between">
      <formula>221101</formula>
      <formula>221118</formula>
    </cfRule>
    <cfRule type="cellIs" dxfId="6618" priority="6585" stopIfTrue="1" operator="between">
      <formula>221142</formula>
      <formula>221144</formula>
    </cfRule>
    <cfRule type="cellIs" dxfId="6617" priority="6586" stopIfTrue="1" operator="between">
      <formula>220001</formula>
      <formula>221144</formula>
    </cfRule>
  </conditionalFormatting>
  <conditionalFormatting sqref="C29">
    <cfRule type="cellIs" dxfId="6616" priority="6581" stopIfTrue="1" operator="between">
      <formula>221101</formula>
      <formula>221118</formula>
    </cfRule>
    <cfRule type="cellIs" dxfId="6615" priority="6582" stopIfTrue="1" operator="between">
      <formula>221142</formula>
      <formula>221144</formula>
    </cfRule>
    <cfRule type="cellIs" dxfId="6614" priority="6583" stopIfTrue="1" operator="between">
      <formula>220001</formula>
      <formula>221144</formula>
    </cfRule>
  </conditionalFormatting>
  <conditionalFormatting sqref="C29">
    <cfRule type="cellIs" dxfId="6613" priority="6578" stopIfTrue="1" operator="between">
      <formula>221101</formula>
      <formula>221118</formula>
    </cfRule>
    <cfRule type="cellIs" dxfId="6612" priority="6579" stopIfTrue="1" operator="between">
      <formula>221142</formula>
      <formula>221144</formula>
    </cfRule>
    <cfRule type="cellIs" dxfId="6611" priority="6580" stopIfTrue="1" operator="between">
      <formula>220001</formula>
      <formula>221144</formula>
    </cfRule>
  </conditionalFormatting>
  <conditionalFormatting sqref="C29">
    <cfRule type="cellIs" dxfId="6610" priority="6575" stopIfTrue="1" operator="between">
      <formula>221101</formula>
      <formula>221118</formula>
    </cfRule>
    <cfRule type="cellIs" dxfId="6609" priority="6576" stopIfTrue="1" operator="between">
      <formula>221142</formula>
      <formula>221144</formula>
    </cfRule>
    <cfRule type="cellIs" dxfId="6608" priority="6577" stopIfTrue="1" operator="between">
      <formula>220001</formula>
      <formula>221144</formula>
    </cfRule>
  </conditionalFormatting>
  <conditionalFormatting sqref="AM29">
    <cfRule type="cellIs" dxfId="6607" priority="6572" stopIfTrue="1" operator="between">
      <formula>221101</formula>
      <formula>221118</formula>
    </cfRule>
    <cfRule type="cellIs" dxfId="6606" priority="6573" stopIfTrue="1" operator="between">
      <formula>221142</formula>
      <formula>221144</formula>
    </cfRule>
    <cfRule type="cellIs" dxfId="6605" priority="6574" stopIfTrue="1" operator="between">
      <formula>220001</formula>
      <formula>221144</formula>
    </cfRule>
  </conditionalFormatting>
  <conditionalFormatting sqref="AL29">
    <cfRule type="cellIs" dxfId="6604" priority="6569" stopIfTrue="1" operator="between">
      <formula>221101</formula>
      <formula>221118</formula>
    </cfRule>
    <cfRule type="cellIs" dxfId="6603" priority="6570" stopIfTrue="1" operator="between">
      <formula>221142</formula>
      <formula>221144</formula>
    </cfRule>
    <cfRule type="cellIs" dxfId="6602" priority="6571" stopIfTrue="1" operator="between">
      <formula>220001</formula>
      <formula>221144</formula>
    </cfRule>
  </conditionalFormatting>
  <conditionalFormatting sqref="AL29">
    <cfRule type="cellIs" dxfId="6601" priority="6566" stopIfTrue="1" operator="between">
      <formula>221101</formula>
      <formula>221118</formula>
    </cfRule>
    <cfRule type="cellIs" dxfId="6600" priority="6567" stopIfTrue="1" operator="between">
      <formula>221142</formula>
      <formula>221144</formula>
    </cfRule>
    <cfRule type="cellIs" dxfId="6599" priority="6568" stopIfTrue="1" operator="between">
      <formula>220001</formula>
      <formula>221144</formula>
    </cfRule>
  </conditionalFormatting>
  <conditionalFormatting sqref="AK29">
    <cfRule type="cellIs" dxfId="6598" priority="6563" stopIfTrue="1" operator="between">
      <formula>221101</formula>
      <formula>221118</formula>
    </cfRule>
    <cfRule type="cellIs" dxfId="6597" priority="6564" stopIfTrue="1" operator="between">
      <formula>221142</formula>
      <formula>221144</formula>
    </cfRule>
    <cfRule type="cellIs" dxfId="6596" priority="6565" stopIfTrue="1" operator="between">
      <formula>220001</formula>
      <formula>221144</formula>
    </cfRule>
  </conditionalFormatting>
  <conditionalFormatting sqref="B29">
    <cfRule type="cellIs" dxfId="6595" priority="6560" stopIfTrue="1" operator="between">
      <formula>221101</formula>
      <formula>221118</formula>
    </cfRule>
    <cfRule type="cellIs" dxfId="6594" priority="6561" stopIfTrue="1" operator="between">
      <formula>221142</formula>
      <formula>221144</formula>
    </cfRule>
    <cfRule type="cellIs" dxfId="6593" priority="6562" stopIfTrue="1" operator="between">
      <formula>220001</formula>
      <formula>221144</formula>
    </cfRule>
  </conditionalFormatting>
  <conditionalFormatting sqref="B29">
    <cfRule type="cellIs" dxfId="6592" priority="6557" stopIfTrue="1" operator="between">
      <formula>221101</formula>
      <formula>221118</formula>
    </cfRule>
    <cfRule type="cellIs" dxfId="6591" priority="6558" stopIfTrue="1" operator="between">
      <formula>221142</formula>
      <formula>221144</formula>
    </cfRule>
    <cfRule type="cellIs" dxfId="6590" priority="6559" stopIfTrue="1" operator="between">
      <formula>220001</formula>
      <formula>221144</formula>
    </cfRule>
  </conditionalFormatting>
  <conditionalFormatting sqref="B29">
    <cfRule type="cellIs" dxfId="6589" priority="6554" stopIfTrue="1" operator="between">
      <formula>221101</formula>
      <formula>221118</formula>
    </cfRule>
    <cfRule type="cellIs" dxfId="6588" priority="6555" stopIfTrue="1" operator="between">
      <formula>221142</formula>
      <formula>221144</formula>
    </cfRule>
    <cfRule type="cellIs" dxfId="6587" priority="6556" stopIfTrue="1" operator="between">
      <formula>220001</formula>
      <formula>221144</formula>
    </cfRule>
  </conditionalFormatting>
  <conditionalFormatting sqref="B29">
    <cfRule type="cellIs" dxfId="6586" priority="6551" stopIfTrue="1" operator="between">
      <formula>221101</formula>
      <formula>221118</formula>
    </cfRule>
    <cfRule type="cellIs" dxfId="6585" priority="6552" stopIfTrue="1" operator="between">
      <formula>221142</formula>
      <formula>221144</formula>
    </cfRule>
    <cfRule type="cellIs" dxfId="6584" priority="6553" stopIfTrue="1" operator="between">
      <formula>220001</formula>
      <formula>221144</formula>
    </cfRule>
  </conditionalFormatting>
  <conditionalFormatting sqref="AM29">
    <cfRule type="cellIs" dxfId="6583" priority="6548" stopIfTrue="1" operator="between">
      <formula>221101</formula>
      <formula>221118</formula>
    </cfRule>
    <cfRule type="cellIs" dxfId="6582" priority="6549" stopIfTrue="1" operator="between">
      <formula>221142</formula>
      <formula>221144</formula>
    </cfRule>
    <cfRule type="cellIs" dxfId="6581" priority="6550" stopIfTrue="1" operator="between">
      <formula>220001</formula>
      <formula>221144</formula>
    </cfRule>
  </conditionalFormatting>
  <conditionalFormatting sqref="AL29">
    <cfRule type="cellIs" dxfId="6580" priority="6545" stopIfTrue="1" operator="between">
      <formula>221101</formula>
      <formula>221118</formula>
    </cfRule>
    <cfRule type="cellIs" dxfId="6579" priority="6546" stopIfTrue="1" operator="between">
      <formula>221142</formula>
      <formula>221144</formula>
    </cfRule>
    <cfRule type="cellIs" dxfId="6578" priority="6547" stopIfTrue="1" operator="between">
      <formula>220001</formula>
      <formula>221144</formula>
    </cfRule>
  </conditionalFormatting>
  <conditionalFormatting sqref="AL29">
    <cfRule type="cellIs" dxfId="6577" priority="6542" stopIfTrue="1" operator="between">
      <formula>221101</formula>
      <formula>221118</formula>
    </cfRule>
    <cfRule type="cellIs" dxfId="6576" priority="6543" stopIfTrue="1" operator="between">
      <formula>221142</formula>
      <formula>221144</formula>
    </cfRule>
    <cfRule type="cellIs" dxfId="6575" priority="6544" stopIfTrue="1" operator="between">
      <formula>220001</formula>
      <formula>221144</formula>
    </cfRule>
  </conditionalFormatting>
  <conditionalFormatting sqref="AK29">
    <cfRule type="cellIs" dxfId="6574" priority="6539" stopIfTrue="1" operator="between">
      <formula>221101</formula>
      <formula>221118</formula>
    </cfRule>
    <cfRule type="cellIs" dxfId="6573" priority="6540" stopIfTrue="1" operator="between">
      <formula>221142</formula>
      <formula>221144</formula>
    </cfRule>
    <cfRule type="cellIs" dxfId="6572" priority="6541" stopIfTrue="1" operator="between">
      <formula>220001</formula>
      <formula>221144</formula>
    </cfRule>
  </conditionalFormatting>
  <conditionalFormatting sqref="B29">
    <cfRule type="cellIs" dxfId="6571" priority="6536" stopIfTrue="1" operator="between">
      <formula>221101</formula>
      <formula>221118</formula>
    </cfRule>
    <cfRule type="cellIs" dxfId="6570" priority="6537" stopIfTrue="1" operator="between">
      <formula>221142</formula>
      <formula>221144</formula>
    </cfRule>
    <cfRule type="cellIs" dxfId="6569" priority="6538" stopIfTrue="1" operator="between">
      <formula>220001</formula>
      <formula>221144</formula>
    </cfRule>
  </conditionalFormatting>
  <conditionalFormatting sqref="B29">
    <cfRule type="cellIs" dxfId="6568" priority="6533" stopIfTrue="1" operator="between">
      <formula>221101</formula>
      <formula>221118</formula>
    </cfRule>
    <cfRule type="cellIs" dxfId="6567" priority="6534" stopIfTrue="1" operator="between">
      <formula>221142</formula>
      <formula>221144</formula>
    </cfRule>
    <cfRule type="cellIs" dxfId="6566" priority="6535" stopIfTrue="1" operator="between">
      <formula>220001</formula>
      <formula>221144</formula>
    </cfRule>
  </conditionalFormatting>
  <conditionalFormatting sqref="B29">
    <cfRule type="cellIs" dxfId="6565" priority="6530" stopIfTrue="1" operator="between">
      <formula>221101</formula>
      <formula>221118</formula>
    </cfRule>
    <cfRule type="cellIs" dxfId="6564" priority="6531" stopIfTrue="1" operator="between">
      <formula>221142</formula>
      <formula>221144</formula>
    </cfRule>
    <cfRule type="cellIs" dxfId="6563" priority="6532" stopIfTrue="1" operator="between">
      <formula>220001</formula>
      <formula>221144</formula>
    </cfRule>
  </conditionalFormatting>
  <conditionalFormatting sqref="B29">
    <cfRule type="cellIs" dxfId="6562" priority="6527" stopIfTrue="1" operator="between">
      <formula>221101</formula>
      <formula>221118</formula>
    </cfRule>
    <cfRule type="cellIs" dxfId="6561" priority="6528" stopIfTrue="1" operator="between">
      <formula>221142</formula>
      <formula>221144</formula>
    </cfRule>
    <cfRule type="cellIs" dxfId="6560" priority="6529" stopIfTrue="1" operator="between">
      <formula>220001</formula>
      <formula>221144</formula>
    </cfRule>
  </conditionalFormatting>
  <conditionalFormatting sqref="AL29">
    <cfRule type="cellIs" dxfId="6559" priority="6524" stopIfTrue="1" operator="between">
      <formula>221101</formula>
      <formula>221118</formula>
    </cfRule>
    <cfRule type="cellIs" dxfId="6558" priority="6525" stopIfTrue="1" operator="between">
      <formula>221142</formula>
      <formula>221144</formula>
    </cfRule>
    <cfRule type="cellIs" dxfId="6557" priority="6526" stopIfTrue="1" operator="between">
      <formula>220001</formula>
      <formula>221144</formula>
    </cfRule>
  </conditionalFormatting>
  <conditionalFormatting sqref="AK29">
    <cfRule type="cellIs" dxfId="6556" priority="6521" stopIfTrue="1" operator="between">
      <formula>221101</formula>
      <formula>221118</formula>
    </cfRule>
    <cfRule type="cellIs" dxfId="6555" priority="6522" stopIfTrue="1" operator="between">
      <formula>221142</formula>
      <formula>221144</formula>
    </cfRule>
    <cfRule type="cellIs" dxfId="6554" priority="6523" stopIfTrue="1" operator="between">
      <formula>220001</formula>
      <formula>221144</formula>
    </cfRule>
  </conditionalFormatting>
  <conditionalFormatting sqref="AK29">
    <cfRule type="cellIs" dxfId="6553" priority="6518" stopIfTrue="1" operator="between">
      <formula>221101</formula>
      <formula>221118</formula>
    </cfRule>
    <cfRule type="cellIs" dxfId="6552" priority="6519" stopIfTrue="1" operator="between">
      <formula>221142</formula>
      <formula>221144</formula>
    </cfRule>
    <cfRule type="cellIs" dxfId="6551" priority="6520" stopIfTrue="1" operator="between">
      <formula>220001</formula>
      <formula>221144</formula>
    </cfRule>
  </conditionalFormatting>
  <conditionalFormatting sqref="AJ29">
    <cfRule type="cellIs" dxfId="6550" priority="6515" stopIfTrue="1" operator="between">
      <formula>221101</formula>
      <formula>221118</formula>
    </cfRule>
    <cfRule type="cellIs" dxfId="6549" priority="6516" stopIfTrue="1" operator="between">
      <formula>221142</formula>
      <formula>221144</formula>
    </cfRule>
    <cfRule type="cellIs" dxfId="6548" priority="6517" stopIfTrue="1" operator="between">
      <formula>220001</formula>
      <formula>221144</formula>
    </cfRule>
  </conditionalFormatting>
  <conditionalFormatting sqref="AM29">
    <cfRule type="cellIs" dxfId="6547" priority="6512" stopIfTrue="1" operator="between">
      <formula>221101</formula>
      <formula>221118</formula>
    </cfRule>
    <cfRule type="cellIs" dxfId="6546" priority="6513" stopIfTrue="1" operator="between">
      <formula>221142</formula>
      <formula>221144</formula>
    </cfRule>
    <cfRule type="cellIs" dxfId="6545" priority="6514" stopIfTrue="1" operator="between">
      <formula>220001</formula>
      <formula>221144</formula>
    </cfRule>
  </conditionalFormatting>
  <conditionalFormatting sqref="AL29">
    <cfRule type="cellIs" dxfId="6544" priority="6509" stopIfTrue="1" operator="between">
      <formula>221101</formula>
      <formula>221118</formula>
    </cfRule>
    <cfRule type="cellIs" dxfId="6543" priority="6510" stopIfTrue="1" operator="between">
      <formula>221142</formula>
      <formula>221144</formula>
    </cfRule>
    <cfRule type="cellIs" dxfId="6542" priority="6511" stopIfTrue="1" operator="between">
      <formula>220001</formula>
      <formula>221144</formula>
    </cfRule>
  </conditionalFormatting>
  <conditionalFormatting sqref="AL29">
    <cfRule type="cellIs" dxfId="6541" priority="6506" stopIfTrue="1" operator="between">
      <formula>221101</formula>
      <formula>221118</formula>
    </cfRule>
    <cfRule type="cellIs" dxfId="6540" priority="6507" stopIfTrue="1" operator="between">
      <formula>221142</formula>
      <formula>221144</formula>
    </cfRule>
    <cfRule type="cellIs" dxfId="6539" priority="6508" stopIfTrue="1" operator="between">
      <formula>220001</formula>
      <formula>221144</formula>
    </cfRule>
  </conditionalFormatting>
  <conditionalFormatting sqref="AK29">
    <cfRule type="cellIs" dxfId="6538" priority="6503" stopIfTrue="1" operator="between">
      <formula>221101</formula>
      <formula>221118</formula>
    </cfRule>
    <cfRule type="cellIs" dxfId="6537" priority="6504" stopIfTrue="1" operator="between">
      <formula>221142</formula>
      <formula>221144</formula>
    </cfRule>
    <cfRule type="cellIs" dxfId="6536" priority="6505" stopIfTrue="1" operator="between">
      <formula>220001</formula>
      <formula>221144</formula>
    </cfRule>
  </conditionalFormatting>
  <conditionalFormatting sqref="B29">
    <cfRule type="cellIs" dxfId="6535" priority="6500" stopIfTrue="1" operator="between">
      <formula>221101</formula>
      <formula>221118</formula>
    </cfRule>
    <cfRule type="cellIs" dxfId="6534" priority="6501" stopIfTrue="1" operator="between">
      <formula>221142</formula>
      <formula>221144</formula>
    </cfRule>
    <cfRule type="cellIs" dxfId="6533" priority="6502" stopIfTrue="1" operator="between">
      <formula>220001</formula>
      <formula>221144</formula>
    </cfRule>
  </conditionalFormatting>
  <conditionalFormatting sqref="B29">
    <cfRule type="cellIs" dxfId="6532" priority="6497" stopIfTrue="1" operator="between">
      <formula>221101</formula>
      <formula>221118</formula>
    </cfRule>
    <cfRule type="cellIs" dxfId="6531" priority="6498" stopIfTrue="1" operator="between">
      <formula>221142</formula>
      <formula>221144</formula>
    </cfRule>
    <cfRule type="cellIs" dxfId="6530" priority="6499" stopIfTrue="1" operator="between">
      <formula>220001</formula>
      <formula>221144</formula>
    </cfRule>
  </conditionalFormatting>
  <conditionalFormatting sqref="B29">
    <cfRule type="cellIs" dxfId="6529" priority="6494" stopIfTrue="1" operator="between">
      <formula>221101</formula>
      <formula>221118</formula>
    </cfRule>
    <cfRule type="cellIs" dxfId="6528" priority="6495" stopIfTrue="1" operator="between">
      <formula>221142</formula>
      <formula>221144</formula>
    </cfRule>
    <cfRule type="cellIs" dxfId="6527" priority="6496" stopIfTrue="1" operator="between">
      <formula>220001</formula>
      <formula>221144</formula>
    </cfRule>
  </conditionalFormatting>
  <conditionalFormatting sqref="B29">
    <cfRule type="cellIs" dxfId="6526" priority="6491" stopIfTrue="1" operator="between">
      <formula>221101</formula>
      <formula>221118</formula>
    </cfRule>
    <cfRule type="cellIs" dxfId="6525" priority="6492" stopIfTrue="1" operator="between">
      <formula>221142</formula>
      <formula>221144</formula>
    </cfRule>
    <cfRule type="cellIs" dxfId="6524" priority="6493" stopIfTrue="1" operator="between">
      <formula>220001</formula>
      <formula>221144</formula>
    </cfRule>
  </conditionalFormatting>
  <conditionalFormatting sqref="AL29">
    <cfRule type="cellIs" dxfId="6523" priority="6488" stopIfTrue="1" operator="between">
      <formula>221101</formula>
      <formula>221118</formula>
    </cfRule>
    <cfRule type="cellIs" dxfId="6522" priority="6489" stopIfTrue="1" operator="between">
      <formula>221142</formula>
      <formula>221144</formula>
    </cfRule>
    <cfRule type="cellIs" dxfId="6521" priority="6490" stopIfTrue="1" operator="between">
      <formula>220001</formula>
      <formula>221144</formula>
    </cfRule>
  </conditionalFormatting>
  <conditionalFormatting sqref="AK29">
    <cfRule type="cellIs" dxfId="6520" priority="6485" stopIfTrue="1" operator="between">
      <formula>221101</formula>
      <formula>221118</formula>
    </cfRule>
    <cfRule type="cellIs" dxfId="6519" priority="6486" stopIfTrue="1" operator="between">
      <formula>221142</formula>
      <formula>221144</formula>
    </cfRule>
    <cfRule type="cellIs" dxfId="6518" priority="6487" stopIfTrue="1" operator="between">
      <formula>220001</formula>
      <formula>221144</formula>
    </cfRule>
  </conditionalFormatting>
  <conditionalFormatting sqref="AK29">
    <cfRule type="cellIs" dxfId="6517" priority="6482" stopIfTrue="1" operator="between">
      <formula>221101</formula>
      <formula>221118</formula>
    </cfRule>
    <cfRule type="cellIs" dxfId="6516" priority="6483" stopIfTrue="1" operator="between">
      <formula>221142</formula>
      <formula>221144</formula>
    </cfRule>
    <cfRule type="cellIs" dxfId="6515" priority="6484" stopIfTrue="1" operator="between">
      <formula>220001</formula>
      <formula>221144</formula>
    </cfRule>
  </conditionalFormatting>
  <conditionalFormatting sqref="AJ29">
    <cfRule type="cellIs" dxfId="6514" priority="6479" stopIfTrue="1" operator="between">
      <formula>221101</formula>
      <formula>221118</formula>
    </cfRule>
    <cfRule type="cellIs" dxfId="6513" priority="6480" stopIfTrue="1" operator="between">
      <formula>221142</formula>
      <formula>221144</formula>
    </cfRule>
    <cfRule type="cellIs" dxfId="6512" priority="6481" stopIfTrue="1" operator="between">
      <formula>220001</formula>
      <formula>221144</formula>
    </cfRule>
  </conditionalFormatting>
  <conditionalFormatting sqref="AL29">
    <cfRule type="cellIs" dxfId="6511" priority="6476" stopIfTrue="1" operator="between">
      <formula>221101</formula>
      <formula>221118</formula>
    </cfRule>
    <cfRule type="cellIs" dxfId="6510" priority="6477" stopIfTrue="1" operator="between">
      <formula>221142</formula>
      <formula>221144</formula>
    </cfRule>
    <cfRule type="cellIs" dxfId="6509" priority="6478" stopIfTrue="1" operator="between">
      <formula>220001</formula>
      <formula>221144</formula>
    </cfRule>
  </conditionalFormatting>
  <conditionalFormatting sqref="AK29">
    <cfRule type="cellIs" dxfId="6508" priority="6473" stopIfTrue="1" operator="between">
      <formula>221101</formula>
      <formula>221118</formula>
    </cfRule>
    <cfRule type="cellIs" dxfId="6507" priority="6474" stopIfTrue="1" operator="between">
      <formula>221142</formula>
      <formula>221144</formula>
    </cfRule>
    <cfRule type="cellIs" dxfId="6506" priority="6475" stopIfTrue="1" operator="between">
      <formula>220001</formula>
      <formula>221144</formula>
    </cfRule>
  </conditionalFormatting>
  <conditionalFormatting sqref="AK29">
    <cfRule type="cellIs" dxfId="6505" priority="6470" stopIfTrue="1" operator="between">
      <formula>221101</formula>
      <formula>221118</formula>
    </cfRule>
    <cfRule type="cellIs" dxfId="6504" priority="6471" stopIfTrue="1" operator="between">
      <formula>221142</formula>
      <formula>221144</formula>
    </cfRule>
    <cfRule type="cellIs" dxfId="6503" priority="6472" stopIfTrue="1" operator="between">
      <formula>220001</formula>
      <formula>221144</formula>
    </cfRule>
  </conditionalFormatting>
  <conditionalFormatting sqref="AJ29">
    <cfRule type="cellIs" dxfId="6502" priority="6467" stopIfTrue="1" operator="between">
      <formula>221101</formula>
      <formula>221118</formula>
    </cfRule>
    <cfRule type="cellIs" dxfId="6501" priority="6468" stopIfTrue="1" operator="between">
      <formula>221142</formula>
      <formula>221144</formula>
    </cfRule>
    <cfRule type="cellIs" dxfId="6500" priority="6469" stopIfTrue="1" operator="between">
      <formula>220001</formula>
      <formula>221144</formula>
    </cfRule>
  </conditionalFormatting>
  <conditionalFormatting sqref="AK29">
    <cfRule type="cellIs" dxfId="6499" priority="6464" stopIfTrue="1" operator="between">
      <formula>221101</formula>
      <formula>221118</formula>
    </cfRule>
    <cfRule type="cellIs" dxfId="6498" priority="6465" stopIfTrue="1" operator="between">
      <formula>221142</formula>
      <formula>221144</formula>
    </cfRule>
    <cfRule type="cellIs" dxfId="6497" priority="6466" stopIfTrue="1" operator="between">
      <formula>220001</formula>
      <formula>221144</formula>
    </cfRule>
  </conditionalFormatting>
  <conditionalFormatting sqref="AJ29">
    <cfRule type="cellIs" dxfId="6496" priority="6461" stopIfTrue="1" operator="between">
      <formula>221101</formula>
      <formula>221118</formula>
    </cfRule>
    <cfRule type="cellIs" dxfId="6495" priority="6462" stopIfTrue="1" operator="between">
      <formula>221142</formula>
      <formula>221144</formula>
    </cfRule>
    <cfRule type="cellIs" dxfId="6494" priority="6463" stopIfTrue="1" operator="between">
      <formula>220001</formula>
      <formula>221144</formula>
    </cfRule>
  </conditionalFormatting>
  <conditionalFormatting sqref="AJ29">
    <cfRule type="cellIs" dxfId="6493" priority="6458" stopIfTrue="1" operator="between">
      <formula>221101</formula>
      <formula>221118</formula>
    </cfRule>
    <cfRule type="cellIs" dxfId="6492" priority="6459" stopIfTrue="1" operator="between">
      <formula>221142</formula>
      <formula>221144</formula>
    </cfRule>
    <cfRule type="cellIs" dxfId="6491" priority="6460" stopIfTrue="1" operator="between">
      <formula>220001</formula>
      <formula>221144</formula>
    </cfRule>
  </conditionalFormatting>
  <conditionalFormatting sqref="AI29">
    <cfRule type="cellIs" dxfId="6490" priority="6455" stopIfTrue="1" operator="between">
      <formula>221101</formula>
      <formula>221118</formula>
    </cfRule>
    <cfRule type="cellIs" dxfId="6489" priority="6456" stopIfTrue="1" operator="between">
      <formula>221142</formula>
      <formula>221144</formula>
    </cfRule>
    <cfRule type="cellIs" dxfId="6488" priority="6457" stopIfTrue="1" operator="between">
      <formula>220001</formula>
      <formula>221144</formula>
    </cfRule>
  </conditionalFormatting>
  <conditionalFormatting sqref="AO37">
    <cfRule type="cellIs" dxfId="6487" priority="6452" stopIfTrue="1" operator="between">
      <formula>221101</formula>
      <formula>221118</formula>
    </cfRule>
    <cfRule type="cellIs" dxfId="6486" priority="6453" stopIfTrue="1" operator="between">
      <formula>221142</formula>
      <formula>221144</formula>
    </cfRule>
    <cfRule type="cellIs" dxfId="6485" priority="6454" stopIfTrue="1" operator="between">
      <formula>220001</formula>
      <formula>221144</formula>
    </cfRule>
  </conditionalFormatting>
  <conditionalFormatting sqref="AN37">
    <cfRule type="cellIs" dxfId="6484" priority="6449" stopIfTrue="1" operator="between">
      <formula>221101</formula>
      <formula>221118</formula>
    </cfRule>
    <cfRule type="cellIs" dxfId="6483" priority="6450" stopIfTrue="1" operator="between">
      <formula>221142</formula>
      <formula>221144</formula>
    </cfRule>
    <cfRule type="cellIs" dxfId="6482" priority="6451" stopIfTrue="1" operator="between">
      <formula>220001</formula>
      <formula>221144</formula>
    </cfRule>
  </conditionalFormatting>
  <conditionalFormatting sqref="AN37">
    <cfRule type="cellIs" dxfId="6481" priority="6446" stopIfTrue="1" operator="between">
      <formula>221101</formula>
      <formula>221118</formula>
    </cfRule>
    <cfRule type="cellIs" dxfId="6480" priority="6447" stopIfTrue="1" operator="between">
      <formula>221142</formula>
      <formula>221144</formula>
    </cfRule>
    <cfRule type="cellIs" dxfId="6479" priority="6448" stopIfTrue="1" operator="between">
      <formula>220001</formula>
      <formula>221144</formula>
    </cfRule>
  </conditionalFormatting>
  <conditionalFormatting sqref="AM37">
    <cfRule type="cellIs" dxfId="6478" priority="6443" stopIfTrue="1" operator="between">
      <formula>221101</formula>
      <formula>221118</formula>
    </cfRule>
    <cfRule type="cellIs" dxfId="6477" priority="6444" stopIfTrue="1" operator="between">
      <formula>221142</formula>
      <formula>221144</formula>
    </cfRule>
    <cfRule type="cellIs" dxfId="6476" priority="6445" stopIfTrue="1" operator="between">
      <formula>220001</formula>
      <formula>221144</formula>
    </cfRule>
  </conditionalFormatting>
  <conditionalFormatting sqref="D37">
    <cfRule type="cellIs" dxfId="6475" priority="6440" stopIfTrue="1" operator="between">
      <formula>221101</formula>
      <formula>221118</formula>
    </cfRule>
    <cfRule type="cellIs" dxfId="6474" priority="6441" stopIfTrue="1" operator="between">
      <formula>221142</formula>
      <formula>221144</formula>
    </cfRule>
    <cfRule type="cellIs" dxfId="6473" priority="6442" stopIfTrue="1" operator="between">
      <formula>220001</formula>
      <formula>221144</formula>
    </cfRule>
  </conditionalFormatting>
  <conditionalFormatting sqref="D37">
    <cfRule type="cellIs" dxfId="6472" priority="6437" stopIfTrue="1" operator="between">
      <formula>221101</formula>
      <formula>221118</formula>
    </cfRule>
    <cfRule type="cellIs" dxfId="6471" priority="6438" stopIfTrue="1" operator="between">
      <formula>221142</formula>
      <formula>221144</formula>
    </cfRule>
    <cfRule type="cellIs" dxfId="6470" priority="6439" stopIfTrue="1" operator="between">
      <formula>220001</formula>
      <formula>221144</formula>
    </cfRule>
  </conditionalFormatting>
  <conditionalFormatting sqref="D37">
    <cfRule type="cellIs" dxfId="6469" priority="6434" stopIfTrue="1" operator="between">
      <formula>221101</formula>
      <formula>221118</formula>
    </cfRule>
    <cfRule type="cellIs" dxfId="6468" priority="6435" stopIfTrue="1" operator="between">
      <formula>221142</formula>
      <formula>221144</formula>
    </cfRule>
    <cfRule type="cellIs" dxfId="6467" priority="6436" stopIfTrue="1" operator="between">
      <formula>220001</formula>
      <formula>221144</formula>
    </cfRule>
  </conditionalFormatting>
  <conditionalFormatting sqref="D37">
    <cfRule type="cellIs" dxfId="6466" priority="6431" stopIfTrue="1" operator="between">
      <formula>221101</formula>
      <formula>221118</formula>
    </cfRule>
    <cfRule type="cellIs" dxfId="6465" priority="6432" stopIfTrue="1" operator="between">
      <formula>221142</formula>
      <formula>221144</formula>
    </cfRule>
    <cfRule type="cellIs" dxfId="6464" priority="6433" stopIfTrue="1" operator="between">
      <formula>220001</formula>
      <formula>221144</formula>
    </cfRule>
  </conditionalFormatting>
  <conditionalFormatting sqref="AN37">
    <cfRule type="cellIs" dxfId="6463" priority="6428" stopIfTrue="1" operator="between">
      <formula>221101</formula>
      <formula>221118</formula>
    </cfRule>
    <cfRule type="cellIs" dxfId="6462" priority="6429" stopIfTrue="1" operator="between">
      <formula>221142</formula>
      <formula>221144</formula>
    </cfRule>
    <cfRule type="cellIs" dxfId="6461" priority="6430" stopIfTrue="1" operator="between">
      <formula>220001</formula>
      <formula>221144</formula>
    </cfRule>
  </conditionalFormatting>
  <conditionalFormatting sqref="AM37">
    <cfRule type="cellIs" dxfId="6460" priority="6425" stopIfTrue="1" operator="between">
      <formula>221101</formula>
      <formula>221118</formula>
    </cfRule>
    <cfRule type="cellIs" dxfId="6459" priority="6426" stopIfTrue="1" operator="between">
      <formula>221142</formula>
      <formula>221144</formula>
    </cfRule>
    <cfRule type="cellIs" dxfId="6458" priority="6427" stopIfTrue="1" operator="between">
      <formula>220001</formula>
      <formula>221144</formula>
    </cfRule>
  </conditionalFormatting>
  <conditionalFormatting sqref="AM37">
    <cfRule type="cellIs" dxfId="6457" priority="6422" stopIfTrue="1" operator="between">
      <formula>221101</formula>
      <formula>221118</formula>
    </cfRule>
    <cfRule type="cellIs" dxfId="6456" priority="6423" stopIfTrue="1" operator="between">
      <formula>221142</formula>
      <formula>221144</formula>
    </cfRule>
    <cfRule type="cellIs" dxfId="6455" priority="6424" stopIfTrue="1" operator="between">
      <formula>220001</formula>
      <formula>221144</formula>
    </cfRule>
  </conditionalFormatting>
  <conditionalFormatting sqref="AL37">
    <cfRule type="cellIs" dxfId="6454" priority="6419" stopIfTrue="1" operator="between">
      <formula>221101</formula>
      <formula>221118</formula>
    </cfRule>
    <cfRule type="cellIs" dxfId="6453" priority="6420" stopIfTrue="1" operator="between">
      <formula>221142</formula>
      <formula>221144</formula>
    </cfRule>
    <cfRule type="cellIs" dxfId="6452" priority="6421" stopIfTrue="1" operator="between">
      <formula>220001</formula>
      <formula>221144</formula>
    </cfRule>
  </conditionalFormatting>
  <conditionalFormatting sqref="C37">
    <cfRule type="cellIs" dxfId="6451" priority="6416" stopIfTrue="1" operator="between">
      <formula>221101</formula>
      <formula>221118</formula>
    </cfRule>
    <cfRule type="cellIs" dxfId="6450" priority="6417" stopIfTrue="1" operator="between">
      <formula>221142</formula>
      <formula>221144</formula>
    </cfRule>
    <cfRule type="cellIs" dxfId="6449" priority="6418" stopIfTrue="1" operator="between">
      <formula>220001</formula>
      <formula>221144</formula>
    </cfRule>
  </conditionalFormatting>
  <conditionalFormatting sqref="C37">
    <cfRule type="cellIs" dxfId="6448" priority="6413" stopIfTrue="1" operator="between">
      <formula>221101</formula>
      <formula>221118</formula>
    </cfRule>
    <cfRule type="cellIs" dxfId="6447" priority="6414" stopIfTrue="1" operator="between">
      <formula>221142</formula>
      <formula>221144</formula>
    </cfRule>
    <cfRule type="cellIs" dxfId="6446" priority="6415" stopIfTrue="1" operator="between">
      <formula>220001</formula>
      <formula>221144</formula>
    </cfRule>
  </conditionalFormatting>
  <conditionalFormatting sqref="C37">
    <cfRule type="cellIs" dxfId="6445" priority="6410" stopIfTrue="1" operator="between">
      <formula>221101</formula>
      <formula>221118</formula>
    </cfRule>
    <cfRule type="cellIs" dxfId="6444" priority="6411" stopIfTrue="1" operator="between">
      <formula>221142</formula>
      <formula>221144</formula>
    </cfRule>
    <cfRule type="cellIs" dxfId="6443" priority="6412" stopIfTrue="1" operator="between">
      <formula>220001</formula>
      <formula>221144</formula>
    </cfRule>
  </conditionalFormatting>
  <conditionalFormatting sqref="C37">
    <cfRule type="cellIs" dxfId="6442" priority="6407" stopIfTrue="1" operator="between">
      <formula>221101</formula>
      <formula>221118</formula>
    </cfRule>
    <cfRule type="cellIs" dxfId="6441" priority="6408" stopIfTrue="1" operator="between">
      <formula>221142</formula>
      <formula>221144</formula>
    </cfRule>
    <cfRule type="cellIs" dxfId="6440" priority="6409" stopIfTrue="1" operator="between">
      <formula>220001</formula>
      <formula>221144</formula>
    </cfRule>
  </conditionalFormatting>
  <conditionalFormatting sqref="AN37">
    <cfRule type="cellIs" dxfId="6439" priority="6404" stopIfTrue="1" operator="between">
      <formula>221101</formula>
      <formula>221118</formula>
    </cfRule>
    <cfRule type="cellIs" dxfId="6438" priority="6405" stopIfTrue="1" operator="between">
      <formula>221142</formula>
      <formula>221144</formula>
    </cfRule>
    <cfRule type="cellIs" dxfId="6437" priority="6406" stopIfTrue="1" operator="between">
      <formula>220001</formula>
      <formula>221144</formula>
    </cfRule>
  </conditionalFormatting>
  <conditionalFormatting sqref="AM37">
    <cfRule type="cellIs" dxfId="6436" priority="6401" stopIfTrue="1" operator="between">
      <formula>221101</formula>
      <formula>221118</formula>
    </cfRule>
    <cfRule type="cellIs" dxfId="6435" priority="6402" stopIfTrue="1" operator="between">
      <formula>221142</formula>
      <formula>221144</formula>
    </cfRule>
    <cfRule type="cellIs" dxfId="6434" priority="6403" stopIfTrue="1" operator="between">
      <formula>220001</formula>
      <formula>221144</formula>
    </cfRule>
  </conditionalFormatting>
  <conditionalFormatting sqref="AM37">
    <cfRule type="cellIs" dxfId="6433" priority="6398" stopIfTrue="1" operator="between">
      <formula>221101</formula>
      <formula>221118</formula>
    </cfRule>
    <cfRule type="cellIs" dxfId="6432" priority="6399" stopIfTrue="1" operator="between">
      <formula>221142</formula>
      <formula>221144</formula>
    </cfRule>
    <cfRule type="cellIs" dxfId="6431" priority="6400" stopIfTrue="1" operator="between">
      <formula>220001</formula>
      <formula>221144</formula>
    </cfRule>
  </conditionalFormatting>
  <conditionalFormatting sqref="AL37">
    <cfRule type="cellIs" dxfId="6430" priority="6395" stopIfTrue="1" operator="between">
      <formula>221101</formula>
      <formula>221118</formula>
    </cfRule>
    <cfRule type="cellIs" dxfId="6429" priority="6396" stopIfTrue="1" operator="between">
      <formula>221142</formula>
      <formula>221144</formula>
    </cfRule>
    <cfRule type="cellIs" dxfId="6428" priority="6397" stopIfTrue="1" operator="between">
      <formula>220001</formula>
      <formula>221144</formula>
    </cfRule>
  </conditionalFormatting>
  <conditionalFormatting sqref="C37">
    <cfRule type="cellIs" dxfId="6427" priority="6392" stopIfTrue="1" operator="between">
      <formula>221101</formula>
      <formula>221118</formula>
    </cfRule>
    <cfRule type="cellIs" dxfId="6426" priority="6393" stopIfTrue="1" operator="between">
      <formula>221142</formula>
      <formula>221144</formula>
    </cfRule>
    <cfRule type="cellIs" dxfId="6425" priority="6394" stopIfTrue="1" operator="between">
      <formula>220001</formula>
      <formula>221144</formula>
    </cfRule>
  </conditionalFormatting>
  <conditionalFormatting sqref="C37">
    <cfRule type="cellIs" dxfId="6424" priority="6389" stopIfTrue="1" operator="between">
      <formula>221101</formula>
      <formula>221118</formula>
    </cfRule>
    <cfRule type="cellIs" dxfId="6423" priority="6390" stopIfTrue="1" operator="between">
      <formula>221142</formula>
      <formula>221144</formula>
    </cfRule>
    <cfRule type="cellIs" dxfId="6422" priority="6391" stopIfTrue="1" operator="between">
      <formula>220001</formula>
      <formula>221144</formula>
    </cfRule>
  </conditionalFormatting>
  <conditionalFormatting sqref="C37">
    <cfRule type="cellIs" dxfId="6421" priority="6386" stopIfTrue="1" operator="between">
      <formula>221101</formula>
      <formula>221118</formula>
    </cfRule>
    <cfRule type="cellIs" dxfId="6420" priority="6387" stopIfTrue="1" operator="between">
      <formula>221142</formula>
      <formula>221144</formula>
    </cfRule>
    <cfRule type="cellIs" dxfId="6419" priority="6388" stopIfTrue="1" operator="between">
      <formula>220001</formula>
      <formula>221144</formula>
    </cfRule>
  </conditionalFormatting>
  <conditionalFormatting sqref="C37">
    <cfRule type="cellIs" dxfId="6418" priority="6383" stopIfTrue="1" operator="between">
      <formula>221101</formula>
      <formula>221118</formula>
    </cfRule>
    <cfRule type="cellIs" dxfId="6417" priority="6384" stopIfTrue="1" operator="between">
      <formula>221142</formula>
      <formula>221144</formula>
    </cfRule>
    <cfRule type="cellIs" dxfId="6416" priority="6385" stopIfTrue="1" operator="between">
      <formula>220001</formula>
      <formula>221144</formula>
    </cfRule>
  </conditionalFormatting>
  <conditionalFormatting sqref="AM37">
    <cfRule type="cellIs" dxfId="6415" priority="6380" stopIfTrue="1" operator="between">
      <formula>221101</formula>
      <formula>221118</formula>
    </cfRule>
    <cfRule type="cellIs" dxfId="6414" priority="6381" stopIfTrue="1" operator="between">
      <formula>221142</formula>
      <formula>221144</formula>
    </cfRule>
    <cfRule type="cellIs" dxfId="6413" priority="6382" stopIfTrue="1" operator="between">
      <formula>220001</formula>
      <formula>221144</formula>
    </cfRule>
  </conditionalFormatting>
  <conditionalFormatting sqref="AL37">
    <cfRule type="cellIs" dxfId="6412" priority="6377" stopIfTrue="1" operator="between">
      <formula>221101</formula>
      <formula>221118</formula>
    </cfRule>
    <cfRule type="cellIs" dxfId="6411" priority="6378" stopIfTrue="1" operator="between">
      <formula>221142</formula>
      <formula>221144</formula>
    </cfRule>
    <cfRule type="cellIs" dxfId="6410" priority="6379" stopIfTrue="1" operator="between">
      <formula>220001</formula>
      <formula>221144</formula>
    </cfRule>
  </conditionalFormatting>
  <conditionalFormatting sqref="AL37">
    <cfRule type="cellIs" dxfId="6409" priority="6374" stopIfTrue="1" operator="between">
      <formula>221101</formula>
      <formula>221118</formula>
    </cfRule>
    <cfRule type="cellIs" dxfId="6408" priority="6375" stopIfTrue="1" operator="between">
      <formula>221142</formula>
      <formula>221144</formula>
    </cfRule>
    <cfRule type="cellIs" dxfId="6407" priority="6376" stopIfTrue="1" operator="between">
      <formula>220001</formula>
      <formula>221144</formula>
    </cfRule>
  </conditionalFormatting>
  <conditionalFormatting sqref="AK37">
    <cfRule type="cellIs" dxfId="6406" priority="6371" stopIfTrue="1" operator="between">
      <formula>221101</formula>
      <formula>221118</formula>
    </cfRule>
    <cfRule type="cellIs" dxfId="6405" priority="6372" stopIfTrue="1" operator="between">
      <formula>221142</formula>
      <formula>221144</formula>
    </cfRule>
    <cfRule type="cellIs" dxfId="6404" priority="6373" stopIfTrue="1" operator="between">
      <formula>220001</formula>
      <formula>221144</formula>
    </cfRule>
  </conditionalFormatting>
  <conditionalFormatting sqref="AN37">
    <cfRule type="cellIs" dxfId="6403" priority="6368" stopIfTrue="1" operator="between">
      <formula>221101</formula>
      <formula>221118</formula>
    </cfRule>
    <cfRule type="cellIs" dxfId="6402" priority="6369" stopIfTrue="1" operator="between">
      <formula>221142</formula>
      <formula>221144</formula>
    </cfRule>
    <cfRule type="cellIs" dxfId="6401" priority="6370" stopIfTrue="1" operator="between">
      <formula>220001</formula>
      <formula>221144</formula>
    </cfRule>
  </conditionalFormatting>
  <conditionalFormatting sqref="AM37">
    <cfRule type="cellIs" dxfId="6400" priority="6365" stopIfTrue="1" operator="between">
      <formula>221101</formula>
      <formula>221118</formula>
    </cfRule>
    <cfRule type="cellIs" dxfId="6399" priority="6366" stopIfTrue="1" operator="between">
      <formula>221142</formula>
      <formula>221144</formula>
    </cfRule>
    <cfRule type="cellIs" dxfId="6398" priority="6367" stopIfTrue="1" operator="between">
      <formula>220001</formula>
      <formula>221144</formula>
    </cfRule>
  </conditionalFormatting>
  <conditionalFormatting sqref="AM37">
    <cfRule type="cellIs" dxfId="6397" priority="6362" stopIfTrue="1" operator="between">
      <formula>221101</formula>
      <formula>221118</formula>
    </cfRule>
    <cfRule type="cellIs" dxfId="6396" priority="6363" stopIfTrue="1" operator="between">
      <formula>221142</formula>
      <formula>221144</formula>
    </cfRule>
    <cfRule type="cellIs" dxfId="6395" priority="6364" stopIfTrue="1" operator="between">
      <formula>220001</formula>
      <formula>221144</formula>
    </cfRule>
  </conditionalFormatting>
  <conditionalFormatting sqref="AL37">
    <cfRule type="cellIs" dxfId="6394" priority="6359" stopIfTrue="1" operator="between">
      <formula>221101</formula>
      <formula>221118</formula>
    </cfRule>
    <cfRule type="cellIs" dxfId="6393" priority="6360" stopIfTrue="1" operator="between">
      <formula>221142</formula>
      <formula>221144</formula>
    </cfRule>
    <cfRule type="cellIs" dxfId="6392" priority="6361" stopIfTrue="1" operator="between">
      <formula>220001</formula>
      <formula>221144</formula>
    </cfRule>
  </conditionalFormatting>
  <conditionalFormatting sqref="C37">
    <cfRule type="cellIs" dxfId="6391" priority="6356" stopIfTrue="1" operator="between">
      <formula>221101</formula>
      <formula>221118</formula>
    </cfRule>
    <cfRule type="cellIs" dxfId="6390" priority="6357" stopIfTrue="1" operator="between">
      <formula>221142</formula>
      <formula>221144</formula>
    </cfRule>
    <cfRule type="cellIs" dxfId="6389" priority="6358" stopIfTrue="1" operator="between">
      <formula>220001</formula>
      <formula>221144</formula>
    </cfRule>
  </conditionalFormatting>
  <conditionalFormatting sqref="C37">
    <cfRule type="cellIs" dxfId="6388" priority="6353" stopIfTrue="1" operator="between">
      <formula>221101</formula>
      <formula>221118</formula>
    </cfRule>
    <cfRule type="cellIs" dxfId="6387" priority="6354" stopIfTrue="1" operator="between">
      <formula>221142</formula>
      <formula>221144</formula>
    </cfRule>
    <cfRule type="cellIs" dxfId="6386" priority="6355" stopIfTrue="1" operator="between">
      <formula>220001</formula>
      <formula>221144</formula>
    </cfRule>
  </conditionalFormatting>
  <conditionalFormatting sqref="C37">
    <cfRule type="cellIs" dxfId="6385" priority="6350" stopIfTrue="1" operator="between">
      <formula>221101</formula>
      <formula>221118</formula>
    </cfRule>
    <cfRule type="cellIs" dxfId="6384" priority="6351" stopIfTrue="1" operator="between">
      <formula>221142</formula>
      <formula>221144</formula>
    </cfRule>
    <cfRule type="cellIs" dxfId="6383" priority="6352" stopIfTrue="1" operator="between">
      <formula>220001</formula>
      <formula>221144</formula>
    </cfRule>
  </conditionalFormatting>
  <conditionalFormatting sqref="C37">
    <cfRule type="cellIs" dxfId="6382" priority="6347" stopIfTrue="1" operator="between">
      <formula>221101</formula>
      <formula>221118</formula>
    </cfRule>
    <cfRule type="cellIs" dxfId="6381" priority="6348" stopIfTrue="1" operator="between">
      <formula>221142</formula>
      <formula>221144</formula>
    </cfRule>
    <cfRule type="cellIs" dxfId="6380" priority="6349" stopIfTrue="1" operator="between">
      <formula>220001</formula>
      <formula>221144</formula>
    </cfRule>
  </conditionalFormatting>
  <conditionalFormatting sqref="AM37">
    <cfRule type="cellIs" dxfId="6379" priority="6344" stopIfTrue="1" operator="between">
      <formula>221101</formula>
      <formula>221118</formula>
    </cfRule>
    <cfRule type="cellIs" dxfId="6378" priority="6345" stopIfTrue="1" operator="between">
      <formula>221142</formula>
      <formula>221144</formula>
    </cfRule>
    <cfRule type="cellIs" dxfId="6377" priority="6346" stopIfTrue="1" operator="between">
      <formula>220001</formula>
      <formula>221144</formula>
    </cfRule>
  </conditionalFormatting>
  <conditionalFormatting sqref="AL37">
    <cfRule type="cellIs" dxfId="6376" priority="6341" stopIfTrue="1" operator="between">
      <formula>221101</formula>
      <formula>221118</formula>
    </cfRule>
    <cfRule type="cellIs" dxfId="6375" priority="6342" stopIfTrue="1" operator="between">
      <formula>221142</formula>
      <formula>221144</formula>
    </cfRule>
    <cfRule type="cellIs" dxfId="6374" priority="6343" stopIfTrue="1" operator="between">
      <formula>220001</formula>
      <formula>221144</formula>
    </cfRule>
  </conditionalFormatting>
  <conditionalFormatting sqref="AL37">
    <cfRule type="cellIs" dxfId="6373" priority="6338" stopIfTrue="1" operator="between">
      <formula>221101</formula>
      <formula>221118</formula>
    </cfRule>
    <cfRule type="cellIs" dxfId="6372" priority="6339" stopIfTrue="1" operator="between">
      <formula>221142</formula>
      <formula>221144</formula>
    </cfRule>
    <cfRule type="cellIs" dxfId="6371" priority="6340" stopIfTrue="1" operator="between">
      <formula>220001</formula>
      <formula>221144</formula>
    </cfRule>
  </conditionalFormatting>
  <conditionalFormatting sqref="AK37">
    <cfRule type="cellIs" dxfId="6370" priority="6335" stopIfTrue="1" operator="between">
      <formula>221101</formula>
      <formula>221118</formula>
    </cfRule>
    <cfRule type="cellIs" dxfId="6369" priority="6336" stopIfTrue="1" operator="between">
      <formula>221142</formula>
      <formula>221144</formula>
    </cfRule>
    <cfRule type="cellIs" dxfId="6368" priority="6337" stopIfTrue="1" operator="between">
      <formula>220001</formula>
      <formula>221144</formula>
    </cfRule>
  </conditionalFormatting>
  <conditionalFormatting sqref="AM37">
    <cfRule type="cellIs" dxfId="6367" priority="6332" stopIfTrue="1" operator="between">
      <formula>221101</formula>
      <formula>221118</formula>
    </cfRule>
    <cfRule type="cellIs" dxfId="6366" priority="6333" stopIfTrue="1" operator="between">
      <formula>221142</formula>
      <formula>221144</formula>
    </cfRule>
    <cfRule type="cellIs" dxfId="6365" priority="6334" stopIfTrue="1" operator="between">
      <formula>220001</formula>
      <formula>221144</formula>
    </cfRule>
  </conditionalFormatting>
  <conditionalFormatting sqref="AL37">
    <cfRule type="cellIs" dxfId="6364" priority="6329" stopIfTrue="1" operator="between">
      <formula>221101</formula>
      <formula>221118</formula>
    </cfRule>
    <cfRule type="cellIs" dxfId="6363" priority="6330" stopIfTrue="1" operator="between">
      <formula>221142</formula>
      <formula>221144</formula>
    </cfRule>
    <cfRule type="cellIs" dxfId="6362" priority="6331" stopIfTrue="1" operator="between">
      <formula>220001</formula>
      <formula>221144</formula>
    </cfRule>
  </conditionalFormatting>
  <conditionalFormatting sqref="AL37">
    <cfRule type="cellIs" dxfId="6361" priority="6326" stopIfTrue="1" operator="between">
      <formula>221101</formula>
      <formula>221118</formula>
    </cfRule>
    <cfRule type="cellIs" dxfId="6360" priority="6327" stopIfTrue="1" operator="between">
      <formula>221142</formula>
      <formula>221144</formula>
    </cfRule>
    <cfRule type="cellIs" dxfId="6359" priority="6328" stopIfTrue="1" operator="between">
      <formula>220001</formula>
      <formula>221144</formula>
    </cfRule>
  </conditionalFormatting>
  <conditionalFormatting sqref="AK37">
    <cfRule type="cellIs" dxfId="6358" priority="6323" stopIfTrue="1" operator="between">
      <formula>221101</formula>
      <formula>221118</formula>
    </cfRule>
    <cfRule type="cellIs" dxfId="6357" priority="6324" stopIfTrue="1" operator="between">
      <formula>221142</formula>
      <formula>221144</formula>
    </cfRule>
    <cfRule type="cellIs" dxfId="6356" priority="6325" stopIfTrue="1" operator="between">
      <formula>220001</formula>
      <formula>221144</formula>
    </cfRule>
  </conditionalFormatting>
  <conditionalFormatting sqref="AL37">
    <cfRule type="cellIs" dxfId="6355" priority="6320" stopIfTrue="1" operator="between">
      <formula>221101</formula>
      <formula>221118</formula>
    </cfRule>
    <cfRule type="cellIs" dxfId="6354" priority="6321" stopIfTrue="1" operator="between">
      <formula>221142</formula>
      <formula>221144</formula>
    </cfRule>
    <cfRule type="cellIs" dxfId="6353" priority="6322" stopIfTrue="1" operator="between">
      <formula>220001</formula>
      <formula>221144</formula>
    </cfRule>
  </conditionalFormatting>
  <conditionalFormatting sqref="AK37">
    <cfRule type="cellIs" dxfId="6352" priority="6317" stopIfTrue="1" operator="between">
      <formula>221101</formula>
      <formula>221118</formula>
    </cfRule>
    <cfRule type="cellIs" dxfId="6351" priority="6318" stopIfTrue="1" operator="between">
      <formula>221142</formula>
      <formula>221144</formula>
    </cfRule>
    <cfRule type="cellIs" dxfId="6350" priority="6319" stopIfTrue="1" operator="between">
      <formula>220001</formula>
      <formula>221144</formula>
    </cfRule>
  </conditionalFormatting>
  <conditionalFormatting sqref="AK37">
    <cfRule type="cellIs" dxfId="6349" priority="6314" stopIfTrue="1" operator="between">
      <formula>221101</formula>
      <formula>221118</formula>
    </cfRule>
    <cfRule type="cellIs" dxfId="6348" priority="6315" stopIfTrue="1" operator="between">
      <formula>221142</formula>
      <formula>221144</formula>
    </cfRule>
    <cfRule type="cellIs" dxfId="6347" priority="6316" stopIfTrue="1" operator="between">
      <formula>220001</formula>
      <formula>221144</formula>
    </cfRule>
  </conditionalFormatting>
  <conditionalFormatting sqref="AJ37">
    <cfRule type="cellIs" dxfId="6346" priority="6311" stopIfTrue="1" operator="between">
      <formula>221101</formula>
      <formula>221118</formula>
    </cfRule>
    <cfRule type="cellIs" dxfId="6345" priority="6312" stopIfTrue="1" operator="between">
      <formula>221142</formula>
      <formula>221144</formula>
    </cfRule>
    <cfRule type="cellIs" dxfId="6344" priority="6313" stopIfTrue="1" operator="between">
      <formula>220001</formula>
      <formula>221144</formula>
    </cfRule>
  </conditionalFormatting>
  <conditionalFormatting sqref="AN37">
    <cfRule type="cellIs" dxfId="6343" priority="6308" stopIfTrue="1" operator="between">
      <formula>221101</formula>
      <formula>221118</formula>
    </cfRule>
    <cfRule type="cellIs" dxfId="6342" priority="6309" stopIfTrue="1" operator="between">
      <formula>221142</formula>
      <formula>221144</formula>
    </cfRule>
    <cfRule type="cellIs" dxfId="6341" priority="6310" stopIfTrue="1" operator="between">
      <formula>220001</formula>
      <formula>221144</formula>
    </cfRule>
  </conditionalFormatting>
  <conditionalFormatting sqref="AM37">
    <cfRule type="cellIs" dxfId="6340" priority="6305" stopIfTrue="1" operator="between">
      <formula>221101</formula>
      <formula>221118</formula>
    </cfRule>
    <cfRule type="cellIs" dxfId="6339" priority="6306" stopIfTrue="1" operator="between">
      <formula>221142</formula>
      <formula>221144</formula>
    </cfRule>
    <cfRule type="cellIs" dxfId="6338" priority="6307" stopIfTrue="1" operator="between">
      <formula>220001</formula>
      <formula>221144</formula>
    </cfRule>
  </conditionalFormatting>
  <conditionalFormatting sqref="AM37">
    <cfRule type="cellIs" dxfId="6337" priority="6302" stopIfTrue="1" operator="between">
      <formula>221101</formula>
      <formula>221118</formula>
    </cfRule>
    <cfRule type="cellIs" dxfId="6336" priority="6303" stopIfTrue="1" operator="between">
      <formula>221142</formula>
      <formula>221144</formula>
    </cfRule>
    <cfRule type="cellIs" dxfId="6335" priority="6304" stopIfTrue="1" operator="between">
      <formula>220001</formula>
      <formula>221144</formula>
    </cfRule>
  </conditionalFormatting>
  <conditionalFormatting sqref="AL37">
    <cfRule type="cellIs" dxfId="6334" priority="6299" stopIfTrue="1" operator="between">
      <formula>221101</formula>
      <formula>221118</formula>
    </cfRule>
    <cfRule type="cellIs" dxfId="6333" priority="6300" stopIfTrue="1" operator="between">
      <formula>221142</formula>
      <formula>221144</formula>
    </cfRule>
    <cfRule type="cellIs" dxfId="6332" priority="6301" stopIfTrue="1" operator="between">
      <formula>220001</formula>
      <formula>221144</formula>
    </cfRule>
  </conditionalFormatting>
  <conditionalFormatting sqref="C37">
    <cfRule type="cellIs" dxfId="6331" priority="6296" stopIfTrue="1" operator="between">
      <formula>221101</formula>
      <formula>221118</formula>
    </cfRule>
    <cfRule type="cellIs" dxfId="6330" priority="6297" stopIfTrue="1" operator="between">
      <formula>221142</formula>
      <formula>221144</formula>
    </cfRule>
    <cfRule type="cellIs" dxfId="6329" priority="6298" stopIfTrue="1" operator="between">
      <formula>220001</formula>
      <formula>221144</formula>
    </cfRule>
  </conditionalFormatting>
  <conditionalFormatting sqref="C37">
    <cfRule type="cellIs" dxfId="6328" priority="6293" stopIfTrue="1" operator="between">
      <formula>221101</formula>
      <formula>221118</formula>
    </cfRule>
    <cfRule type="cellIs" dxfId="6327" priority="6294" stopIfTrue="1" operator="between">
      <formula>221142</formula>
      <formula>221144</formula>
    </cfRule>
    <cfRule type="cellIs" dxfId="6326" priority="6295" stopIfTrue="1" operator="between">
      <formula>220001</formula>
      <formula>221144</formula>
    </cfRule>
  </conditionalFormatting>
  <conditionalFormatting sqref="C37">
    <cfRule type="cellIs" dxfId="6325" priority="6290" stopIfTrue="1" operator="between">
      <formula>221101</formula>
      <formula>221118</formula>
    </cfRule>
    <cfRule type="cellIs" dxfId="6324" priority="6291" stopIfTrue="1" operator="between">
      <formula>221142</formula>
      <formula>221144</formula>
    </cfRule>
    <cfRule type="cellIs" dxfId="6323" priority="6292" stopIfTrue="1" operator="between">
      <formula>220001</formula>
      <formula>221144</formula>
    </cfRule>
  </conditionalFormatting>
  <conditionalFormatting sqref="C37">
    <cfRule type="cellIs" dxfId="6322" priority="6287" stopIfTrue="1" operator="between">
      <formula>221101</formula>
      <formula>221118</formula>
    </cfRule>
    <cfRule type="cellIs" dxfId="6321" priority="6288" stopIfTrue="1" operator="between">
      <formula>221142</formula>
      <formula>221144</formula>
    </cfRule>
    <cfRule type="cellIs" dxfId="6320" priority="6289" stopIfTrue="1" operator="between">
      <formula>220001</formula>
      <formula>221144</formula>
    </cfRule>
  </conditionalFormatting>
  <conditionalFormatting sqref="AM37">
    <cfRule type="cellIs" dxfId="6319" priority="6284" stopIfTrue="1" operator="between">
      <formula>221101</formula>
      <formula>221118</formula>
    </cfRule>
    <cfRule type="cellIs" dxfId="6318" priority="6285" stopIfTrue="1" operator="between">
      <formula>221142</formula>
      <formula>221144</formula>
    </cfRule>
    <cfRule type="cellIs" dxfId="6317" priority="6286" stopIfTrue="1" operator="between">
      <formula>220001</formula>
      <formula>221144</formula>
    </cfRule>
  </conditionalFormatting>
  <conditionalFormatting sqref="AL37">
    <cfRule type="cellIs" dxfId="6316" priority="6281" stopIfTrue="1" operator="between">
      <formula>221101</formula>
      <formula>221118</formula>
    </cfRule>
    <cfRule type="cellIs" dxfId="6315" priority="6282" stopIfTrue="1" operator="between">
      <formula>221142</formula>
      <formula>221144</formula>
    </cfRule>
    <cfRule type="cellIs" dxfId="6314" priority="6283" stopIfTrue="1" operator="between">
      <formula>220001</formula>
      <formula>221144</formula>
    </cfRule>
  </conditionalFormatting>
  <conditionalFormatting sqref="AL37">
    <cfRule type="cellIs" dxfId="6313" priority="6278" stopIfTrue="1" operator="between">
      <formula>221101</formula>
      <formula>221118</formula>
    </cfRule>
    <cfRule type="cellIs" dxfId="6312" priority="6279" stopIfTrue="1" operator="between">
      <formula>221142</formula>
      <formula>221144</formula>
    </cfRule>
    <cfRule type="cellIs" dxfId="6311" priority="6280" stopIfTrue="1" operator="between">
      <formula>220001</formula>
      <formula>221144</formula>
    </cfRule>
  </conditionalFormatting>
  <conditionalFormatting sqref="AK37">
    <cfRule type="cellIs" dxfId="6310" priority="6275" stopIfTrue="1" operator="between">
      <formula>221101</formula>
      <formula>221118</formula>
    </cfRule>
    <cfRule type="cellIs" dxfId="6309" priority="6276" stopIfTrue="1" operator="between">
      <formula>221142</formula>
      <formula>221144</formula>
    </cfRule>
    <cfRule type="cellIs" dxfId="6308" priority="6277" stopIfTrue="1" operator="between">
      <formula>220001</formula>
      <formula>221144</formula>
    </cfRule>
  </conditionalFormatting>
  <conditionalFormatting sqref="AM37">
    <cfRule type="cellIs" dxfId="6307" priority="6272" stopIfTrue="1" operator="between">
      <formula>221101</formula>
      <formula>221118</formula>
    </cfRule>
    <cfRule type="cellIs" dxfId="6306" priority="6273" stopIfTrue="1" operator="between">
      <formula>221142</formula>
      <formula>221144</formula>
    </cfRule>
    <cfRule type="cellIs" dxfId="6305" priority="6274" stopIfTrue="1" operator="between">
      <formula>220001</formula>
      <formula>221144</formula>
    </cfRule>
  </conditionalFormatting>
  <conditionalFormatting sqref="AL37">
    <cfRule type="cellIs" dxfId="6304" priority="6269" stopIfTrue="1" operator="between">
      <formula>221101</formula>
      <formula>221118</formula>
    </cfRule>
    <cfRule type="cellIs" dxfId="6303" priority="6270" stopIfTrue="1" operator="between">
      <formula>221142</formula>
      <formula>221144</formula>
    </cfRule>
    <cfRule type="cellIs" dxfId="6302" priority="6271" stopIfTrue="1" operator="between">
      <formula>220001</formula>
      <formula>221144</formula>
    </cfRule>
  </conditionalFormatting>
  <conditionalFormatting sqref="AL37">
    <cfRule type="cellIs" dxfId="6301" priority="6266" stopIfTrue="1" operator="between">
      <formula>221101</formula>
      <formula>221118</formula>
    </cfRule>
    <cfRule type="cellIs" dxfId="6300" priority="6267" stopIfTrue="1" operator="between">
      <formula>221142</formula>
      <formula>221144</formula>
    </cfRule>
    <cfRule type="cellIs" dxfId="6299" priority="6268" stopIfTrue="1" operator="between">
      <formula>220001</formula>
      <formula>221144</formula>
    </cfRule>
  </conditionalFormatting>
  <conditionalFormatting sqref="AK37">
    <cfRule type="cellIs" dxfId="6298" priority="6263" stopIfTrue="1" operator="between">
      <formula>221101</formula>
      <formula>221118</formula>
    </cfRule>
    <cfRule type="cellIs" dxfId="6297" priority="6264" stopIfTrue="1" operator="between">
      <formula>221142</formula>
      <formula>221144</formula>
    </cfRule>
    <cfRule type="cellIs" dxfId="6296" priority="6265" stopIfTrue="1" operator="between">
      <formula>220001</formula>
      <formula>221144</formula>
    </cfRule>
  </conditionalFormatting>
  <conditionalFormatting sqref="AL37">
    <cfRule type="cellIs" dxfId="6295" priority="6260" stopIfTrue="1" operator="between">
      <formula>221101</formula>
      <formula>221118</formula>
    </cfRule>
    <cfRule type="cellIs" dxfId="6294" priority="6261" stopIfTrue="1" operator="between">
      <formula>221142</formula>
      <formula>221144</formula>
    </cfRule>
    <cfRule type="cellIs" dxfId="6293" priority="6262" stopIfTrue="1" operator="between">
      <formula>220001</formula>
      <formula>221144</formula>
    </cfRule>
  </conditionalFormatting>
  <conditionalFormatting sqref="AK37">
    <cfRule type="cellIs" dxfId="6292" priority="6257" stopIfTrue="1" operator="between">
      <formula>221101</formula>
      <formula>221118</formula>
    </cfRule>
    <cfRule type="cellIs" dxfId="6291" priority="6258" stopIfTrue="1" operator="between">
      <formula>221142</formula>
      <formula>221144</formula>
    </cfRule>
    <cfRule type="cellIs" dxfId="6290" priority="6259" stopIfTrue="1" operator="between">
      <formula>220001</formula>
      <formula>221144</formula>
    </cfRule>
  </conditionalFormatting>
  <conditionalFormatting sqref="AK37">
    <cfRule type="cellIs" dxfId="6289" priority="6254" stopIfTrue="1" operator="between">
      <formula>221101</formula>
      <formula>221118</formula>
    </cfRule>
    <cfRule type="cellIs" dxfId="6288" priority="6255" stopIfTrue="1" operator="between">
      <formula>221142</formula>
      <formula>221144</formula>
    </cfRule>
    <cfRule type="cellIs" dxfId="6287" priority="6256" stopIfTrue="1" operator="between">
      <formula>220001</formula>
      <formula>221144</formula>
    </cfRule>
  </conditionalFormatting>
  <conditionalFormatting sqref="AJ37">
    <cfRule type="cellIs" dxfId="6286" priority="6251" stopIfTrue="1" operator="between">
      <formula>221101</formula>
      <formula>221118</formula>
    </cfRule>
    <cfRule type="cellIs" dxfId="6285" priority="6252" stopIfTrue="1" operator="between">
      <formula>221142</formula>
      <formula>221144</formula>
    </cfRule>
    <cfRule type="cellIs" dxfId="6284" priority="6253" stopIfTrue="1" operator="between">
      <formula>220001</formula>
      <formula>221144</formula>
    </cfRule>
  </conditionalFormatting>
  <conditionalFormatting sqref="AM37">
    <cfRule type="cellIs" dxfId="6283" priority="6248" stopIfTrue="1" operator="between">
      <formula>221101</formula>
      <formula>221118</formula>
    </cfRule>
    <cfRule type="cellIs" dxfId="6282" priority="6249" stopIfTrue="1" operator="between">
      <formula>221142</formula>
      <formula>221144</formula>
    </cfRule>
    <cfRule type="cellIs" dxfId="6281" priority="6250" stopIfTrue="1" operator="between">
      <formula>220001</formula>
      <formula>221144</formula>
    </cfRule>
  </conditionalFormatting>
  <conditionalFormatting sqref="AL37">
    <cfRule type="cellIs" dxfId="6280" priority="6245" stopIfTrue="1" operator="between">
      <formula>221101</formula>
      <formula>221118</formula>
    </cfRule>
    <cfRule type="cellIs" dxfId="6279" priority="6246" stopIfTrue="1" operator="between">
      <formula>221142</formula>
      <formula>221144</formula>
    </cfRule>
    <cfRule type="cellIs" dxfId="6278" priority="6247" stopIfTrue="1" operator="between">
      <formula>220001</formula>
      <formula>221144</formula>
    </cfRule>
  </conditionalFormatting>
  <conditionalFormatting sqref="AL37">
    <cfRule type="cellIs" dxfId="6277" priority="6242" stopIfTrue="1" operator="between">
      <formula>221101</formula>
      <formula>221118</formula>
    </cfRule>
    <cfRule type="cellIs" dxfId="6276" priority="6243" stopIfTrue="1" operator="between">
      <formula>221142</formula>
      <formula>221144</formula>
    </cfRule>
    <cfRule type="cellIs" dxfId="6275" priority="6244" stopIfTrue="1" operator="between">
      <formula>220001</formula>
      <formula>221144</formula>
    </cfRule>
  </conditionalFormatting>
  <conditionalFormatting sqref="AK37">
    <cfRule type="cellIs" dxfId="6274" priority="6239" stopIfTrue="1" operator="between">
      <formula>221101</formula>
      <formula>221118</formula>
    </cfRule>
    <cfRule type="cellIs" dxfId="6273" priority="6240" stopIfTrue="1" operator="between">
      <formula>221142</formula>
      <formula>221144</formula>
    </cfRule>
    <cfRule type="cellIs" dxfId="6272" priority="6241" stopIfTrue="1" operator="between">
      <formula>220001</formula>
      <formula>221144</formula>
    </cfRule>
  </conditionalFormatting>
  <conditionalFormatting sqref="AL37">
    <cfRule type="cellIs" dxfId="6271" priority="6236" stopIfTrue="1" operator="between">
      <formula>221101</formula>
      <formula>221118</formula>
    </cfRule>
    <cfRule type="cellIs" dxfId="6270" priority="6237" stopIfTrue="1" operator="between">
      <formula>221142</formula>
      <formula>221144</formula>
    </cfRule>
    <cfRule type="cellIs" dxfId="6269" priority="6238" stopIfTrue="1" operator="between">
      <formula>220001</formula>
      <formula>221144</formula>
    </cfRule>
  </conditionalFormatting>
  <conditionalFormatting sqref="AK37">
    <cfRule type="cellIs" dxfId="6268" priority="6233" stopIfTrue="1" operator="between">
      <formula>221101</formula>
      <formula>221118</formula>
    </cfRule>
    <cfRule type="cellIs" dxfId="6267" priority="6234" stopIfTrue="1" operator="between">
      <formula>221142</formula>
      <formula>221144</formula>
    </cfRule>
    <cfRule type="cellIs" dxfId="6266" priority="6235" stopIfTrue="1" operator="between">
      <formula>220001</formula>
      <formula>221144</formula>
    </cfRule>
  </conditionalFormatting>
  <conditionalFormatting sqref="AK37">
    <cfRule type="cellIs" dxfId="6265" priority="6230" stopIfTrue="1" operator="between">
      <formula>221101</formula>
      <formula>221118</formula>
    </cfRule>
    <cfRule type="cellIs" dxfId="6264" priority="6231" stopIfTrue="1" operator="between">
      <formula>221142</formula>
      <formula>221144</formula>
    </cfRule>
    <cfRule type="cellIs" dxfId="6263" priority="6232" stopIfTrue="1" operator="between">
      <formula>220001</formula>
      <formula>221144</formula>
    </cfRule>
  </conditionalFormatting>
  <conditionalFormatting sqref="AJ37">
    <cfRule type="cellIs" dxfId="6262" priority="6227" stopIfTrue="1" operator="between">
      <formula>221101</formula>
      <formula>221118</formula>
    </cfRule>
    <cfRule type="cellIs" dxfId="6261" priority="6228" stopIfTrue="1" operator="between">
      <formula>221142</formula>
      <formula>221144</formula>
    </cfRule>
    <cfRule type="cellIs" dxfId="6260" priority="6229" stopIfTrue="1" operator="between">
      <formula>220001</formula>
      <formula>221144</formula>
    </cfRule>
  </conditionalFormatting>
  <conditionalFormatting sqref="AL37">
    <cfRule type="cellIs" dxfId="6259" priority="6224" stopIfTrue="1" operator="between">
      <formula>221101</formula>
      <formula>221118</formula>
    </cfRule>
    <cfRule type="cellIs" dxfId="6258" priority="6225" stopIfTrue="1" operator="between">
      <formula>221142</formula>
      <formula>221144</formula>
    </cfRule>
    <cfRule type="cellIs" dxfId="6257" priority="6226" stopIfTrue="1" operator="between">
      <formula>220001</formula>
      <formula>221144</formula>
    </cfRule>
  </conditionalFormatting>
  <conditionalFormatting sqref="AK37">
    <cfRule type="cellIs" dxfId="6256" priority="6221" stopIfTrue="1" operator="between">
      <formula>221101</formula>
      <formula>221118</formula>
    </cfRule>
    <cfRule type="cellIs" dxfId="6255" priority="6222" stopIfTrue="1" operator="between">
      <formula>221142</formula>
      <formula>221144</formula>
    </cfRule>
    <cfRule type="cellIs" dxfId="6254" priority="6223" stopIfTrue="1" operator="between">
      <formula>220001</formula>
      <formula>221144</formula>
    </cfRule>
  </conditionalFormatting>
  <conditionalFormatting sqref="AK37">
    <cfRule type="cellIs" dxfId="6253" priority="6218" stopIfTrue="1" operator="between">
      <formula>221101</formula>
      <formula>221118</formula>
    </cfRule>
    <cfRule type="cellIs" dxfId="6252" priority="6219" stopIfTrue="1" operator="between">
      <formula>221142</formula>
      <formula>221144</formula>
    </cfRule>
    <cfRule type="cellIs" dxfId="6251" priority="6220" stopIfTrue="1" operator="between">
      <formula>220001</formula>
      <formula>221144</formula>
    </cfRule>
  </conditionalFormatting>
  <conditionalFormatting sqref="AJ37">
    <cfRule type="cellIs" dxfId="6250" priority="6215" stopIfTrue="1" operator="between">
      <formula>221101</formula>
      <formula>221118</formula>
    </cfRule>
    <cfRule type="cellIs" dxfId="6249" priority="6216" stopIfTrue="1" operator="between">
      <formula>221142</formula>
      <formula>221144</formula>
    </cfRule>
    <cfRule type="cellIs" dxfId="6248" priority="6217" stopIfTrue="1" operator="between">
      <formula>220001</formula>
      <formula>221144</formula>
    </cfRule>
  </conditionalFormatting>
  <conditionalFormatting sqref="AK37">
    <cfRule type="cellIs" dxfId="6247" priority="6212" stopIfTrue="1" operator="between">
      <formula>221101</formula>
      <formula>221118</formula>
    </cfRule>
    <cfRule type="cellIs" dxfId="6246" priority="6213" stopIfTrue="1" operator="between">
      <formula>221142</formula>
      <formula>221144</formula>
    </cfRule>
    <cfRule type="cellIs" dxfId="6245" priority="6214" stopIfTrue="1" operator="between">
      <formula>220001</formula>
      <formula>221144</formula>
    </cfRule>
  </conditionalFormatting>
  <conditionalFormatting sqref="AJ37">
    <cfRule type="cellIs" dxfId="6244" priority="6209" stopIfTrue="1" operator="between">
      <formula>221101</formula>
      <formula>221118</formula>
    </cfRule>
    <cfRule type="cellIs" dxfId="6243" priority="6210" stopIfTrue="1" operator="between">
      <formula>221142</formula>
      <formula>221144</formula>
    </cfRule>
    <cfRule type="cellIs" dxfId="6242" priority="6211" stopIfTrue="1" operator="between">
      <formula>220001</formula>
      <formula>221144</formula>
    </cfRule>
  </conditionalFormatting>
  <conditionalFormatting sqref="AJ37">
    <cfRule type="cellIs" dxfId="6241" priority="6206" stopIfTrue="1" operator="between">
      <formula>221101</formula>
      <formula>221118</formula>
    </cfRule>
    <cfRule type="cellIs" dxfId="6240" priority="6207" stopIfTrue="1" operator="between">
      <formula>221142</formula>
      <formula>221144</formula>
    </cfRule>
    <cfRule type="cellIs" dxfId="6239" priority="6208" stopIfTrue="1" operator="between">
      <formula>220001</formula>
      <formula>221144</formula>
    </cfRule>
  </conditionalFormatting>
  <conditionalFormatting sqref="AI37">
    <cfRule type="cellIs" dxfId="6238" priority="6203" stopIfTrue="1" operator="between">
      <formula>221101</formula>
      <formula>221118</formula>
    </cfRule>
    <cfRule type="cellIs" dxfId="6237" priority="6204" stopIfTrue="1" operator="between">
      <formula>221142</formula>
      <formula>221144</formula>
    </cfRule>
    <cfRule type="cellIs" dxfId="6236" priority="6205" stopIfTrue="1" operator="between">
      <formula>220001</formula>
      <formula>221144</formula>
    </cfRule>
  </conditionalFormatting>
  <conditionalFormatting sqref="AO42">
    <cfRule type="cellIs" dxfId="6235" priority="6200" stopIfTrue="1" operator="between">
      <formula>221101</formula>
      <formula>221118</formula>
    </cfRule>
    <cfRule type="cellIs" dxfId="6234" priority="6201" stopIfTrue="1" operator="between">
      <formula>221142</formula>
      <formula>221144</formula>
    </cfRule>
    <cfRule type="cellIs" dxfId="6233" priority="6202" stopIfTrue="1" operator="between">
      <formula>220001</formula>
      <formula>221144</formula>
    </cfRule>
  </conditionalFormatting>
  <conditionalFormatting sqref="AN42">
    <cfRule type="cellIs" dxfId="6232" priority="6197" stopIfTrue="1" operator="between">
      <formula>221101</formula>
      <formula>221118</formula>
    </cfRule>
    <cfRule type="cellIs" dxfId="6231" priority="6198" stopIfTrue="1" operator="between">
      <formula>221142</formula>
      <formula>221144</formula>
    </cfRule>
    <cfRule type="cellIs" dxfId="6230" priority="6199" stopIfTrue="1" operator="between">
      <formula>220001</formula>
      <formula>221144</formula>
    </cfRule>
  </conditionalFormatting>
  <conditionalFormatting sqref="AN42">
    <cfRule type="cellIs" dxfId="6229" priority="6194" stopIfTrue="1" operator="between">
      <formula>221101</formula>
      <formula>221118</formula>
    </cfRule>
    <cfRule type="cellIs" dxfId="6228" priority="6195" stopIfTrue="1" operator="between">
      <formula>221142</formula>
      <formula>221144</formula>
    </cfRule>
    <cfRule type="cellIs" dxfId="6227" priority="6196" stopIfTrue="1" operator="between">
      <formula>220001</formula>
      <formula>221144</formula>
    </cfRule>
  </conditionalFormatting>
  <conditionalFormatting sqref="AM42">
    <cfRule type="cellIs" dxfId="6226" priority="6191" stopIfTrue="1" operator="between">
      <formula>221101</formula>
      <formula>221118</formula>
    </cfRule>
    <cfRule type="cellIs" dxfId="6225" priority="6192" stopIfTrue="1" operator="between">
      <formula>221142</formula>
      <formula>221144</formula>
    </cfRule>
    <cfRule type="cellIs" dxfId="6224" priority="6193" stopIfTrue="1" operator="between">
      <formula>220001</formula>
      <formula>221144</formula>
    </cfRule>
  </conditionalFormatting>
  <conditionalFormatting sqref="D42">
    <cfRule type="cellIs" dxfId="6223" priority="6188" stopIfTrue="1" operator="between">
      <formula>221101</formula>
      <formula>221118</formula>
    </cfRule>
    <cfRule type="cellIs" dxfId="6222" priority="6189" stopIfTrue="1" operator="between">
      <formula>221142</formula>
      <formula>221144</formula>
    </cfRule>
    <cfRule type="cellIs" dxfId="6221" priority="6190" stopIfTrue="1" operator="between">
      <formula>220001</formula>
      <formula>221144</formula>
    </cfRule>
  </conditionalFormatting>
  <conditionalFormatting sqref="D42">
    <cfRule type="cellIs" dxfId="6220" priority="6185" stopIfTrue="1" operator="between">
      <formula>221101</formula>
      <formula>221118</formula>
    </cfRule>
    <cfRule type="cellIs" dxfId="6219" priority="6186" stopIfTrue="1" operator="between">
      <formula>221142</formula>
      <formula>221144</formula>
    </cfRule>
    <cfRule type="cellIs" dxfId="6218" priority="6187" stopIfTrue="1" operator="between">
      <formula>220001</formula>
      <formula>221144</formula>
    </cfRule>
  </conditionalFormatting>
  <conditionalFormatting sqref="D42">
    <cfRule type="cellIs" dxfId="6217" priority="6182" stopIfTrue="1" operator="between">
      <formula>221101</formula>
      <formula>221118</formula>
    </cfRule>
    <cfRule type="cellIs" dxfId="6216" priority="6183" stopIfTrue="1" operator="between">
      <formula>221142</formula>
      <formula>221144</formula>
    </cfRule>
    <cfRule type="cellIs" dxfId="6215" priority="6184" stopIfTrue="1" operator="between">
      <formula>220001</formula>
      <formula>221144</formula>
    </cfRule>
  </conditionalFormatting>
  <conditionalFormatting sqref="D42">
    <cfRule type="cellIs" dxfId="6214" priority="6179" stopIfTrue="1" operator="between">
      <formula>221101</formula>
      <formula>221118</formula>
    </cfRule>
    <cfRule type="cellIs" dxfId="6213" priority="6180" stopIfTrue="1" operator="between">
      <formula>221142</formula>
      <formula>221144</formula>
    </cfRule>
    <cfRule type="cellIs" dxfId="6212" priority="6181" stopIfTrue="1" operator="between">
      <formula>220001</formula>
      <formula>221144</formula>
    </cfRule>
  </conditionalFormatting>
  <conditionalFormatting sqref="AN42">
    <cfRule type="cellIs" dxfId="6211" priority="6176" stopIfTrue="1" operator="between">
      <formula>221101</formula>
      <formula>221118</formula>
    </cfRule>
    <cfRule type="cellIs" dxfId="6210" priority="6177" stopIfTrue="1" operator="between">
      <formula>221142</formula>
      <formula>221144</formula>
    </cfRule>
    <cfRule type="cellIs" dxfId="6209" priority="6178" stopIfTrue="1" operator="between">
      <formula>220001</formula>
      <formula>221144</formula>
    </cfRule>
  </conditionalFormatting>
  <conditionalFormatting sqref="AM42">
    <cfRule type="cellIs" dxfId="6208" priority="6173" stopIfTrue="1" operator="between">
      <formula>221101</formula>
      <formula>221118</formula>
    </cfRule>
    <cfRule type="cellIs" dxfId="6207" priority="6174" stopIfTrue="1" operator="between">
      <formula>221142</formula>
      <formula>221144</formula>
    </cfRule>
    <cfRule type="cellIs" dxfId="6206" priority="6175" stopIfTrue="1" operator="between">
      <formula>220001</formula>
      <formula>221144</formula>
    </cfRule>
  </conditionalFormatting>
  <conditionalFormatting sqref="AM42">
    <cfRule type="cellIs" dxfId="6205" priority="6170" stopIfTrue="1" operator="between">
      <formula>221101</formula>
      <formula>221118</formula>
    </cfRule>
    <cfRule type="cellIs" dxfId="6204" priority="6171" stopIfTrue="1" operator="between">
      <formula>221142</formula>
      <formula>221144</formula>
    </cfRule>
    <cfRule type="cellIs" dxfId="6203" priority="6172" stopIfTrue="1" operator="between">
      <formula>220001</formula>
      <formula>221144</formula>
    </cfRule>
  </conditionalFormatting>
  <conditionalFormatting sqref="AL42">
    <cfRule type="cellIs" dxfId="6202" priority="6167" stopIfTrue="1" operator="between">
      <formula>221101</formula>
      <formula>221118</formula>
    </cfRule>
    <cfRule type="cellIs" dxfId="6201" priority="6168" stopIfTrue="1" operator="between">
      <formula>221142</formula>
      <formula>221144</formula>
    </cfRule>
    <cfRule type="cellIs" dxfId="6200" priority="6169" stopIfTrue="1" operator="between">
      <formula>220001</formula>
      <formula>221144</formula>
    </cfRule>
  </conditionalFormatting>
  <conditionalFormatting sqref="C42">
    <cfRule type="cellIs" dxfId="6199" priority="6164" stopIfTrue="1" operator="between">
      <formula>221101</formula>
      <formula>221118</formula>
    </cfRule>
    <cfRule type="cellIs" dxfId="6198" priority="6165" stopIfTrue="1" operator="between">
      <formula>221142</formula>
      <formula>221144</formula>
    </cfRule>
    <cfRule type="cellIs" dxfId="6197" priority="6166" stopIfTrue="1" operator="between">
      <formula>220001</formula>
      <formula>221144</formula>
    </cfRule>
  </conditionalFormatting>
  <conditionalFormatting sqref="C42">
    <cfRule type="cellIs" dxfId="6196" priority="6161" stopIfTrue="1" operator="between">
      <formula>221101</formula>
      <formula>221118</formula>
    </cfRule>
    <cfRule type="cellIs" dxfId="6195" priority="6162" stopIfTrue="1" operator="between">
      <formula>221142</formula>
      <formula>221144</formula>
    </cfRule>
    <cfRule type="cellIs" dxfId="6194" priority="6163" stopIfTrue="1" operator="between">
      <formula>220001</formula>
      <formula>221144</formula>
    </cfRule>
  </conditionalFormatting>
  <conditionalFormatting sqref="C42">
    <cfRule type="cellIs" dxfId="6193" priority="6158" stopIfTrue="1" operator="between">
      <formula>221101</formula>
      <formula>221118</formula>
    </cfRule>
    <cfRule type="cellIs" dxfId="6192" priority="6159" stopIfTrue="1" operator="between">
      <formula>221142</formula>
      <formula>221144</formula>
    </cfRule>
    <cfRule type="cellIs" dxfId="6191" priority="6160" stopIfTrue="1" operator="between">
      <formula>220001</formula>
      <formula>221144</formula>
    </cfRule>
  </conditionalFormatting>
  <conditionalFormatting sqref="C42">
    <cfRule type="cellIs" dxfId="6190" priority="6155" stopIfTrue="1" operator="between">
      <formula>221101</formula>
      <formula>221118</formula>
    </cfRule>
    <cfRule type="cellIs" dxfId="6189" priority="6156" stopIfTrue="1" operator="between">
      <formula>221142</formula>
      <formula>221144</formula>
    </cfRule>
    <cfRule type="cellIs" dxfId="6188" priority="6157" stopIfTrue="1" operator="between">
      <formula>220001</formula>
      <formula>221144</formula>
    </cfRule>
  </conditionalFormatting>
  <conditionalFormatting sqref="AN42">
    <cfRule type="cellIs" dxfId="6187" priority="6152" stopIfTrue="1" operator="between">
      <formula>221101</formula>
      <formula>221118</formula>
    </cfRule>
    <cfRule type="cellIs" dxfId="6186" priority="6153" stopIfTrue="1" operator="between">
      <formula>221142</formula>
      <formula>221144</formula>
    </cfRule>
    <cfRule type="cellIs" dxfId="6185" priority="6154" stopIfTrue="1" operator="between">
      <formula>220001</formula>
      <formula>221144</formula>
    </cfRule>
  </conditionalFormatting>
  <conditionalFormatting sqref="AM42">
    <cfRule type="cellIs" dxfId="6184" priority="6149" stopIfTrue="1" operator="between">
      <formula>221101</formula>
      <formula>221118</formula>
    </cfRule>
    <cfRule type="cellIs" dxfId="6183" priority="6150" stopIfTrue="1" operator="between">
      <formula>221142</formula>
      <formula>221144</formula>
    </cfRule>
    <cfRule type="cellIs" dxfId="6182" priority="6151" stopIfTrue="1" operator="between">
      <formula>220001</formula>
      <formula>221144</formula>
    </cfRule>
  </conditionalFormatting>
  <conditionalFormatting sqref="AM42">
    <cfRule type="cellIs" dxfId="6181" priority="6146" stopIfTrue="1" operator="between">
      <formula>221101</formula>
      <formula>221118</formula>
    </cfRule>
    <cfRule type="cellIs" dxfId="6180" priority="6147" stopIfTrue="1" operator="between">
      <formula>221142</formula>
      <formula>221144</formula>
    </cfRule>
    <cfRule type="cellIs" dxfId="6179" priority="6148" stopIfTrue="1" operator="between">
      <formula>220001</formula>
      <formula>221144</formula>
    </cfRule>
  </conditionalFormatting>
  <conditionalFormatting sqref="AL42">
    <cfRule type="cellIs" dxfId="6178" priority="6143" stopIfTrue="1" operator="between">
      <formula>221101</formula>
      <formula>221118</formula>
    </cfRule>
    <cfRule type="cellIs" dxfId="6177" priority="6144" stopIfTrue="1" operator="between">
      <formula>221142</formula>
      <formula>221144</formula>
    </cfRule>
    <cfRule type="cellIs" dxfId="6176" priority="6145" stopIfTrue="1" operator="between">
      <formula>220001</formula>
      <formula>221144</formula>
    </cfRule>
  </conditionalFormatting>
  <conditionalFormatting sqref="C42">
    <cfRule type="cellIs" dxfId="6175" priority="6140" stopIfTrue="1" operator="between">
      <formula>221101</formula>
      <formula>221118</formula>
    </cfRule>
    <cfRule type="cellIs" dxfId="6174" priority="6141" stopIfTrue="1" operator="between">
      <formula>221142</formula>
      <formula>221144</formula>
    </cfRule>
    <cfRule type="cellIs" dxfId="6173" priority="6142" stopIfTrue="1" operator="between">
      <formula>220001</formula>
      <formula>221144</formula>
    </cfRule>
  </conditionalFormatting>
  <conditionalFormatting sqref="C42">
    <cfRule type="cellIs" dxfId="6172" priority="6137" stopIfTrue="1" operator="between">
      <formula>221101</formula>
      <formula>221118</formula>
    </cfRule>
    <cfRule type="cellIs" dxfId="6171" priority="6138" stopIfTrue="1" operator="between">
      <formula>221142</formula>
      <formula>221144</formula>
    </cfRule>
    <cfRule type="cellIs" dxfId="6170" priority="6139" stopIfTrue="1" operator="between">
      <formula>220001</formula>
      <formula>221144</formula>
    </cfRule>
  </conditionalFormatting>
  <conditionalFormatting sqref="C42">
    <cfRule type="cellIs" dxfId="6169" priority="6134" stopIfTrue="1" operator="between">
      <formula>221101</formula>
      <formula>221118</formula>
    </cfRule>
    <cfRule type="cellIs" dxfId="6168" priority="6135" stopIfTrue="1" operator="between">
      <formula>221142</formula>
      <formula>221144</formula>
    </cfRule>
    <cfRule type="cellIs" dxfId="6167" priority="6136" stopIfTrue="1" operator="between">
      <formula>220001</formula>
      <formula>221144</formula>
    </cfRule>
  </conditionalFormatting>
  <conditionalFormatting sqref="C42">
    <cfRule type="cellIs" dxfId="6166" priority="6131" stopIfTrue="1" operator="between">
      <formula>221101</formula>
      <formula>221118</formula>
    </cfRule>
    <cfRule type="cellIs" dxfId="6165" priority="6132" stopIfTrue="1" operator="between">
      <formula>221142</formula>
      <formula>221144</formula>
    </cfRule>
    <cfRule type="cellIs" dxfId="6164" priority="6133" stopIfTrue="1" operator="between">
      <formula>220001</formula>
      <formula>221144</formula>
    </cfRule>
  </conditionalFormatting>
  <conditionalFormatting sqref="AM42">
    <cfRule type="cellIs" dxfId="6163" priority="6128" stopIfTrue="1" operator="between">
      <formula>221101</formula>
      <formula>221118</formula>
    </cfRule>
    <cfRule type="cellIs" dxfId="6162" priority="6129" stopIfTrue="1" operator="between">
      <formula>221142</formula>
      <formula>221144</formula>
    </cfRule>
    <cfRule type="cellIs" dxfId="6161" priority="6130" stopIfTrue="1" operator="between">
      <formula>220001</formula>
      <formula>221144</formula>
    </cfRule>
  </conditionalFormatting>
  <conditionalFormatting sqref="AL42">
    <cfRule type="cellIs" dxfId="6160" priority="6125" stopIfTrue="1" operator="between">
      <formula>221101</formula>
      <formula>221118</formula>
    </cfRule>
    <cfRule type="cellIs" dxfId="6159" priority="6126" stopIfTrue="1" operator="between">
      <formula>221142</formula>
      <formula>221144</formula>
    </cfRule>
    <cfRule type="cellIs" dxfId="6158" priority="6127" stopIfTrue="1" operator="between">
      <formula>220001</formula>
      <formula>221144</formula>
    </cfRule>
  </conditionalFormatting>
  <conditionalFormatting sqref="AL42">
    <cfRule type="cellIs" dxfId="6157" priority="6122" stopIfTrue="1" operator="between">
      <formula>221101</formula>
      <formula>221118</formula>
    </cfRule>
    <cfRule type="cellIs" dxfId="6156" priority="6123" stopIfTrue="1" operator="between">
      <formula>221142</formula>
      <formula>221144</formula>
    </cfRule>
    <cfRule type="cellIs" dxfId="6155" priority="6124" stopIfTrue="1" operator="between">
      <formula>220001</formula>
      <formula>221144</formula>
    </cfRule>
  </conditionalFormatting>
  <conditionalFormatting sqref="AK42">
    <cfRule type="cellIs" dxfId="6154" priority="6119" stopIfTrue="1" operator="between">
      <formula>221101</formula>
      <formula>221118</formula>
    </cfRule>
    <cfRule type="cellIs" dxfId="6153" priority="6120" stopIfTrue="1" operator="between">
      <formula>221142</formula>
      <formula>221144</formula>
    </cfRule>
    <cfRule type="cellIs" dxfId="6152" priority="6121" stopIfTrue="1" operator="between">
      <formula>220001</formula>
      <formula>221144</formula>
    </cfRule>
  </conditionalFormatting>
  <conditionalFormatting sqref="AN42">
    <cfRule type="cellIs" dxfId="6151" priority="6116" stopIfTrue="1" operator="between">
      <formula>221101</formula>
      <formula>221118</formula>
    </cfRule>
    <cfRule type="cellIs" dxfId="6150" priority="6117" stopIfTrue="1" operator="between">
      <formula>221142</formula>
      <formula>221144</formula>
    </cfRule>
    <cfRule type="cellIs" dxfId="6149" priority="6118" stopIfTrue="1" operator="between">
      <formula>220001</formula>
      <formula>221144</formula>
    </cfRule>
  </conditionalFormatting>
  <conditionalFormatting sqref="AM42">
    <cfRule type="cellIs" dxfId="6148" priority="6113" stopIfTrue="1" operator="between">
      <formula>221101</formula>
      <formula>221118</formula>
    </cfRule>
    <cfRule type="cellIs" dxfId="6147" priority="6114" stopIfTrue="1" operator="between">
      <formula>221142</formula>
      <formula>221144</formula>
    </cfRule>
    <cfRule type="cellIs" dxfId="6146" priority="6115" stopIfTrue="1" operator="between">
      <formula>220001</formula>
      <formula>221144</formula>
    </cfRule>
  </conditionalFormatting>
  <conditionalFormatting sqref="AM42">
    <cfRule type="cellIs" dxfId="6145" priority="6110" stopIfTrue="1" operator="between">
      <formula>221101</formula>
      <formula>221118</formula>
    </cfRule>
    <cfRule type="cellIs" dxfId="6144" priority="6111" stopIfTrue="1" operator="between">
      <formula>221142</formula>
      <formula>221144</formula>
    </cfRule>
    <cfRule type="cellIs" dxfId="6143" priority="6112" stopIfTrue="1" operator="between">
      <formula>220001</formula>
      <formula>221144</formula>
    </cfRule>
  </conditionalFormatting>
  <conditionalFormatting sqref="AL42">
    <cfRule type="cellIs" dxfId="6142" priority="6107" stopIfTrue="1" operator="between">
      <formula>221101</formula>
      <formula>221118</formula>
    </cfRule>
    <cfRule type="cellIs" dxfId="6141" priority="6108" stopIfTrue="1" operator="between">
      <formula>221142</formula>
      <formula>221144</formula>
    </cfRule>
    <cfRule type="cellIs" dxfId="6140" priority="6109" stopIfTrue="1" operator="between">
      <formula>220001</formula>
      <formula>221144</formula>
    </cfRule>
  </conditionalFormatting>
  <conditionalFormatting sqref="C42">
    <cfRule type="cellIs" dxfId="6139" priority="6104" stopIfTrue="1" operator="between">
      <formula>221101</formula>
      <formula>221118</formula>
    </cfRule>
    <cfRule type="cellIs" dxfId="6138" priority="6105" stopIfTrue="1" operator="between">
      <formula>221142</formula>
      <formula>221144</formula>
    </cfRule>
    <cfRule type="cellIs" dxfId="6137" priority="6106" stopIfTrue="1" operator="between">
      <formula>220001</formula>
      <formula>221144</formula>
    </cfRule>
  </conditionalFormatting>
  <conditionalFormatting sqref="C42">
    <cfRule type="cellIs" dxfId="6136" priority="6101" stopIfTrue="1" operator="between">
      <formula>221101</formula>
      <formula>221118</formula>
    </cfRule>
    <cfRule type="cellIs" dxfId="6135" priority="6102" stopIfTrue="1" operator="between">
      <formula>221142</formula>
      <formula>221144</formula>
    </cfRule>
    <cfRule type="cellIs" dxfId="6134" priority="6103" stopIfTrue="1" operator="between">
      <formula>220001</formula>
      <formula>221144</formula>
    </cfRule>
  </conditionalFormatting>
  <conditionalFormatting sqref="C42">
    <cfRule type="cellIs" dxfId="6133" priority="6098" stopIfTrue="1" operator="between">
      <formula>221101</formula>
      <formula>221118</formula>
    </cfRule>
    <cfRule type="cellIs" dxfId="6132" priority="6099" stopIfTrue="1" operator="between">
      <formula>221142</formula>
      <formula>221144</formula>
    </cfRule>
    <cfRule type="cellIs" dxfId="6131" priority="6100" stopIfTrue="1" operator="between">
      <formula>220001</formula>
      <formula>221144</formula>
    </cfRule>
  </conditionalFormatting>
  <conditionalFormatting sqref="C42">
    <cfRule type="cellIs" dxfId="6130" priority="6095" stopIfTrue="1" operator="between">
      <formula>221101</formula>
      <formula>221118</formula>
    </cfRule>
    <cfRule type="cellIs" dxfId="6129" priority="6096" stopIfTrue="1" operator="between">
      <formula>221142</formula>
      <formula>221144</formula>
    </cfRule>
    <cfRule type="cellIs" dxfId="6128" priority="6097" stopIfTrue="1" operator="between">
      <formula>220001</formula>
      <formula>221144</formula>
    </cfRule>
  </conditionalFormatting>
  <conditionalFormatting sqref="AM42">
    <cfRule type="cellIs" dxfId="6127" priority="6092" stopIfTrue="1" operator="between">
      <formula>221101</formula>
      <formula>221118</formula>
    </cfRule>
    <cfRule type="cellIs" dxfId="6126" priority="6093" stopIfTrue="1" operator="between">
      <formula>221142</formula>
      <formula>221144</formula>
    </cfRule>
    <cfRule type="cellIs" dxfId="6125" priority="6094" stopIfTrue="1" operator="between">
      <formula>220001</formula>
      <formula>221144</formula>
    </cfRule>
  </conditionalFormatting>
  <conditionalFormatting sqref="AL42">
    <cfRule type="cellIs" dxfId="6124" priority="6089" stopIfTrue="1" operator="between">
      <formula>221101</formula>
      <formula>221118</formula>
    </cfRule>
    <cfRule type="cellIs" dxfId="6123" priority="6090" stopIfTrue="1" operator="between">
      <formula>221142</formula>
      <formula>221144</formula>
    </cfRule>
    <cfRule type="cellIs" dxfId="6122" priority="6091" stopIfTrue="1" operator="between">
      <formula>220001</formula>
      <formula>221144</formula>
    </cfRule>
  </conditionalFormatting>
  <conditionalFormatting sqref="AL42">
    <cfRule type="cellIs" dxfId="6121" priority="6086" stopIfTrue="1" operator="between">
      <formula>221101</formula>
      <formula>221118</formula>
    </cfRule>
    <cfRule type="cellIs" dxfId="6120" priority="6087" stopIfTrue="1" operator="between">
      <formula>221142</formula>
      <formula>221144</formula>
    </cfRule>
    <cfRule type="cellIs" dxfId="6119" priority="6088" stopIfTrue="1" operator="between">
      <formula>220001</formula>
      <formula>221144</formula>
    </cfRule>
  </conditionalFormatting>
  <conditionalFormatting sqref="AK42">
    <cfRule type="cellIs" dxfId="6118" priority="6083" stopIfTrue="1" operator="between">
      <formula>221101</formula>
      <formula>221118</formula>
    </cfRule>
    <cfRule type="cellIs" dxfId="6117" priority="6084" stopIfTrue="1" operator="between">
      <formula>221142</formula>
      <formula>221144</formula>
    </cfRule>
    <cfRule type="cellIs" dxfId="6116" priority="6085" stopIfTrue="1" operator="between">
      <formula>220001</formula>
      <formula>221144</formula>
    </cfRule>
  </conditionalFormatting>
  <conditionalFormatting sqref="AM42">
    <cfRule type="cellIs" dxfId="6115" priority="6080" stopIfTrue="1" operator="between">
      <formula>221101</formula>
      <formula>221118</formula>
    </cfRule>
    <cfRule type="cellIs" dxfId="6114" priority="6081" stopIfTrue="1" operator="between">
      <formula>221142</formula>
      <formula>221144</formula>
    </cfRule>
    <cfRule type="cellIs" dxfId="6113" priority="6082" stopIfTrue="1" operator="between">
      <formula>220001</formula>
      <formula>221144</formula>
    </cfRule>
  </conditionalFormatting>
  <conditionalFormatting sqref="AL42">
    <cfRule type="cellIs" dxfId="6112" priority="6077" stopIfTrue="1" operator="between">
      <formula>221101</formula>
      <formula>221118</formula>
    </cfRule>
    <cfRule type="cellIs" dxfId="6111" priority="6078" stopIfTrue="1" operator="between">
      <formula>221142</formula>
      <formula>221144</formula>
    </cfRule>
    <cfRule type="cellIs" dxfId="6110" priority="6079" stopIfTrue="1" operator="between">
      <formula>220001</formula>
      <formula>221144</formula>
    </cfRule>
  </conditionalFormatting>
  <conditionalFormatting sqref="AL42">
    <cfRule type="cellIs" dxfId="6109" priority="6074" stopIfTrue="1" operator="between">
      <formula>221101</formula>
      <formula>221118</formula>
    </cfRule>
    <cfRule type="cellIs" dxfId="6108" priority="6075" stopIfTrue="1" operator="between">
      <formula>221142</formula>
      <formula>221144</formula>
    </cfRule>
    <cfRule type="cellIs" dxfId="6107" priority="6076" stopIfTrue="1" operator="between">
      <formula>220001</formula>
      <formula>221144</formula>
    </cfRule>
  </conditionalFormatting>
  <conditionalFormatting sqref="AK42">
    <cfRule type="cellIs" dxfId="6106" priority="6071" stopIfTrue="1" operator="between">
      <formula>221101</formula>
      <formula>221118</formula>
    </cfRule>
    <cfRule type="cellIs" dxfId="6105" priority="6072" stopIfTrue="1" operator="between">
      <formula>221142</formula>
      <formula>221144</formula>
    </cfRule>
    <cfRule type="cellIs" dxfId="6104" priority="6073" stopIfTrue="1" operator="between">
      <formula>220001</formula>
      <formula>221144</formula>
    </cfRule>
  </conditionalFormatting>
  <conditionalFormatting sqref="AL42">
    <cfRule type="cellIs" dxfId="6103" priority="6068" stopIfTrue="1" operator="between">
      <formula>221101</formula>
      <formula>221118</formula>
    </cfRule>
    <cfRule type="cellIs" dxfId="6102" priority="6069" stopIfTrue="1" operator="between">
      <formula>221142</formula>
      <formula>221144</formula>
    </cfRule>
    <cfRule type="cellIs" dxfId="6101" priority="6070" stopIfTrue="1" operator="between">
      <formula>220001</formula>
      <formula>221144</formula>
    </cfRule>
  </conditionalFormatting>
  <conditionalFormatting sqref="AK42">
    <cfRule type="cellIs" dxfId="6100" priority="6065" stopIfTrue="1" operator="between">
      <formula>221101</formula>
      <formula>221118</formula>
    </cfRule>
    <cfRule type="cellIs" dxfId="6099" priority="6066" stopIfTrue="1" operator="between">
      <formula>221142</formula>
      <formula>221144</formula>
    </cfRule>
    <cfRule type="cellIs" dxfId="6098" priority="6067" stopIfTrue="1" operator="between">
      <formula>220001</formula>
      <formula>221144</formula>
    </cfRule>
  </conditionalFormatting>
  <conditionalFormatting sqref="AK42">
    <cfRule type="cellIs" dxfId="6097" priority="6062" stopIfTrue="1" operator="between">
      <formula>221101</formula>
      <formula>221118</formula>
    </cfRule>
    <cfRule type="cellIs" dxfId="6096" priority="6063" stopIfTrue="1" operator="between">
      <formula>221142</formula>
      <formula>221144</formula>
    </cfRule>
    <cfRule type="cellIs" dxfId="6095" priority="6064" stopIfTrue="1" operator="between">
      <formula>220001</formula>
      <formula>221144</formula>
    </cfRule>
  </conditionalFormatting>
  <conditionalFormatting sqref="AJ42">
    <cfRule type="cellIs" dxfId="6094" priority="6059" stopIfTrue="1" operator="between">
      <formula>221101</formula>
      <formula>221118</formula>
    </cfRule>
    <cfRule type="cellIs" dxfId="6093" priority="6060" stopIfTrue="1" operator="between">
      <formula>221142</formula>
      <formula>221144</formula>
    </cfRule>
    <cfRule type="cellIs" dxfId="6092" priority="6061" stopIfTrue="1" operator="between">
      <formula>220001</formula>
      <formula>221144</formula>
    </cfRule>
  </conditionalFormatting>
  <conditionalFormatting sqref="AN42">
    <cfRule type="cellIs" dxfId="6091" priority="6056" stopIfTrue="1" operator="between">
      <formula>221101</formula>
      <formula>221118</formula>
    </cfRule>
    <cfRule type="cellIs" dxfId="6090" priority="6057" stopIfTrue="1" operator="between">
      <formula>221142</formula>
      <formula>221144</formula>
    </cfRule>
    <cfRule type="cellIs" dxfId="6089" priority="6058" stopIfTrue="1" operator="between">
      <formula>220001</formula>
      <formula>221144</formula>
    </cfRule>
  </conditionalFormatting>
  <conditionalFormatting sqref="AM42">
    <cfRule type="cellIs" dxfId="6088" priority="6053" stopIfTrue="1" operator="between">
      <formula>221101</formula>
      <formula>221118</formula>
    </cfRule>
    <cfRule type="cellIs" dxfId="6087" priority="6054" stopIfTrue="1" operator="between">
      <formula>221142</formula>
      <formula>221144</formula>
    </cfRule>
    <cfRule type="cellIs" dxfId="6086" priority="6055" stopIfTrue="1" operator="between">
      <formula>220001</formula>
      <formula>221144</formula>
    </cfRule>
  </conditionalFormatting>
  <conditionalFormatting sqref="AM42">
    <cfRule type="cellIs" dxfId="6085" priority="6050" stopIfTrue="1" operator="between">
      <formula>221101</formula>
      <formula>221118</formula>
    </cfRule>
    <cfRule type="cellIs" dxfId="6084" priority="6051" stopIfTrue="1" operator="between">
      <formula>221142</formula>
      <formula>221144</formula>
    </cfRule>
    <cfRule type="cellIs" dxfId="6083" priority="6052" stopIfTrue="1" operator="between">
      <formula>220001</formula>
      <formula>221144</formula>
    </cfRule>
  </conditionalFormatting>
  <conditionalFormatting sqref="AL42">
    <cfRule type="cellIs" dxfId="6082" priority="6047" stopIfTrue="1" operator="between">
      <formula>221101</formula>
      <formula>221118</formula>
    </cfRule>
    <cfRule type="cellIs" dxfId="6081" priority="6048" stopIfTrue="1" operator="between">
      <formula>221142</formula>
      <formula>221144</formula>
    </cfRule>
    <cfRule type="cellIs" dxfId="6080" priority="6049" stopIfTrue="1" operator="between">
      <formula>220001</formula>
      <formula>221144</formula>
    </cfRule>
  </conditionalFormatting>
  <conditionalFormatting sqref="C42">
    <cfRule type="cellIs" dxfId="6079" priority="6044" stopIfTrue="1" operator="between">
      <formula>221101</formula>
      <formula>221118</formula>
    </cfRule>
    <cfRule type="cellIs" dxfId="6078" priority="6045" stopIfTrue="1" operator="between">
      <formula>221142</formula>
      <formula>221144</formula>
    </cfRule>
    <cfRule type="cellIs" dxfId="6077" priority="6046" stopIfTrue="1" operator="between">
      <formula>220001</formula>
      <formula>221144</formula>
    </cfRule>
  </conditionalFormatting>
  <conditionalFormatting sqref="C42">
    <cfRule type="cellIs" dxfId="6076" priority="6041" stopIfTrue="1" operator="between">
      <formula>221101</formula>
      <formula>221118</formula>
    </cfRule>
    <cfRule type="cellIs" dxfId="6075" priority="6042" stopIfTrue="1" operator="between">
      <formula>221142</formula>
      <formula>221144</formula>
    </cfRule>
    <cfRule type="cellIs" dxfId="6074" priority="6043" stopIfTrue="1" operator="between">
      <formula>220001</formula>
      <formula>221144</formula>
    </cfRule>
  </conditionalFormatting>
  <conditionalFormatting sqref="C42">
    <cfRule type="cellIs" dxfId="6073" priority="6038" stopIfTrue="1" operator="between">
      <formula>221101</formula>
      <formula>221118</formula>
    </cfRule>
    <cfRule type="cellIs" dxfId="6072" priority="6039" stopIfTrue="1" operator="between">
      <formula>221142</formula>
      <formula>221144</formula>
    </cfRule>
    <cfRule type="cellIs" dxfId="6071" priority="6040" stopIfTrue="1" operator="between">
      <formula>220001</formula>
      <formula>221144</formula>
    </cfRule>
  </conditionalFormatting>
  <conditionalFormatting sqref="C42">
    <cfRule type="cellIs" dxfId="6070" priority="6035" stopIfTrue="1" operator="between">
      <formula>221101</formula>
      <formula>221118</formula>
    </cfRule>
    <cfRule type="cellIs" dxfId="6069" priority="6036" stopIfTrue="1" operator="between">
      <formula>221142</formula>
      <formula>221144</formula>
    </cfRule>
    <cfRule type="cellIs" dxfId="6068" priority="6037" stopIfTrue="1" operator="between">
      <formula>220001</formula>
      <formula>221144</formula>
    </cfRule>
  </conditionalFormatting>
  <conditionalFormatting sqref="AM42">
    <cfRule type="cellIs" dxfId="6067" priority="6032" stopIfTrue="1" operator="between">
      <formula>221101</formula>
      <formula>221118</formula>
    </cfRule>
    <cfRule type="cellIs" dxfId="6066" priority="6033" stopIfTrue="1" operator="between">
      <formula>221142</formula>
      <formula>221144</formula>
    </cfRule>
    <cfRule type="cellIs" dxfId="6065" priority="6034" stopIfTrue="1" operator="between">
      <formula>220001</formula>
      <formula>221144</formula>
    </cfRule>
  </conditionalFormatting>
  <conditionalFormatting sqref="AL42">
    <cfRule type="cellIs" dxfId="6064" priority="6029" stopIfTrue="1" operator="between">
      <formula>221101</formula>
      <formula>221118</formula>
    </cfRule>
    <cfRule type="cellIs" dxfId="6063" priority="6030" stopIfTrue="1" operator="between">
      <formula>221142</formula>
      <formula>221144</formula>
    </cfRule>
    <cfRule type="cellIs" dxfId="6062" priority="6031" stopIfTrue="1" operator="between">
      <formula>220001</formula>
      <formula>221144</formula>
    </cfRule>
  </conditionalFormatting>
  <conditionalFormatting sqref="AL42">
    <cfRule type="cellIs" dxfId="6061" priority="6026" stopIfTrue="1" operator="between">
      <formula>221101</formula>
      <formula>221118</formula>
    </cfRule>
    <cfRule type="cellIs" dxfId="6060" priority="6027" stopIfTrue="1" operator="between">
      <formula>221142</formula>
      <formula>221144</formula>
    </cfRule>
    <cfRule type="cellIs" dxfId="6059" priority="6028" stopIfTrue="1" operator="between">
      <formula>220001</formula>
      <formula>221144</formula>
    </cfRule>
  </conditionalFormatting>
  <conditionalFormatting sqref="AK42">
    <cfRule type="cellIs" dxfId="6058" priority="6023" stopIfTrue="1" operator="between">
      <formula>221101</formula>
      <formula>221118</formula>
    </cfRule>
    <cfRule type="cellIs" dxfId="6057" priority="6024" stopIfTrue="1" operator="between">
      <formula>221142</formula>
      <formula>221144</formula>
    </cfRule>
    <cfRule type="cellIs" dxfId="6056" priority="6025" stopIfTrue="1" operator="between">
      <formula>220001</formula>
      <formula>221144</formula>
    </cfRule>
  </conditionalFormatting>
  <conditionalFormatting sqref="AM42">
    <cfRule type="cellIs" dxfId="6055" priority="6020" stopIfTrue="1" operator="between">
      <formula>221101</formula>
      <formula>221118</formula>
    </cfRule>
    <cfRule type="cellIs" dxfId="6054" priority="6021" stopIfTrue="1" operator="between">
      <formula>221142</formula>
      <formula>221144</formula>
    </cfRule>
    <cfRule type="cellIs" dxfId="6053" priority="6022" stopIfTrue="1" operator="between">
      <formula>220001</formula>
      <formula>221144</formula>
    </cfRule>
  </conditionalFormatting>
  <conditionalFormatting sqref="AL42">
    <cfRule type="cellIs" dxfId="6052" priority="6017" stopIfTrue="1" operator="between">
      <formula>221101</formula>
      <formula>221118</formula>
    </cfRule>
    <cfRule type="cellIs" dxfId="6051" priority="6018" stopIfTrue="1" operator="between">
      <formula>221142</formula>
      <formula>221144</formula>
    </cfRule>
    <cfRule type="cellIs" dxfId="6050" priority="6019" stopIfTrue="1" operator="between">
      <formula>220001</formula>
      <formula>221144</formula>
    </cfRule>
  </conditionalFormatting>
  <conditionalFormatting sqref="AL42">
    <cfRule type="cellIs" dxfId="6049" priority="6014" stopIfTrue="1" operator="between">
      <formula>221101</formula>
      <formula>221118</formula>
    </cfRule>
    <cfRule type="cellIs" dxfId="6048" priority="6015" stopIfTrue="1" operator="between">
      <formula>221142</formula>
      <formula>221144</formula>
    </cfRule>
    <cfRule type="cellIs" dxfId="6047" priority="6016" stopIfTrue="1" operator="between">
      <formula>220001</formula>
      <formula>221144</formula>
    </cfRule>
  </conditionalFormatting>
  <conditionalFormatting sqref="AK42">
    <cfRule type="cellIs" dxfId="6046" priority="6011" stopIfTrue="1" operator="between">
      <formula>221101</formula>
      <formula>221118</formula>
    </cfRule>
    <cfRule type="cellIs" dxfId="6045" priority="6012" stopIfTrue="1" operator="between">
      <formula>221142</formula>
      <formula>221144</formula>
    </cfRule>
    <cfRule type="cellIs" dxfId="6044" priority="6013" stopIfTrue="1" operator="between">
      <formula>220001</formula>
      <formula>221144</formula>
    </cfRule>
  </conditionalFormatting>
  <conditionalFormatting sqref="AL42">
    <cfRule type="cellIs" dxfId="6043" priority="6008" stopIfTrue="1" operator="between">
      <formula>221101</formula>
      <formula>221118</formula>
    </cfRule>
    <cfRule type="cellIs" dxfId="6042" priority="6009" stopIfTrue="1" operator="between">
      <formula>221142</formula>
      <formula>221144</formula>
    </cfRule>
    <cfRule type="cellIs" dxfId="6041" priority="6010" stopIfTrue="1" operator="between">
      <formula>220001</formula>
      <formula>221144</formula>
    </cfRule>
  </conditionalFormatting>
  <conditionalFormatting sqref="AK42">
    <cfRule type="cellIs" dxfId="6040" priority="6005" stopIfTrue="1" operator="between">
      <formula>221101</formula>
      <formula>221118</formula>
    </cfRule>
    <cfRule type="cellIs" dxfId="6039" priority="6006" stopIfTrue="1" operator="between">
      <formula>221142</formula>
      <formula>221144</formula>
    </cfRule>
    <cfRule type="cellIs" dxfId="6038" priority="6007" stopIfTrue="1" operator="between">
      <formula>220001</formula>
      <formula>221144</formula>
    </cfRule>
  </conditionalFormatting>
  <conditionalFormatting sqref="AK42">
    <cfRule type="cellIs" dxfId="6037" priority="6002" stopIfTrue="1" operator="between">
      <formula>221101</formula>
      <formula>221118</formula>
    </cfRule>
    <cfRule type="cellIs" dxfId="6036" priority="6003" stopIfTrue="1" operator="between">
      <formula>221142</formula>
      <formula>221144</formula>
    </cfRule>
    <cfRule type="cellIs" dxfId="6035" priority="6004" stopIfTrue="1" operator="between">
      <formula>220001</formula>
      <formula>221144</formula>
    </cfRule>
  </conditionalFormatting>
  <conditionalFormatting sqref="AJ42">
    <cfRule type="cellIs" dxfId="6034" priority="5999" stopIfTrue="1" operator="between">
      <formula>221101</formula>
      <formula>221118</formula>
    </cfRule>
    <cfRule type="cellIs" dxfId="6033" priority="6000" stopIfTrue="1" operator="between">
      <formula>221142</formula>
      <formula>221144</formula>
    </cfRule>
    <cfRule type="cellIs" dxfId="6032" priority="6001" stopIfTrue="1" operator="between">
      <formula>220001</formula>
      <formula>221144</formula>
    </cfRule>
  </conditionalFormatting>
  <conditionalFormatting sqref="AM42">
    <cfRule type="cellIs" dxfId="6031" priority="5996" stopIfTrue="1" operator="between">
      <formula>221101</formula>
      <formula>221118</formula>
    </cfRule>
    <cfRule type="cellIs" dxfId="6030" priority="5997" stopIfTrue="1" operator="between">
      <formula>221142</formula>
      <formula>221144</formula>
    </cfRule>
    <cfRule type="cellIs" dxfId="6029" priority="5998" stopIfTrue="1" operator="between">
      <formula>220001</formula>
      <formula>221144</formula>
    </cfRule>
  </conditionalFormatting>
  <conditionalFormatting sqref="AL42">
    <cfRule type="cellIs" dxfId="6028" priority="5993" stopIfTrue="1" operator="between">
      <formula>221101</formula>
      <formula>221118</formula>
    </cfRule>
    <cfRule type="cellIs" dxfId="6027" priority="5994" stopIfTrue="1" operator="between">
      <formula>221142</formula>
      <formula>221144</formula>
    </cfRule>
    <cfRule type="cellIs" dxfId="6026" priority="5995" stopIfTrue="1" operator="between">
      <formula>220001</formula>
      <formula>221144</formula>
    </cfRule>
  </conditionalFormatting>
  <conditionalFormatting sqref="AL42">
    <cfRule type="cellIs" dxfId="6025" priority="5990" stopIfTrue="1" operator="between">
      <formula>221101</formula>
      <formula>221118</formula>
    </cfRule>
    <cfRule type="cellIs" dxfId="6024" priority="5991" stopIfTrue="1" operator="between">
      <formula>221142</formula>
      <formula>221144</formula>
    </cfRule>
    <cfRule type="cellIs" dxfId="6023" priority="5992" stopIfTrue="1" operator="between">
      <formula>220001</formula>
      <formula>221144</formula>
    </cfRule>
  </conditionalFormatting>
  <conditionalFormatting sqref="AK42">
    <cfRule type="cellIs" dxfId="6022" priority="5987" stopIfTrue="1" operator="between">
      <formula>221101</formula>
      <formula>221118</formula>
    </cfRule>
    <cfRule type="cellIs" dxfId="6021" priority="5988" stopIfTrue="1" operator="between">
      <formula>221142</formula>
      <formula>221144</formula>
    </cfRule>
    <cfRule type="cellIs" dxfId="6020" priority="5989" stopIfTrue="1" operator="between">
      <formula>220001</formula>
      <formula>221144</formula>
    </cfRule>
  </conditionalFormatting>
  <conditionalFormatting sqref="AL42">
    <cfRule type="cellIs" dxfId="6019" priority="5984" stopIfTrue="1" operator="between">
      <formula>221101</formula>
      <formula>221118</formula>
    </cfRule>
    <cfRule type="cellIs" dxfId="6018" priority="5985" stopIfTrue="1" operator="between">
      <formula>221142</formula>
      <formula>221144</formula>
    </cfRule>
    <cfRule type="cellIs" dxfId="6017" priority="5986" stopIfTrue="1" operator="between">
      <formula>220001</formula>
      <formula>221144</formula>
    </cfRule>
  </conditionalFormatting>
  <conditionalFormatting sqref="AK42">
    <cfRule type="cellIs" dxfId="6016" priority="5981" stopIfTrue="1" operator="between">
      <formula>221101</formula>
      <formula>221118</formula>
    </cfRule>
    <cfRule type="cellIs" dxfId="6015" priority="5982" stopIfTrue="1" operator="between">
      <formula>221142</formula>
      <formula>221144</formula>
    </cfRule>
    <cfRule type="cellIs" dxfId="6014" priority="5983" stopIfTrue="1" operator="between">
      <formula>220001</formula>
      <formula>221144</formula>
    </cfRule>
  </conditionalFormatting>
  <conditionalFormatting sqref="AK42">
    <cfRule type="cellIs" dxfId="6013" priority="5978" stopIfTrue="1" operator="between">
      <formula>221101</formula>
      <formula>221118</formula>
    </cfRule>
    <cfRule type="cellIs" dxfId="6012" priority="5979" stopIfTrue="1" operator="between">
      <formula>221142</formula>
      <formula>221144</formula>
    </cfRule>
    <cfRule type="cellIs" dxfId="6011" priority="5980" stopIfTrue="1" operator="between">
      <formula>220001</formula>
      <formula>221144</formula>
    </cfRule>
  </conditionalFormatting>
  <conditionalFormatting sqref="AJ42">
    <cfRule type="cellIs" dxfId="6010" priority="5975" stopIfTrue="1" operator="between">
      <formula>221101</formula>
      <formula>221118</formula>
    </cfRule>
    <cfRule type="cellIs" dxfId="6009" priority="5976" stopIfTrue="1" operator="between">
      <formula>221142</formula>
      <formula>221144</formula>
    </cfRule>
    <cfRule type="cellIs" dxfId="6008" priority="5977" stopIfTrue="1" operator="between">
      <formula>220001</formula>
      <formula>221144</formula>
    </cfRule>
  </conditionalFormatting>
  <conditionalFormatting sqref="AL42">
    <cfRule type="cellIs" dxfId="6007" priority="5972" stopIfTrue="1" operator="between">
      <formula>221101</formula>
      <formula>221118</formula>
    </cfRule>
    <cfRule type="cellIs" dxfId="6006" priority="5973" stopIfTrue="1" operator="between">
      <formula>221142</formula>
      <formula>221144</formula>
    </cfRule>
    <cfRule type="cellIs" dxfId="6005" priority="5974" stopIfTrue="1" operator="between">
      <formula>220001</formula>
      <formula>221144</formula>
    </cfRule>
  </conditionalFormatting>
  <conditionalFormatting sqref="AK42">
    <cfRule type="cellIs" dxfId="6004" priority="5969" stopIfTrue="1" operator="between">
      <formula>221101</formula>
      <formula>221118</formula>
    </cfRule>
    <cfRule type="cellIs" dxfId="6003" priority="5970" stopIfTrue="1" operator="between">
      <formula>221142</formula>
      <formula>221144</formula>
    </cfRule>
    <cfRule type="cellIs" dxfId="6002" priority="5971" stopIfTrue="1" operator="between">
      <formula>220001</formula>
      <formula>221144</formula>
    </cfRule>
  </conditionalFormatting>
  <conditionalFormatting sqref="AK42">
    <cfRule type="cellIs" dxfId="6001" priority="5966" stopIfTrue="1" operator="between">
      <formula>221101</formula>
      <formula>221118</formula>
    </cfRule>
    <cfRule type="cellIs" dxfId="6000" priority="5967" stopIfTrue="1" operator="between">
      <formula>221142</formula>
      <formula>221144</formula>
    </cfRule>
    <cfRule type="cellIs" dxfId="5999" priority="5968" stopIfTrue="1" operator="between">
      <formula>220001</formula>
      <formula>221144</formula>
    </cfRule>
  </conditionalFormatting>
  <conditionalFormatting sqref="AJ42">
    <cfRule type="cellIs" dxfId="5998" priority="5963" stopIfTrue="1" operator="between">
      <formula>221101</formula>
      <formula>221118</formula>
    </cfRule>
    <cfRule type="cellIs" dxfId="5997" priority="5964" stopIfTrue="1" operator="between">
      <formula>221142</formula>
      <formula>221144</formula>
    </cfRule>
    <cfRule type="cellIs" dxfId="5996" priority="5965" stopIfTrue="1" operator="between">
      <formula>220001</formula>
      <formula>221144</formula>
    </cfRule>
  </conditionalFormatting>
  <conditionalFormatting sqref="AK42">
    <cfRule type="cellIs" dxfId="5995" priority="5960" stopIfTrue="1" operator="between">
      <formula>221101</formula>
      <formula>221118</formula>
    </cfRule>
    <cfRule type="cellIs" dxfId="5994" priority="5961" stopIfTrue="1" operator="between">
      <formula>221142</formula>
      <formula>221144</formula>
    </cfRule>
    <cfRule type="cellIs" dxfId="5993" priority="5962" stopIfTrue="1" operator="between">
      <formula>220001</formula>
      <formula>221144</formula>
    </cfRule>
  </conditionalFormatting>
  <conditionalFormatting sqref="AJ42">
    <cfRule type="cellIs" dxfId="5992" priority="5957" stopIfTrue="1" operator="between">
      <formula>221101</formula>
      <formula>221118</formula>
    </cfRule>
    <cfRule type="cellIs" dxfId="5991" priority="5958" stopIfTrue="1" operator="between">
      <formula>221142</formula>
      <formula>221144</formula>
    </cfRule>
    <cfRule type="cellIs" dxfId="5990" priority="5959" stopIfTrue="1" operator="between">
      <formula>220001</formula>
      <formula>221144</formula>
    </cfRule>
  </conditionalFormatting>
  <conditionalFormatting sqref="AJ42">
    <cfRule type="cellIs" dxfId="5989" priority="5954" stopIfTrue="1" operator="between">
      <formula>221101</formula>
      <formula>221118</formula>
    </cfRule>
    <cfRule type="cellIs" dxfId="5988" priority="5955" stopIfTrue="1" operator="between">
      <formula>221142</formula>
      <formula>221144</formula>
    </cfRule>
    <cfRule type="cellIs" dxfId="5987" priority="5956" stopIfTrue="1" operator="between">
      <formula>220001</formula>
      <formula>221144</formula>
    </cfRule>
  </conditionalFormatting>
  <conditionalFormatting sqref="AI42">
    <cfRule type="cellIs" dxfId="5986" priority="5951" stopIfTrue="1" operator="between">
      <formula>221101</formula>
      <formula>221118</formula>
    </cfRule>
    <cfRule type="cellIs" dxfId="5985" priority="5952" stopIfTrue="1" operator="between">
      <formula>221142</formula>
      <formula>221144</formula>
    </cfRule>
    <cfRule type="cellIs" dxfId="5984" priority="5953" stopIfTrue="1" operator="between">
      <formula>220001</formula>
      <formula>221144</formula>
    </cfRule>
  </conditionalFormatting>
  <conditionalFormatting sqref="C5">
    <cfRule type="cellIs" dxfId="5983" priority="5948" stopIfTrue="1" operator="between">
      <formula>221101</formula>
      <formula>221118</formula>
    </cfRule>
    <cfRule type="cellIs" dxfId="5982" priority="5949" stopIfTrue="1" operator="between">
      <formula>221142</formula>
      <formula>221144</formula>
    </cfRule>
    <cfRule type="cellIs" dxfId="5981" priority="5950" stopIfTrue="1" operator="between">
      <formula>220001</formula>
      <formula>221144</formula>
    </cfRule>
  </conditionalFormatting>
  <conditionalFormatting sqref="D5">
    <cfRule type="cellIs" dxfId="5980" priority="5945" stopIfTrue="1" operator="between">
      <formula>221101</formula>
      <formula>221118</formula>
    </cfRule>
    <cfRule type="cellIs" dxfId="5979" priority="5946" stopIfTrue="1" operator="between">
      <formula>221142</formula>
      <formula>221144</formula>
    </cfRule>
    <cfRule type="cellIs" dxfId="5978" priority="5947" stopIfTrue="1" operator="between">
      <formula>220001</formula>
      <formula>221144</formula>
    </cfRule>
  </conditionalFormatting>
  <conditionalFormatting sqref="C5">
    <cfRule type="cellIs" dxfId="5977" priority="5942" stopIfTrue="1" operator="between">
      <formula>221101</formula>
      <formula>221118</formula>
    </cfRule>
    <cfRule type="cellIs" dxfId="5976" priority="5943" stopIfTrue="1" operator="between">
      <formula>221142</formula>
      <formula>221144</formula>
    </cfRule>
    <cfRule type="cellIs" dxfId="5975" priority="5944" stopIfTrue="1" operator="between">
      <formula>220001</formula>
      <formula>221144</formula>
    </cfRule>
  </conditionalFormatting>
  <conditionalFormatting sqref="D5">
    <cfRule type="cellIs" dxfId="5974" priority="5939" stopIfTrue="1" operator="between">
      <formula>221101</formula>
      <formula>221118</formula>
    </cfRule>
    <cfRule type="cellIs" dxfId="5973" priority="5940" stopIfTrue="1" operator="between">
      <formula>221142</formula>
      <formula>221144</formula>
    </cfRule>
    <cfRule type="cellIs" dxfId="5972" priority="5941" stopIfTrue="1" operator="between">
      <formula>220001</formula>
      <formula>221144</formula>
    </cfRule>
  </conditionalFormatting>
  <conditionalFormatting sqref="D5">
    <cfRule type="cellIs" dxfId="5971" priority="5936" stopIfTrue="1" operator="between">
      <formula>221101</formula>
      <formula>221118</formula>
    </cfRule>
    <cfRule type="cellIs" dxfId="5970" priority="5937" stopIfTrue="1" operator="between">
      <formula>221142</formula>
      <formula>221144</formula>
    </cfRule>
    <cfRule type="cellIs" dxfId="5969" priority="5938" stopIfTrue="1" operator="between">
      <formula>220001</formula>
      <formula>221144</formula>
    </cfRule>
  </conditionalFormatting>
  <conditionalFormatting sqref="C5">
    <cfRule type="cellIs" dxfId="5968" priority="5933" stopIfTrue="1" operator="between">
      <formula>221101</formula>
      <formula>221118</formula>
    </cfRule>
    <cfRule type="cellIs" dxfId="5967" priority="5934" stopIfTrue="1" operator="between">
      <formula>221142</formula>
      <formula>221144</formula>
    </cfRule>
    <cfRule type="cellIs" dxfId="5966" priority="5935" stopIfTrue="1" operator="between">
      <formula>220001</formula>
      <formula>221144</formula>
    </cfRule>
  </conditionalFormatting>
  <conditionalFormatting sqref="C5">
    <cfRule type="cellIs" dxfId="5965" priority="5930" stopIfTrue="1" operator="between">
      <formula>221101</formula>
      <formula>221118</formula>
    </cfRule>
    <cfRule type="cellIs" dxfId="5964" priority="5931" stopIfTrue="1" operator="between">
      <formula>221142</formula>
      <formula>221144</formula>
    </cfRule>
    <cfRule type="cellIs" dxfId="5963" priority="5932" stopIfTrue="1" operator="between">
      <formula>220001</formula>
      <formula>221144</formula>
    </cfRule>
  </conditionalFormatting>
  <conditionalFormatting sqref="C5">
    <cfRule type="cellIs" dxfId="5962" priority="5927" stopIfTrue="1" operator="between">
      <formula>221101</formula>
      <formula>221118</formula>
    </cfRule>
    <cfRule type="cellIs" dxfId="5961" priority="5928" stopIfTrue="1" operator="between">
      <formula>221142</formula>
      <formula>221144</formula>
    </cfRule>
    <cfRule type="cellIs" dxfId="5960" priority="5929" stopIfTrue="1" operator="between">
      <formula>220001</formula>
      <formula>221144</formula>
    </cfRule>
  </conditionalFormatting>
  <conditionalFormatting sqref="C5">
    <cfRule type="cellIs" dxfId="5959" priority="5924" stopIfTrue="1" operator="between">
      <formula>221101</formula>
      <formula>221118</formula>
    </cfRule>
    <cfRule type="cellIs" dxfId="5958" priority="5925" stopIfTrue="1" operator="between">
      <formula>221142</formula>
      <formula>221144</formula>
    </cfRule>
    <cfRule type="cellIs" dxfId="5957" priority="5926" stopIfTrue="1" operator="between">
      <formula>220001</formula>
      <formula>221144</formula>
    </cfRule>
  </conditionalFormatting>
  <conditionalFormatting sqref="C5">
    <cfRule type="cellIs" dxfId="5956" priority="5921" stopIfTrue="1" operator="between">
      <formula>221101</formula>
      <formula>221118</formula>
    </cfRule>
    <cfRule type="cellIs" dxfId="5955" priority="5922" stopIfTrue="1" operator="between">
      <formula>221142</formula>
      <formula>221144</formula>
    </cfRule>
    <cfRule type="cellIs" dxfId="5954" priority="5923" stopIfTrue="1" operator="between">
      <formula>220001</formula>
      <formula>221144</formula>
    </cfRule>
  </conditionalFormatting>
  <conditionalFormatting sqref="C5">
    <cfRule type="cellIs" dxfId="5953" priority="5918" stopIfTrue="1" operator="between">
      <formula>221101</formula>
      <formula>221118</formula>
    </cfRule>
    <cfRule type="cellIs" dxfId="5952" priority="5919" stopIfTrue="1" operator="between">
      <formula>221142</formula>
      <formula>221144</formula>
    </cfRule>
    <cfRule type="cellIs" dxfId="5951" priority="5920" stopIfTrue="1" operator="between">
      <formula>220001</formula>
      <formula>221144</formula>
    </cfRule>
  </conditionalFormatting>
  <conditionalFormatting sqref="C5">
    <cfRule type="cellIs" dxfId="5950" priority="5915" stopIfTrue="1" operator="between">
      <formula>221101</formula>
      <formula>221118</formula>
    </cfRule>
    <cfRule type="cellIs" dxfId="5949" priority="5916" stopIfTrue="1" operator="between">
      <formula>221142</formula>
      <formula>221144</formula>
    </cfRule>
    <cfRule type="cellIs" dxfId="5948" priority="5917" stopIfTrue="1" operator="between">
      <formula>220001</formula>
      <formula>221144</formula>
    </cfRule>
  </conditionalFormatting>
  <conditionalFormatting sqref="C5">
    <cfRule type="cellIs" dxfId="5947" priority="5912" stopIfTrue="1" operator="between">
      <formula>221101</formula>
      <formula>221118</formula>
    </cfRule>
    <cfRule type="cellIs" dxfId="5946" priority="5913" stopIfTrue="1" operator="between">
      <formula>221142</formula>
      <formula>221144</formula>
    </cfRule>
    <cfRule type="cellIs" dxfId="5945" priority="5914" stopIfTrue="1" operator="between">
      <formula>220001</formula>
      <formula>221144</formula>
    </cfRule>
  </conditionalFormatting>
  <conditionalFormatting sqref="C5">
    <cfRule type="cellIs" dxfId="5944" priority="5909" stopIfTrue="1" operator="between">
      <formula>221101</formula>
      <formula>221118</formula>
    </cfRule>
    <cfRule type="cellIs" dxfId="5943" priority="5910" stopIfTrue="1" operator="between">
      <formula>221142</formula>
      <formula>221144</formula>
    </cfRule>
    <cfRule type="cellIs" dxfId="5942" priority="5911" stopIfTrue="1" operator="between">
      <formula>220001</formula>
      <formula>221144</formula>
    </cfRule>
  </conditionalFormatting>
  <conditionalFormatting sqref="C5">
    <cfRule type="cellIs" dxfId="5941" priority="5906" stopIfTrue="1" operator="between">
      <formula>221101</formula>
      <formula>221118</formula>
    </cfRule>
    <cfRule type="cellIs" dxfId="5940" priority="5907" stopIfTrue="1" operator="between">
      <formula>221142</formula>
      <formula>221144</formula>
    </cfRule>
    <cfRule type="cellIs" dxfId="5939" priority="5908" stopIfTrue="1" operator="between">
      <formula>220001</formula>
      <formula>221144</formula>
    </cfRule>
  </conditionalFormatting>
  <conditionalFormatting sqref="C5">
    <cfRule type="cellIs" dxfId="5938" priority="5903" stopIfTrue="1" operator="between">
      <formula>221101</formula>
      <formula>221118</formula>
    </cfRule>
    <cfRule type="cellIs" dxfId="5937" priority="5904" stopIfTrue="1" operator="between">
      <formula>221142</formula>
      <formula>221144</formula>
    </cfRule>
    <cfRule type="cellIs" dxfId="5936" priority="5905" stopIfTrue="1" operator="between">
      <formula>220001</formula>
      <formula>221144</formula>
    </cfRule>
  </conditionalFormatting>
  <conditionalFormatting sqref="C5">
    <cfRule type="cellIs" dxfId="5935" priority="5900" stopIfTrue="1" operator="between">
      <formula>221101</formula>
      <formula>221118</formula>
    </cfRule>
    <cfRule type="cellIs" dxfId="5934" priority="5901" stopIfTrue="1" operator="between">
      <formula>221142</formula>
      <formula>221144</formula>
    </cfRule>
    <cfRule type="cellIs" dxfId="5933" priority="5902" stopIfTrue="1" operator="between">
      <formula>220001</formula>
      <formula>221144</formula>
    </cfRule>
  </conditionalFormatting>
  <conditionalFormatting sqref="C5">
    <cfRule type="cellIs" dxfId="5932" priority="5897" stopIfTrue="1" operator="between">
      <formula>221101</formula>
      <formula>221118</formula>
    </cfRule>
    <cfRule type="cellIs" dxfId="5931" priority="5898" stopIfTrue="1" operator="between">
      <formula>221142</formula>
      <formula>221144</formula>
    </cfRule>
    <cfRule type="cellIs" dxfId="5930" priority="5899" stopIfTrue="1" operator="between">
      <formula>220001</formula>
      <formula>221144</formula>
    </cfRule>
  </conditionalFormatting>
  <conditionalFormatting sqref="C5">
    <cfRule type="cellIs" dxfId="5929" priority="5894" stopIfTrue="1" operator="between">
      <formula>221101</formula>
      <formula>221118</formula>
    </cfRule>
    <cfRule type="cellIs" dxfId="5928" priority="5895" stopIfTrue="1" operator="between">
      <formula>221142</formula>
      <formula>221144</formula>
    </cfRule>
    <cfRule type="cellIs" dxfId="5927" priority="5896" stopIfTrue="1" operator="between">
      <formula>220001</formula>
      <formula>221144</formula>
    </cfRule>
  </conditionalFormatting>
  <conditionalFormatting sqref="C5">
    <cfRule type="cellIs" dxfId="5926" priority="5891" stopIfTrue="1" operator="between">
      <formula>221101</formula>
      <formula>221118</formula>
    </cfRule>
    <cfRule type="cellIs" dxfId="5925" priority="5892" stopIfTrue="1" operator="between">
      <formula>221142</formula>
      <formula>221144</formula>
    </cfRule>
    <cfRule type="cellIs" dxfId="5924" priority="5893" stopIfTrue="1" operator="between">
      <formula>220001</formula>
      <formula>221144</formula>
    </cfRule>
  </conditionalFormatting>
  <conditionalFormatting sqref="E13">
    <cfRule type="cellIs" dxfId="5923" priority="5888" stopIfTrue="1" operator="between">
      <formula>221101</formula>
      <formula>221118</formula>
    </cfRule>
    <cfRule type="cellIs" dxfId="5922" priority="5889" stopIfTrue="1" operator="between">
      <formula>221142</formula>
      <formula>221144</formula>
    </cfRule>
    <cfRule type="cellIs" dxfId="5921" priority="5890" stopIfTrue="1" operator="between">
      <formula>220001</formula>
      <formula>221144</formula>
    </cfRule>
  </conditionalFormatting>
  <conditionalFormatting sqref="AE13">
    <cfRule type="cellIs" dxfId="5920" priority="5885" stopIfTrue="1" operator="between">
      <formula>221101</formula>
      <formula>221118</formula>
    </cfRule>
    <cfRule type="cellIs" dxfId="5919" priority="5886" stopIfTrue="1" operator="between">
      <formula>221142</formula>
      <formula>221144</formula>
    </cfRule>
    <cfRule type="cellIs" dxfId="5918" priority="5887" stopIfTrue="1" operator="between">
      <formula>220001</formula>
      <formula>221144</formula>
    </cfRule>
  </conditionalFormatting>
  <conditionalFormatting sqref="C13">
    <cfRule type="cellIs" dxfId="5917" priority="5882" stopIfTrue="1" operator="between">
      <formula>221101</formula>
      <formula>221118</formula>
    </cfRule>
    <cfRule type="cellIs" dxfId="5916" priority="5883" stopIfTrue="1" operator="between">
      <formula>221142</formula>
      <formula>221144</formula>
    </cfRule>
    <cfRule type="cellIs" dxfId="5915" priority="5884" stopIfTrue="1" operator="between">
      <formula>220001</formula>
      <formula>221144</formula>
    </cfRule>
  </conditionalFormatting>
  <conditionalFormatting sqref="AD13">
    <cfRule type="cellIs" dxfId="5914" priority="5879" stopIfTrue="1" operator="between">
      <formula>221101</formula>
      <formula>221118</formula>
    </cfRule>
    <cfRule type="cellIs" dxfId="5913" priority="5880" stopIfTrue="1" operator="between">
      <formula>221142</formula>
      <formula>221144</formula>
    </cfRule>
    <cfRule type="cellIs" dxfId="5912" priority="5881" stopIfTrue="1" operator="between">
      <formula>220001</formula>
      <formula>221144</formula>
    </cfRule>
  </conditionalFormatting>
  <conditionalFormatting sqref="C13">
    <cfRule type="cellIs" dxfId="5911" priority="5876" stopIfTrue="1" operator="between">
      <formula>221101</formula>
      <formula>221118</formula>
    </cfRule>
    <cfRule type="cellIs" dxfId="5910" priority="5877" stopIfTrue="1" operator="between">
      <formula>221142</formula>
      <formula>221144</formula>
    </cfRule>
    <cfRule type="cellIs" dxfId="5909" priority="5878" stopIfTrue="1" operator="between">
      <formula>220001</formula>
      <formula>221144</formula>
    </cfRule>
  </conditionalFormatting>
  <conditionalFormatting sqref="AN13">
    <cfRule type="cellIs" dxfId="5908" priority="5873" stopIfTrue="1" operator="between">
      <formula>221101</formula>
      <formula>221118</formula>
    </cfRule>
    <cfRule type="cellIs" dxfId="5907" priority="5874" stopIfTrue="1" operator="between">
      <formula>221142</formula>
      <formula>221144</formula>
    </cfRule>
    <cfRule type="cellIs" dxfId="5906" priority="5875" stopIfTrue="1" operator="between">
      <formula>220001</formula>
      <formula>221144</formula>
    </cfRule>
  </conditionalFormatting>
  <conditionalFormatting sqref="AO13">
    <cfRule type="cellIs" dxfId="5905" priority="5870" stopIfTrue="1" operator="between">
      <formula>221101</formula>
      <formula>221118</formula>
    </cfRule>
    <cfRule type="cellIs" dxfId="5904" priority="5871" stopIfTrue="1" operator="between">
      <formula>221142</formula>
      <formula>221144</formula>
    </cfRule>
    <cfRule type="cellIs" dxfId="5903" priority="5872" stopIfTrue="1" operator="between">
      <formula>220001</formula>
      <formula>221144</formula>
    </cfRule>
  </conditionalFormatting>
  <conditionalFormatting sqref="C13">
    <cfRule type="cellIs" dxfId="5902" priority="5867" stopIfTrue="1" operator="between">
      <formula>221101</formula>
      <formula>221118</formula>
    </cfRule>
    <cfRule type="cellIs" dxfId="5901" priority="5868" stopIfTrue="1" operator="between">
      <formula>221142</formula>
      <formula>221144</formula>
    </cfRule>
    <cfRule type="cellIs" dxfId="5900" priority="5869" stopIfTrue="1" operator="between">
      <formula>220001</formula>
      <formula>221144</formula>
    </cfRule>
  </conditionalFormatting>
  <conditionalFormatting sqref="AD13">
    <cfRule type="cellIs" dxfId="5899" priority="5864" stopIfTrue="1" operator="between">
      <formula>221101</formula>
      <formula>221118</formula>
    </cfRule>
    <cfRule type="cellIs" dxfId="5898" priority="5865" stopIfTrue="1" operator="between">
      <formula>221142</formula>
      <formula>221144</formula>
    </cfRule>
    <cfRule type="cellIs" dxfId="5897" priority="5866" stopIfTrue="1" operator="between">
      <formula>220001</formula>
      <formula>221144</formula>
    </cfRule>
  </conditionalFormatting>
  <conditionalFormatting sqref="C13">
    <cfRule type="cellIs" dxfId="5896" priority="5861" stopIfTrue="1" operator="between">
      <formula>221101</formula>
      <formula>221118</formula>
    </cfRule>
    <cfRule type="cellIs" dxfId="5895" priority="5862" stopIfTrue="1" operator="between">
      <formula>221142</formula>
      <formula>221144</formula>
    </cfRule>
    <cfRule type="cellIs" dxfId="5894" priority="5863" stopIfTrue="1" operator="between">
      <formula>220001</formula>
      <formula>221144</formula>
    </cfRule>
  </conditionalFormatting>
  <conditionalFormatting sqref="AC13">
    <cfRule type="cellIs" dxfId="5893" priority="5858" stopIfTrue="1" operator="between">
      <formula>221101</formula>
      <formula>221118</formula>
    </cfRule>
    <cfRule type="cellIs" dxfId="5892" priority="5859" stopIfTrue="1" operator="between">
      <formula>221142</formula>
      <formula>221144</formula>
    </cfRule>
    <cfRule type="cellIs" dxfId="5891" priority="5860" stopIfTrue="1" operator="between">
      <formula>220001</formula>
      <formula>221144</formula>
    </cfRule>
  </conditionalFormatting>
  <conditionalFormatting sqref="C13">
    <cfRule type="cellIs" dxfId="5890" priority="5855" stopIfTrue="1" operator="between">
      <formula>221101</formula>
      <formula>221118</formula>
    </cfRule>
    <cfRule type="cellIs" dxfId="5889" priority="5856" stopIfTrue="1" operator="between">
      <formula>221142</formula>
      <formula>221144</formula>
    </cfRule>
    <cfRule type="cellIs" dxfId="5888" priority="5857" stopIfTrue="1" operator="between">
      <formula>220001</formula>
      <formula>221144</formula>
    </cfRule>
  </conditionalFormatting>
  <conditionalFormatting sqref="C13">
    <cfRule type="cellIs" dxfId="5887" priority="5852" stopIfTrue="1" operator="between">
      <formula>221101</formula>
      <formula>221118</formula>
    </cfRule>
    <cfRule type="cellIs" dxfId="5886" priority="5853" stopIfTrue="1" operator="between">
      <formula>221142</formula>
      <formula>221144</formula>
    </cfRule>
    <cfRule type="cellIs" dxfId="5885" priority="5854" stopIfTrue="1" operator="between">
      <formula>220001</formula>
      <formula>221144</formula>
    </cfRule>
  </conditionalFormatting>
  <conditionalFormatting sqref="C13">
    <cfRule type="cellIs" dxfId="5884" priority="5849" stopIfTrue="1" operator="between">
      <formula>221101</formula>
      <formula>221118</formula>
    </cfRule>
    <cfRule type="cellIs" dxfId="5883" priority="5850" stopIfTrue="1" operator="between">
      <formula>221142</formula>
      <formula>221144</formula>
    </cfRule>
    <cfRule type="cellIs" dxfId="5882" priority="5851" stopIfTrue="1" operator="between">
      <formula>220001</formula>
      <formula>221144</formula>
    </cfRule>
  </conditionalFormatting>
  <conditionalFormatting sqref="AM13">
    <cfRule type="cellIs" dxfId="5881" priority="5846" stopIfTrue="1" operator="between">
      <formula>221101</formula>
      <formula>221118</formula>
    </cfRule>
    <cfRule type="cellIs" dxfId="5880" priority="5847" stopIfTrue="1" operator="between">
      <formula>221142</formula>
      <formula>221144</formula>
    </cfRule>
    <cfRule type="cellIs" dxfId="5879" priority="5848" stopIfTrue="1" operator="between">
      <formula>220001</formula>
      <formula>221144</formula>
    </cfRule>
  </conditionalFormatting>
  <conditionalFormatting sqref="AN13">
    <cfRule type="cellIs" dxfId="5878" priority="5843" stopIfTrue="1" operator="between">
      <formula>221101</formula>
      <formula>221118</formula>
    </cfRule>
    <cfRule type="cellIs" dxfId="5877" priority="5844" stopIfTrue="1" operator="between">
      <formula>221142</formula>
      <formula>221144</formula>
    </cfRule>
    <cfRule type="cellIs" dxfId="5876" priority="5845" stopIfTrue="1" operator="between">
      <formula>220001</formula>
      <formula>221144</formula>
    </cfRule>
  </conditionalFormatting>
  <conditionalFormatting sqref="D13">
    <cfRule type="cellIs" dxfId="5875" priority="5840" stopIfTrue="1" operator="between">
      <formula>221101</formula>
      <formula>221118</formula>
    </cfRule>
    <cfRule type="cellIs" dxfId="5874" priority="5841" stopIfTrue="1" operator="between">
      <formula>221142</formula>
      <formula>221144</formula>
    </cfRule>
    <cfRule type="cellIs" dxfId="5873" priority="5842" stopIfTrue="1" operator="between">
      <formula>220001</formula>
      <formula>221144</formula>
    </cfRule>
  </conditionalFormatting>
  <conditionalFormatting sqref="D13">
    <cfRule type="cellIs" dxfId="5872" priority="5837" stopIfTrue="1" operator="between">
      <formula>221101</formula>
      <formula>221118</formula>
    </cfRule>
    <cfRule type="cellIs" dxfId="5871" priority="5838" stopIfTrue="1" operator="between">
      <formula>221142</formula>
      <formula>221144</formula>
    </cfRule>
    <cfRule type="cellIs" dxfId="5870" priority="5839" stopIfTrue="1" operator="between">
      <formula>220001</formula>
      <formula>221144</formula>
    </cfRule>
  </conditionalFormatting>
  <conditionalFormatting sqref="D13">
    <cfRule type="cellIs" dxfId="5869" priority="5834" stopIfTrue="1" operator="between">
      <formula>221101</formula>
      <formula>221118</formula>
    </cfRule>
    <cfRule type="cellIs" dxfId="5868" priority="5835" stopIfTrue="1" operator="between">
      <formula>221142</formula>
      <formula>221144</formula>
    </cfRule>
    <cfRule type="cellIs" dxfId="5867" priority="5836" stopIfTrue="1" operator="between">
      <formula>220001</formula>
      <formula>221144</formula>
    </cfRule>
  </conditionalFormatting>
  <conditionalFormatting sqref="D13">
    <cfRule type="cellIs" dxfId="5866" priority="5831" stopIfTrue="1" operator="between">
      <formula>221101</formula>
      <formula>221118</formula>
    </cfRule>
    <cfRule type="cellIs" dxfId="5865" priority="5832" stopIfTrue="1" operator="between">
      <formula>221142</formula>
      <formula>221144</formula>
    </cfRule>
    <cfRule type="cellIs" dxfId="5864" priority="5833" stopIfTrue="1" operator="between">
      <formula>220001</formula>
      <formula>221144</formula>
    </cfRule>
  </conditionalFormatting>
  <conditionalFormatting sqref="D13">
    <cfRule type="cellIs" dxfId="5863" priority="5828" stopIfTrue="1" operator="between">
      <formula>221101</formula>
      <formula>221118</formula>
    </cfRule>
    <cfRule type="cellIs" dxfId="5862" priority="5829" stopIfTrue="1" operator="between">
      <formula>221142</formula>
      <formula>221144</formula>
    </cfRule>
    <cfRule type="cellIs" dxfId="5861" priority="5830" stopIfTrue="1" operator="between">
      <formula>220001</formula>
      <formula>221144</formula>
    </cfRule>
  </conditionalFormatting>
  <conditionalFormatting sqref="AD13">
    <cfRule type="cellIs" dxfId="5860" priority="5825" stopIfTrue="1" operator="between">
      <formula>221101</formula>
      <formula>221118</formula>
    </cfRule>
    <cfRule type="cellIs" dxfId="5859" priority="5826" stopIfTrue="1" operator="between">
      <formula>221142</formula>
      <formula>221144</formula>
    </cfRule>
    <cfRule type="cellIs" dxfId="5858" priority="5827" stopIfTrue="1" operator="between">
      <formula>220001</formula>
      <formula>221144</formula>
    </cfRule>
  </conditionalFormatting>
  <conditionalFormatting sqref="AC13">
    <cfRule type="cellIs" dxfId="5857" priority="5822" stopIfTrue="1" operator="between">
      <formula>221101</formula>
      <formula>221118</formula>
    </cfRule>
    <cfRule type="cellIs" dxfId="5856" priority="5823" stopIfTrue="1" operator="between">
      <formula>221142</formula>
      <formula>221144</formula>
    </cfRule>
    <cfRule type="cellIs" dxfId="5855" priority="5824" stopIfTrue="1" operator="between">
      <formula>220001</formula>
      <formula>221144</formula>
    </cfRule>
  </conditionalFormatting>
  <conditionalFormatting sqref="AM13">
    <cfRule type="cellIs" dxfId="5854" priority="5819" stopIfTrue="1" operator="between">
      <formula>221101</formula>
      <formula>221118</formula>
    </cfRule>
    <cfRule type="cellIs" dxfId="5853" priority="5820" stopIfTrue="1" operator="between">
      <formula>221142</formula>
      <formula>221144</formula>
    </cfRule>
    <cfRule type="cellIs" dxfId="5852" priority="5821" stopIfTrue="1" operator="between">
      <formula>220001</formula>
      <formula>221144</formula>
    </cfRule>
  </conditionalFormatting>
  <conditionalFormatting sqref="AN13">
    <cfRule type="cellIs" dxfId="5851" priority="5816" stopIfTrue="1" operator="between">
      <formula>221101</formula>
      <formula>221118</formula>
    </cfRule>
    <cfRule type="cellIs" dxfId="5850" priority="5817" stopIfTrue="1" operator="between">
      <formula>221142</formula>
      <formula>221144</formula>
    </cfRule>
    <cfRule type="cellIs" dxfId="5849" priority="5818" stopIfTrue="1" operator="between">
      <formula>220001</formula>
      <formula>221144</formula>
    </cfRule>
  </conditionalFormatting>
  <conditionalFormatting sqref="AC13">
    <cfRule type="cellIs" dxfId="5848" priority="5813" stopIfTrue="1" operator="between">
      <formula>221101</formula>
      <formula>221118</formula>
    </cfRule>
    <cfRule type="cellIs" dxfId="5847" priority="5814" stopIfTrue="1" operator="between">
      <formula>221142</formula>
      <formula>221144</formula>
    </cfRule>
    <cfRule type="cellIs" dxfId="5846" priority="5815" stopIfTrue="1" operator="between">
      <formula>220001</formula>
      <formula>221144</formula>
    </cfRule>
  </conditionalFormatting>
  <conditionalFormatting sqref="AB13">
    <cfRule type="cellIs" dxfId="5845" priority="5810" stopIfTrue="1" operator="between">
      <formula>221101</formula>
      <formula>221118</formula>
    </cfRule>
    <cfRule type="cellIs" dxfId="5844" priority="5811" stopIfTrue="1" operator="between">
      <formula>221142</formula>
      <formula>221144</formula>
    </cfRule>
    <cfRule type="cellIs" dxfId="5843" priority="5812" stopIfTrue="1" operator="between">
      <formula>220001</formula>
      <formula>221144</formula>
    </cfRule>
  </conditionalFormatting>
  <conditionalFormatting sqref="AL13">
    <cfRule type="cellIs" dxfId="5842" priority="5807" stopIfTrue="1" operator="between">
      <formula>221101</formula>
      <formula>221118</formula>
    </cfRule>
    <cfRule type="cellIs" dxfId="5841" priority="5808" stopIfTrue="1" operator="between">
      <formula>221142</formula>
      <formula>221144</formula>
    </cfRule>
    <cfRule type="cellIs" dxfId="5840" priority="5809" stopIfTrue="1" operator="between">
      <formula>220001</formula>
      <formula>221144</formula>
    </cfRule>
  </conditionalFormatting>
  <conditionalFormatting sqref="AM13">
    <cfRule type="cellIs" dxfId="5839" priority="5804" stopIfTrue="1" operator="between">
      <formula>221101</formula>
      <formula>221118</formula>
    </cfRule>
    <cfRule type="cellIs" dxfId="5838" priority="5805" stopIfTrue="1" operator="between">
      <formula>221142</formula>
      <formula>221144</formula>
    </cfRule>
    <cfRule type="cellIs" dxfId="5837" priority="5806" stopIfTrue="1" operator="between">
      <formula>220001</formula>
      <formula>221144</formula>
    </cfRule>
  </conditionalFormatting>
  <conditionalFormatting sqref="C13">
    <cfRule type="cellIs" dxfId="5836" priority="5801" stopIfTrue="1" operator="between">
      <formula>221101</formula>
      <formula>221118</formula>
    </cfRule>
    <cfRule type="cellIs" dxfId="5835" priority="5802" stopIfTrue="1" operator="between">
      <formula>221142</formula>
      <formula>221144</formula>
    </cfRule>
    <cfRule type="cellIs" dxfId="5834" priority="5803" stopIfTrue="1" operator="between">
      <formula>220001</formula>
      <formula>221144</formula>
    </cfRule>
  </conditionalFormatting>
  <conditionalFormatting sqref="C13">
    <cfRule type="cellIs" dxfId="5833" priority="5798" stopIfTrue="1" operator="between">
      <formula>221101</formula>
      <formula>221118</formula>
    </cfRule>
    <cfRule type="cellIs" dxfId="5832" priority="5799" stopIfTrue="1" operator="between">
      <formula>221142</formula>
      <formula>221144</formula>
    </cfRule>
    <cfRule type="cellIs" dxfId="5831" priority="5800" stopIfTrue="1" operator="between">
      <formula>220001</formula>
      <formula>221144</formula>
    </cfRule>
  </conditionalFormatting>
  <conditionalFormatting sqref="C13">
    <cfRule type="cellIs" dxfId="5830" priority="5795" stopIfTrue="1" operator="between">
      <formula>221101</formula>
      <formula>221118</formula>
    </cfRule>
    <cfRule type="cellIs" dxfId="5829" priority="5796" stopIfTrue="1" operator="between">
      <formula>221142</formula>
      <formula>221144</formula>
    </cfRule>
    <cfRule type="cellIs" dxfId="5828" priority="5797" stopIfTrue="1" operator="between">
      <formula>220001</formula>
      <formula>221144</formula>
    </cfRule>
  </conditionalFormatting>
  <conditionalFormatting sqref="C13">
    <cfRule type="cellIs" dxfId="5827" priority="5792" stopIfTrue="1" operator="between">
      <formula>221101</formula>
      <formula>221118</formula>
    </cfRule>
    <cfRule type="cellIs" dxfId="5826" priority="5793" stopIfTrue="1" operator="between">
      <formula>221142</formula>
      <formula>221144</formula>
    </cfRule>
    <cfRule type="cellIs" dxfId="5825" priority="5794" stopIfTrue="1" operator="between">
      <formula>220001</formula>
      <formula>221144</formula>
    </cfRule>
  </conditionalFormatting>
  <conditionalFormatting sqref="D13">
    <cfRule type="cellIs" dxfId="5824" priority="5789" stopIfTrue="1" operator="between">
      <formula>221101</formula>
      <formula>221118</formula>
    </cfRule>
    <cfRule type="cellIs" dxfId="5823" priority="5790" stopIfTrue="1" operator="between">
      <formula>221142</formula>
      <formula>221144</formula>
    </cfRule>
    <cfRule type="cellIs" dxfId="5822" priority="5791" stopIfTrue="1" operator="between">
      <formula>220001</formula>
      <formula>221144</formula>
    </cfRule>
  </conditionalFormatting>
  <conditionalFormatting sqref="AD13">
    <cfRule type="cellIs" dxfId="5821" priority="5786" stopIfTrue="1" operator="between">
      <formula>221101</formula>
      <formula>221118</formula>
    </cfRule>
    <cfRule type="cellIs" dxfId="5820" priority="5787" stopIfTrue="1" operator="between">
      <formula>221142</formula>
      <formula>221144</formula>
    </cfRule>
    <cfRule type="cellIs" dxfId="5819" priority="5788" stopIfTrue="1" operator="between">
      <formula>220001</formula>
      <formula>221144</formula>
    </cfRule>
  </conditionalFormatting>
  <conditionalFormatting sqref="AC13">
    <cfRule type="cellIs" dxfId="5818" priority="5783" stopIfTrue="1" operator="between">
      <formula>221101</formula>
      <formula>221118</formula>
    </cfRule>
    <cfRule type="cellIs" dxfId="5817" priority="5784" stopIfTrue="1" operator="between">
      <formula>221142</formula>
      <formula>221144</formula>
    </cfRule>
    <cfRule type="cellIs" dxfId="5816" priority="5785" stopIfTrue="1" operator="between">
      <formula>220001</formula>
      <formula>221144</formula>
    </cfRule>
  </conditionalFormatting>
  <conditionalFormatting sqref="AM13">
    <cfRule type="cellIs" dxfId="5815" priority="5780" stopIfTrue="1" operator="between">
      <formula>221101</formula>
      <formula>221118</formula>
    </cfRule>
    <cfRule type="cellIs" dxfId="5814" priority="5781" stopIfTrue="1" operator="between">
      <formula>221142</formula>
      <formula>221144</formula>
    </cfRule>
    <cfRule type="cellIs" dxfId="5813" priority="5782" stopIfTrue="1" operator="between">
      <formula>220001</formula>
      <formula>221144</formula>
    </cfRule>
  </conditionalFormatting>
  <conditionalFormatting sqref="AN13">
    <cfRule type="cellIs" dxfId="5812" priority="5777" stopIfTrue="1" operator="between">
      <formula>221101</formula>
      <formula>221118</formula>
    </cfRule>
    <cfRule type="cellIs" dxfId="5811" priority="5778" stopIfTrue="1" operator="between">
      <formula>221142</formula>
      <formula>221144</formula>
    </cfRule>
    <cfRule type="cellIs" dxfId="5810" priority="5779" stopIfTrue="1" operator="between">
      <formula>220001</formula>
      <formula>221144</formula>
    </cfRule>
  </conditionalFormatting>
  <conditionalFormatting sqref="AC13">
    <cfRule type="cellIs" dxfId="5809" priority="5774" stopIfTrue="1" operator="between">
      <formula>221101</formula>
      <formula>221118</formula>
    </cfRule>
    <cfRule type="cellIs" dxfId="5808" priority="5775" stopIfTrue="1" operator="between">
      <formula>221142</formula>
      <formula>221144</formula>
    </cfRule>
    <cfRule type="cellIs" dxfId="5807" priority="5776" stopIfTrue="1" operator="between">
      <formula>220001</formula>
      <formula>221144</formula>
    </cfRule>
  </conditionalFormatting>
  <conditionalFormatting sqref="AB13">
    <cfRule type="cellIs" dxfId="5806" priority="5771" stopIfTrue="1" operator="between">
      <formula>221101</formula>
      <formula>221118</formula>
    </cfRule>
    <cfRule type="cellIs" dxfId="5805" priority="5772" stopIfTrue="1" operator="between">
      <formula>221142</formula>
      <formula>221144</formula>
    </cfRule>
    <cfRule type="cellIs" dxfId="5804" priority="5773" stopIfTrue="1" operator="between">
      <formula>220001</formula>
      <formula>221144</formula>
    </cfRule>
  </conditionalFormatting>
  <conditionalFormatting sqref="AL13">
    <cfRule type="cellIs" dxfId="5803" priority="5768" stopIfTrue="1" operator="between">
      <formula>221101</formula>
      <formula>221118</formula>
    </cfRule>
    <cfRule type="cellIs" dxfId="5802" priority="5769" stopIfTrue="1" operator="between">
      <formula>221142</formula>
      <formula>221144</formula>
    </cfRule>
    <cfRule type="cellIs" dxfId="5801" priority="5770" stopIfTrue="1" operator="between">
      <formula>220001</formula>
      <formula>221144</formula>
    </cfRule>
  </conditionalFormatting>
  <conditionalFormatting sqref="AM13">
    <cfRule type="cellIs" dxfId="5800" priority="5765" stopIfTrue="1" operator="between">
      <formula>221101</formula>
      <formula>221118</formula>
    </cfRule>
    <cfRule type="cellIs" dxfId="5799" priority="5766" stopIfTrue="1" operator="between">
      <formula>221142</formula>
      <formula>221144</formula>
    </cfRule>
    <cfRule type="cellIs" dxfId="5798" priority="5767" stopIfTrue="1" operator="between">
      <formula>220001</formula>
      <formula>221144</formula>
    </cfRule>
  </conditionalFormatting>
  <conditionalFormatting sqref="C13">
    <cfRule type="cellIs" dxfId="5797" priority="5762" stopIfTrue="1" operator="between">
      <formula>221101</formula>
      <formula>221118</formula>
    </cfRule>
    <cfRule type="cellIs" dxfId="5796" priority="5763" stopIfTrue="1" operator="between">
      <formula>221142</formula>
      <formula>221144</formula>
    </cfRule>
    <cfRule type="cellIs" dxfId="5795" priority="5764" stopIfTrue="1" operator="between">
      <formula>220001</formula>
      <formula>221144</formula>
    </cfRule>
  </conditionalFormatting>
  <conditionalFormatting sqref="C13">
    <cfRule type="cellIs" dxfId="5794" priority="5759" stopIfTrue="1" operator="between">
      <formula>221101</formula>
      <formula>221118</formula>
    </cfRule>
    <cfRule type="cellIs" dxfId="5793" priority="5760" stopIfTrue="1" operator="between">
      <formula>221142</formula>
      <formula>221144</formula>
    </cfRule>
    <cfRule type="cellIs" dxfId="5792" priority="5761" stopIfTrue="1" operator="between">
      <formula>220001</formula>
      <formula>221144</formula>
    </cfRule>
  </conditionalFormatting>
  <conditionalFormatting sqref="C13">
    <cfRule type="cellIs" dxfId="5791" priority="5756" stopIfTrue="1" operator="between">
      <formula>221101</formula>
      <formula>221118</formula>
    </cfRule>
    <cfRule type="cellIs" dxfId="5790" priority="5757" stopIfTrue="1" operator="between">
      <formula>221142</formula>
      <formula>221144</formula>
    </cfRule>
    <cfRule type="cellIs" dxfId="5789" priority="5758" stopIfTrue="1" operator="between">
      <formula>220001</formula>
      <formula>221144</formula>
    </cfRule>
  </conditionalFormatting>
  <conditionalFormatting sqref="C13">
    <cfRule type="cellIs" dxfId="5788" priority="5753" stopIfTrue="1" operator="between">
      <formula>221101</formula>
      <formula>221118</formula>
    </cfRule>
    <cfRule type="cellIs" dxfId="5787" priority="5754" stopIfTrue="1" operator="between">
      <formula>221142</formula>
      <formula>221144</formula>
    </cfRule>
    <cfRule type="cellIs" dxfId="5786" priority="5755" stopIfTrue="1" operator="between">
      <formula>220001</formula>
      <formula>221144</formula>
    </cfRule>
  </conditionalFormatting>
  <conditionalFormatting sqref="C13">
    <cfRule type="cellIs" dxfId="5785" priority="5750" stopIfTrue="1" operator="between">
      <formula>221101</formula>
      <formula>221118</formula>
    </cfRule>
    <cfRule type="cellIs" dxfId="5784" priority="5751" stopIfTrue="1" operator="between">
      <formula>221142</formula>
      <formula>221144</formula>
    </cfRule>
    <cfRule type="cellIs" dxfId="5783" priority="5752" stopIfTrue="1" operator="between">
      <formula>220001</formula>
      <formula>221144</formula>
    </cfRule>
  </conditionalFormatting>
  <conditionalFormatting sqref="AC13">
    <cfRule type="cellIs" dxfId="5782" priority="5747" stopIfTrue="1" operator="between">
      <formula>221101</formula>
      <formula>221118</formula>
    </cfRule>
    <cfRule type="cellIs" dxfId="5781" priority="5748" stopIfTrue="1" operator="between">
      <formula>221142</formula>
      <formula>221144</formula>
    </cfRule>
    <cfRule type="cellIs" dxfId="5780" priority="5749" stopIfTrue="1" operator="between">
      <formula>220001</formula>
      <formula>221144</formula>
    </cfRule>
  </conditionalFormatting>
  <conditionalFormatting sqref="AB13">
    <cfRule type="cellIs" dxfId="5779" priority="5744" stopIfTrue="1" operator="between">
      <formula>221101</formula>
      <formula>221118</formula>
    </cfRule>
    <cfRule type="cellIs" dxfId="5778" priority="5745" stopIfTrue="1" operator="between">
      <formula>221142</formula>
      <formula>221144</formula>
    </cfRule>
    <cfRule type="cellIs" dxfId="5777" priority="5746" stopIfTrue="1" operator="between">
      <formula>220001</formula>
      <formula>221144</formula>
    </cfRule>
  </conditionalFormatting>
  <conditionalFormatting sqref="AL13">
    <cfRule type="cellIs" dxfId="5776" priority="5741" stopIfTrue="1" operator="between">
      <formula>221101</formula>
      <formula>221118</formula>
    </cfRule>
    <cfRule type="cellIs" dxfId="5775" priority="5742" stopIfTrue="1" operator="between">
      <formula>221142</formula>
      <formula>221144</formula>
    </cfRule>
    <cfRule type="cellIs" dxfId="5774" priority="5743" stopIfTrue="1" operator="between">
      <formula>220001</formula>
      <formula>221144</formula>
    </cfRule>
  </conditionalFormatting>
  <conditionalFormatting sqref="AM13">
    <cfRule type="cellIs" dxfId="5773" priority="5738" stopIfTrue="1" operator="between">
      <formula>221101</formula>
      <formula>221118</formula>
    </cfRule>
    <cfRule type="cellIs" dxfId="5772" priority="5739" stopIfTrue="1" operator="between">
      <formula>221142</formula>
      <formula>221144</formula>
    </cfRule>
    <cfRule type="cellIs" dxfId="5771" priority="5740" stopIfTrue="1" operator="between">
      <formula>220001</formula>
      <formula>221144</formula>
    </cfRule>
  </conditionalFormatting>
  <conditionalFormatting sqref="AB13">
    <cfRule type="cellIs" dxfId="5770" priority="5735" stopIfTrue="1" operator="between">
      <formula>221101</formula>
      <formula>221118</formula>
    </cfRule>
    <cfRule type="cellIs" dxfId="5769" priority="5736" stopIfTrue="1" operator="between">
      <formula>221142</formula>
      <formula>221144</formula>
    </cfRule>
    <cfRule type="cellIs" dxfId="5768" priority="5737" stopIfTrue="1" operator="between">
      <formula>220001</formula>
      <formula>221144</formula>
    </cfRule>
  </conditionalFormatting>
  <conditionalFormatting sqref="AA13">
    <cfRule type="cellIs" dxfId="5767" priority="5732" stopIfTrue="1" operator="between">
      <formula>221101</formula>
      <formula>221118</formula>
    </cfRule>
    <cfRule type="cellIs" dxfId="5766" priority="5733" stopIfTrue="1" operator="between">
      <formula>221142</formula>
      <formula>221144</formula>
    </cfRule>
    <cfRule type="cellIs" dxfId="5765" priority="5734" stopIfTrue="1" operator="between">
      <formula>220001</formula>
      <formula>221144</formula>
    </cfRule>
  </conditionalFormatting>
  <conditionalFormatting sqref="AK13">
    <cfRule type="cellIs" dxfId="5764" priority="5729" stopIfTrue="1" operator="between">
      <formula>221101</formula>
      <formula>221118</formula>
    </cfRule>
    <cfRule type="cellIs" dxfId="5763" priority="5730" stopIfTrue="1" operator="between">
      <formula>221142</formula>
      <formula>221144</formula>
    </cfRule>
    <cfRule type="cellIs" dxfId="5762" priority="5731" stopIfTrue="1" operator="between">
      <formula>220001</formula>
      <formula>221144</formula>
    </cfRule>
  </conditionalFormatting>
  <conditionalFormatting sqref="AL13">
    <cfRule type="cellIs" dxfId="5761" priority="5726" stopIfTrue="1" operator="between">
      <formula>221101</formula>
      <formula>221118</formula>
    </cfRule>
    <cfRule type="cellIs" dxfId="5760" priority="5727" stopIfTrue="1" operator="between">
      <formula>221142</formula>
      <formula>221144</formula>
    </cfRule>
    <cfRule type="cellIs" dxfId="5759" priority="5728" stopIfTrue="1" operator="between">
      <formula>220001</formula>
      <formula>221144</formula>
    </cfRule>
  </conditionalFormatting>
  <conditionalFormatting sqref="D13">
    <cfRule type="cellIs" dxfId="5758" priority="5723" stopIfTrue="1" operator="between">
      <formula>221101</formula>
      <formula>221118</formula>
    </cfRule>
    <cfRule type="cellIs" dxfId="5757" priority="5724" stopIfTrue="1" operator="between">
      <formula>221142</formula>
      <formula>221144</formula>
    </cfRule>
    <cfRule type="cellIs" dxfId="5756" priority="5725" stopIfTrue="1" operator="between">
      <formula>220001</formula>
      <formula>221144</formula>
    </cfRule>
  </conditionalFormatting>
  <conditionalFormatting sqref="AD13">
    <cfRule type="cellIs" dxfId="5755" priority="5720" stopIfTrue="1" operator="between">
      <formula>221101</formula>
      <formula>221118</formula>
    </cfRule>
    <cfRule type="cellIs" dxfId="5754" priority="5721" stopIfTrue="1" operator="between">
      <formula>221142</formula>
      <formula>221144</formula>
    </cfRule>
    <cfRule type="cellIs" dxfId="5753" priority="5722" stopIfTrue="1" operator="between">
      <formula>220001</formula>
      <formula>221144</formula>
    </cfRule>
  </conditionalFormatting>
  <conditionalFormatting sqref="AC13">
    <cfRule type="cellIs" dxfId="5752" priority="5717" stopIfTrue="1" operator="between">
      <formula>221101</formula>
      <formula>221118</formula>
    </cfRule>
    <cfRule type="cellIs" dxfId="5751" priority="5718" stopIfTrue="1" operator="between">
      <formula>221142</formula>
      <formula>221144</formula>
    </cfRule>
    <cfRule type="cellIs" dxfId="5750" priority="5719" stopIfTrue="1" operator="between">
      <formula>220001</formula>
      <formula>221144</formula>
    </cfRule>
  </conditionalFormatting>
  <conditionalFormatting sqref="AM13">
    <cfRule type="cellIs" dxfId="5749" priority="5714" stopIfTrue="1" operator="between">
      <formula>221101</formula>
      <formula>221118</formula>
    </cfRule>
    <cfRule type="cellIs" dxfId="5748" priority="5715" stopIfTrue="1" operator="between">
      <formula>221142</formula>
      <formula>221144</formula>
    </cfRule>
    <cfRule type="cellIs" dxfId="5747" priority="5716" stopIfTrue="1" operator="between">
      <formula>220001</formula>
      <formula>221144</formula>
    </cfRule>
  </conditionalFormatting>
  <conditionalFormatting sqref="AN13">
    <cfRule type="cellIs" dxfId="5746" priority="5711" stopIfTrue="1" operator="between">
      <formula>221101</formula>
      <formula>221118</formula>
    </cfRule>
    <cfRule type="cellIs" dxfId="5745" priority="5712" stopIfTrue="1" operator="between">
      <formula>221142</formula>
      <formula>221144</formula>
    </cfRule>
    <cfRule type="cellIs" dxfId="5744" priority="5713" stopIfTrue="1" operator="between">
      <formula>220001</formula>
      <formula>221144</formula>
    </cfRule>
  </conditionalFormatting>
  <conditionalFormatting sqref="AC13">
    <cfRule type="cellIs" dxfId="5743" priority="5708" stopIfTrue="1" operator="between">
      <formula>221101</formula>
      <formula>221118</formula>
    </cfRule>
    <cfRule type="cellIs" dxfId="5742" priority="5709" stopIfTrue="1" operator="between">
      <formula>221142</formula>
      <formula>221144</formula>
    </cfRule>
    <cfRule type="cellIs" dxfId="5741" priority="5710" stopIfTrue="1" operator="between">
      <formula>220001</formula>
      <formula>221144</formula>
    </cfRule>
  </conditionalFormatting>
  <conditionalFormatting sqref="AB13">
    <cfRule type="cellIs" dxfId="5740" priority="5705" stopIfTrue="1" operator="between">
      <formula>221101</formula>
      <formula>221118</formula>
    </cfRule>
    <cfRule type="cellIs" dxfId="5739" priority="5706" stopIfTrue="1" operator="between">
      <formula>221142</formula>
      <formula>221144</formula>
    </cfRule>
    <cfRule type="cellIs" dxfId="5738" priority="5707" stopIfTrue="1" operator="between">
      <formula>220001</formula>
      <formula>221144</formula>
    </cfRule>
  </conditionalFormatting>
  <conditionalFormatting sqref="AL13">
    <cfRule type="cellIs" dxfId="5737" priority="5702" stopIfTrue="1" operator="between">
      <formula>221101</formula>
      <formula>221118</formula>
    </cfRule>
    <cfRule type="cellIs" dxfId="5736" priority="5703" stopIfTrue="1" operator="between">
      <formula>221142</formula>
      <formula>221144</formula>
    </cfRule>
    <cfRule type="cellIs" dxfId="5735" priority="5704" stopIfTrue="1" operator="between">
      <formula>220001</formula>
      <formula>221144</formula>
    </cfRule>
  </conditionalFormatting>
  <conditionalFormatting sqref="AM13">
    <cfRule type="cellIs" dxfId="5734" priority="5699" stopIfTrue="1" operator="between">
      <formula>221101</formula>
      <formula>221118</formula>
    </cfRule>
    <cfRule type="cellIs" dxfId="5733" priority="5700" stopIfTrue="1" operator="between">
      <formula>221142</formula>
      <formula>221144</formula>
    </cfRule>
    <cfRule type="cellIs" dxfId="5732" priority="5701" stopIfTrue="1" operator="between">
      <formula>220001</formula>
      <formula>221144</formula>
    </cfRule>
  </conditionalFormatting>
  <conditionalFormatting sqref="C13">
    <cfRule type="cellIs" dxfId="5731" priority="5696" stopIfTrue="1" operator="between">
      <formula>221101</formula>
      <formula>221118</formula>
    </cfRule>
    <cfRule type="cellIs" dxfId="5730" priority="5697" stopIfTrue="1" operator="between">
      <formula>221142</formula>
      <formula>221144</formula>
    </cfRule>
    <cfRule type="cellIs" dxfId="5729" priority="5698" stopIfTrue="1" operator="between">
      <formula>220001</formula>
      <formula>221144</formula>
    </cfRule>
  </conditionalFormatting>
  <conditionalFormatting sqref="C13">
    <cfRule type="cellIs" dxfId="5728" priority="5693" stopIfTrue="1" operator="between">
      <formula>221101</formula>
      <formula>221118</formula>
    </cfRule>
    <cfRule type="cellIs" dxfId="5727" priority="5694" stopIfTrue="1" operator="between">
      <formula>221142</formula>
      <formula>221144</formula>
    </cfRule>
    <cfRule type="cellIs" dxfId="5726" priority="5695" stopIfTrue="1" operator="between">
      <formula>220001</formula>
      <formula>221144</formula>
    </cfRule>
  </conditionalFormatting>
  <conditionalFormatting sqref="C13">
    <cfRule type="cellIs" dxfId="5725" priority="5690" stopIfTrue="1" operator="between">
      <formula>221101</formula>
      <formula>221118</formula>
    </cfRule>
    <cfRule type="cellIs" dxfId="5724" priority="5691" stopIfTrue="1" operator="between">
      <formula>221142</formula>
      <formula>221144</formula>
    </cfRule>
    <cfRule type="cellIs" dxfId="5723" priority="5692" stopIfTrue="1" operator="between">
      <formula>220001</formula>
      <formula>221144</formula>
    </cfRule>
  </conditionalFormatting>
  <conditionalFormatting sqref="C13">
    <cfRule type="cellIs" dxfId="5722" priority="5687" stopIfTrue="1" operator="between">
      <formula>221101</formula>
      <formula>221118</formula>
    </cfRule>
    <cfRule type="cellIs" dxfId="5721" priority="5688" stopIfTrue="1" operator="between">
      <formula>221142</formula>
      <formula>221144</formula>
    </cfRule>
    <cfRule type="cellIs" dxfId="5720" priority="5689" stopIfTrue="1" operator="between">
      <formula>220001</formula>
      <formula>221144</formula>
    </cfRule>
  </conditionalFormatting>
  <conditionalFormatting sqref="C13">
    <cfRule type="cellIs" dxfId="5719" priority="5684" stopIfTrue="1" operator="between">
      <formula>221101</formula>
      <formula>221118</formula>
    </cfRule>
    <cfRule type="cellIs" dxfId="5718" priority="5685" stopIfTrue="1" operator="between">
      <formula>221142</formula>
      <formula>221144</formula>
    </cfRule>
    <cfRule type="cellIs" dxfId="5717" priority="5686" stopIfTrue="1" operator="between">
      <formula>220001</formula>
      <formula>221144</formula>
    </cfRule>
  </conditionalFormatting>
  <conditionalFormatting sqref="AC13">
    <cfRule type="cellIs" dxfId="5716" priority="5681" stopIfTrue="1" operator="between">
      <formula>221101</formula>
      <formula>221118</formula>
    </cfRule>
    <cfRule type="cellIs" dxfId="5715" priority="5682" stopIfTrue="1" operator="between">
      <formula>221142</formula>
      <formula>221144</formula>
    </cfRule>
    <cfRule type="cellIs" dxfId="5714" priority="5683" stopIfTrue="1" operator="between">
      <formula>220001</formula>
      <formula>221144</formula>
    </cfRule>
  </conditionalFormatting>
  <conditionalFormatting sqref="AB13">
    <cfRule type="cellIs" dxfId="5713" priority="5678" stopIfTrue="1" operator="between">
      <formula>221101</formula>
      <formula>221118</formula>
    </cfRule>
    <cfRule type="cellIs" dxfId="5712" priority="5679" stopIfTrue="1" operator="between">
      <formula>221142</formula>
      <formula>221144</formula>
    </cfRule>
    <cfRule type="cellIs" dxfId="5711" priority="5680" stopIfTrue="1" operator="between">
      <formula>220001</formula>
      <formula>221144</formula>
    </cfRule>
  </conditionalFormatting>
  <conditionalFormatting sqref="AL13">
    <cfRule type="cellIs" dxfId="5710" priority="5675" stopIfTrue="1" operator="between">
      <formula>221101</formula>
      <formula>221118</formula>
    </cfRule>
    <cfRule type="cellIs" dxfId="5709" priority="5676" stopIfTrue="1" operator="between">
      <formula>221142</formula>
      <formula>221144</formula>
    </cfRule>
    <cfRule type="cellIs" dxfId="5708" priority="5677" stopIfTrue="1" operator="between">
      <formula>220001</formula>
      <formula>221144</formula>
    </cfRule>
  </conditionalFormatting>
  <conditionalFormatting sqref="AM13">
    <cfRule type="cellIs" dxfId="5707" priority="5672" stopIfTrue="1" operator="between">
      <formula>221101</formula>
      <formula>221118</formula>
    </cfRule>
    <cfRule type="cellIs" dxfId="5706" priority="5673" stopIfTrue="1" operator="between">
      <formula>221142</formula>
      <formula>221144</formula>
    </cfRule>
    <cfRule type="cellIs" dxfId="5705" priority="5674" stopIfTrue="1" operator="between">
      <formula>220001</formula>
      <formula>221144</formula>
    </cfRule>
  </conditionalFormatting>
  <conditionalFormatting sqref="AB13">
    <cfRule type="cellIs" dxfId="5704" priority="5669" stopIfTrue="1" operator="between">
      <formula>221101</formula>
      <formula>221118</formula>
    </cfRule>
    <cfRule type="cellIs" dxfId="5703" priority="5670" stopIfTrue="1" operator="between">
      <formula>221142</formula>
      <formula>221144</formula>
    </cfRule>
    <cfRule type="cellIs" dxfId="5702" priority="5671" stopIfTrue="1" operator="between">
      <formula>220001</formula>
      <formula>221144</formula>
    </cfRule>
  </conditionalFormatting>
  <conditionalFormatting sqref="AA13">
    <cfRule type="cellIs" dxfId="5701" priority="5666" stopIfTrue="1" operator="between">
      <formula>221101</formula>
      <formula>221118</formula>
    </cfRule>
    <cfRule type="cellIs" dxfId="5700" priority="5667" stopIfTrue="1" operator="between">
      <formula>221142</formula>
      <formula>221144</formula>
    </cfRule>
    <cfRule type="cellIs" dxfId="5699" priority="5668" stopIfTrue="1" operator="between">
      <formula>220001</formula>
      <formula>221144</formula>
    </cfRule>
  </conditionalFormatting>
  <conditionalFormatting sqref="AK13">
    <cfRule type="cellIs" dxfId="5698" priority="5663" stopIfTrue="1" operator="between">
      <formula>221101</formula>
      <formula>221118</formula>
    </cfRule>
    <cfRule type="cellIs" dxfId="5697" priority="5664" stopIfTrue="1" operator="between">
      <formula>221142</formula>
      <formula>221144</formula>
    </cfRule>
    <cfRule type="cellIs" dxfId="5696" priority="5665" stopIfTrue="1" operator="between">
      <formula>220001</formula>
      <formula>221144</formula>
    </cfRule>
  </conditionalFormatting>
  <conditionalFormatting sqref="AL13">
    <cfRule type="cellIs" dxfId="5695" priority="5660" stopIfTrue="1" operator="between">
      <formula>221101</formula>
      <formula>221118</formula>
    </cfRule>
    <cfRule type="cellIs" dxfId="5694" priority="5661" stopIfTrue="1" operator="between">
      <formula>221142</formula>
      <formula>221144</formula>
    </cfRule>
    <cfRule type="cellIs" dxfId="5693" priority="5662" stopIfTrue="1" operator="between">
      <formula>220001</formula>
      <formula>221144</formula>
    </cfRule>
  </conditionalFormatting>
  <conditionalFormatting sqref="C13">
    <cfRule type="cellIs" dxfId="5692" priority="5657" stopIfTrue="1" operator="between">
      <formula>221101</formula>
      <formula>221118</formula>
    </cfRule>
    <cfRule type="cellIs" dxfId="5691" priority="5658" stopIfTrue="1" operator="between">
      <formula>221142</formula>
      <formula>221144</formula>
    </cfRule>
    <cfRule type="cellIs" dxfId="5690" priority="5659" stopIfTrue="1" operator="between">
      <formula>220001</formula>
      <formula>221144</formula>
    </cfRule>
  </conditionalFormatting>
  <conditionalFormatting sqref="AC13">
    <cfRule type="cellIs" dxfId="5689" priority="5654" stopIfTrue="1" operator="between">
      <formula>221101</formula>
      <formula>221118</formula>
    </cfRule>
    <cfRule type="cellIs" dxfId="5688" priority="5655" stopIfTrue="1" operator="between">
      <formula>221142</formula>
      <formula>221144</formula>
    </cfRule>
    <cfRule type="cellIs" dxfId="5687" priority="5656" stopIfTrue="1" operator="between">
      <formula>220001</formula>
      <formula>221144</formula>
    </cfRule>
  </conditionalFormatting>
  <conditionalFormatting sqref="AB13">
    <cfRule type="cellIs" dxfId="5686" priority="5651" stopIfTrue="1" operator="between">
      <formula>221101</formula>
      <formula>221118</formula>
    </cfRule>
    <cfRule type="cellIs" dxfId="5685" priority="5652" stopIfTrue="1" operator="between">
      <formula>221142</formula>
      <formula>221144</formula>
    </cfRule>
    <cfRule type="cellIs" dxfId="5684" priority="5653" stopIfTrue="1" operator="between">
      <formula>220001</formula>
      <formula>221144</formula>
    </cfRule>
  </conditionalFormatting>
  <conditionalFormatting sqref="AL13">
    <cfRule type="cellIs" dxfId="5683" priority="5648" stopIfTrue="1" operator="between">
      <formula>221101</formula>
      <formula>221118</formula>
    </cfRule>
    <cfRule type="cellIs" dxfId="5682" priority="5649" stopIfTrue="1" operator="between">
      <formula>221142</formula>
      <formula>221144</formula>
    </cfRule>
    <cfRule type="cellIs" dxfId="5681" priority="5650" stopIfTrue="1" operator="between">
      <formula>220001</formula>
      <formula>221144</formula>
    </cfRule>
  </conditionalFormatting>
  <conditionalFormatting sqref="AM13">
    <cfRule type="cellIs" dxfId="5680" priority="5645" stopIfTrue="1" operator="between">
      <formula>221101</formula>
      <formula>221118</formula>
    </cfRule>
    <cfRule type="cellIs" dxfId="5679" priority="5646" stopIfTrue="1" operator="between">
      <formula>221142</formula>
      <formula>221144</formula>
    </cfRule>
    <cfRule type="cellIs" dxfId="5678" priority="5647" stopIfTrue="1" operator="between">
      <formula>220001</formula>
      <formula>221144</formula>
    </cfRule>
  </conditionalFormatting>
  <conditionalFormatting sqref="AB13">
    <cfRule type="cellIs" dxfId="5677" priority="5642" stopIfTrue="1" operator="between">
      <formula>221101</formula>
      <formula>221118</formula>
    </cfRule>
    <cfRule type="cellIs" dxfId="5676" priority="5643" stopIfTrue="1" operator="between">
      <formula>221142</formula>
      <formula>221144</formula>
    </cfRule>
    <cfRule type="cellIs" dxfId="5675" priority="5644" stopIfTrue="1" operator="between">
      <formula>220001</formula>
      <formula>221144</formula>
    </cfRule>
  </conditionalFormatting>
  <conditionalFormatting sqref="AA13">
    <cfRule type="cellIs" dxfId="5674" priority="5639" stopIfTrue="1" operator="between">
      <formula>221101</formula>
      <formula>221118</formula>
    </cfRule>
    <cfRule type="cellIs" dxfId="5673" priority="5640" stopIfTrue="1" operator="between">
      <formula>221142</formula>
      <formula>221144</formula>
    </cfRule>
    <cfRule type="cellIs" dxfId="5672" priority="5641" stopIfTrue="1" operator="between">
      <formula>220001</formula>
      <formula>221144</formula>
    </cfRule>
  </conditionalFormatting>
  <conditionalFormatting sqref="AK13">
    <cfRule type="cellIs" dxfId="5671" priority="5636" stopIfTrue="1" operator="between">
      <formula>221101</formula>
      <formula>221118</formula>
    </cfRule>
    <cfRule type="cellIs" dxfId="5670" priority="5637" stopIfTrue="1" operator="between">
      <formula>221142</formula>
      <formula>221144</formula>
    </cfRule>
    <cfRule type="cellIs" dxfId="5669" priority="5638" stopIfTrue="1" operator="between">
      <formula>220001</formula>
      <formula>221144</formula>
    </cfRule>
  </conditionalFormatting>
  <conditionalFormatting sqref="AL13">
    <cfRule type="cellIs" dxfId="5668" priority="5633" stopIfTrue="1" operator="between">
      <formula>221101</formula>
      <formula>221118</formula>
    </cfRule>
    <cfRule type="cellIs" dxfId="5667" priority="5634" stopIfTrue="1" operator="between">
      <formula>221142</formula>
      <formula>221144</formula>
    </cfRule>
    <cfRule type="cellIs" dxfId="5666" priority="5635" stopIfTrue="1" operator="between">
      <formula>220001</formula>
      <formula>221144</formula>
    </cfRule>
  </conditionalFormatting>
  <conditionalFormatting sqref="AB13">
    <cfRule type="cellIs" dxfId="5665" priority="5630" stopIfTrue="1" operator="between">
      <formula>221101</formula>
      <formula>221118</formula>
    </cfRule>
    <cfRule type="cellIs" dxfId="5664" priority="5631" stopIfTrue="1" operator="between">
      <formula>221142</formula>
      <formula>221144</formula>
    </cfRule>
    <cfRule type="cellIs" dxfId="5663" priority="5632" stopIfTrue="1" operator="between">
      <formula>220001</formula>
      <formula>221144</formula>
    </cfRule>
  </conditionalFormatting>
  <conditionalFormatting sqref="AA13">
    <cfRule type="cellIs" dxfId="5662" priority="5627" stopIfTrue="1" operator="between">
      <formula>221101</formula>
      <formula>221118</formula>
    </cfRule>
    <cfRule type="cellIs" dxfId="5661" priority="5628" stopIfTrue="1" operator="between">
      <formula>221142</formula>
      <formula>221144</formula>
    </cfRule>
    <cfRule type="cellIs" dxfId="5660" priority="5629" stopIfTrue="1" operator="between">
      <formula>220001</formula>
      <formula>221144</formula>
    </cfRule>
  </conditionalFormatting>
  <conditionalFormatting sqref="AK13">
    <cfRule type="cellIs" dxfId="5659" priority="5624" stopIfTrue="1" operator="between">
      <formula>221101</formula>
      <formula>221118</formula>
    </cfRule>
    <cfRule type="cellIs" dxfId="5658" priority="5625" stopIfTrue="1" operator="between">
      <formula>221142</formula>
      <formula>221144</formula>
    </cfRule>
    <cfRule type="cellIs" dxfId="5657" priority="5626" stopIfTrue="1" operator="between">
      <formula>220001</formula>
      <formula>221144</formula>
    </cfRule>
  </conditionalFormatting>
  <conditionalFormatting sqref="AL13">
    <cfRule type="cellIs" dxfId="5656" priority="5621" stopIfTrue="1" operator="between">
      <formula>221101</formula>
      <formula>221118</formula>
    </cfRule>
    <cfRule type="cellIs" dxfId="5655" priority="5622" stopIfTrue="1" operator="between">
      <formula>221142</formula>
      <formula>221144</formula>
    </cfRule>
    <cfRule type="cellIs" dxfId="5654" priority="5623" stopIfTrue="1" operator="between">
      <formula>220001</formula>
      <formula>221144</formula>
    </cfRule>
  </conditionalFormatting>
  <conditionalFormatting sqref="AA13">
    <cfRule type="cellIs" dxfId="5653" priority="5618" stopIfTrue="1" operator="between">
      <formula>221101</formula>
      <formula>221118</formula>
    </cfRule>
    <cfRule type="cellIs" dxfId="5652" priority="5619" stopIfTrue="1" operator="between">
      <formula>221142</formula>
      <formula>221144</formula>
    </cfRule>
    <cfRule type="cellIs" dxfId="5651" priority="5620" stopIfTrue="1" operator="between">
      <formula>220001</formula>
      <formula>221144</formula>
    </cfRule>
  </conditionalFormatting>
  <conditionalFormatting sqref="Z13">
    <cfRule type="cellIs" dxfId="5650" priority="5615" stopIfTrue="1" operator="between">
      <formula>221101</formula>
      <formula>221118</formula>
    </cfRule>
    <cfRule type="cellIs" dxfId="5649" priority="5616" stopIfTrue="1" operator="between">
      <formula>221142</formula>
      <formula>221144</formula>
    </cfRule>
    <cfRule type="cellIs" dxfId="5648" priority="5617" stopIfTrue="1" operator="between">
      <formula>220001</formula>
      <formula>221144</formula>
    </cfRule>
  </conditionalFormatting>
  <conditionalFormatting sqref="AJ13">
    <cfRule type="cellIs" dxfId="5647" priority="5612" stopIfTrue="1" operator="between">
      <formula>221101</formula>
      <formula>221118</formula>
    </cfRule>
    <cfRule type="cellIs" dxfId="5646" priority="5613" stopIfTrue="1" operator="between">
      <formula>221142</formula>
      <formula>221144</formula>
    </cfRule>
    <cfRule type="cellIs" dxfId="5645" priority="5614" stopIfTrue="1" operator="between">
      <formula>220001</formula>
      <formula>221144</formula>
    </cfRule>
  </conditionalFormatting>
  <conditionalFormatting sqref="AK13">
    <cfRule type="cellIs" dxfId="5644" priority="5609" stopIfTrue="1" operator="between">
      <formula>221101</formula>
      <formula>221118</formula>
    </cfRule>
    <cfRule type="cellIs" dxfId="5643" priority="5610" stopIfTrue="1" operator="between">
      <formula>221142</formula>
      <formula>221144</formula>
    </cfRule>
    <cfRule type="cellIs" dxfId="5642" priority="5611" stopIfTrue="1" operator="between">
      <formula>220001</formula>
      <formula>221144</formula>
    </cfRule>
  </conditionalFormatting>
  <conditionalFormatting sqref="D13">
    <cfRule type="cellIs" dxfId="5641" priority="5606" stopIfTrue="1" operator="between">
      <formula>221101</formula>
      <formula>221118</formula>
    </cfRule>
    <cfRule type="cellIs" dxfId="5640" priority="5607" stopIfTrue="1" operator="between">
      <formula>221142</formula>
      <formula>221144</formula>
    </cfRule>
    <cfRule type="cellIs" dxfId="5639" priority="5608" stopIfTrue="1" operator="between">
      <formula>220001</formula>
      <formula>221144</formula>
    </cfRule>
  </conditionalFormatting>
  <conditionalFormatting sqref="AD13">
    <cfRule type="cellIs" dxfId="5638" priority="5603" stopIfTrue="1" operator="between">
      <formula>221101</formula>
      <formula>221118</formula>
    </cfRule>
    <cfRule type="cellIs" dxfId="5637" priority="5604" stopIfTrue="1" operator="between">
      <formula>221142</formula>
      <formula>221144</formula>
    </cfRule>
    <cfRule type="cellIs" dxfId="5636" priority="5605" stopIfTrue="1" operator="between">
      <formula>220001</formula>
      <formula>221144</formula>
    </cfRule>
  </conditionalFormatting>
  <conditionalFormatting sqref="AC13">
    <cfRule type="cellIs" dxfId="5635" priority="5600" stopIfTrue="1" operator="between">
      <formula>221101</formula>
      <formula>221118</formula>
    </cfRule>
    <cfRule type="cellIs" dxfId="5634" priority="5601" stopIfTrue="1" operator="between">
      <formula>221142</formula>
      <formula>221144</formula>
    </cfRule>
    <cfRule type="cellIs" dxfId="5633" priority="5602" stopIfTrue="1" operator="between">
      <formula>220001</formula>
      <formula>221144</formula>
    </cfRule>
  </conditionalFormatting>
  <conditionalFormatting sqref="AM13">
    <cfRule type="cellIs" dxfId="5632" priority="5597" stopIfTrue="1" operator="between">
      <formula>221101</formula>
      <formula>221118</formula>
    </cfRule>
    <cfRule type="cellIs" dxfId="5631" priority="5598" stopIfTrue="1" operator="between">
      <formula>221142</formula>
      <formula>221144</formula>
    </cfRule>
    <cfRule type="cellIs" dxfId="5630" priority="5599" stopIfTrue="1" operator="between">
      <formula>220001</formula>
      <formula>221144</formula>
    </cfRule>
  </conditionalFormatting>
  <conditionalFormatting sqref="AN13">
    <cfRule type="cellIs" dxfId="5629" priority="5594" stopIfTrue="1" operator="between">
      <formula>221101</formula>
      <formula>221118</formula>
    </cfRule>
    <cfRule type="cellIs" dxfId="5628" priority="5595" stopIfTrue="1" operator="between">
      <formula>221142</formula>
      <formula>221144</formula>
    </cfRule>
    <cfRule type="cellIs" dxfId="5627" priority="5596" stopIfTrue="1" operator="between">
      <formula>220001</formula>
      <formula>221144</formula>
    </cfRule>
  </conditionalFormatting>
  <conditionalFormatting sqref="AC13">
    <cfRule type="cellIs" dxfId="5626" priority="5591" stopIfTrue="1" operator="between">
      <formula>221101</formula>
      <formula>221118</formula>
    </cfRule>
    <cfRule type="cellIs" dxfId="5625" priority="5592" stopIfTrue="1" operator="between">
      <formula>221142</formula>
      <formula>221144</formula>
    </cfRule>
    <cfRule type="cellIs" dxfId="5624" priority="5593" stopIfTrue="1" operator="between">
      <formula>220001</formula>
      <formula>221144</formula>
    </cfRule>
  </conditionalFormatting>
  <conditionalFormatting sqref="AB13">
    <cfRule type="cellIs" dxfId="5623" priority="5588" stopIfTrue="1" operator="between">
      <formula>221101</formula>
      <formula>221118</formula>
    </cfRule>
    <cfRule type="cellIs" dxfId="5622" priority="5589" stopIfTrue="1" operator="between">
      <formula>221142</formula>
      <formula>221144</formula>
    </cfRule>
    <cfRule type="cellIs" dxfId="5621" priority="5590" stopIfTrue="1" operator="between">
      <formula>220001</formula>
      <formula>221144</formula>
    </cfRule>
  </conditionalFormatting>
  <conditionalFormatting sqref="AL13">
    <cfRule type="cellIs" dxfId="5620" priority="5585" stopIfTrue="1" operator="between">
      <formula>221101</formula>
      <formula>221118</formula>
    </cfRule>
    <cfRule type="cellIs" dxfId="5619" priority="5586" stopIfTrue="1" operator="between">
      <formula>221142</formula>
      <formula>221144</formula>
    </cfRule>
    <cfRule type="cellIs" dxfId="5618" priority="5587" stopIfTrue="1" operator="between">
      <formula>220001</formula>
      <formula>221144</formula>
    </cfRule>
  </conditionalFormatting>
  <conditionalFormatting sqref="AM13">
    <cfRule type="cellIs" dxfId="5617" priority="5582" stopIfTrue="1" operator="between">
      <formula>221101</formula>
      <formula>221118</formula>
    </cfRule>
    <cfRule type="cellIs" dxfId="5616" priority="5583" stopIfTrue="1" operator="between">
      <formula>221142</formula>
      <formula>221144</formula>
    </cfRule>
    <cfRule type="cellIs" dxfId="5615" priority="5584" stopIfTrue="1" operator="between">
      <formula>220001</formula>
      <formula>221144</formula>
    </cfRule>
  </conditionalFormatting>
  <conditionalFormatting sqref="C13">
    <cfRule type="cellIs" dxfId="5614" priority="5579" stopIfTrue="1" operator="between">
      <formula>221101</formula>
      <formula>221118</formula>
    </cfRule>
    <cfRule type="cellIs" dxfId="5613" priority="5580" stopIfTrue="1" operator="between">
      <formula>221142</formula>
      <formula>221144</formula>
    </cfRule>
    <cfRule type="cellIs" dxfId="5612" priority="5581" stopIfTrue="1" operator="between">
      <formula>220001</formula>
      <formula>221144</formula>
    </cfRule>
  </conditionalFormatting>
  <conditionalFormatting sqref="C13">
    <cfRule type="cellIs" dxfId="5611" priority="5576" stopIfTrue="1" operator="between">
      <formula>221101</formula>
      <formula>221118</formula>
    </cfRule>
    <cfRule type="cellIs" dxfId="5610" priority="5577" stopIfTrue="1" operator="between">
      <formula>221142</formula>
      <formula>221144</formula>
    </cfRule>
    <cfRule type="cellIs" dxfId="5609" priority="5578" stopIfTrue="1" operator="between">
      <formula>220001</formula>
      <formula>221144</formula>
    </cfRule>
  </conditionalFormatting>
  <conditionalFormatting sqref="C13">
    <cfRule type="cellIs" dxfId="5608" priority="5573" stopIfTrue="1" operator="between">
      <formula>221101</formula>
      <formula>221118</formula>
    </cfRule>
    <cfRule type="cellIs" dxfId="5607" priority="5574" stopIfTrue="1" operator="between">
      <formula>221142</formula>
      <formula>221144</formula>
    </cfRule>
    <cfRule type="cellIs" dxfId="5606" priority="5575" stopIfTrue="1" operator="between">
      <formula>220001</formula>
      <formula>221144</formula>
    </cfRule>
  </conditionalFormatting>
  <conditionalFormatting sqref="C13">
    <cfRule type="cellIs" dxfId="5605" priority="5570" stopIfTrue="1" operator="between">
      <formula>221101</formula>
      <formula>221118</formula>
    </cfRule>
    <cfRule type="cellIs" dxfId="5604" priority="5571" stopIfTrue="1" operator="between">
      <formula>221142</formula>
      <formula>221144</formula>
    </cfRule>
    <cfRule type="cellIs" dxfId="5603" priority="5572" stopIfTrue="1" operator="between">
      <formula>220001</formula>
      <formula>221144</formula>
    </cfRule>
  </conditionalFormatting>
  <conditionalFormatting sqref="C13">
    <cfRule type="cellIs" dxfId="5602" priority="5567" stopIfTrue="1" operator="between">
      <formula>221101</formula>
      <formula>221118</formula>
    </cfRule>
    <cfRule type="cellIs" dxfId="5601" priority="5568" stopIfTrue="1" operator="between">
      <formula>221142</formula>
      <formula>221144</formula>
    </cfRule>
    <cfRule type="cellIs" dxfId="5600" priority="5569" stopIfTrue="1" operator="between">
      <formula>220001</formula>
      <formula>221144</formula>
    </cfRule>
  </conditionalFormatting>
  <conditionalFormatting sqref="AC13">
    <cfRule type="cellIs" dxfId="5599" priority="5564" stopIfTrue="1" operator="between">
      <formula>221101</formula>
      <formula>221118</formula>
    </cfRule>
    <cfRule type="cellIs" dxfId="5598" priority="5565" stopIfTrue="1" operator="between">
      <formula>221142</formula>
      <formula>221144</formula>
    </cfRule>
    <cfRule type="cellIs" dxfId="5597" priority="5566" stopIfTrue="1" operator="between">
      <formula>220001</formula>
      <formula>221144</formula>
    </cfRule>
  </conditionalFormatting>
  <conditionalFormatting sqref="AB13">
    <cfRule type="cellIs" dxfId="5596" priority="5561" stopIfTrue="1" operator="between">
      <formula>221101</formula>
      <formula>221118</formula>
    </cfRule>
    <cfRule type="cellIs" dxfId="5595" priority="5562" stopIfTrue="1" operator="between">
      <formula>221142</formula>
      <formula>221144</formula>
    </cfRule>
    <cfRule type="cellIs" dxfId="5594" priority="5563" stopIfTrue="1" operator="between">
      <formula>220001</formula>
      <formula>221144</formula>
    </cfRule>
  </conditionalFormatting>
  <conditionalFormatting sqref="AL13">
    <cfRule type="cellIs" dxfId="5593" priority="5558" stopIfTrue="1" operator="between">
      <formula>221101</formula>
      <formula>221118</formula>
    </cfRule>
    <cfRule type="cellIs" dxfId="5592" priority="5559" stopIfTrue="1" operator="between">
      <formula>221142</formula>
      <formula>221144</formula>
    </cfRule>
    <cfRule type="cellIs" dxfId="5591" priority="5560" stopIfTrue="1" operator="between">
      <formula>220001</formula>
      <formula>221144</formula>
    </cfRule>
  </conditionalFormatting>
  <conditionalFormatting sqref="AM13">
    <cfRule type="cellIs" dxfId="5590" priority="5555" stopIfTrue="1" operator="between">
      <formula>221101</formula>
      <formula>221118</formula>
    </cfRule>
    <cfRule type="cellIs" dxfId="5589" priority="5556" stopIfTrue="1" operator="between">
      <formula>221142</formula>
      <formula>221144</formula>
    </cfRule>
    <cfRule type="cellIs" dxfId="5588" priority="5557" stopIfTrue="1" operator="between">
      <formula>220001</formula>
      <formula>221144</formula>
    </cfRule>
  </conditionalFormatting>
  <conditionalFormatting sqref="AB13">
    <cfRule type="cellIs" dxfId="5587" priority="5552" stopIfTrue="1" operator="between">
      <formula>221101</formula>
      <formula>221118</formula>
    </cfRule>
    <cfRule type="cellIs" dxfId="5586" priority="5553" stopIfTrue="1" operator="between">
      <formula>221142</formula>
      <formula>221144</formula>
    </cfRule>
    <cfRule type="cellIs" dxfId="5585" priority="5554" stopIfTrue="1" operator="between">
      <formula>220001</formula>
      <formula>221144</formula>
    </cfRule>
  </conditionalFormatting>
  <conditionalFormatting sqref="AA13">
    <cfRule type="cellIs" dxfId="5584" priority="5549" stopIfTrue="1" operator="between">
      <formula>221101</formula>
      <formula>221118</formula>
    </cfRule>
    <cfRule type="cellIs" dxfId="5583" priority="5550" stopIfTrue="1" operator="between">
      <formula>221142</formula>
      <formula>221144</formula>
    </cfRule>
    <cfRule type="cellIs" dxfId="5582" priority="5551" stopIfTrue="1" operator="between">
      <formula>220001</formula>
      <formula>221144</formula>
    </cfRule>
  </conditionalFormatting>
  <conditionalFormatting sqref="AK13">
    <cfRule type="cellIs" dxfId="5581" priority="5546" stopIfTrue="1" operator="between">
      <formula>221101</formula>
      <formula>221118</formula>
    </cfRule>
    <cfRule type="cellIs" dxfId="5580" priority="5547" stopIfTrue="1" operator="between">
      <formula>221142</formula>
      <formula>221144</formula>
    </cfRule>
    <cfRule type="cellIs" dxfId="5579" priority="5548" stopIfTrue="1" operator="between">
      <formula>220001</formula>
      <formula>221144</formula>
    </cfRule>
  </conditionalFormatting>
  <conditionalFormatting sqref="AL13">
    <cfRule type="cellIs" dxfId="5578" priority="5543" stopIfTrue="1" operator="between">
      <formula>221101</formula>
      <formula>221118</formula>
    </cfRule>
    <cfRule type="cellIs" dxfId="5577" priority="5544" stopIfTrue="1" operator="between">
      <formula>221142</formula>
      <formula>221144</formula>
    </cfRule>
    <cfRule type="cellIs" dxfId="5576" priority="5545" stopIfTrue="1" operator="between">
      <formula>220001</formula>
      <formula>221144</formula>
    </cfRule>
  </conditionalFormatting>
  <conditionalFormatting sqref="C13">
    <cfRule type="cellIs" dxfId="5575" priority="5540" stopIfTrue="1" operator="between">
      <formula>221101</formula>
      <formula>221118</formula>
    </cfRule>
    <cfRule type="cellIs" dxfId="5574" priority="5541" stopIfTrue="1" operator="between">
      <formula>221142</formula>
      <formula>221144</formula>
    </cfRule>
    <cfRule type="cellIs" dxfId="5573" priority="5542" stopIfTrue="1" operator="between">
      <formula>220001</formula>
      <formula>221144</formula>
    </cfRule>
  </conditionalFormatting>
  <conditionalFormatting sqref="AC13">
    <cfRule type="cellIs" dxfId="5572" priority="5537" stopIfTrue="1" operator="between">
      <formula>221101</formula>
      <formula>221118</formula>
    </cfRule>
    <cfRule type="cellIs" dxfId="5571" priority="5538" stopIfTrue="1" operator="between">
      <formula>221142</formula>
      <formula>221144</formula>
    </cfRule>
    <cfRule type="cellIs" dxfId="5570" priority="5539" stopIfTrue="1" operator="between">
      <formula>220001</formula>
      <formula>221144</formula>
    </cfRule>
  </conditionalFormatting>
  <conditionalFormatting sqref="AB13">
    <cfRule type="cellIs" dxfId="5569" priority="5534" stopIfTrue="1" operator="between">
      <formula>221101</formula>
      <formula>221118</formula>
    </cfRule>
    <cfRule type="cellIs" dxfId="5568" priority="5535" stopIfTrue="1" operator="between">
      <formula>221142</formula>
      <formula>221144</formula>
    </cfRule>
    <cfRule type="cellIs" dxfId="5567" priority="5536" stopIfTrue="1" operator="between">
      <formula>220001</formula>
      <formula>221144</formula>
    </cfRule>
  </conditionalFormatting>
  <conditionalFormatting sqref="AL13">
    <cfRule type="cellIs" dxfId="5566" priority="5531" stopIfTrue="1" operator="between">
      <formula>221101</formula>
      <formula>221118</formula>
    </cfRule>
    <cfRule type="cellIs" dxfId="5565" priority="5532" stopIfTrue="1" operator="between">
      <formula>221142</formula>
      <formula>221144</formula>
    </cfRule>
    <cfRule type="cellIs" dxfId="5564" priority="5533" stopIfTrue="1" operator="between">
      <formula>220001</formula>
      <formula>221144</formula>
    </cfRule>
  </conditionalFormatting>
  <conditionalFormatting sqref="AM13">
    <cfRule type="cellIs" dxfId="5563" priority="5528" stopIfTrue="1" operator="between">
      <formula>221101</formula>
      <formula>221118</formula>
    </cfRule>
    <cfRule type="cellIs" dxfId="5562" priority="5529" stopIfTrue="1" operator="between">
      <formula>221142</formula>
      <formula>221144</formula>
    </cfRule>
    <cfRule type="cellIs" dxfId="5561" priority="5530" stopIfTrue="1" operator="between">
      <formula>220001</formula>
      <formula>221144</formula>
    </cfRule>
  </conditionalFormatting>
  <conditionalFormatting sqref="AB13">
    <cfRule type="cellIs" dxfId="5560" priority="5525" stopIfTrue="1" operator="between">
      <formula>221101</formula>
      <formula>221118</formula>
    </cfRule>
    <cfRule type="cellIs" dxfId="5559" priority="5526" stopIfTrue="1" operator="between">
      <formula>221142</formula>
      <formula>221144</formula>
    </cfRule>
    <cfRule type="cellIs" dxfId="5558" priority="5527" stopIfTrue="1" operator="between">
      <formula>220001</formula>
      <formula>221144</formula>
    </cfRule>
  </conditionalFormatting>
  <conditionalFormatting sqref="AA13">
    <cfRule type="cellIs" dxfId="5557" priority="5522" stopIfTrue="1" operator="between">
      <formula>221101</formula>
      <formula>221118</formula>
    </cfRule>
    <cfRule type="cellIs" dxfId="5556" priority="5523" stopIfTrue="1" operator="between">
      <formula>221142</formula>
      <formula>221144</formula>
    </cfRule>
    <cfRule type="cellIs" dxfId="5555" priority="5524" stopIfTrue="1" operator="between">
      <formula>220001</formula>
      <formula>221144</formula>
    </cfRule>
  </conditionalFormatting>
  <conditionalFormatting sqref="AK13">
    <cfRule type="cellIs" dxfId="5554" priority="5519" stopIfTrue="1" operator="between">
      <formula>221101</formula>
      <formula>221118</formula>
    </cfRule>
    <cfRule type="cellIs" dxfId="5553" priority="5520" stopIfTrue="1" operator="between">
      <formula>221142</formula>
      <formula>221144</formula>
    </cfRule>
    <cfRule type="cellIs" dxfId="5552" priority="5521" stopIfTrue="1" operator="between">
      <formula>220001</formula>
      <formula>221144</formula>
    </cfRule>
  </conditionalFormatting>
  <conditionalFormatting sqref="AL13">
    <cfRule type="cellIs" dxfId="5551" priority="5516" stopIfTrue="1" operator="between">
      <formula>221101</formula>
      <formula>221118</formula>
    </cfRule>
    <cfRule type="cellIs" dxfId="5550" priority="5517" stopIfTrue="1" operator="between">
      <formula>221142</formula>
      <formula>221144</formula>
    </cfRule>
    <cfRule type="cellIs" dxfId="5549" priority="5518" stopIfTrue="1" operator="between">
      <formula>220001</formula>
      <formula>221144</formula>
    </cfRule>
  </conditionalFormatting>
  <conditionalFormatting sqref="AB13">
    <cfRule type="cellIs" dxfId="5548" priority="5513" stopIfTrue="1" operator="between">
      <formula>221101</formula>
      <formula>221118</formula>
    </cfRule>
    <cfRule type="cellIs" dxfId="5547" priority="5514" stopIfTrue="1" operator="between">
      <formula>221142</formula>
      <formula>221144</formula>
    </cfRule>
    <cfRule type="cellIs" dxfId="5546" priority="5515" stopIfTrue="1" operator="between">
      <formula>220001</formula>
      <formula>221144</formula>
    </cfRule>
  </conditionalFormatting>
  <conditionalFormatting sqref="AA13">
    <cfRule type="cellIs" dxfId="5545" priority="5510" stopIfTrue="1" operator="between">
      <formula>221101</formula>
      <formula>221118</formula>
    </cfRule>
    <cfRule type="cellIs" dxfId="5544" priority="5511" stopIfTrue="1" operator="between">
      <formula>221142</formula>
      <formula>221144</formula>
    </cfRule>
    <cfRule type="cellIs" dxfId="5543" priority="5512" stopIfTrue="1" operator="between">
      <formula>220001</formula>
      <formula>221144</formula>
    </cfRule>
  </conditionalFormatting>
  <conditionalFormatting sqref="AK13">
    <cfRule type="cellIs" dxfId="5542" priority="5507" stopIfTrue="1" operator="between">
      <formula>221101</formula>
      <formula>221118</formula>
    </cfRule>
    <cfRule type="cellIs" dxfId="5541" priority="5508" stopIfTrue="1" operator="between">
      <formula>221142</formula>
      <formula>221144</formula>
    </cfRule>
    <cfRule type="cellIs" dxfId="5540" priority="5509" stopIfTrue="1" operator="between">
      <formula>220001</formula>
      <formula>221144</formula>
    </cfRule>
  </conditionalFormatting>
  <conditionalFormatting sqref="AL13">
    <cfRule type="cellIs" dxfId="5539" priority="5504" stopIfTrue="1" operator="between">
      <formula>221101</formula>
      <formula>221118</formula>
    </cfRule>
    <cfRule type="cellIs" dxfId="5538" priority="5505" stopIfTrue="1" operator="between">
      <formula>221142</formula>
      <formula>221144</formula>
    </cfRule>
    <cfRule type="cellIs" dxfId="5537" priority="5506" stopIfTrue="1" operator="between">
      <formula>220001</formula>
      <formula>221144</formula>
    </cfRule>
  </conditionalFormatting>
  <conditionalFormatting sqref="AA13">
    <cfRule type="cellIs" dxfId="5536" priority="5501" stopIfTrue="1" operator="between">
      <formula>221101</formula>
      <formula>221118</formula>
    </cfRule>
    <cfRule type="cellIs" dxfId="5535" priority="5502" stopIfTrue="1" operator="between">
      <formula>221142</formula>
      <formula>221144</formula>
    </cfRule>
    <cfRule type="cellIs" dxfId="5534" priority="5503" stopIfTrue="1" operator="between">
      <formula>220001</formula>
      <formula>221144</formula>
    </cfRule>
  </conditionalFormatting>
  <conditionalFormatting sqref="Z13">
    <cfRule type="cellIs" dxfId="5533" priority="5498" stopIfTrue="1" operator="between">
      <formula>221101</formula>
      <formula>221118</formula>
    </cfRule>
    <cfRule type="cellIs" dxfId="5532" priority="5499" stopIfTrue="1" operator="between">
      <formula>221142</formula>
      <formula>221144</formula>
    </cfRule>
    <cfRule type="cellIs" dxfId="5531" priority="5500" stopIfTrue="1" operator="between">
      <formula>220001</formula>
      <formula>221144</formula>
    </cfRule>
  </conditionalFormatting>
  <conditionalFormatting sqref="AJ13">
    <cfRule type="cellIs" dxfId="5530" priority="5495" stopIfTrue="1" operator="between">
      <formula>221101</formula>
      <formula>221118</formula>
    </cfRule>
    <cfRule type="cellIs" dxfId="5529" priority="5496" stopIfTrue="1" operator="between">
      <formula>221142</formula>
      <formula>221144</formula>
    </cfRule>
    <cfRule type="cellIs" dxfId="5528" priority="5497" stopIfTrue="1" operator="between">
      <formula>220001</formula>
      <formula>221144</formula>
    </cfRule>
  </conditionalFormatting>
  <conditionalFormatting sqref="AK13">
    <cfRule type="cellIs" dxfId="5527" priority="5492" stopIfTrue="1" operator="between">
      <formula>221101</formula>
      <formula>221118</formula>
    </cfRule>
    <cfRule type="cellIs" dxfId="5526" priority="5493" stopIfTrue="1" operator="between">
      <formula>221142</formula>
      <formula>221144</formula>
    </cfRule>
    <cfRule type="cellIs" dxfId="5525" priority="5494" stopIfTrue="1" operator="between">
      <formula>220001</formula>
      <formula>221144</formula>
    </cfRule>
  </conditionalFormatting>
  <conditionalFormatting sqref="C13">
    <cfRule type="cellIs" dxfId="5524" priority="5489" stopIfTrue="1" operator="between">
      <formula>221101</formula>
      <formula>221118</formula>
    </cfRule>
    <cfRule type="cellIs" dxfId="5523" priority="5490" stopIfTrue="1" operator="between">
      <formula>221142</formula>
      <formula>221144</formula>
    </cfRule>
    <cfRule type="cellIs" dxfId="5522" priority="5491" stopIfTrue="1" operator="between">
      <formula>220001</formula>
      <formula>221144</formula>
    </cfRule>
  </conditionalFormatting>
  <conditionalFormatting sqref="AC13">
    <cfRule type="cellIs" dxfId="5521" priority="5486" stopIfTrue="1" operator="between">
      <formula>221101</formula>
      <formula>221118</formula>
    </cfRule>
    <cfRule type="cellIs" dxfId="5520" priority="5487" stopIfTrue="1" operator="between">
      <formula>221142</formula>
      <formula>221144</formula>
    </cfRule>
    <cfRule type="cellIs" dxfId="5519" priority="5488" stopIfTrue="1" operator="between">
      <formula>220001</formula>
      <formula>221144</formula>
    </cfRule>
  </conditionalFormatting>
  <conditionalFormatting sqref="AB13">
    <cfRule type="cellIs" dxfId="5518" priority="5483" stopIfTrue="1" operator="between">
      <formula>221101</formula>
      <formula>221118</formula>
    </cfRule>
    <cfRule type="cellIs" dxfId="5517" priority="5484" stopIfTrue="1" operator="between">
      <formula>221142</formula>
      <formula>221144</formula>
    </cfRule>
    <cfRule type="cellIs" dxfId="5516" priority="5485" stopIfTrue="1" operator="between">
      <formula>220001</formula>
      <formula>221144</formula>
    </cfRule>
  </conditionalFormatting>
  <conditionalFormatting sqref="AL13">
    <cfRule type="cellIs" dxfId="5515" priority="5480" stopIfTrue="1" operator="between">
      <formula>221101</formula>
      <formula>221118</formula>
    </cfRule>
    <cfRule type="cellIs" dxfId="5514" priority="5481" stopIfTrue="1" operator="between">
      <formula>221142</formula>
      <formula>221144</formula>
    </cfRule>
    <cfRule type="cellIs" dxfId="5513" priority="5482" stopIfTrue="1" operator="between">
      <formula>220001</formula>
      <formula>221144</formula>
    </cfRule>
  </conditionalFormatting>
  <conditionalFormatting sqref="AM13">
    <cfRule type="cellIs" dxfId="5512" priority="5477" stopIfTrue="1" operator="between">
      <formula>221101</formula>
      <formula>221118</formula>
    </cfRule>
    <cfRule type="cellIs" dxfId="5511" priority="5478" stopIfTrue="1" operator="between">
      <formula>221142</formula>
      <formula>221144</formula>
    </cfRule>
    <cfRule type="cellIs" dxfId="5510" priority="5479" stopIfTrue="1" operator="between">
      <formula>220001</formula>
      <formula>221144</formula>
    </cfRule>
  </conditionalFormatting>
  <conditionalFormatting sqref="AB13">
    <cfRule type="cellIs" dxfId="5509" priority="5474" stopIfTrue="1" operator="between">
      <formula>221101</formula>
      <formula>221118</formula>
    </cfRule>
    <cfRule type="cellIs" dxfId="5508" priority="5475" stopIfTrue="1" operator="between">
      <formula>221142</formula>
      <formula>221144</formula>
    </cfRule>
    <cfRule type="cellIs" dxfId="5507" priority="5476" stopIfTrue="1" operator="between">
      <formula>220001</formula>
      <formula>221144</formula>
    </cfRule>
  </conditionalFormatting>
  <conditionalFormatting sqref="AA13">
    <cfRule type="cellIs" dxfId="5506" priority="5471" stopIfTrue="1" operator="between">
      <formula>221101</formula>
      <formula>221118</formula>
    </cfRule>
    <cfRule type="cellIs" dxfId="5505" priority="5472" stopIfTrue="1" operator="between">
      <formula>221142</formula>
      <formula>221144</formula>
    </cfRule>
    <cfRule type="cellIs" dxfId="5504" priority="5473" stopIfTrue="1" operator="between">
      <formula>220001</formula>
      <formula>221144</formula>
    </cfRule>
  </conditionalFormatting>
  <conditionalFormatting sqref="AK13">
    <cfRule type="cellIs" dxfId="5503" priority="5468" stopIfTrue="1" operator="between">
      <formula>221101</formula>
      <formula>221118</formula>
    </cfRule>
    <cfRule type="cellIs" dxfId="5502" priority="5469" stopIfTrue="1" operator="between">
      <formula>221142</formula>
      <formula>221144</formula>
    </cfRule>
    <cfRule type="cellIs" dxfId="5501" priority="5470" stopIfTrue="1" operator="between">
      <formula>220001</formula>
      <formula>221144</formula>
    </cfRule>
  </conditionalFormatting>
  <conditionalFormatting sqref="AL13">
    <cfRule type="cellIs" dxfId="5500" priority="5465" stopIfTrue="1" operator="between">
      <formula>221101</formula>
      <formula>221118</formula>
    </cfRule>
    <cfRule type="cellIs" dxfId="5499" priority="5466" stopIfTrue="1" operator="between">
      <formula>221142</formula>
      <formula>221144</formula>
    </cfRule>
    <cfRule type="cellIs" dxfId="5498" priority="5467" stopIfTrue="1" operator="between">
      <formula>220001</formula>
      <formula>221144</formula>
    </cfRule>
  </conditionalFormatting>
  <conditionalFormatting sqref="AB13">
    <cfRule type="cellIs" dxfId="5497" priority="5462" stopIfTrue="1" operator="between">
      <formula>221101</formula>
      <formula>221118</formula>
    </cfRule>
    <cfRule type="cellIs" dxfId="5496" priority="5463" stopIfTrue="1" operator="between">
      <formula>221142</formula>
      <formula>221144</formula>
    </cfRule>
    <cfRule type="cellIs" dxfId="5495" priority="5464" stopIfTrue="1" operator="between">
      <formula>220001</formula>
      <formula>221144</formula>
    </cfRule>
  </conditionalFormatting>
  <conditionalFormatting sqref="AA13">
    <cfRule type="cellIs" dxfId="5494" priority="5459" stopIfTrue="1" operator="between">
      <formula>221101</formula>
      <formula>221118</formula>
    </cfRule>
    <cfRule type="cellIs" dxfId="5493" priority="5460" stopIfTrue="1" operator="between">
      <formula>221142</formula>
      <formula>221144</formula>
    </cfRule>
    <cfRule type="cellIs" dxfId="5492" priority="5461" stopIfTrue="1" operator="between">
      <formula>220001</formula>
      <formula>221144</formula>
    </cfRule>
  </conditionalFormatting>
  <conditionalFormatting sqref="AK13">
    <cfRule type="cellIs" dxfId="5491" priority="5456" stopIfTrue="1" operator="between">
      <formula>221101</formula>
      <formula>221118</formula>
    </cfRule>
    <cfRule type="cellIs" dxfId="5490" priority="5457" stopIfTrue="1" operator="between">
      <formula>221142</formula>
      <formula>221144</formula>
    </cfRule>
    <cfRule type="cellIs" dxfId="5489" priority="5458" stopIfTrue="1" operator="between">
      <formula>220001</formula>
      <formula>221144</formula>
    </cfRule>
  </conditionalFormatting>
  <conditionalFormatting sqref="AL13">
    <cfRule type="cellIs" dxfId="5488" priority="5453" stopIfTrue="1" operator="between">
      <formula>221101</formula>
      <formula>221118</formula>
    </cfRule>
    <cfRule type="cellIs" dxfId="5487" priority="5454" stopIfTrue="1" operator="between">
      <formula>221142</formula>
      <formula>221144</formula>
    </cfRule>
    <cfRule type="cellIs" dxfId="5486" priority="5455" stopIfTrue="1" operator="between">
      <formula>220001</formula>
      <formula>221144</formula>
    </cfRule>
  </conditionalFormatting>
  <conditionalFormatting sqref="AA13">
    <cfRule type="cellIs" dxfId="5485" priority="5450" stopIfTrue="1" operator="between">
      <formula>221101</formula>
      <formula>221118</formula>
    </cfRule>
    <cfRule type="cellIs" dxfId="5484" priority="5451" stopIfTrue="1" operator="between">
      <formula>221142</formula>
      <formula>221144</formula>
    </cfRule>
    <cfRule type="cellIs" dxfId="5483" priority="5452" stopIfTrue="1" operator="between">
      <formula>220001</formula>
      <formula>221144</formula>
    </cfRule>
  </conditionalFormatting>
  <conditionalFormatting sqref="Z13">
    <cfRule type="cellIs" dxfId="5482" priority="5447" stopIfTrue="1" operator="between">
      <formula>221101</formula>
      <formula>221118</formula>
    </cfRule>
    <cfRule type="cellIs" dxfId="5481" priority="5448" stopIfTrue="1" operator="between">
      <formula>221142</formula>
      <formula>221144</formula>
    </cfRule>
    <cfRule type="cellIs" dxfId="5480" priority="5449" stopIfTrue="1" operator="between">
      <formula>220001</formula>
      <formula>221144</formula>
    </cfRule>
  </conditionalFormatting>
  <conditionalFormatting sqref="AJ13">
    <cfRule type="cellIs" dxfId="5479" priority="5444" stopIfTrue="1" operator="between">
      <formula>221101</formula>
      <formula>221118</formula>
    </cfRule>
    <cfRule type="cellIs" dxfId="5478" priority="5445" stopIfTrue="1" operator="between">
      <formula>221142</formula>
      <formula>221144</formula>
    </cfRule>
    <cfRule type="cellIs" dxfId="5477" priority="5446" stopIfTrue="1" operator="between">
      <formula>220001</formula>
      <formula>221144</formula>
    </cfRule>
  </conditionalFormatting>
  <conditionalFormatting sqref="AK13">
    <cfRule type="cellIs" dxfId="5476" priority="5441" stopIfTrue="1" operator="between">
      <formula>221101</formula>
      <formula>221118</formula>
    </cfRule>
    <cfRule type="cellIs" dxfId="5475" priority="5442" stopIfTrue="1" operator="between">
      <formula>221142</formula>
      <formula>221144</formula>
    </cfRule>
    <cfRule type="cellIs" dxfId="5474" priority="5443" stopIfTrue="1" operator="between">
      <formula>220001</formula>
      <formula>221144</formula>
    </cfRule>
  </conditionalFormatting>
  <conditionalFormatting sqref="AB13">
    <cfRule type="cellIs" dxfId="5473" priority="5438" stopIfTrue="1" operator="between">
      <formula>221101</formula>
      <formula>221118</formula>
    </cfRule>
    <cfRule type="cellIs" dxfId="5472" priority="5439" stopIfTrue="1" operator="between">
      <formula>221142</formula>
      <formula>221144</formula>
    </cfRule>
    <cfRule type="cellIs" dxfId="5471" priority="5440" stopIfTrue="1" operator="between">
      <formula>220001</formula>
      <formula>221144</formula>
    </cfRule>
  </conditionalFormatting>
  <conditionalFormatting sqref="AA13">
    <cfRule type="cellIs" dxfId="5470" priority="5435" stopIfTrue="1" operator="between">
      <formula>221101</formula>
      <formula>221118</formula>
    </cfRule>
    <cfRule type="cellIs" dxfId="5469" priority="5436" stopIfTrue="1" operator="between">
      <formula>221142</formula>
      <formula>221144</formula>
    </cfRule>
    <cfRule type="cellIs" dxfId="5468" priority="5437" stopIfTrue="1" operator="between">
      <formula>220001</formula>
      <formula>221144</formula>
    </cfRule>
  </conditionalFormatting>
  <conditionalFormatting sqref="AK13">
    <cfRule type="cellIs" dxfId="5467" priority="5432" stopIfTrue="1" operator="between">
      <formula>221101</formula>
      <formula>221118</formula>
    </cfRule>
    <cfRule type="cellIs" dxfId="5466" priority="5433" stopIfTrue="1" operator="between">
      <formula>221142</formula>
      <formula>221144</formula>
    </cfRule>
    <cfRule type="cellIs" dxfId="5465" priority="5434" stopIfTrue="1" operator="between">
      <formula>220001</formula>
      <formula>221144</formula>
    </cfRule>
  </conditionalFormatting>
  <conditionalFormatting sqref="AL13">
    <cfRule type="cellIs" dxfId="5464" priority="5429" stopIfTrue="1" operator="between">
      <formula>221101</formula>
      <formula>221118</formula>
    </cfRule>
    <cfRule type="cellIs" dxfId="5463" priority="5430" stopIfTrue="1" operator="between">
      <formula>221142</formula>
      <formula>221144</formula>
    </cfRule>
    <cfRule type="cellIs" dxfId="5462" priority="5431" stopIfTrue="1" operator="between">
      <formula>220001</formula>
      <formula>221144</formula>
    </cfRule>
  </conditionalFormatting>
  <conditionalFormatting sqref="AA13">
    <cfRule type="cellIs" dxfId="5461" priority="5426" stopIfTrue="1" operator="between">
      <formula>221101</formula>
      <formula>221118</formula>
    </cfRule>
    <cfRule type="cellIs" dxfId="5460" priority="5427" stopIfTrue="1" operator="between">
      <formula>221142</formula>
      <formula>221144</formula>
    </cfRule>
    <cfRule type="cellIs" dxfId="5459" priority="5428" stopIfTrue="1" operator="between">
      <formula>220001</formula>
      <formula>221144</formula>
    </cfRule>
  </conditionalFormatting>
  <conditionalFormatting sqref="Z13">
    <cfRule type="cellIs" dxfId="5458" priority="5423" stopIfTrue="1" operator="between">
      <formula>221101</formula>
      <formula>221118</formula>
    </cfRule>
    <cfRule type="cellIs" dxfId="5457" priority="5424" stopIfTrue="1" operator="between">
      <formula>221142</formula>
      <formula>221144</formula>
    </cfRule>
    <cfRule type="cellIs" dxfId="5456" priority="5425" stopIfTrue="1" operator="between">
      <formula>220001</formula>
      <formula>221144</formula>
    </cfRule>
  </conditionalFormatting>
  <conditionalFormatting sqref="AJ13">
    <cfRule type="cellIs" dxfId="5455" priority="5420" stopIfTrue="1" operator="between">
      <formula>221101</formula>
      <formula>221118</formula>
    </cfRule>
    <cfRule type="cellIs" dxfId="5454" priority="5421" stopIfTrue="1" operator="between">
      <formula>221142</formula>
      <formula>221144</formula>
    </cfRule>
    <cfRule type="cellIs" dxfId="5453" priority="5422" stopIfTrue="1" operator="between">
      <formula>220001</formula>
      <formula>221144</formula>
    </cfRule>
  </conditionalFormatting>
  <conditionalFormatting sqref="AK13">
    <cfRule type="cellIs" dxfId="5452" priority="5417" stopIfTrue="1" operator="between">
      <formula>221101</formula>
      <formula>221118</formula>
    </cfRule>
    <cfRule type="cellIs" dxfId="5451" priority="5418" stopIfTrue="1" operator="between">
      <formula>221142</formula>
      <formula>221144</formula>
    </cfRule>
    <cfRule type="cellIs" dxfId="5450" priority="5419" stopIfTrue="1" operator="between">
      <formula>220001</formula>
      <formula>221144</formula>
    </cfRule>
  </conditionalFormatting>
  <conditionalFormatting sqref="AA13">
    <cfRule type="cellIs" dxfId="5449" priority="5414" stopIfTrue="1" operator="between">
      <formula>221101</formula>
      <formula>221118</formula>
    </cfRule>
    <cfRule type="cellIs" dxfId="5448" priority="5415" stopIfTrue="1" operator="between">
      <formula>221142</formula>
      <formula>221144</formula>
    </cfRule>
    <cfRule type="cellIs" dxfId="5447" priority="5416" stopIfTrue="1" operator="between">
      <formula>220001</formula>
      <formula>221144</formula>
    </cfRule>
  </conditionalFormatting>
  <conditionalFormatting sqref="Z13">
    <cfRule type="cellIs" dxfId="5446" priority="5411" stopIfTrue="1" operator="between">
      <formula>221101</formula>
      <formula>221118</formula>
    </cfRule>
    <cfRule type="cellIs" dxfId="5445" priority="5412" stopIfTrue="1" operator="between">
      <formula>221142</formula>
      <formula>221144</formula>
    </cfRule>
    <cfRule type="cellIs" dxfId="5444" priority="5413" stopIfTrue="1" operator="between">
      <formula>220001</formula>
      <formula>221144</formula>
    </cfRule>
  </conditionalFormatting>
  <conditionalFormatting sqref="AJ13">
    <cfRule type="cellIs" dxfId="5443" priority="5408" stopIfTrue="1" operator="between">
      <formula>221101</formula>
      <formula>221118</formula>
    </cfRule>
    <cfRule type="cellIs" dxfId="5442" priority="5409" stopIfTrue="1" operator="between">
      <formula>221142</formula>
      <formula>221144</formula>
    </cfRule>
    <cfRule type="cellIs" dxfId="5441" priority="5410" stopIfTrue="1" operator="between">
      <formula>220001</formula>
      <formula>221144</formula>
    </cfRule>
  </conditionalFormatting>
  <conditionalFormatting sqref="AK13">
    <cfRule type="cellIs" dxfId="5440" priority="5405" stopIfTrue="1" operator="between">
      <formula>221101</formula>
      <formula>221118</formula>
    </cfRule>
    <cfRule type="cellIs" dxfId="5439" priority="5406" stopIfTrue="1" operator="between">
      <formula>221142</formula>
      <formula>221144</formula>
    </cfRule>
    <cfRule type="cellIs" dxfId="5438" priority="5407" stopIfTrue="1" operator="between">
      <formula>220001</formula>
      <formula>221144</formula>
    </cfRule>
  </conditionalFormatting>
  <conditionalFormatting sqref="Z13">
    <cfRule type="cellIs" dxfId="5437" priority="5402" stopIfTrue="1" operator="between">
      <formula>221101</formula>
      <formula>221118</formula>
    </cfRule>
    <cfRule type="cellIs" dxfId="5436" priority="5403" stopIfTrue="1" operator="between">
      <formula>221142</formula>
      <formula>221144</formula>
    </cfRule>
    <cfRule type="cellIs" dxfId="5435" priority="5404" stopIfTrue="1" operator="between">
      <formula>220001</formula>
      <formula>221144</formula>
    </cfRule>
  </conditionalFormatting>
  <conditionalFormatting sqref="Y13">
    <cfRule type="cellIs" dxfId="5434" priority="5399" stopIfTrue="1" operator="between">
      <formula>221101</formula>
      <formula>221118</formula>
    </cfRule>
    <cfRule type="cellIs" dxfId="5433" priority="5400" stopIfTrue="1" operator="between">
      <formula>221142</formula>
      <formula>221144</formula>
    </cfRule>
    <cfRule type="cellIs" dxfId="5432" priority="5401" stopIfTrue="1" operator="between">
      <formula>220001</formula>
      <formula>221144</formula>
    </cfRule>
  </conditionalFormatting>
  <conditionalFormatting sqref="AI13">
    <cfRule type="cellIs" dxfId="5431" priority="5396" stopIfTrue="1" operator="between">
      <formula>221101</formula>
      <formula>221118</formula>
    </cfRule>
    <cfRule type="cellIs" dxfId="5430" priority="5397" stopIfTrue="1" operator="between">
      <formula>221142</formula>
      <formula>221144</formula>
    </cfRule>
    <cfRule type="cellIs" dxfId="5429" priority="5398" stopIfTrue="1" operator="between">
      <formula>220001</formula>
      <formula>221144</formula>
    </cfRule>
  </conditionalFormatting>
  <conditionalFormatting sqref="AJ13">
    <cfRule type="cellIs" dxfId="5428" priority="5393" stopIfTrue="1" operator="between">
      <formula>221101</formula>
      <formula>221118</formula>
    </cfRule>
    <cfRule type="cellIs" dxfId="5427" priority="5394" stopIfTrue="1" operator="between">
      <formula>221142</formula>
      <formula>221144</formula>
    </cfRule>
    <cfRule type="cellIs" dxfId="5426" priority="5395" stopIfTrue="1" operator="between">
      <formula>220001</formula>
      <formula>221144</formula>
    </cfRule>
  </conditionalFormatting>
  <conditionalFormatting sqref="D13">
    <cfRule type="cellIs" dxfId="5425" priority="5390" stopIfTrue="1" operator="between">
      <formula>221101</formula>
      <formula>221118</formula>
    </cfRule>
    <cfRule type="cellIs" dxfId="5424" priority="5391" stopIfTrue="1" operator="between">
      <formula>221142</formula>
      <formula>221144</formula>
    </cfRule>
    <cfRule type="cellIs" dxfId="5423" priority="5392" stopIfTrue="1" operator="between">
      <formula>220001</formula>
      <formula>221144</formula>
    </cfRule>
  </conditionalFormatting>
  <conditionalFormatting sqref="AD13">
    <cfRule type="cellIs" dxfId="5422" priority="5387" stopIfTrue="1" operator="between">
      <formula>221101</formula>
      <formula>221118</formula>
    </cfRule>
    <cfRule type="cellIs" dxfId="5421" priority="5388" stopIfTrue="1" operator="between">
      <formula>221142</formula>
      <formula>221144</formula>
    </cfRule>
    <cfRule type="cellIs" dxfId="5420" priority="5389" stopIfTrue="1" operator="between">
      <formula>220001</formula>
      <formula>221144</formula>
    </cfRule>
  </conditionalFormatting>
  <conditionalFormatting sqref="AC13">
    <cfRule type="cellIs" dxfId="5419" priority="5384" stopIfTrue="1" operator="between">
      <formula>221101</formula>
      <formula>221118</formula>
    </cfRule>
    <cfRule type="cellIs" dxfId="5418" priority="5385" stopIfTrue="1" operator="between">
      <formula>221142</formula>
      <formula>221144</formula>
    </cfRule>
    <cfRule type="cellIs" dxfId="5417" priority="5386" stopIfTrue="1" operator="between">
      <formula>220001</formula>
      <formula>221144</formula>
    </cfRule>
  </conditionalFormatting>
  <conditionalFormatting sqref="AM13">
    <cfRule type="cellIs" dxfId="5416" priority="5381" stopIfTrue="1" operator="between">
      <formula>221101</formula>
      <formula>221118</formula>
    </cfRule>
    <cfRule type="cellIs" dxfId="5415" priority="5382" stopIfTrue="1" operator="between">
      <formula>221142</formula>
      <formula>221144</formula>
    </cfRule>
    <cfRule type="cellIs" dxfId="5414" priority="5383" stopIfTrue="1" operator="between">
      <formula>220001</formula>
      <formula>221144</formula>
    </cfRule>
  </conditionalFormatting>
  <conditionalFormatting sqref="AN13">
    <cfRule type="cellIs" dxfId="5413" priority="5378" stopIfTrue="1" operator="between">
      <formula>221101</formula>
      <formula>221118</formula>
    </cfRule>
    <cfRule type="cellIs" dxfId="5412" priority="5379" stopIfTrue="1" operator="between">
      <formula>221142</formula>
      <formula>221144</formula>
    </cfRule>
    <cfRule type="cellIs" dxfId="5411" priority="5380" stopIfTrue="1" operator="between">
      <formula>220001</formula>
      <formula>221144</formula>
    </cfRule>
  </conditionalFormatting>
  <conditionalFormatting sqref="AC13">
    <cfRule type="cellIs" dxfId="5410" priority="5375" stopIfTrue="1" operator="between">
      <formula>221101</formula>
      <formula>221118</formula>
    </cfRule>
    <cfRule type="cellIs" dxfId="5409" priority="5376" stopIfTrue="1" operator="between">
      <formula>221142</formula>
      <formula>221144</formula>
    </cfRule>
    <cfRule type="cellIs" dxfId="5408" priority="5377" stopIfTrue="1" operator="between">
      <formula>220001</formula>
      <formula>221144</formula>
    </cfRule>
  </conditionalFormatting>
  <conditionalFormatting sqref="AB13">
    <cfRule type="cellIs" dxfId="5407" priority="5372" stopIfTrue="1" operator="between">
      <formula>221101</formula>
      <formula>221118</formula>
    </cfRule>
    <cfRule type="cellIs" dxfId="5406" priority="5373" stopIfTrue="1" operator="between">
      <formula>221142</formula>
      <formula>221144</formula>
    </cfRule>
    <cfRule type="cellIs" dxfId="5405" priority="5374" stopIfTrue="1" operator="between">
      <formula>220001</formula>
      <formula>221144</formula>
    </cfRule>
  </conditionalFormatting>
  <conditionalFormatting sqref="AL13">
    <cfRule type="cellIs" dxfId="5404" priority="5369" stopIfTrue="1" operator="between">
      <formula>221101</formula>
      <formula>221118</formula>
    </cfRule>
    <cfRule type="cellIs" dxfId="5403" priority="5370" stopIfTrue="1" operator="between">
      <formula>221142</formula>
      <formula>221144</formula>
    </cfRule>
    <cfRule type="cellIs" dxfId="5402" priority="5371" stopIfTrue="1" operator="between">
      <formula>220001</formula>
      <formula>221144</formula>
    </cfRule>
  </conditionalFormatting>
  <conditionalFormatting sqref="AM13">
    <cfRule type="cellIs" dxfId="5401" priority="5366" stopIfTrue="1" operator="between">
      <formula>221101</formula>
      <formula>221118</formula>
    </cfRule>
    <cfRule type="cellIs" dxfId="5400" priority="5367" stopIfTrue="1" operator="between">
      <formula>221142</formula>
      <formula>221144</formula>
    </cfRule>
    <cfRule type="cellIs" dxfId="5399" priority="5368" stopIfTrue="1" operator="between">
      <formula>220001</formula>
      <formula>221144</formula>
    </cfRule>
  </conditionalFormatting>
  <conditionalFormatting sqref="C13">
    <cfRule type="cellIs" dxfId="5398" priority="5363" stopIfTrue="1" operator="between">
      <formula>221101</formula>
      <formula>221118</formula>
    </cfRule>
    <cfRule type="cellIs" dxfId="5397" priority="5364" stopIfTrue="1" operator="between">
      <formula>221142</formula>
      <formula>221144</formula>
    </cfRule>
    <cfRule type="cellIs" dxfId="5396" priority="5365" stopIfTrue="1" operator="between">
      <formula>220001</formula>
      <formula>221144</formula>
    </cfRule>
  </conditionalFormatting>
  <conditionalFormatting sqref="C13">
    <cfRule type="cellIs" dxfId="5395" priority="5360" stopIfTrue="1" operator="between">
      <formula>221101</formula>
      <formula>221118</formula>
    </cfRule>
    <cfRule type="cellIs" dxfId="5394" priority="5361" stopIfTrue="1" operator="between">
      <formula>221142</formula>
      <formula>221144</formula>
    </cfRule>
    <cfRule type="cellIs" dxfId="5393" priority="5362" stopIfTrue="1" operator="between">
      <formula>220001</formula>
      <formula>221144</formula>
    </cfRule>
  </conditionalFormatting>
  <conditionalFormatting sqref="C13">
    <cfRule type="cellIs" dxfId="5392" priority="5357" stopIfTrue="1" operator="between">
      <formula>221101</formula>
      <formula>221118</formula>
    </cfRule>
    <cfRule type="cellIs" dxfId="5391" priority="5358" stopIfTrue="1" operator="between">
      <formula>221142</formula>
      <formula>221144</formula>
    </cfRule>
    <cfRule type="cellIs" dxfId="5390" priority="5359" stopIfTrue="1" operator="between">
      <formula>220001</formula>
      <formula>221144</formula>
    </cfRule>
  </conditionalFormatting>
  <conditionalFormatting sqref="C13">
    <cfRule type="cellIs" dxfId="5389" priority="5354" stopIfTrue="1" operator="between">
      <formula>221101</formula>
      <formula>221118</formula>
    </cfRule>
    <cfRule type="cellIs" dxfId="5388" priority="5355" stopIfTrue="1" operator="between">
      <formula>221142</formula>
      <formula>221144</formula>
    </cfRule>
    <cfRule type="cellIs" dxfId="5387" priority="5356" stopIfTrue="1" operator="between">
      <formula>220001</formula>
      <formula>221144</formula>
    </cfRule>
  </conditionalFormatting>
  <conditionalFormatting sqref="C13">
    <cfRule type="cellIs" dxfId="5386" priority="5351" stopIfTrue="1" operator="between">
      <formula>221101</formula>
      <formula>221118</formula>
    </cfRule>
    <cfRule type="cellIs" dxfId="5385" priority="5352" stopIfTrue="1" operator="between">
      <formula>221142</formula>
      <formula>221144</formula>
    </cfRule>
    <cfRule type="cellIs" dxfId="5384" priority="5353" stopIfTrue="1" operator="between">
      <formula>220001</formula>
      <formula>221144</formula>
    </cfRule>
  </conditionalFormatting>
  <conditionalFormatting sqref="AC13">
    <cfRule type="cellIs" dxfId="5383" priority="5348" stopIfTrue="1" operator="between">
      <formula>221101</formula>
      <formula>221118</formula>
    </cfRule>
    <cfRule type="cellIs" dxfId="5382" priority="5349" stopIfTrue="1" operator="between">
      <formula>221142</formula>
      <formula>221144</formula>
    </cfRule>
    <cfRule type="cellIs" dxfId="5381" priority="5350" stopIfTrue="1" operator="between">
      <formula>220001</formula>
      <formula>221144</formula>
    </cfRule>
  </conditionalFormatting>
  <conditionalFormatting sqref="AB13">
    <cfRule type="cellIs" dxfId="5380" priority="5345" stopIfTrue="1" operator="between">
      <formula>221101</formula>
      <formula>221118</formula>
    </cfRule>
    <cfRule type="cellIs" dxfId="5379" priority="5346" stopIfTrue="1" operator="between">
      <formula>221142</formula>
      <formula>221144</formula>
    </cfRule>
    <cfRule type="cellIs" dxfId="5378" priority="5347" stopIfTrue="1" operator="between">
      <formula>220001</formula>
      <formula>221144</formula>
    </cfRule>
  </conditionalFormatting>
  <conditionalFormatting sqref="AL13">
    <cfRule type="cellIs" dxfId="5377" priority="5342" stopIfTrue="1" operator="between">
      <formula>221101</formula>
      <formula>221118</formula>
    </cfRule>
    <cfRule type="cellIs" dxfId="5376" priority="5343" stopIfTrue="1" operator="between">
      <formula>221142</formula>
      <formula>221144</formula>
    </cfRule>
    <cfRule type="cellIs" dxfId="5375" priority="5344" stopIfTrue="1" operator="between">
      <formula>220001</formula>
      <formula>221144</formula>
    </cfRule>
  </conditionalFormatting>
  <conditionalFormatting sqref="AM13">
    <cfRule type="cellIs" dxfId="5374" priority="5339" stopIfTrue="1" operator="between">
      <formula>221101</formula>
      <formula>221118</formula>
    </cfRule>
    <cfRule type="cellIs" dxfId="5373" priority="5340" stopIfTrue="1" operator="between">
      <formula>221142</formula>
      <formula>221144</formula>
    </cfRule>
    <cfRule type="cellIs" dxfId="5372" priority="5341" stopIfTrue="1" operator="between">
      <formula>220001</formula>
      <formula>221144</formula>
    </cfRule>
  </conditionalFormatting>
  <conditionalFormatting sqref="AB13">
    <cfRule type="cellIs" dxfId="5371" priority="5336" stopIfTrue="1" operator="between">
      <formula>221101</formula>
      <formula>221118</formula>
    </cfRule>
    <cfRule type="cellIs" dxfId="5370" priority="5337" stopIfTrue="1" operator="between">
      <formula>221142</formula>
      <formula>221144</formula>
    </cfRule>
    <cfRule type="cellIs" dxfId="5369" priority="5338" stopIfTrue="1" operator="between">
      <formula>220001</formula>
      <formula>221144</formula>
    </cfRule>
  </conditionalFormatting>
  <conditionalFormatting sqref="AA13">
    <cfRule type="cellIs" dxfId="5368" priority="5333" stopIfTrue="1" operator="between">
      <formula>221101</formula>
      <formula>221118</formula>
    </cfRule>
    <cfRule type="cellIs" dxfId="5367" priority="5334" stopIfTrue="1" operator="between">
      <formula>221142</formula>
      <formula>221144</formula>
    </cfRule>
    <cfRule type="cellIs" dxfId="5366" priority="5335" stopIfTrue="1" operator="between">
      <formula>220001</formula>
      <formula>221144</formula>
    </cfRule>
  </conditionalFormatting>
  <conditionalFormatting sqref="AK13">
    <cfRule type="cellIs" dxfId="5365" priority="5330" stopIfTrue="1" operator="between">
      <formula>221101</formula>
      <formula>221118</formula>
    </cfRule>
    <cfRule type="cellIs" dxfId="5364" priority="5331" stopIfTrue="1" operator="between">
      <formula>221142</formula>
      <formula>221144</formula>
    </cfRule>
    <cfRule type="cellIs" dxfId="5363" priority="5332" stopIfTrue="1" operator="between">
      <formula>220001</formula>
      <formula>221144</formula>
    </cfRule>
  </conditionalFormatting>
  <conditionalFormatting sqref="AL13">
    <cfRule type="cellIs" dxfId="5362" priority="5327" stopIfTrue="1" operator="between">
      <formula>221101</formula>
      <formula>221118</formula>
    </cfRule>
    <cfRule type="cellIs" dxfId="5361" priority="5328" stopIfTrue="1" operator="between">
      <formula>221142</formula>
      <formula>221144</formula>
    </cfRule>
    <cfRule type="cellIs" dxfId="5360" priority="5329" stopIfTrue="1" operator="between">
      <formula>220001</formula>
      <formula>221144</formula>
    </cfRule>
  </conditionalFormatting>
  <conditionalFormatting sqref="C13">
    <cfRule type="cellIs" dxfId="5359" priority="5324" stopIfTrue="1" operator="between">
      <formula>221101</formula>
      <formula>221118</formula>
    </cfRule>
    <cfRule type="cellIs" dxfId="5358" priority="5325" stopIfTrue="1" operator="between">
      <formula>221142</formula>
      <formula>221144</formula>
    </cfRule>
    <cfRule type="cellIs" dxfId="5357" priority="5326" stopIfTrue="1" operator="between">
      <formula>220001</formula>
      <formula>221144</formula>
    </cfRule>
  </conditionalFormatting>
  <conditionalFormatting sqref="AC13">
    <cfRule type="cellIs" dxfId="5356" priority="5321" stopIfTrue="1" operator="between">
      <formula>221101</formula>
      <formula>221118</formula>
    </cfRule>
    <cfRule type="cellIs" dxfId="5355" priority="5322" stopIfTrue="1" operator="between">
      <formula>221142</formula>
      <formula>221144</formula>
    </cfRule>
    <cfRule type="cellIs" dxfId="5354" priority="5323" stopIfTrue="1" operator="between">
      <formula>220001</formula>
      <formula>221144</formula>
    </cfRule>
  </conditionalFormatting>
  <conditionalFormatting sqref="AB13">
    <cfRule type="cellIs" dxfId="5353" priority="5318" stopIfTrue="1" operator="between">
      <formula>221101</formula>
      <formula>221118</formula>
    </cfRule>
    <cfRule type="cellIs" dxfId="5352" priority="5319" stopIfTrue="1" operator="between">
      <formula>221142</formula>
      <formula>221144</formula>
    </cfRule>
    <cfRule type="cellIs" dxfId="5351" priority="5320" stopIfTrue="1" operator="between">
      <formula>220001</formula>
      <formula>221144</formula>
    </cfRule>
  </conditionalFormatting>
  <conditionalFormatting sqref="AL13">
    <cfRule type="cellIs" dxfId="5350" priority="5315" stopIfTrue="1" operator="between">
      <formula>221101</formula>
      <formula>221118</formula>
    </cfRule>
    <cfRule type="cellIs" dxfId="5349" priority="5316" stopIfTrue="1" operator="between">
      <formula>221142</formula>
      <formula>221144</formula>
    </cfRule>
    <cfRule type="cellIs" dxfId="5348" priority="5317" stopIfTrue="1" operator="between">
      <formula>220001</formula>
      <formula>221144</formula>
    </cfRule>
  </conditionalFormatting>
  <conditionalFormatting sqref="AM13">
    <cfRule type="cellIs" dxfId="5347" priority="5312" stopIfTrue="1" operator="between">
      <formula>221101</formula>
      <formula>221118</formula>
    </cfRule>
    <cfRule type="cellIs" dxfId="5346" priority="5313" stopIfTrue="1" operator="between">
      <formula>221142</formula>
      <formula>221144</formula>
    </cfRule>
    <cfRule type="cellIs" dxfId="5345" priority="5314" stopIfTrue="1" operator="between">
      <formula>220001</formula>
      <formula>221144</formula>
    </cfRule>
  </conditionalFormatting>
  <conditionalFormatting sqref="AB13">
    <cfRule type="cellIs" dxfId="5344" priority="5309" stopIfTrue="1" operator="between">
      <formula>221101</formula>
      <formula>221118</formula>
    </cfRule>
    <cfRule type="cellIs" dxfId="5343" priority="5310" stopIfTrue="1" operator="between">
      <formula>221142</formula>
      <formula>221144</formula>
    </cfRule>
    <cfRule type="cellIs" dxfId="5342" priority="5311" stopIfTrue="1" operator="between">
      <formula>220001</formula>
      <formula>221144</formula>
    </cfRule>
  </conditionalFormatting>
  <conditionalFormatting sqref="AA13">
    <cfRule type="cellIs" dxfId="5341" priority="5306" stopIfTrue="1" operator="between">
      <formula>221101</formula>
      <formula>221118</formula>
    </cfRule>
    <cfRule type="cellIs" dxfId="5340" priority="5307" stopIfTrue="1" operator="between">
      <formula>221142</formula>
      <formula>221144</formula>
    </cfRule>
    <cfRule type="cellIs" dxfId="5339" priority="5308" stopIfTrue="1" operator="between">
      <formula>220001</formula>
      <formula>221144</formula>
    </cfRule>
  </conditionalFormatting>
  <conditionalFormatting sqref="AK13">
    <cfRule type="cellIs" dxfId="5338" priority="5303" stopIfTrue="1" operator="between">
      <formula>221101</formula>
      <formula>221118</formula>
    </cfRule>
    <cfRule type="cellIs" dxfId="5337" priority="5304" stopIfTrue="1" operator="between">
      <formula>221142</formula>
      <formula>221144</formula>
    </cfRule>
    <cfRule type="cellIs" dxfId="5336" priority="5305" stopIfTrue="1" operator="between">
      <formula>220001</formula>
      <formula>221144</formula>
    </cfRule>
  </conditionalFormatting>
  <conditionalFormatting sqref="AL13">
    <cfRule type="cellIs" dxfId="5335" priority="5300" stopIfTrue="1" operator="between">
      <formula>221101</formula>
      <formula>221118</formula>
    </cfRule>
    <cfRule type="cellIs" dxfId="5334" priority="5301" stopIfTrue="1" operator="between">
      <formula>221142</formula>
      <formula>221144</formula>
    </cfRule>
    <cfRule type="cellIs" dxfId="5333" priority="5302" stopIfTrue="1" operator="between">
      <formula>220001</formula>
      <formula>221144</formula>
    </cfRule>
  </conditionalFormatting>
  <conditionalFormatting sqref="AB13">
    <cfRule type="cellIs" dxfId="5332" priority="5297" stopIfTrue="1" operator="between">
      <formula>221101</formula>
      <formula>221118</formula>
    </cfRule>
    <cfRule type="cellIs" dxfId="5331" priority="5298" stopIfTrue="1" operator="between">
      <formula>221142</formula>
      <formula>221144</formula>
    </cfRule>
    <cfRule type="cellIs" dxfId="5330" priority="5299" stopIfTrue="1" operator="between">
      <formula>220001</formula>
      <formula>221144</formula>
    </cfRule>
  </conditionalFormatting>
  <conditionalFormatting sqref="AA13">
    <cfRule type="cellIs" dxfId="5329" priority="5294" stopIfTrue="1" operator="between">
      <formula>221101</formula>
      <formula>221118</formula>
    </cfRule>
    <cfRule type="cellIs" dxfId="5328" priority="5295" stopIfTrue="1" operator="between">
      <formula>221142</formula>
      <formula>221144</formula>
    </cfRule>
    <cfRule type="cellIs" dxfId="5327" priority="5296" stopIfTrue="1" operator="between">
      <formula>220001</formula>
      <formula>221144</formula>
    </cfRule>
  </conditionalFormatting>
  <conditionalFormatting sqref="AK13">
    <cfRule type="cellIs" dxfId="5326" priority="5291" stopIfTrue="1" operator="between">
      <formula>221101</formula>
      <formula>221118</formula>
    </cfRule>
    <cfRule type="cellIs" dxfId="5325" priority="5292" stopIfTrue="1" operator="between">
      <formula>221142</formula>
      <formula>221144</formula>
    </cfRule>
    <cfRule type="cellIs" dxfId="5324" priority="5293" stopIfTrue="1" operator="between">
      <formula>220001</formula>
      <formula>221144</formula>
    </cfRule>
  </conditionalFormatting>
  <conditionalFormatting sqref="AL13">
    <cfRule type="cellIs" dxfId="5323" priority="5288" stopIfTrue="1" operator="between">
      <formula>221101</formula>
      <formula>221118</formula>
    </cfRule>
    <cfRule type="cellIs" dxfId="5322" priority="5289" stopIfTrue="1" operator="between">
      <formula>221142</formula>
      <formula>221144</formula>
    </cfRule>
    <cfRule type="cellIs" dxfId="5321" priority="5290" stopIfTrue="1" operator="between">
      <formula>220001</formula>
      <formula>221144</formula>
    </cfRule>
  </conditionalFormatting>
  <conditionalFormatting sqref="AA13">
    <cfRule type="cellIs" dxfId="5320" priority="5285" stopIfTrue="1" operator="between">
      <formula>221101</formula>
      <formula>221118</formula>
    </cfRule>
    <cfRule type="cellIs" dxfId="5319" priority="5286" stopIfTrue="1" operator="between">
      <formula>221142</formula>
      <formula>221144</formula>
    </cfRule>
    <cfRule type="cellIs" dxfId="5318" priority="5287" stopIfTrue="1" operator="between">
      <formula>220001</formula>
      <formula>221144</formula>
    </cfRule>
  </conditionalFormatting>
  <conditionalFormatting sqref="Z13">
    <cfRule type="cellIs" dxfId="5317" priority="5282" stopIfTrue="1" operator="between">
      <formula>221101</formula>
      <formula>221118</formula>
    </cfRule>
    <cfRule type="cellIs" dxfId="5316" priority="5283" stopIfTrue="1" operator="between">
      <formula>221142</formula>
      <formula>221144</formula>
    </cfRule>
    <cfRule type="cellIs" dxfId="5315" priority="5284" stopIfTrue="1" operator="between">
      <formula>220001</formula>
      <formula>221144</formula>
    </cfRule>
  </conditionalFormatting>
  <conditionalFormatting sqref="AJ13">
    <cfRule type="cellIs" dxfId="5314" priority="5279" stopIfTrue="1" operator="between">
      <formula>221101</formula>
      <formula>221118</formula>
    </cfRule>
    <cfRule type="cellIs" dxfId="5313" priority="5280" stopIfTrue="1" operator="between">
      <formula>221142</formula>
      <formula>221144</formula>
    </cfRule>
    <cfRule type="cellIs" dxfId="5312" priority="5281" stopIfTrue="1" operator="between">
      <formula>220001</formula>
      <formula>221144</formula>
    </cfRule>
  </conditionalFormatting>
  <conditionalFormatting sqref="AK13">
    <cfRule type="cellIs" dxfId="5311" priority="5276" stopIfTrue="1" operator="between">
      <formula>221101</formula>
      <formula>221118</formula>
    </cfRule>
    <cfRule type="cellIs" dxfId="5310" priority="5277" stopIfTrue="1" operator="between">
      <formula>221142</formula>
      <formula>221144</formula>
    </cfRule>
    <cfRule type="cellIs" dxfId="5309" priority="5278" stopIfTrue="1" operator="between">
      <formula>220001</formula>
      <formula>221144</formula>
    </cfRule>
  </conditionalFormatting>
  <conditionalFormatting sqref="C13">
    <cfRule type="cellIs" dxfId="5308" priority="5273" stopIfTrue="1" operator="between">
      <formula>221101</formula>
      <formula>221118</formula>
    </cfRule>
    <cfRule type="cellIs" dxfId="5307" priority="5274" stopIfTrue="1" operator="between">
      <formula>221142</formula>
      <formula>221144</formula>
    </cfRule>
    <cfRule type="cellIs" dxfId="5306" priority="5275" stopIfTrue="1" operator="between">
      <formula>220001</formula>
      <formula>221144</formula>
    </cfRule>
  </conditionalFormatting>
  <conditionalFormatting sqref="AC13">
    <cfRule type="cellIs" dxfId="5305" priority="5270" stopIfTrue="1" operator="between">
      <formula>221101</formula>
      <formula>221118</formula>
    </cfRule>
    <cfRule type="cellIs" dxfId="5304" priority="5271" stopIfTrue="1" operator="between">
      <formula>221142</formula>
      <formula>221144</formula>
    </cfRule>
    <cfRule type="cellIs" dxfId="5303" priority="5272" stopIfTrue="1" operator="between">
      <formula>220001</formula>
      <formula>221144</formula>
    </cfRule>
  </conditionalFormatting>
  <conditionalFormatting sqref="AB13">
    <cfRule type="cellIs" dxfId="5302" priority="5267" stopIfTrue="1" operator="between">
      <formula>221101</formula>
      <formula>221118</formula>
    </cfRule>
    <cfRule type="cellIs" dxfId="5301" priority="5268" stopIfTrue="1" operator="between">
      <formula>221142</formula>
      <formula>221144</formula>
    </cfRule>
    <cfRule type="cellIs" dxfId="5300" priority="5269" stopIfTrue="1" operator="between">
      <formula>220001</formula>
      <formula>221144</formula>
    </cfRule>
  </conditionalFormatting>
  <conditionalFormatting sqref="AL13">
    <cfRule type="cellIs" dxfId="5299" priority="5264" stopIfTrue="1" operator="between">
      <formula>221101</formula>
      <formula>221118</formula>
    </cfRule>
    <cfRule type="cellIs" dxfId="5298" priority="5265" stopIfTrue="1" operator="between">
      <formula>221142</formula>
      <formula>221144</formula>
    </cfRule>
    <cfRule type="cellIs" dxfId="5297" priority="5266" stopIfTrue="1" operator="between">
      <formula>220001</formula>
      <formula>221144</formula>
    </cfRule>
  </conditionalFormatting>
  <conditionalFormatting sqref="AM13">
    <cfRule type="cellIs" dxfId="5296" priority="5261" stopIfTrue="1" operator="between">
      <formula>221101</formula>
      <formula>221118</formula>
    </cfRule>
    <cfRule type="cellIs" dxfId="5295" priority="5262" stopIfTrue="1" operator="between">
      <formula>221142</formula>
      <formula>221144</formula>
    </cfRule>
    <cfRule type="cellIs" dxfId="5294" priority="5263" stopIfTrue="1" operator="between">
      <formula>220001</formula>
      <formula>221144</formula>
    </cfRule>
  </conditionalFormatting>
  <conditionalFormatting sqref="AB13">
    <cfRule type="cellIs" dxfId="5293" priority="5258" stopIfTrue="1" operator="between">
      <formula>221101</formula>
      <formula>221118</formula>
    </cfRule>
    <cfRule type="cellIs" dxfId="5292" priority="5259" stopIfTrue="1" operator="between">
      <formula>221142</formula>
      <formula>221144</formula>
    </cfRule>
    <cfRule type="cellIs" dxfId="5291" priority="5260" stopIfTrue="1" operator="between">
      <formula>220001</formula>
      <formula>221144</formula>
    </cfRule>
  </conditionalFormatting>
  <conditionalFormatting sqref="AA13">
    <cfRule type="cellIs" dxfId="5290" priority="5255" stopIfTrue="1" operator="between">
      <formula>221101</formula>
      <formula>221118</formula>
    </cfRule>
    <cfRule type="cellIs" dxfId="5289" priority="5256" stopIfTrue="1" operator="between">
      <formula>221142</formula>
      <formula>221144</formula>
    </cfRule>
    <cfRule type="cellIs" dxfId="5288" priority="5257" stopIfTrue="1" operator="between">
      <formula>220001</formula>
      <formula>221144</formula>
    </cfRule>
  </conditionalFormatting>
  <conditionalFormatting sqref="AK13">
    <cfRule type="cellIs" dxfId="5287" priority="5252" stopIfTrue="1" operator="between">
      <formula>221101</formula>
      <formula>221118</formula>
    </cfRule>
    <cfRule type="cellIs" dxfId="5286" priority="5253" stopIfTrue="1" operator="between">
      <formula>221142</formula>
      <formula>221144</formula>
    </cfRule>
    <cfRule type="cellIs" dxfId="5285" priority="5254" stopIfTrue="1" operator="between">
      <formula>220001</formula>
      <formula>221144</formula>
    </cfRule>
  </conditionalFormatting>
  <conditionalFormatting sqref="AL13">
    <cfRule type="cellIs" dxfId="5284" priority="5249" stopIfTrue="1" operator="between">
      <formula>221101</formula>
      <formula>221118</formula>
    </cfRule>
    <cfRule type="cellIs" dxfId="5283" priority="5250" stopIfTrue="1" operator="between">
      <formula>221142</formula>
      <formula>221144</formula>
    </cfRule>
    <cfRule type="cellIs" dxfId="5282" priority="5251" stopIfTrue="1" operator="between">
      <formula>220001</formula>
      <formula>221144</formula>
    </cfRule>
  </conditionalFormatting>
  <conditionalFormatting sqref="AB13">
    <cfRule type="cellIs" dxfId="5281" priority="5246" stopIfTrue="1" operator="between">
      <formula>221101</formula>
      <formula>221118</formula>
    </cfRule>
    <cfRule type="cellIs" dxfId="5280" priority="5247" stopIfTrue="1" operator="between">
      <formula>221142</formula>
      <formula>221144</formula>
    </cfRule>
    <cfRule type="cellIs" dxfId="5279" priority="5248" stopIfTrue="1" operator="between">
      <formula>220001</formula>
      <formula>221144</formula>
    </cfRule>
  </conditionalFormatting>
  <conditionalFormatting sqref="AA13">
    <cfRule type="cellIs" dxfId="5278" priority="5243" stopIfTrue="1" operator="between">
      <formula>221101</formula>
      <formula>221118</formula>
    </cfRule>
    <cfRule type="cellIs" dxfId="5277" priority="5244" stopIfTrue="1" operator="between">
      <formula>221142</formula>
      <formula>221144</formula>
    </cfRule>
    <cfRule type="cellIs" dxfId="5276" priority="5245" stopIfTrue="1" operator="between">
      <formula>220001</formula>
      <formula>221144</formula>
    </cfRule>
  </conditionalFormatting>
  <conditionalFormatting sqref="AK13">
    <cfRule type="cellIs" dxfId="5275" priority="5240" stopIfTrue="1" operator="between">
      <formula>221101</formula>
      <formula>221118</formula>
    </cfRule>
    <cfRule type="cellIs" dxfId="5274" priority="5241" stopIfTrue="1" operator="between">
      <formula>221142</formula>
      <formula>221144</formula>
    </cfRule>
    <cfRule type="cellIs" dxfId="5273" priority="5242" stopIfTrue="1" operator="between">
      <formula>220001</formula>
      <formula>221144</formula>
    </cfRule>
  </conditionalFormatting>
  <conditionalFormatting sqref="AL13">
    <cfRule type="cellIs" dxfId="5272" priority="5237" stopIfTrue="1" operator="between">
      <formula>221101</formula>
      <formula>221118</formula>
    </cfRule>
    <cfRule type="cellIs" dxfId="5271" priority="5238" stopIfTrue="1" operator="between">
      <formula>221142</formula>
      <formula>221144</formula>
    </cfRule>
    <cfRule type="cellIs" dxfId="5270" priority="5239" stopIfTrue="1" operator="between">
      <formula>220001</formula>
      <formula>221144</formula>
    </cfRule>
  </conditionalFormatting>
  <conditionalFormatting sqref="AA13">
    <cfRule type="cellIs" dxfId="5269" priority="5234" stopIfTrue="1" operator="between">
      <formula>221101</formula>
      <formula>221118</formula>
    </cfRule>
    <cfRule type="cellIs" dxfId="5268" priority="5235" stopIfTrue="1" operator="between">
      <formula>221142</formula>
      <formula>221144</formula>
    </cfRule>
    <cfRule type="cellIs" dxfId="5267" priority="5236" stopIfTrue="1" operator="between">
      <formula>220001</formula>
      <formula>221144</formula>
    </cfRule>
  </conditionalFormatting>
  <conditionalFormatting sqref="Z13">
    <cfRule type="cellIs" dxfId="5266" priority="5231" stopIfTrue="1" operator="between">
      <formula>221101</formula>
      <formula>221118</formula>
    </cfRule>
    <cfRule type="cellIs" dxfId="5265" priority="5232" stopIfTrue="1" operator="between">
      <formula>221142</formula>
      <formula>221144</formula>
    </cfRule>
    <cfRule type="cellIs" dxfId="5264" priority="5233" stopIfTrue="1" operator="between">
      <formula>220001</formula>
      <formula>221144</formula>
    </cfRule>
  </conditionalFormatting>
  <conditionalFormatting sqref="AJ13">
    <cfRule type="cellIs" dxfId="5263" priority="5228" stopIfTrue="1" operator="between">
      <formula>221101</formula>
      <formula>221118</formula>
    </cfRule>
    <cfRule type="cellIs" dxfId="5262" priority="5229" stopIfTrue="1" operator="between">
      <formula>221142</formula>
      <formula>221144</formula>
    </cfRule>
    <cfRule type="cellIs" dxfId="5261" priority="5230" stopIfTrue="1" operator="between">
      <formula>220001</formula>
      <formula>221144</formula>
    </cfRule>
  </conditionalFormatting>
  <conditionalFormatting sqref="AK13">
    <cfRule type="cellIs" dxfId="5260" priority="5225" stopIfTrue="1" operator="between">
      <formula>221101</formula>
      <formula>221118</formula>
    </cfRule>
    <cfRule type="cellIs" dxfId="5259" priority="5226" stopIfTrue="1" operator="between">
      <formula>221142</formula>
      <formula>221144</formula>
    </cfRule>
    <cfRule type="cellIs" dxfId="5258" priority="5227" stopIfTrue="1" operator="between">
      <formula>220001</formula>
      <formula>221144</formula>
    </cfRule>
  </conditionalFormatting>
  <conditionalFormatting sqref="AB13">
    <cfRule type="cellIs" dxfId="5257" priority="5222" stopIfTrue="1" operator="between">
      <formula>221101</formula>
      <formula>221118</formula>
    </cfRule>
    <cfRule type="cellIs" dxfId="5256" priority="5223" stopIfTrue="1" operator="between">
      <formula>221142</formula>
      <formula>221144</formula>
    </cfRule>
    <cfRule type="cellIs" dxfId="5255" priority="5224" stopIfTrue="1" operator="between">
      <formula>220001</formula>
      <formula>221144</formula>
    </cfRule>
  </conditionalFormatting>
  <conditionalFormatting sqref="AA13">
    <cfRule type="cellIs" dxfId="5254" priority="5219" stopIfTrue="1" operator="between">
      <formula>221101</formula>
      <formula>221118</formula>
    </cfRule>
    <cfRule type="cellIs" dxfId="5253" priority="5220" stopIfTrue="1" operator="between">
      <formula>221142</formula>
      <formula>221144</formula>
    </cfRule>
    <cfRule type="cellIs" dxfId="5252" priority="5221" stopIfTrue="1" operator="between">
      <formula>220001</formula>
      <formula>221144</formula>
    </cfRule>
  </conditionalFormatting>
  <conditionalFormatting sqref="AK13">
    <cfRule type="cellIs" dxfId="5251" priority="5216" stopIfTrue="1" operator="between">
      <formula>221101</formula>
      <formula>221118</formula>
    </cfRule>
    <cfRule type="cellIs" dxfId="5250" priority="5217" stopIfTrue="1" operator="between">
      <formula>221142</formula>
      <formula>221144</formula>
    </cfRule>
    <cfRule type="cellIs" dxfId="5249" priority="5218" stopIfTrue="1" operator="between">
      <formula>220001</formula>
      <formula>221144</formula>
    </cfRule>
  </conditionalFormatting>
  <conditionalFormatting sqref="AL13">
    <cfRule type="cellIs" dxfId="5248" priority="5213" stopIfTrue="1" operator="between">
      <formula>221101</formula>
      <formula>221118</formula>
    </cfRule>
    <cfRule type="cellIs" dxfId="5247" priority="5214" stopIfTrue="1" operator="between">
      <formula>221142</formula>
      <formula>221144</formula>
    </cfRule>
    <cfRule type="cellIs" dxfId="5246" priority="5215" stopIfTrue="1" operator="between">
      <formula>220001</formula>
      <formula>221144</formula>
    </cfRule>
  </conditionalFormatting>
  <conditionalFormatting sqref="AA13">
    <cfRule type="cellIs" dxfId="5245" priority="5210" stopIfTrue="1" operator="between">
      <formula>221101</formula>
      <formula>221118</formula>
    </cfRule>
    <cfRule type="cellIs" dxfId="5244" priority="5211" stopIfTrue="1" operator="between">
      <formula>221142</formula>
      <formula>221144</formula>
    </cfRule>
    <cfRule type="cellIs" dxfId="5243" priority="5212" stopIfTrue="1" operator="between">
      <formula>220001</formula>
      <formula>221144</formula>
    </cfRule>
  </conditionalFormatting>
  <conditionalFormatting sqref="Z13">
    <cfRule type="cellIs" dxfId="5242" priority="5207" stopIfTrue="1" operator="between">
      <formula>221101</formula>
      <formula>221118</formula>
    </cfRule>
    <cfRule type="cellIs" dxfId="5241" priority="5208" stopIfTrue="1" operator="between">
      <formula>221142</formula>
      <formula>221144</formula>
    </cfRule>
    <cfRule type="cellIs" dxfId="5240" priority="5209" stopIfTrue="1" operator="between">
      <formula>220001</formula>
      <formula>221144</formula>
    </cfRule>
  </conditionalFormatting>
  <conditionalFormatting sqref="AJ13">
    <cfRule type="cellIs" dxfId="5239" priority="5204" stopIfTrue="1" operator="between">
      <formula>221101</formula>
      <formula>221118</formula>
    </cfRule>
    <cfRule type="cellIs" dxfId="5238" priority="5205" stopIfTrue="1" operator="between">
      <formula>221142</formula>
      <formula>221144</formula>
    </cfRule>
    <cfRule type="cellIs" dxfId="5237" priority="5206" stopIfTrue="1" operator="between">
      <formula>220001</formula>
      <formula>221144</formula>
    </cfRule>
  </conditionalFormatting>
  <conditionalFormatting sqref="AK13">
    <cfRule type="cellIs" dxfId="5236" priority="5201" stopIfTrue="1" operator="between">
      <formula>221101</formula>
      <formula>221118</formula>
    </cfRule>
    <cfRule type="cellIs" dxfId="5235" priority="5202" stopIfTrue="1" operator="between">
      <formula>221142</formula>
      <formula>221144</formula>
    </cfRule>
    <cfRule type="cellIs" dxfId="5234" priority="5203" stopIfTrue="1" operator="between">
      <formula>220001</formula>
      <formula>221144</formula>
    </cfRule>
  </conditionalFormatting>
  <conditionalFormatting sqref="AA13">
    <cfRule type="cellIs" dxfId="5233" priority="5198" stopIfTrue="1" operator="between">
      <formula>221101</formula>
      <formula>221118</formula>
    </cfRule>
    <cfRule type="cellIs" dxfId="5232" priority="5199" stopIfTrue="1" operator="between">
      <formula>221142</formula>
      <formula>221144</formula>
    </cfRule>
    <cfRule type="cellIs" dxfId="5231" priority="5200" stopIfTrue="1" operator="between">
      <formula>220001</formula>
      <formula>221144</formula>
    </cfRule>
  </conditionalFormatting>
  <conditionalFormatting sqref="Z13">
    <cfRule type="cellIs" dxfId="5230" priority="5195" stopIfTrue="1" operator="between">
      <formula>221101</formula>
      <formula>221118</formula>
    </cfRule>
    <cfRule type="cellIs" dxfId="5229" priority="5196" stopIfTrue="1" operator="between">
      <formula>221142</formula>
      <formula>221144</formula>
    </cfRule>
    <cfRule type="cellIs" dxfId="5228" priority="5197" stopIfTrue="1" operator="between">
      <formula>220001</formula>
      <formula>221144</formula>
    </cfRule>
  </conditionalFormatting>
  <conditionalFormatting sqref="AJ13">
    <cfRule type="cellIs" dxfId="5227" priority="5192" stopIfTrue="1" operator="between">
      <formula>221101</formula>
      <formula>221118</formula>
    </cfRule>
    <cfRule type="cellIs" dxfId="5226" priority="5193" stopIfTrue="1" operator="between">
      <formula>221142</formula>
      <formula>221144</formula>
    </cfRule>
    <cfRule type="cellIs" dxfId="5225" priority="5194" stopIfTrue="1" operator="between">
      <formula>220001</formula>
      <formula>221144</formula>
    </cfRule>
  </conditionalFormatting>
  <conditionalFormatting sqref="AK13">
    <cfRule type="cellIs" dxfId="5224" priority="5189" stopIfTrue="1" operator="between">
      <formula>221101</formula>
      <formula>221118</formula>
    </cfRule>
    <cfRule type="cellIs" dxfId="5223" priority="5190" stopIfTrue="1" operator="between">
      <formula>221142</formula>
      <formula>221144</formula>
    </cfRule>
    <cfRule type="cellIs" dxfId="5222" priority="5191" stopIfTrue="1" operator="between">
      <formula>220001</formula>
      <formula>221144</formula>
    </cfRule>
  </conditionalFormatting>
  <conditionalFormatting sqref="Z13">
    <cfRule type="cellIs" dxfId="5221" priority="5186" stopIfTrue="1" operator="between">
      <formula>221101</formula>
      <formula>221118</formula>
    </cfRule>
    <cfRule type="cellIs" dxfId="5220" priority="5187" stopIfTrue="1" operator="between">
      <formula>221142</formula>
      <formula>221144</formula>
    </cfRule>
    <cfRule type="cellIs" dxfId="5219" priority="5188" stopIfTrue="1" operator="between">
      <formula>220001</formula>
      <formula>221144</formula>
    </cfRule>
  </conditionalFormatting>
  <conditionalFormatting sqref="Y13">
    <cfRule type="cellIs" dxfId="5218" priority="5183" stopIfTrue="1" operator="between">
      <formula>221101</formula>
      <formula>221118</formula>
    </cfRule>
    <cfRule type="cellIs" dxfId="5217" priority="5184" stopIfTrue="1" operator="between">
      <formula>221142</formula>
      <formula>221144</formula>
    </cfRule>
    <cfRule type="cellIs" dxfId="5216" priority="5185" stopIfTrue="1" operator="between">
      <formula>220001</formula>
      <formula>221144</formula>
    </cfRule>
  </conditionalFormatting>
  <conditionalFormatting sqref="AI13">
    <cfRule type="cellIs" dxfId="5215" priority="5180" stopIfTrue="1" operator="between">
      <formula>221101</formula>
      <formula>221118</formula>
    </cfRule>
    <cfRule type="cellIs" dxfId="5214" priority="5181" stopIfTrue="1" operator="between">
      <formula>221142</formula>
      <formula>221144</formula>
    </cfRule>
    <cfRule type="cellIs" dxfId="5213" priority="5182" stopIfTrue="1" operator="between">
      <formula>220001</formula>
      <formula>221144</formula>
    </cfRule>
  </conditionalFormatting>
  <conditionalFormatting sqref="AJ13">
    <cfRule type="cellIs" dxfId="5212" priority="5177" stopIfTrue="1" operator="between">
      <formula>221101</formula>
      <formula>221118</formula>
    </cfRule>
    <cfRule type="cellIs" dxfId="5211" priority="5178" stopIfTrue="1" operator="between">
      <formula>221142</formula>
      <formula>221144</formula>
    </cfRule>
    <cfRule type="cellIs" dxfId="5210" priority="5179" stopIfTrue="1" operator="between">
      <formula>220001</formula>
      <formula>221144</formula>
    </cfRule>
  </conditionalFormatting>
  <conditionalFormatting sqref="C13">
    <cfRule type="cellIs" dxfId="5209" priority="5174" stopIfTrue="1" operator="between">
      <formula>221101</formula>
      <formula>221118</formula>
    </cfRule>
    <cfRule type="cellIs" dxfId="5208" priority="5175" stopIfTrue="1" operator="between">
      <formula>221142</formula>
      <formula>221144</formula>
    </cfRule>
    <cfRule type="cellIs" dxfId="5207" priority="5176" stopIfTrue="1" operator="between">
      <formula>220001</formula>
      <formula>221144</formula>
    </cfRule>
  </conditionalFormatting>
  <conditionalFormatting sqref="AC13">
    <cfRule type="cellIs" dxfId="5206" priority="5171" stopIfTrue="1" operator="between">
      <formula>221101</formula>
      <formula>221118</formula>
    </cfRule>
    <cfRule type="cellIs" dxfId="5205" priority="5172" stopIfTrue="1" operator="between">
      <formula>221142</formula>
      <formula>221144</formula>
    </cfRule>
    <cfRule type="cellIs" dxfId="5204" priority="5173" stopIfTrue="1" operator="between">
      <formula>220001</formula>
      <formula>221144</formula>
    </cfRule>
  </conditionalFormatting>
  <conditionalFormatting sqref="AB13">
    <cfRule type="cellIs" dxfId="5203" priority="5168" stopIfTrue="1" operator="between">
      <formula>221101</formula>
      <formula>221118</formula>
    </cfRule>
    <cfRule type="cellIs" dxfId="5202" priority="5169" stopIfTrue="1" operator="between">
      <formula>221142</formula>
      <formula>221144</formula>
    </cfRule>
    <cfRule type="cellIs" dxfId="5201" priority="5170" stopIfTrue="1" operator="between">
      <formula>220001</formula>
      <formula>221144</formula>
    </cfRule>
  </conditionalFormatting>
  <conditionalFormatting sqref="AL13">
    <cfRule type="cellIs" dxfId="5200" priority="5165" stopIfTrue="1" operator="between">
      <formula>221101</formula>
      <formula>221118</formula>
    </cfRule>
    <cfRule type="cellIs" dxfId="5199" priority="5166" stopIfTrue="1" operator="between">
      <formula>221142</formula>
      <formula>221144</formula>
    </cfRule>
    <cfRule type="cellIs" dxfId="5198" priority="5167" stopIfTrue="1" operator="between">
      <formula>220001</formula>
      <formula>221144</formula>
    </cfRule>
  </conditionalFormatting>
  <conditionalFormatting sqref="AM13">
    <cfRule type="cellIs" dxfId="5197" priority="5162" stopIfTrue="1" operator="between">
      <formula>221101</formula>
      <formula>221118</formula>
    </cfRule>
    <cfRule type="cellIs" dxfId="5196" priority="5163" stopIfTrue="1" operator="between">
      <formula>221142</formula>
      <formula>221144</formula>
    </cfRule>
    <cfRule type="cellIs" dxfId="5195" priority="5164" stopIfTrue="1" operator="between">
      <formula>220001</formula>
      <formula>221144</formula>
    </cfRule>
  </conditionalFormatting>
  <conditionalFormatting sqref="AB13">
    <cfRule type="cellIs" dxfId="5194" priority="5159" stopIfTrue="1" operator="between">
      <formula>221101</formula>
      <formula>221118</formula>
    </cfRule>
    <cfRule type="cellIs" dxfId="5193" priority="5160" stopIfTrue="1" operator="between">
      <formula>221142</formula>
      <formula>221144</formula>
    </cfRule>
    <cfRule type="cellIs" dxfId="5192" priority="5161" stopIfTrue="1" operator="between">
      <formula>220001</formula>
      <formula>221144</formula>
    </cfRule>
  </conditionalFormatting>
  <conditionalFormatting sqref="AA13">
    <cfRule type="cellIs" dxfId="5191" priority="5156" stopIfTrue="1" operator="between">
      <formula>221101</formula>
      <formula>221118</formula>
    </cfRule>
    <cfRule type="cellIs" dxfId="5190" priority="5157" stopIfTrue="1" operator="between">
      <formula>221142</formula>
      <formula>221144</formula>
    </cfRule>
    <cfRule type="cellIs" dxfId="5189" priority="5158" stopIfTrue="1" operator="between">
      <formula>220001</formula>
      <formula>221144</formula>
    </cfRule>
  </conditionalFormatting>
  <conditionalFormatting sqref="AK13">
    <cfRule type="cellIs" dxfId="5188" priority="5153" stopIfTrue="1" operator="between">
      <formula>221101</formula>
      <formula>221118</formula>
    </cfRule>
    <cfRule type="cellIs" dxfId="5187" priority="5154" stopIfTrue="1" operator="between">
      <formula>221142</formula>
      <formula>221144</formula>
    </cfRule>
    <cfRule type="cellIs" dxfId="5186" priority="5155" stopIfTrue="1" operator="between">
      <formula>220001</formula>
      <formula>221144</formula>
    </cfRule>
  </conditionalFormatting>
  <conditionalFormatting sqref="AL13">
    <cfRule type="cellIs" dxfId="5185" priority="5150" stopIfTrue="1" operator="between">
      <formula>221101</formula>
      <formula>221118</formula>
    </cfRule>
    <cfRule type="cellIs" dxfId="5184" priority="5151" stopIfTrue="1" operator="between">
      <formula>221142</formula>
      <formula>221144</formula>
    </cfRule>
    <cfRule type="cellIs" dxfId="5183" priority="5152" stopIfTrue="1" operator="between">
      <formula>220001</formula>
      <formula>221144</formula>
    </cfRule>
  </conditionalFormatting>
  <conditionalFormatting sqref="AB13">
    <cfRule type="cellIs" dxfId="5182" priority="5147" stopIfTrue="1" operator="between">
      <formula>221101</formula>
      <formula>221118</formula>
    </cfRule>
    <cfRule type="cellIs" dxfId="5181" priority="5148" stopIfTrue="1" operator="between">
      <formula>221142</formula>
      <formula>221144</formula>
    </cfRule>
    <cfRule type="cellIs" dxfId="5180" priority="5149" stopIfTrue="1" operator="between">
      <formula>220001</formula>
      <formula>221144</formula>
    </cfRule>
  </conditionalFormatting>
  <conditionalFormatting sqref="AA13">
    <cfRule type="cellIs" dxfId="5179" priority="5144" stopIfTrue="1" operator="between">
      <formula>221101</formula>
      <formula>221118</formula>
    </cfRule>
    <cfRule type="cellIs" dxfId="5178" priority="5145" stopIfTrue="1" operator="between">
      <formula>221142</formula>
      <formula>221144</formula>
    </cfRule>
    <cfRule type="cellIs" dxfId="5177" priority="5146" stopIfTrue="1" operator="between">
      <formula>220001</formula>
      <formula>221144</formula>
    </cfRule>
  </conditionalFormatting>
  <conditionalFormatting sqref="AK13">
    <cfRule type="cellIs" dxfId="5176" priority="5141" stopIfTrue="1" operator="between">
      <formula>221101</formula>
      <formula>221118</formula>
    </cfRule>
    <cfRule type="cellIs" dxfId="5175" priority="5142" stopIfTrue="1" operator="between">
      <formula>221142</formula>
      <formula>221144</formula>
    </cfRule>
    <cfRule type="cellIs" dxfId="5174" priority="5143" stopIfTrue="1" operator="between">
      <formula>220001</formula>
      <formula>221144</formula>
    </cfRule>
  </conditionalFormatting>
  <conditionalFormatting sqref="AL13">
    <cfRule type="cellIs" dxfId="5173" priority="5138" stopIfTrue="1" operator="between">
      <formula>221101</formula>
      <formula>221118</formula>
    </cfRule>
    <cfRule type="cellIs" dxfId="5172" priority="5139" stopIfTrue="1" operator="between">
      <formula>221142</formula>
      <formula>221144</formula>
    </cfRule>
    <cfRule type="cellIs" dxfId="5171" priority="5140" stopIfTrue="1" operator="between">
      <formula>220001</formula>
      <formula>221144</formula>
    </cfRule>
  </conditionalFormatting>
  <conditionalFormatting sqref="AA13">
    <cfRule type="cellIs" dxfId="5170" priority="5135" stopIfTrue="1" operator="between">
      <formula>221101</formula>
      <formula>221118</formula>
    </cfRule>
    <cfRule type="cellIs" dxfId="5169" priority="5136" stopIfTrue="1" operator="between">
      <formula>221142</formula>
      <formula>221144</formula>
    </cfRule>
    <cfRule type="cellIs" dxfId="5168" priority="5137" stopIfTrue="1" operator="between">
      <formula>220001</formula>
      <formula>221144</formula>
    </cfRule>
  </conditionalFormatting>
  <conditionalFormatting sqref="Z13">
    <cfRule type="cellIs" dxfId="5167" priority="5132" stopIfTrue="1" operator="between">
      <formula>221101</formula>
      <formula>221118</formula>
    </cfRule>
    <cfRule type="cellIs" dxfId="5166" priority="5133" stopIfTrue="1" operator="between">
      <formula>221142</formula>
      <formula>221144</formula>
    </cfRule>
    <cfRule type="cellIs" dxfId="5165" priority="5134" stopIfTrue="1" operator="between">
      <formula>220001</formula>
      <formula>221144</formula>
    </cfRule>
  </conditionalFormatting>
  <conditionalFormatting sqref="AJ13">
    <cfRule type="cellIs" dxfId="5164" priority="5129" stopIfTrue="1" operator="between">
      <formula>221101</formula>
      <formula>221118</formula>
    </cfRule>
    <cfRule type="cellIs" dxfId="5163" priority="5130" stopIfTrue="1" operator="between">
      <formula>221142</formula>
      <formula>221144</formula>
    </cfRule>
    <cfRule type="cellIs" dxfId="5162" priority="5131" stopIfTrue="1" operator="between">
      <formula>220001</formula>
      <formula>221144</formula>
    </cfRule>
  </conditionalFormatting>
  <conditionalFormatting sqref="AK13">
    <cfRule type="cellIs" dxfId="5161" priority="5126" stopIfTrue="1" operator="between">
      <formula>221101</formula>
      <formula>221118</formula>
    </cfRule>
    <cfRule type="cellIs" dxfId="5160" priority="5127" stopIfTrue="1" operator="between">
      <formula>221142</formula>
      <formula>221144</formula>
    </cfRule>
    <cfRule type="cellIs" dxfId="5159" priority="5128" stopIfTrue="1" operator="between">
      <formula>220001</formula>
      <formula>221144</formula>
    </cfRule>
  </conditionalFormatting>
  <conditionalFormatting sqref="AB13">
    <cfRule type="cellIs" dxfId="5158" priority="5123" stopIfTrue="1" operator="between">
      <formula>221101</formula>
      <formula>221118</formula>
    </cfRule>
    <cfRule type="cellIs" dxfId="5157" priority="5124" stopIfTrue="1" operator="between">
      <formula>221142</formula>
      <formula>221144</formula>
    </cfRule>
    <cfRule type="cellIs" dxfId="5156" priority="5125" stopIfTrue="1" operator="between">
      <formula>220001</formula>
      <formula>221144</formula>
    </cfRule>
  </conditionalFormatting>
  <conditionalFormatting sqref="AA13">
    <cfRule type="cellIs" dxfId="5155" priority="5120" stopIfTrue="1" operator="between">
      <formula>221101</formula>
      <formula>221118</formula>
    </cfRule>
    <cfRule type="cellIs" dxfId="5154" priority="5121" stopIfTrue="1" operator="between">
      <formula>221142</formula>
      <formula>221144</formula>
    </cfRule>
    <cfRule type="cellIs" dxfId="5153" priority="5122" stopIfTrue="1" operator="between">
      <formula>220001</formula>
      <formula>221144</formula>
    </cfRule>
  </conditionalFormatting>
  <conditionalFormatting sqref="AK13">
    <cfRule type="cellIs" dxfId="5152" priority="5117" stopIfTrue="1" operator="between">
      <formula>221101</formula>
      <formula>221118</formula>
    </cfRule>
    <cfRule type="cellIs" dxfId="5151" priority="5118" stopIfTrue="1" operator="between">
      <formula>221142</formula>
      <formula>221144</formula>
    </cfRule>
    <cfRule type="cellIs" dxfId="5150" priority="5119" stopIfTrue="1" operator="between">
      <formula>220001</formula>
      <formula>221144</formula>
    </cfRule>
  </conditionalFormatting>
  <conditionalFormatting sqref="AL13">
    <cfRule type="cellIs" dxfId="5149" priority="5114" stopIfTrue="1" operator="between">
      <formula>221101</formula>
      <formula>221118</formula>
    </cfRule>
    <cfRule type="cellIs" dxfId="5148" priority="5115" stopIfTrue="1" operator="between">
      <formula>221142</formula>
      <formula>221144</formula>
    </cfRule>
    <cfRule type="cellIs" dxfId="5147" priority="5116" stopIfTrue="1" operator="between">
      <formula>220001</formula>
      <formula>221144</formula>
    </cfRule>
  </conditionalFormatting>
  <conditionalFormatting sqref="AA13">
    <cfRule type="cellIs" dxfId="5146" priority="5111" stopIfTrue="1" operator="between">
      <formula>221101</formula>
      <formula>221118</formula>
    </cfRule>
    <cfRule type="cellIs" dxfId="5145" priority="5112" stopIfTrue="1" operator="between">
      <formula>221142</formula>
      <formula>221144</formula>
    </cfRule>
    <cfRule type="cellIs" dxfId="5144" priority="5113" stopIfTrue="1" operator="between">
      <formula>220001</formula>
      <formula>221144</formula>
    </cfRule>
  </conditionalFormatting>
  <conditionalFormatting sqref="Z13">
    <cfRule type="cellIs" dxfId="5143" priority="5108" stopIfTrue="1" operator="between">
      <formula>221101</formula>
      <formula>221118</formula>
    </cfRule>
    <cfRule type="cellIs" dxfId="5142" priority="5109" stopIfTrue="1" operator="between">
      <formula>221142</formula>
      <formula>221144</formula>
    </cfRule>
    <cfRule type="cellIs" dxfId="5141" priority="5110" stopIfTrue="1" operator="between">
      <formula>220001</formula>
      <formula>221144</formula>
    </cfRule>
  </conditionalFormatting>
  <conditionalFormatting sqref="AJ13">
    <cfRule type="cellIs" dxfId="5140" priority="5105" stopIfTrue="1" operator="between">
      <formula>221101</formula>
      <formula>221118</formula>
    </cfRule>
    <cfRule type="cellIs" dxfId="5139" priority="5106" stopIfTrue="1" operator="between">
      <formula>221142</formula>
      <formula>221144</formula>
    </cfRule>
    <cfRule type="cellIs" dxfId="5138" priority="5107" stopIfTrue="1" operator="between">
      <formula>220001</formula>
      <formula>221144</formula>
    </cfRule>
  </conditionalFormatting>
  <conditionalFormatting sqref="AK13">
    <cfRule type="cellIs" dxfId="5137" priority="5102" stopIfTrue="1" operator="between">
      <formula>221101</formula>
      <formula>221118</formula>
    </cfRule>
    <cfRule type="cellIs" dxfId="5136" priority="5103" stopIfTrue="1" operator="between">
      <formula>221142</formula>
      <formula>221144</formula>
    </cfRule>
    <cfRule type="cellIs" dxfId="5135" priority="5104" stopIfTrue="1" operator="between">
      <formula>220001</formula>
      <formula>221144</formula>
    </cfRule>
  </conditionalFormatting>
  <conditionalFormatting sqref="AA13">
    <cfRule type="cellIs" dxfId="5134" priority="5099" stopIfTrue="1" operator="between">
      <formula>221101</formula>
      <formula>221118</formula>
    </cfRule>
    <cfRule type="cellIs" dxfId="5133" priority="5100" stopIfTrue="1" operator="between">
      <formula>221142</formula>
      <formula>221144</formula>
    </cfRule>
    <cfRule type="cellIs" dxfId="5132" priority="5101" stopIfTrue="1" operator="between">
      <formula>220001</formula>
      <formula>221144</formula>
    </cfRule>
  </conditionalFormatting>
  <conditionalFormatting sqref="Z13">
    <cfRule type="cellIs" dxfId="5131" priority="5096" stopIfTrue="1" operator="between">
      <formula>221101</formula>
      <formula>221118</formula>
    </cfRule>
    <cfRule type="cellIs" dxfId="5130" priority="5097" stopIfTrue="1" operator="between">
      <formula>221142</formula>
      <formula>221144</formula>
    </cfRule>
    <cfRule type="cellIs" dxfId="5129" priority="5098" stopIfTrue="1" operator="between">
      <formula>220001</formula>
      <formula>221144</formula>
    </cfRule>
  </conditionalFormatting>
  <conditionalFormatting sqref="AJ13">
    <cfRule type="cellIs" dxfId="5128" priority="5093" stopIfTrue="1" operator="between">
      <formula>221101</formula>
      <formula>221118</formula>
    </cfRule>
    <cfRule type="cellIs" dxfId="5127" priority="5094" stopIfTrue="1" operator="between">
      <formula>221142</formula>
      <formula>221144</formula>
    </cfRule>
    <cfRule type="cellIs" dxfId="5126" priority="5095" stopIfTrue="1" operator="between">
      <formula>220001</formula>
      <formula>221144</formula>
    </cfRule>
  </conditionalFormatting>
  <conditionalFormatting sqref="AK13">
    <cfRule type="cellIs" dxfId="5125" priority="5090" stopIfTrue="1" operator="between">
      <formula>221101</formula>
      <formula>221118</formula>
    </cfRule>
    <cfRule type="cellIs" dxfId="5124" priority="5091" stopIfTrue="1" operator="between">
      <formula>221142</formula>
      <formula>221144</formula>
    </cfRule>
    <cfRule type="cellIs" dxfId="5123" priority="5092" stopIfTrue="1" operator="between">
      <formula>220001</formula>
      <formula>221144</formula>
    </cfRule>
  </conditionalFormatting>
  <conditionalFormatting sqref="Z13">
    <cfRule type="cellIs" dxfId="5122" priority="5087" stopIfTrue="1" operator="between">
      <formula>221101</formula>
      <formula>221118</formula>
    </cfRule>
    <cfRule type="cellIs" dxfId="5121" priority="5088" stopIfTrue="1" operator="between">
      <formula>221142</formula>
      <formula>221144</formula>
    </cfRule>
    <cfRule type="cellIs" dxfId="5120" priority="5089" stopIfTrue="1" operator="between">
      <formula>220001</formula>
      <formula>221144</formula>
    </cfRule>
  </conditionalFormatting>
  <conditionalFormatting sqref="Y13">
    <cfRule type="cellIs" dxfId="5119" priority="5084" stopIfTrue="1" operator="between">
      <formula>221101</formula>
      <formula>221118</formula>
    </cfRule>
    <cfRule type="cellIs" dxfId="5118" priority="5085" stopIfTrue="1" operator="between">
      <formula>221142</formula>
      <formula>221144</formula>
    </cfRule>
    <cfRule type="cellIs" dxfId="5117" priority="5086" stopIfTrue="1" operator="between">
      <formula>220001</formula>
      <formula>221144</formula>
    </cfRule>
  </conditionalFormatting>
  <conditionalFormatting sqref="AI13">
    <cfRule type="cellIs" dxfId="5116" priority="5081" stopIfTrue="1" operator="between">
      <formula>221101</formula>
      <formula>221118</formula>
    </cfRule>
    <cfRule type="cellIs" dxfId="5115" priority="5082" stopIfTrue="1" operator="between">
      <formula>221142</formula>
      <formula>221144</formula>
    </cfRule>
    <cfRule type="cellIs" dxfId="5114" priority="5083" stopIfTrue="1" operator="between">
      <formula>220001</formula>
      <formula>221144</formula>
    </cfRule>
  </conditionalFormatting>
  <conditionalFormatting sqref="AJ13">
    <cfRule type="cellIs" dxfId="5113" priority="5078" stopIfTrue="1" operator="between">
      <formula>221101</formula>
      <formula>221118</formula>
    </cfRule>
    <cfRule type="cellIs" dxfId="5112" priority="5079" stopIfTrue="1" operator="between">
      <formula>221142</formula>
      <formula>221144</formula>
    </cfRule>
    <cfRule type="cellIs" dxfId="5111" priority="5080" stopIfTrue="1" operator="between">
      <formula>220001</formula>
      <formula>221144</formula>
    </cfRule>
  </conditionalFormatting>
  <conditionalFormatting sqref="AB13">
    <cfRule type="cellIs" dxfId="5110" priority="5075" stopIfTrue="1" operator="between">
      <formula>221101</formula>
      <formula>221118</formula>
    </cfRule>
    <cfRule type="cellIs" dxfId="5109" priority="5076" stopIfTrue="1" operator="between">
      <formula>221142</formula>
      <formula>221144</formula>
    </cfRule>
    <cfRule type="cellIs" dxfId="5108" priority="5077" stopIfTrue="1" operator="between">
      <formula>220001</formula>
      <formula>221144</formula>
    </cfRule>
  </conditionalFormatting>
  <conditionalFormatting sqref="AA13">
    <cfRule type="cellIs" dxfId="5107" priority="5072" stopIfTrue="1" operator="between">
      <formula>221101</formula>
      <formula>221118</formula>
    </cfRule>
    <cfRule type="cellIs" dxfId="5106" priority="5073" stopIfTrue="1" operator="between">
      <formula>221142</formula>
      <formula>221144</formula>
    </cfRule>
    <cfRule type="cellIs" dxfId="5105" priority="5074" stopIfTrue="1" operator="between">
      <formula>220001</formula>
      <formula>221144</formula>
    </cfRule>
  </conditionalFormatting>
  <conditionalFormatting sqref="AK13">
    <cfRule type="cellIs" dxfId="5104" priority="5069" stopIfTrue="1" operator="between">
      <formula>221101</formula>
      <formula>221118</formula>
    </cfRule>
    <cfRule type="cellIs" dxfId="5103" priority="5070" stopIfTrue="1" operator="between">
      <formula>221142</formula>
      <formula>221144</formula>
    </cfRule>
    <cfRule type="cellIs" dxfId="5102" priority="5071" stopIfTrue="1" operator="between">
      <formula>220001</formula>
      <formula>221144</formula>
    </cfRule>
  </conditionalFormatting>
  <conditionalFormatting sqref="AL13">
    <cfRule type="cellIs" dxfId="5101" priority="5066" stopIfTrue="1" operator="between">
      <formula>221101</formula>
      <formula>221118</formula>
    </cfRule>
    <cfRule type="cellIs" dxfId="5100" priority="5067" stopIfTrue="1" operator="between">
      <formula>221142</formula>
      <formula>221144</formula>
    </cfRule>
    <cfRule type="cellIs" dxfId="5099" priority="5068" stopIfTrue="1" operator="between">
      <formula>220001</formula>
      <formula>221144</formula>
    </cfRule>
  </conditionalFormatting>
  <conditionalFormatting sqref="AA13">
    <cfRule type="cellIs" dxfId="5098" priority="5063" stopIfTrue="1" operator="between">
      <formula>221101</formula>
      <formula>221118</formula>
    </cfRule>
    <cfRule type="cellIs" dxfId="5097" priority="5064" stopIfTrue="1" operator="between">
      <formula>221142</formula>
      <formula>221144</formula>
    </cfRule>
    <cfRule type="cellIs" dxfId="5096" priority="5065" stopIfTrue="1" operator="between">
      <formula>220001</formula>
      <formula>221144</formula>
    </cfRule>
  </conditionalFormatting>
  <conditionalFormatting sqref="Z13">
    <cfRule type="cellIs" dxfId="5095" priority="5060" stopIfTrue="1" operator="between">
      <formula>221101</formula>
      <formula>221118</formula>
    </cfRule>
    <cfRule type="cellIs" dxfId="5094" priority="5061" stopIfTrue="1" operator="between">
      <formula>221142</formula>
      <formula>221144</formula>
    </cfRule>
    <cfRule type="cellIs" dxfId="5093" priority="5062" stopIfTrue="1" operator="between">
      <formula>220001</formula>
      <formula>221144</formula>
    </cfRule>
  </conditionalFormatting>
  <conditionalFormatting sqref="AJ13">
    <cfRule type="cellIs" dxfId="5092" priority="5057" stopIfTrue="1" operator="between">
      <formula>221101</formula>
      <formula>221118</formula>
    </cfRule>
    <cfRule type="cellIs" dxfId="5091" priority="5058" stopIfTrue="1" operator="between">
      <formula>221142</formula>
      <formula>221144</formula>
    </cfRule>
    <cfRule type="cellIs" dxfId="5090" priority="5059" stopIfTrue="1" operator="between">
      <formula>220001</formula>
      <formula>221144</formula>
    </cfRule>
  </conditionalFormatting>
  <conditionalFormatting sqref="AK13">
    <cfRule type="cellIs" dxfId="5089" priority="5054" stopIfTrue="1" operator="between">
      <formula>221101</formula>
      <formula>221118</formula>
    </cfRule>
    <cfRule type="cellIs" dxfId="5088" priority="5055" stopIfTrue="1" operator="between">
      <formula>221142</formula>
      <formula>221144</formula>
    </cfRule>
    <cfRule type="cellIs" dxfId="5087" priority="5056" stopIfTrue="1" operator="between">
      <formula>220001</formula>
      <formula>221144</formula>
    </cfRule>
  </conditionalFormatting>
  <conditionalFormatting sqref="AA13">
    <cfRule type="cellIs" dxfId="5086" priority="5051" stopIfTrue="1" operator="between">
      <formula>221101</formula>
      <formula>221118</formula>
    </cfRule>
    <cfRule type="cellIs" dxfId="5085" priority="5052" stopIfTrue="1" operator="between">
      <formula>221142</formula>
      <formula>221144</formula>
    </cfRule>
    <cfRule type="cellIs" dxfId="5084" priority="5053" stopIfTrue="1" operator="between">
      <formula>220001</formula>
      <formula>221144</formula>
    </cfRule>
  </conditionalFormatting>
  <conditionalFormatting sqref="Z13">
    <cfRule type="cellIs" dxfId="5083" priority="5048" stopIfTrue="1" operator="between">
      <formula>221101</formula>
      <formula>221118</formula>
    </cfRule>
    <cfRule type="cellIs" dxfId="5082" priority="5049" stopIfTrue="1" operator="between">
      <formula>221142</formula>
      <formula>221144</formula>
    </cfRule>
    <cfRule type="cellIs" dxfId="5081" priority="5050" stopIfTrue="1" operator="between">
      <formula>220001</formula>
      <formula>221144</formula>
    </cfRule>
  </conditionalFormatting>
  <conditionalFormatting sqref="AJ13">
    <cfRule type="cellIs" dxfId="5080" priority="5045" stopIfTrue="1" operator="between">
      <formula>221101</formula>
      <formula>221118</formula>
    </cfRule>
    <cfRule type="cellIs" dxfId="5079" priority="5046" stopIfTrue="1" operator="between">
      <formula>221142</formula>
      <formula>221144</formula>
    </cfRule>
    <cfRule type="cellIs" dxfId="5078" priority="5047" stopIfTrue="1" operator="between">
      <formula>220001</formula>
      <formula>221144</formula>
    </cfRule>
  </conditionalFormatting>
  <conditionalFormatting sqref="AK13">
    <cfRule type="cellIs" dxfId="5077" priority="5042" stopIfTrue="1" operator="between">
      <formula>221101</formula>
      <formula>221118</formula>
    </cfRule>
    <cfRule type="cellIs" dxfId="5076" priority="5043" stopIfTrue="1" operator="between">
      <formula>221142</formula>
      <formula>221144</formula>
    </cfRule>
    <cfRule type="cellIs" dxfId="5075" priority="5044" stopIfTrue="1" operator="between">
      <formula>220001</formula>
      <formula>221144</formula>
    </cfRule>
  </conditionalFormatting>
  <conditionalFormatting sqref="Z13">
    <cfRule type="cellIs" dxfId="5074" priority="5039" stopIfTrue="1" operator="between">
      <formula>221101</formula>
      <formula>221118</formula>
    </cfRule>
    <cfRule type="cellIs" dxfId="5073" priority="5040" stopIfTrue="1" operator="between">
      <formula>221142</formula>
      <formula>221144</formula>
    </cfRule>
    <cfRule type="cellIs" dxfId="5072" priority="5041" stopIfTrue="1" operator="between">
      <formula>220001</formula>
      <formula>221144</formula>
    </cfRule>
  </conditionalFormatting>
  <conditionalFormatting sqref="Y13">
    <cfRule type="cellIs" dxfId="5071" priority="5036" stopIfTrue="1" operator="between">
      <formula>221101</formula>
      <formula>221118</formula>
    </cfRule>
    <cfRule type="cellIs" dxfId="5070" priority="5037" stopIfTrue="1" operator="between">
      <formula>221142</formula>
      <formula>221144</formula>
    </cfRule>
    <cfRule type="cellIs" dxfId="5069" priority="5038" stopIfTrue="1" operator="between">
      <formula>220001</formula>
      <formula>221144</formula>
    </cfRule>
  </conditionalFormatting>
  <conditionalFormatting sqref="AI13">
    <cfRule type="cellIs" dxfId="5068" priority="5033" stopIfTrue="1" operator="between">
      <formula>221101</formula>
      <formula>221118</formula>
    </cfRule>
    <cfRule type="cellIs" dxfId="5067" priority="5034" stopIfTrue="1" operator="between">
      <formula>221142</formula>
      <formula>221144</formula>
    </cfRule>
    <cfRule type="cellIs" dxfId="5066" priority="5035" stopIfTrue="1" operator="between">
      <formula>220001</formula>
      <formula>221144</formula>
    </cfRule>
  </conditionalFormatting>
  <conditionalFormatting sqref="AJ13">
    <cfRule type="cellIs" dxfId="5065" priority="5030" stopIfTrue="1" operator="between">
      <formula>221101</formula>
      <formula>221118</formula>
    </cfRule>
    <cfRule type="cellIs" dxfId="5064" priority="5031" stopIfTrue="1" operator="between">
      <formula>221142</formula>
      <formula>221144</formula>
    </cfRule>
    <cfRule type="cellIs" dxfId="5063" priority="5032" stopIfTrue="1" operator="between">
      <formula>220001</formula>
      <formula>221144</formula>
    </cfRule>
  </conditionalFormatting>
  <conditionalFormatting sqref="AA13">
    <cfRule type="cellIs" dxfId="5062" priority="5027" stopIfTrue="1" operator="between">
      <formula>221101</formula>
      <formula>221118</formula>
    </cfRule>
    <cfRule type="cellIs" dxfId="5061" priority="5028" stopIfTrue="1" operator="between">
      <formula>221142</formula>
      <formula>221144</formula>
    </cfRule>
    <cfRule type="cellIs" dxfId="5060" priority="5029" stopIfTrue="1" operator="between">
      <formula>220001</formula>
      <formula>221144</formula>
    </cfRule>
  </conditionalFormatting>
  <conditionalFormatting sqref="Z13">
    <cfRule type="cellIs" dxfId="5059" priority="5024" stopIfTrue="1" operator="between">
      <formula>221101</formula>
      <formula>221118</formula>
    </cfRule>
    <cfRule type="cellIs" dxfId="5058" priority="5025" stopIfTrue="1" operator="between">
      <formula>221142</formula>
      <formula>221144</formula>
    </cfRule>
    <cfRule type="cellIs" dxfId="5057" priority="5026" stopIfTrue="1" operator="between">
      <formula>220001</formula>
      <formula>221144</formula>
    </cfRule>
  </conditionalFormatting>
  <conditionalFormatting sqref="AJ13">
    <cfRule type="cellIs" dxfId="5056" priority="5021" stopIfTrue="1" operator="between">
      <formula>221101</formula>
      <formula>221118</formula>
    </cfRule>
    <cfRule type="cellIs" dxfId="5055" priority="5022" stopIfTrue="1" operator="between">
      <formula>221142</formula>
      <formula>221144</formula>
    </cfRule>
    <cfRule type="cellIs" dxfId="5054" priority="5023" stopIfTrue="1" operator="between">
      <formula>220001</formula>
      <formula>221144</formula>
    </cfRule>
  </conditionalFormatting>
  <conditionalFormatting sqref="AK13">
    <cfRule type="cellIs" dxfId="5053" priority="5018" stopIfTrue="1" operator="between">
      <formula>221101</formula>
      <formula>221118</formula>
    </cfRule>
    <cfRule type="cellIs" dxfId="5052" priority="5019" stopIfTrue="1" operator="between">
      <formula>221142</formula>
      <formula>221144</formula>
    </cfRule>
    <cfRule type="cellIs" dxfId="5051" priority="5020" stopIfTrue="1" operator="between">
      <formula>220001</formula>
      <formula>221144</formula>
    </cfRule>
  </conditionalFormatting>
  <conditionalFormatting sqref="Z13">
    <cfRule type="cellIs" dxfId="5050" priority="5015" stopIfTrue="1" operator="between">
      <formula>221101</formula>
      <formula>221118</formula>
    </cfRule>
    <cfRule type="cellIs" dxfId="5049" priority="5016" stopIfTrue="1" operator="between">
      <formula>221142</formula>
      <formula>221144</formula>
    </cfRule>
    <cfRule type="cellIs" dxfId="5048" priority="5017" stopIfTrue="1" operator="between">
      <formula>220001</formula>
      <formula>221144</formula>
    </cfRule>
  </conditionalFormatting>
  <conditionalFormatting sqref="Y13">
    <cfRule type="cellIs" dxfId="5047" priority="5012" stopIfTrue="1" operator="between">
      <formula>221101</formula>
      <formula>221118</formula>
    </cfRule>
    <cfRule type="cellIs" dxfId="5046" priority="5013" stopIfTrue="1" operator="between">
      <formula>221142</formula>
      <formula>221144</formula>
    </cfRule>
    <cfRule type="cellIs" dxfId="5045" priority="5014" stopIfTrue="1" operator="between">
      <formula>220001</formula>
      <formula>221144</formula>
    </cfRule>
  </conditionalFormatting>
  <conditionalFormatting sqref="AI13">
    <cfRule type="cellIs" dxfId="5044" priority="5009" stopIfTrue="1" operator="between">
      <formula>221101</formula>
      <formula>221118</formula>
    </cfRule>
    <cfRule type="cellIs" dxfId="5043" priority="5010" stopIfTrue="1" operator="between">
      <formula>221142</formula>
      <formula>221144</formula>
    </cfRule>
    <cfRule type="cellIs" dxfId="5042" priority="5011" stopIfTrue="1" operator="between">
      <formula>220001</formula>
      <formula>221144</formula>
    </cfRule>
  </conditionalFormatting>
  <conditionalFormatting sqref="AJ13">
    <cfRule type="cellIs" dxfId="5041" priority="5006" stopIfTrue="1" operator="between">
      <formula>221101</formula>
      <formula>221118</formula>
    </cfRule>
    <cfRule type="cellIs" dxfId="5040" priority="5007" stopIfTrue="1" operator="between">
      <formula>221142</formula>
      <formula>221144</formula>
    </cfRule>
    <cfRule type="cellIs" dxfId="5039" priority="5008" stopIfTrue="1" operator="between">
      <formula>220001</formula>
      <formula>221144</formula>
    </cfRule>
  </conditionalFormatting>
  <conditionalFormatting sqref="Z13">
    <cfRule type="cellIs" dxfId="5038" priority="5003" stopIfTrue="1" operator="between">
      <formula>221101</formula>
      <formula>221118</formula>
    </cfRule>
    <cfRule type="cellIs" dxfId="5037" priority="5004" stopIfTrue="1" operator="between">
      <formula>221142</formula>
      <formula>221144</formula>
    </cfRule>
    <cfRule type="cellIs" dxfId="5036" priority="5005" stopIfTrue="1" operator="between">
      <formula>220001</formula>
      <formula>221144</formula>
    </cfRule>
  </conditionalFormatting>
  <conditionalFormatting sqref="Y13">
    <cfRule type="cellIs" dxfId="5035" priority="5000" stopIfTrue="1" operator="between">
      <formula>221101</formula>
      <formula>221118</formula>
    </cfRule>
    <cfRule type="cellIs" dxfId="5034" priority="5001" stopIfTrue="1" operator="between">
      <formula>221142</formula>
      <formula>221144</formula>
    </cfRule>
    <cfRule type="cellIs" dxfId="5033" priority="5002" stopIfTrue="1" operator="between">
      <formula>220001</formula>
      <formula>221144</formula>
    </cfRule>
  </conditionalFormatting>
  <conditionalFormatting sqref="AI13">
    <cfRule type="cellIs" dxfId="5032" priority="4997" stopIfTrue="1" operator="between">
      <formula>221101</formula>
      <formula>221118</formula>
    </cfRule>
    <cfRule type="cellIs" dxfId="5031" priority="4998" stopIfTrue="1" operator="between">
      <formula>221142</formula>
      <formula>221144</formula>
    </cfRule>
    <cfRule type="cellIs" dxfId="5030" priority="4999" stopIfTrue="1" operator="between">
      <formula>220001</formula>
      <formula>221144</formula>
    </cfRule>
  </conditionalFormatting>
  <conditionalFormatting sqref="AJ13">
    <cfRule type="cellIs" dxfId="5029" priority="4994" stopIfTrue="1" operator="between">
      <formula>221101</formula>
      <formula>221118</formula>
    </cfRule>
    <cfRule type="cellIs" dxfId="5028" priority="4995" stopIfTrue="1" operator="between">
      <formula>221142</formula>
      <formula>221144</formula>
    </cfRule>
    <cfRule type="cellIs" dxfId="5027" priority="4996" stopIfTrue="1" operator="between">
      <formula>220001</formula>
      <formula>221144</formula>
    </cfRule>
  </conditionalFormatting>
  <conditionalFormatting sqref="Y13">
    <cfRule type="cellIs" dxfId="5026" priority="4991" stopIfTrue="1" operator="between">
      <formula>221101</formula>
      <formula>221118</formula>
    </cfRule>
    <cfRule type="cellIs" dxfId="5025" priority="4992" stopIfTrue="1" operator="between">
      <formula>221142</formula>
      <formula>221144</formula>
    </cfRule>
    <cfRule type="cellIs" dxfId="5024" priority="4993" stopIfTrue="1" operator="between">
      <formula>220001</formula>
      <formula>221144</formula>
    </cfRule>
  </conditionalFormatting>
  <conditionalFormatting sqref="X13">
    <cfRule type="cellIs" dxfId="5023" priority="4988" stopIfTrue="1" operator="between">
      <formula>221101</formula>
      <formula>221118</formula>
    </cfRule>
    <cfRule type="cellIs" dxfId="5022" priority="4989" stopIfTrue="1" operator="between">
      <formula>221142</formula>
      <formula>221144</formula>
    </cfRule>
    <cfRule type="cellIs" dxfId="5021" priority="4990" stopIfTrue="1" operator="between">
      <formula>220001</formula>
      <formula>221144</formula>
    </cfRule>
  </conditionalFormatting>
  <conditionalFormatting sqref="AH13">
    <cfRule type="cellIs" dxfId="5020" priority="4985" stopIfTrue="1" operator="between">
      <formula>221101</formula>
      <formula>221118</formula>
    </cfRule>
    <cfRule type="cellIs" dxfId="5019" priority="4986" stopIfTrue="1" operator="between">
      <formula>221142</formula>
      <formula>221144</formula>
    </cfRule>
    <cfRule type="cellIs" dxfId="5018" priority="4987" stopIfTrue="1" operator="between">
      <formula>220001</formula>
      <formula>221144</formula>
    </cfRule>
  </conditionalFormatting>
  <conditionalFormatting sqref="AI13">
    <cfRule type="cellIs" dxfId="5017" priority="4982" stopIfTrue="1" operator="between">
      <formula>221101</formula>
      <formula>221118</formula>
    </cfRule>
    <cfRule type="cellIs" dxfId="5016" priority="4983" stopIfTrue="1" operator="between">
      <formula>221142</formula>
      <formula>221144</formula>
    </cfRule>
    <cfRule type="cellIs" dxfId="5015" priority="4984" stopIfTrue="1" operator="between">
      <formula>220001</formula>
      <formula>221144</formula>
    </cfRule>
  </conditionalFormatting>
  <conditionalFormatting sqref="E21">
    <cfRule type="cellIs" dxfId="5014" priority="4979" stopIfTrue="1" operator="between">
      <formula>221101</formula>
      <formula>221118</formula>
    </cfRule>
    <cfRule type="cellIs" dxfId="5013" priority="4980" stopIfTrue="1" operator="between">
      <formula>221142</formula>
      <formula>221144</formula>
    </cfRule>
    <cfRule type="cellIs" dxfId="5012" priority="4981" stopIfTrue="1" operator="between">
      <formula>220001</formula>
      <formula>221144</formula>
    </cfRule>
  </conditionalFormatting>
  <conditionalFormatting sqref="C21">
    <cfRule type="cellIs" dxfId="5011" priority="4976" stopIfTrue="1" operator="between">
      <formula>221101</formula>
      <formula>221118</formula>
    </cfRule>
    <cfRule type="cellIs" dxfId="5010" priority="4977" stopIfTrue="1" operator="between">
      <formula>221142</formula>
      <formula>221144</formula>
    </cfRule>
    <cfRule type="cellIs" dxfId="5009" priority="4978" stopIfTrue="1" operator="between">
      <formula>220001</formula>
      <formula>221144</formula>
    </cfRule>
  </conditionalFormatting>
  <conditionalFormatting sqref="AN21">
    <cfRule type="cellIs" dxfId="5008" priority="4970" stopIfTrue="1" operator="between">
      <formula>221101</formula>
      <formula>221118</formula>
    </cfRule>
    <cfRule type="cellIs" dxfId="5007" priority="4971" stopIfTrue="1" operator="between">
      <formula>221142</formula>
      <formula>221144</formula>
    </cfRule>
    <cfRule type="cellIs" dxfId="5006" priority="4972" stopIfTrue="1" operator="between">
      <formula>220001</formula>
      <formula>221144</formula>
    </cfRule>
  </conditionalFormatting>
  <conditionalFormatting sqref="C21">
    <cfRule type="cellIs" dxfId="5005" priority="4967" stopIfTrue="1" operator="between">
      <formula>221101</formula>
      <formula>221118</formula>
    </cfRule>
    <cfRule type="cellIs" dxfId="5004" priority="4968" stopIfTrue="1" operator="between">
      <formula>221142</formula>
      <formula>221144</formula>
    </cfRule>
    <cfRule type="cellIs" dxfId="5003" priority="4969" stopIfTrue="1" operator="between">
      <formula>220001</formula>
      <formula>221144</formula>
    </cfRule>
  </conditionalFormatting>
  <conditionalFormatting sqref="C21">
    <cfRule type="cellIs" dxfId="5002" priority="4964" stopIfTrue="1" operator="between">
      <formula>221101</formula>
      <formula>221118</formula>
    </cfRule>
    <cfRule type="cellIs" dxfId="5001" priority="4965" stopIfTrue="1" operator="between">
      <formula>221142</formula>
      <formula>221144</formula>
    </cfRule>
    <cfRule type="cellIs" dxfId="5000" priority="4966" stopIfTrue="1" operator="between">
      <formula>220001</formula>
      <formula>221144</formula>
    </cfRule>
  </conditionalFormatting>
  <conditionalFormatting sqref="AN21">
    <cfRule type="cellIs" dxfId="4999" priority="4961" stopIfTrue="1" operator="between">
      <formula>221101</formula>
      <formula>221118</formula>
    </cfRule>
    <cfRule type="cellIs" dxfId="4998" priority="4962" stopIfTrue="1" operator="between">
      <formula>221142</formula>
      <formula>221144</formula>
    </cfRule>
    <cfRule type="cellIs" dxfId="4997" priority="4963" stopIfTrue="1" operator="between">
      <formula>220001</formula>
      <formula>221144</formula>
    </cfRule>
  </conditionalFormatting>
  <conditionalFormatting sqref="AM21">
    <cfRule type="cellIs" dxfId="4996" priority="4958" stopIfTrue="1" operator="between">
      <formula>221101</formula>
      <formula>221118</formula>
    </cfRule>
    <cfRule type="cellIs" dxfId="4995" priority="4959" stopIfTrue="1" operator="between">
      <formula>221142</formula>
      <formula>221144</formula>
    </cfRule>
    <cfRule type="cellIs" dxfId="4994" priority="4960" stopIfTrue="1" operator="between">
      <formula>220001</formula>
      <formula>221144</formula>
    </cfRule>
  </conditionalFormatting>
  <conditionalFormatting sqref="D21">
    <cfRule type="cellIs" dxfId="4993" priority="4955" stopIfTrue="1" operator="between">
      <formula>221101</formula>
      <formula>221118</formula>
    </cfRule>
    <cfRule type="cellIs" dxfId="4992" priority="4956" stopIfTrue="1" operator="between">
      <formula>221142</formula>
      <formula>221144</formula>
    </cfRule>
    <cfRule type="cellIs" dxfId="4991" priority="4957" stopIfTrue="1" operator="between">
      <formula>220001</formula>
      <formula>221144</formula>
    </cfRule>
  </conditionalFormatting>
  <conditionalFormatting sqref="D21">
    <cfRule type="cellIs" dxfId="4990" priority="4952" stopIfTrue="1" operator="between">
      <formula>221101</formula>
      <formula>221118</formula>
    </cfRule>
    <cfRule type="cellIs" dxfId="4989" priority="4953" stopIfTrue="1" operator="between">
      <formula>221142</formula>
      <formula>221144</formula>
    </cfRule>
    <cfRule type="cellIs" dxfId="4988" priority="4954" stopIfTrue="1" operator="between">
      <formula>220001</formula>
      <formula>221144</formula>
    </cfRule>
  </conditionalFormatting>
  <conditionalFormatting sqref="D21">
    <cfRule type="cellIs" dxfId="4987" priority="4949" stopIfTrue="1" operator="between">
      <formula>221101</formula>
      <formula>221118</formula>
    </cfRule>
    <cfRule type="cellIs" dxfId="4986" priority="4950" stopIfTrue="1" operator="between">
      <formula>221142</formula>
      <formula>221144</formula>
    </cfRule>
    <cfRule type="cellIs" dxfId="4985" priority="4951" stopIfTrue="1" operator="between">
      <formula>220001</formula>
      <formula>221144</formula>
    </cfRule>
  </conditionalFormatting>
  <conditionalFormatting sqref="D21">
    <cfRule type="cellIs" dxfId="4984" priority="4946" stopIfTrue="1" operator="between">
      <formula>221101</formula>
      <formula>221118</formula>
    </cfRule>
    <cfRule type="cellIs" dxfId="4983" priority="4947" stopIfTrue="1" operator="between">
      <formula>221142</formula>
      <formula>221144</formula>
    </cfRule>
    <cfRule type="cellIs" dxfId="4982" priority="4948" stopIfTrue="1" operator="between">
      <formula>220001</formula>
      <formula>221144</formula>
    </cfRule>
  </conditionalFormatting>
  <conditionalFormatting sqref="D21">
    <cfRule type="cellIs" dxfId="4981" priority="4943" stopIfTrue="1" operator="between">
      <formula>221101</formula>
      <formula>221118</formula>
    </cfRule>
    <cfRule type="cellIs" dxfId="4980" priority="4944" stopIfTrue="1" operator="between">
      <formula>221142</formula>
      <formula>221144</formula>
    </cfRule>
    <cfRule type="cellIs" dxfId="4979" priority="4945" stopIfTrue="1" operator="between">
      <formula>220001</formula>
      <formula>221144</formula>
    </cfRule>
  </conditionalFormatting>
  <conditionalFormatting sqref="AN21">
    <cfRule type="cellIs" dxfId="4978" priority="4940" stopIfTrue="1" operator="between">
      <formula>221101</formula>
      <formula>221118</formula>
    </cfRule>
    <cfRule type="cellIs" dxfId="4977" priority="4941" stopIfTrue="1" operator="between">
      <formula>221142</formula>
      <formula>221144</formula>
    </cfRule>
    <cfRule type="cellIs" dxfId="4976" priority="4942" stopIfTrue="1" operator="between">
      <formula>220001</formula>
      <formula>221144</formula>
    </cfRule>
  </conditionalFormatting>
  <conditionalFormatting sqref="AM21">
    <cfRule type="cellIs" dxfId="4975" priority="4937" stopIfTrue="1" operator="between">
      <formula>221101</formula>
      <formula>221118</formula>
    </cfRule>
    <cfRule type="cellIs" dxfId="4974" priority="4938" stopIfTrue="1" operator="between">
      <formula>221142</formula>
      <formula>221144</formula>
    </cfRule>
    <cfRule type="cellIs" dxfId="4973" priority="4939" stopIfTrue="1" operator="between">
      <formula>220001</formula>
      <formula>221144</formula>
    </cfRule>
  </conditionalFormatting>
  <conditionalFormatting sqref="AM21">
    <cfRule type="cellIs" dxfId="4972" priority="4934" stopIfTrue="1" operator="between">
      <formula>221101</formula>
      <formula>221118</formula>
    </cfRule>
    <cfRule type="cellIs" dxfId="4971" priority="4935" stopIfTrue="1" operator="between">
      <formula>221142</formula>
      <formula>221144</formula>
    </cfRule>
    <cfRule type="cellIs" dxfId="4970" priority="4936" stopIfTrue="1" operator="between">
      <formula>220001</formula>
      <formula>221144</formula>
    </cfRule>
  </conditionalFormatting>
  <conditionalFormatting sqref="AL21">
    <cfRule type="cellIs" dxfId="4969" priority="4931" stopIfTrue="1" operator="between">
      <formula>221101</formula>
      <formula>221118</formula>
    </cfRule>
    <cfRule type="cellIs" dxfId="4968" priority="4932" stopIfTrue="1" operator="between">
      <formula>221142</formula>
      <formula>221144</formula>
    </cfRule>
    <cfRule type="cellIs" dxfId="4967" priority="4933" stopIfTrue="1" operator="between">
      <formula>220001</formula>
      <formula>221144</formula>
    </cfRule>
  </conditionalFormatting>
  <conditionalFormatting sqref="C21">
    <cfRule type="cellIs" dxfId="4966" priority="4928" stopIfTrue="1" operator="between">
      <formula>221101</formula>
      <formula>221118</formula>
    </cfRule>
    <cfRule type="cellIs" dxfId="4965" priority="4929" stopIfTrue="1" operator="between">
      <formula>221142</formula>
      <formula>221144</formula>
    </cfRule>
    <cfRule type="cellIs" dxfId="4964" priority="4930" stopIfTrue="1" operator="between">
      <formula>220001</formula>
      <formula>221144</formula>
    </cfRule>
  </conditionalFormatting>
  <conditionalFormatting sqref="C21">
    <cfRule type="cellIs" dxfId="4963" priority="4925" stopIfTrue="1" operator="between">
      <formula>221101</formula>
      <formula>221118</formula>
    </cfRule>
    <cfRule type="cellIs" dxfId="4962" priority="4926" stopIfTrue="1" operator="between">
      <formula>221142</formula>
      <formula>221144</formula>
    </cfRule>
    <cfRule type="cellIs" dxfId="4961" priority="4927" stopIfTrue="1" operator="between">
      <formula>220001</formula>
      <formula>221144</formula>
    </cfRule>
  </conditionalFormatting>
  <conditionalFormatting sqref="C21">
    <cfRule type="cellIs" dxfId="4960" priority="4922" stopIfTrue="1" operator="between">
      <formula>221101</formula>
      <formula>221118</formula>
    </cfRule>
    <cfRule type="cellIs" dxfId="4959" priority="4923" stopIfTrue="1" operator="between">
      <formula>221142</formula>
      <formula>221144</formula>
    </cfRule>
    <cfRule type="cellIs" dxfId="4958" priority="4924" stopIfTrue="1" operator="between">
      <formula>220001</formula>
      <formula>221144</formula>
    </cfRule>
  </conditionalFormatting>
  <conditionalFormatting sqref="C21">
    <cfRule type="cellIs" dxfId="4957" priority="4919" stopIfTrue="1" operator="between">
      <formula>221101</formula>
      <formula>221118</formula>
    </cfRule>
    <cfRule type="cellIs" dxfId="4956" priority="4920" stopIfTrue="1" operator="between">
      <formula>221142</formula>
      <formula>221144</formula>
    </cfRule>
    <cfRule type="cellIs" dxfId="4955" priority="4921" stopIfTrue="1" operator="between">
      <formula>220001</formula>
      <formula>221144</formula>
    </cfRule>
  </conditionalFormatting>
  <conditionalFormatting sqref="D21">
    <cfRule type="cellIs" dxfId="4954" priority="4916" stopIfTrue="1" operator="between">
      <formula>221101</formula>
      <formula>221118</formula>
    </cfRule>
    <cfRule type="cellIs" dxfId="4953" priority="4917" stopIfTrue="1" operator="between">
      <formula>221142</formula>
      <formula>221144</formula>
    </cfRule>
    <cfRule type="cellIs" dxfId="4952" priority="4918" stopIfTrue="1" operator="between">
      <formula>220001</formula>
      <formula>221144</formula>
    </cfRule>
  </conditionalFormatting>
  <conditionalFormatting sqref="AN21">
    <cfRule type="cellIs" dxfId="4951" priority="4913" stopIfTrue="1" operator="between">
      <formula>221101</formula>
      <formula>221118</formula>
    </cfRule>
    <cfRule type="cellIs" dxfId="4950" priority="4914" stopIfTrue="1" operator="between">
      <formula>221142</formula>
      <formula>221144</formula>
    </cfRule>
    <cfRule type="cellIs" dxfId="4949" priority="4915" stopIfTrue="1" operator="between">
      <formula>220001</formula>
      <formula>221144</formula>
    </cfRule>
  </conditionalFormatting>
  <conditionalFormatting sqref="AM21">
    <cfRule type="cellIs" dxfId="4948" priority="4910" stopIfTrue="1" operator="between">
      <formula>221101</formula>
      <formula>221118</formula>
    </cfRule>
    <cfRule type="cellIs" dxfId="4947" priority="4911" stopIfTrue="1" operator="between">
      <formula>221142</formula>
      <formula>221144</formula>
    </cfRule>
    <cfRule type="cellIs" dxfId="4946" priority="4912" stopIfTrue="1" operator="between">
      <formula>220001</formula>
      <formula>221144</formula>
    </cfRule>
  </conditionalFormatting>
  <conditionalFormatting sqref="AM21">
    <cfRule type="cellIs" dxfId="4945" priority="4907" stopIfTrue="1" operator="between">
      <formula>221101</formula>
      <formula>221118</formula>
    </cfRule>
    <cfRule type="cellIs" dxfId="4944" priority="4908" stopIfTrue="1" operator="between">
      <formula>221142</formula>
      <formula>221144</formula>
    </cfRule>
    <cfRule type="cellIs" dxfId="4943" priority="4909" stopIfTrue="1" operator="between">
      <formula>220001</formula>
      <formula>221144</formula>
    </cfRule>
  </conditionalFormatting>
  <conditionalFormatting sqref="AL21">
    <cfRule type="cellIs" dxfId="4942" priority="4904" stopIfTrue="1" operator="between">
      <formula>221101</formula>
      <formula>221118</formula>
    </cfRule>
    <cfRule type="cellIs" dxfId="4941" priority="4905" stopIfTrue="1" operator="between">
      <formula>221142</formula>
      <formula>221144</formula>
    </cfRule>
    <cfRule type="cellIs" dxfId="4940" priority="4906" stopIfTrue="1" operator="between">
      <formula>220001</formula>
      <formula>221144</formula>
    </cfRule>
  </conditionalFormatting>
  <conditionalFormatting sqref="C21">
    <cfRule type="cellIs" dxfId="4939" priority="4901" stopIfTrue="1" operator="between">
      <formula>221101</formula>
      <formula>221118</formula>
    </cfRule>
    <cfRule type="cellIs" dxfId="4938" priority="4902" stopIfTrue="1" operator="between">
      <formula>221142</formula>
      <formula>221144</formula>
    </cfRule>
    <cfRule type="cellIs" dxfId="4937" priority="4903" stopIfTrue="1" operator="between">
      <formula>220001</formula>
      <formula>221144</formula>
    </cfRule>
  </conditionalFormatting>
  <conditionalFormatting sqref="C21">
    <cfRule type="cellIs" dxfId="4936" priority="4898" stopIfTrue="1" operator="between">
      <formula>221101</formula>
      <formula>221118</formula>
    </cfRule>
    <cfRule type="cellIs" dxfId="4935" priority="4899" stopIfTrue="1" operator="between">
      <formula>221142</formula>
      <formula>221144</formula>
    </cfRule>
    <cfRule type="cellIs" dxfId="4934" priority="4900" stopIfTrue="1" operator="between">
      <formula>220001</formula>
      <formula>221144</formula>
    </cfRule>
  </conditionalFormatting>
  <conditionalFormatting sqref="C21">
    <cfRule type="cellIs" dxfId="4933" priority="4895" stopIfTrue="1" operator="between">
      <formula>221101</formula>
      <formula>221118</formula>
    </cfRule>
    <cfRule type="cellIs" dxfId="4932" priority="4896" stopIfTrue="1" operator="between">
      <formula>221142</formula>
      <formula>221144</formula>
    </cfRule>
    <cfRule type="cellIs" dxfId="4931" priority="4897" stopIfTrue="1" operator="between">
      <formula>220001</formula>
      <formula>221144</formula>
    </cfRule>
  </conditionalFormatting>
  <conditionalFormatting sqref="C21">
    <cfRule type="cellIs" dxfId="4930" priority="4892" stopIfTrue="1" operator="between">
      <formula>221101</formula>
      <formula>221118</formula>
    </cfRule>
    <cfRule type="cellIs" dxfId="4929" priority="4893" stopIfTrue="1" operator="between">
      <formula>221142</formula>
      <formula>221144</formula>
    </cfRule>
    <cfRule type="cellIs" dxfId="4928" priority="4894" stopIfTrue="1" operator="between">
      <formula>220001</formula>
      <formula>221144</formula>
    </cfRule>
  </conditionalFormatting>
  <conditionalFormatting sqref="C21">
    <cfRule type="cellIs" dxfId="4927" priority="4889" stopIfTrue="1" operator="between">
      <formula>221101</formula>
      <formula>221118</formula>
    </cfRule>
    <cfRule type="cellIs" dxfId="4926" priority="4890" stopIfTrue="1" operator="between">
      <formula>221142</formula>
      <formula>221144</formula>
    </cfRule>
    <cfRule type="cellIs" dxfId="4925" priority="4891" stopIfTrue="1" operator="between">
      <formula>220001</formula>
      <formula>221144</formula>
    </cfRule>
  </conditionalFormatting>
  <conditionalFormatting sqref="AM21">
    <cfRule type="cellIs" dxfId="4924" priority="4886" stopIfTrue="1" operator="between">
      <formula>221101</formula>
      <formula>221118</formula>
    </cfRule>
    <cfRule type="cellIs" dxfId="4923" priority="4887" stopIfTrue="1" operator="between">
      <formula>221142</formula>
      <formula>221144</formula>
    </cfRule>
    <cfRule type="cellIs" dxfId="4922" priority="4888" stopIfTrue="1" operator="between">
      <formula>220001</formula>
      <formula>221144</formula>
    </cfRule>
  </conditionalFormatting>
  <conditionalFormatting sqref="AL21">
    <cfRule type="cellIs" dxfId="4921" priority="4883" stopIfTrue="1" operator="between">
      <formula>221101</formula>
      <formula>221118</formula>
    </cfRule>
    <cfRule type="cellIs" dxfId="4920" priority="4884" stopIfTrue="1" operator="between">
      <formula>221142</formula>
      <formula>221144</formula>
    </cfRule>
    <cfRule type="cellIs" dxfId="4919" priority="4885" stopIfTrue="1" operator="between">
      <formula>220001</formula>
      <formula>221144</formula>
    </cfRule>
  </conditionalFormatting>
  <conditionalFormatting sqref="AL21">
    <cfRule type="cellIs" dxfId="4918" priority="4880" stopIfTrue="1" operator="between">
      <formula>221101</formula>
      <formula>221118</formula>
    </cfRule>
    <cfRule type="cellIs" dxfId="4917" priority="4881" stopIfTrue="1" operator="between">
      <formula>221142</formula>
      <formula>221144</formula>
    </cfRule>
    <cfRule type="cellIs" dxfId="4916" priority="4882" stopIfTrue="1" operator="between">
      <formula>220001</formula>
      <formula>221144</formula>
    </cfRule>
  </conditionalFormatting>
  <conditionalFormatting sqref="AK21">
    <cfRule type="cellIs" dxfId="4915" priority="4877" stopIfTrue="1" operator="between">
      <formula>221101</formula>
      <formula>221118</formula>
    </cfRule>
    <cfRule type="cellIs" dxfId="4914" priority="4878" stopIfTrue="1" operator="between">
      <formula>221142</formula>
      <formula>221144</formula>
    </cfRule>
    <cfRule type="cellIs" dxfId="4913" priority="4879" stopIfTrue="1" operator="between">
      <formula>220001</formula>
      <formula>221144</formula>
    </cfRule>
  </conditionalFormatting>
  <conditionalFormatting sqref="D21">
    <cfRule type="cellIs" dxfId="4912" priority="4874" stopIfTrue="1" operator="between">
      <formula>221101</formula>
      <formula>221118</formula>
    </cfRule>
    <cfRule type="cellIs" dxfId="4911" priority="4875" stopIfTrue="1" operator="between">
      <formula>221142</formula>
      <formula>221144</formula>
    </cfRule>
    <cfRule type="cellIs" dxfId="4910" priority="4876" stopIfTrue="1" operator="between">
      <formula>220001</formula>
      <formula>221144</formula>
    </cfRule>
  </conditionalFormatting>
  <conditionalFormatting sqref="AN21">
    <cfRule type="cellIs" dxfId="4909" priority="4871" stopIfTrue="1" operator="between">
      <formula>221101</formula>
      <formula>221118</formula>
    </cfRule>
    <cfRule type="cellIs" dxfId="4908" priority="4872" stopIfTrue="1" operator="between">
      <formula>221142</formula>
      <formula>221144</formula>
    </cfRule>
    <cfRule type="cellIs" dxfId="4907" priority="4873" stopIfTrue="1" operator="between">
      <formula>220001</formula>
      <formula>221144</formula>
    </cfRule>
  </conditionalFormatting>
  <conditionalFormatting sqref="AM21">
    <cfRule type="cellIs" dxfId="4906" priority="4868" stopIfTrue="1" operator="between">
      <formula>221101</formula>
      <formula>221118</formula>
    </cfRule>
    <cfRule type="cellIs" dxfId="4905" priority="4869" stopIfTrue="1" operator="between">
      <formula>221142</formula>
      <formula>221144</formula>
    </cfRule>
    <cfRule type="cellIs" dxfId="4904" priority="4870" stopIfTrue="1" operator="between">
      <formula>220001</formula>
      <formula>221144</formula>
    </cfRule>
  </conditionalFormatting>
  <conditionalFormatting sqref="AM21">
    <cfRule type="cellIs" dxfId="4903" priority="4865" stopIfTrue="1" operator="between">
      <formula>221101</formula>
      <formula>221118</formula>
    </cfRule>
    <cfRule type="cellIs" dxfId="4902" priority="4866" stopIfTrue="1" operator="between">
      <formula>221142</formula>
      <formula>221144</formula>
    </cfRule>
    <cfRule type="cellIs" dxfId="4901" priority="4867" stopIfTrue="1" operator="between">
      <formula>220001</formula>
      <formula>221144</formula>
    </cfRule>
  </conditionalFormatting>
  <conditionalFormatting sqref="AL21">
    <cfRule type="cellIs" dxfId="4900" priority="4862" stopIfTrue="1" operator="between">
      <formula>221101</formula>
      <formula>221118</formula>
    </cfRule>
    <cfRule type="cellIs" dxfId="4899" priority="4863" stopIfTrue="1" operator="between">
      <formula>221142</formula>
      <formula>221144</formula>
    </cfRule>
    <cfRule type="cellIs" dxfId="4898" priority="4864" stopIfTrue="1" operator="between">
      <formula>220001</formula>
      <formula>221144</formula>
    </cfRule>
  </conditionalFormatting>
  <conditionalFormatting sqref="C21">
    <cfRule type="cellIs" dxfId="4897" priority="4859" stopIfTrue="1" operator="between">
      <formula>221101</formula>
      <formula>221118</formula>
    </cfRule>
    <cfRule type="cellIs" dxfId="4896" priority="4860" stopIfTrue="1" operator="between">
      <formula>221142</formula>
      <formula>221144</formula>
    </cfRule>
    <cfRule type="cellIs" dxfId="4895" priority="4861" stopIfTrue="1" operator="between">
      <formula>220001</formula>
      <formula>221144</formula>
    </cfRule>
  </conditionalFormatting>
  <conditionalFormatting sqref="C21">
    <cfRule type="cellIs" dxfId="4894" priority="4856" stopIfTrue="1" operator="between">
      <formula>221101</formula>
      <formula>221118</formula>
    </cfRule>
    <cfRule type="cellIs" dxfId="4893" priority="4857" stopIfTrue="1" operator="between">
      <formula>221142</formula>
      <formula>221144</formula>
    </cfRule>
    <cfRule type="cellIs" dxfId="4892" priority="4858" stopIfTrue="1" operator="between">
      <formula>220001</formula>
      <formula>221144</formula>
    </cfRule>
  </conditionalFormatting>
  <conditionalFormatting sqref="C21">
    <cfRule type="cellIs" dxfId="4891" priority="4853" stopIfTrue="1" operator="between">
      <formula>221101</formula>
      <formula>221118</formula>
    </cfRule>
    <cfRule type="cellIs" dxfId="4890" priority="4854" stopIfTrue="1" operator="between">
      <formula>221142</formula>
      <formula>221144</formula>
    </cfRule>
    <cfRule type="cellIs" dxfId="4889" priority="4855" stopIfTrue="1" operator="between">
      <formula>220001</formula>
      <formula>221144</formula>
    </cfRule>
  </conditionalFormatting>
  <conditionalFormatting sqref="C21">
    <cfRule type="cellIs" dxfId="4888" priority="4850" stopIfTrue="1" operator="between">
      <formula>221101</formula>
      <formula>221118</formula>
    </cfRule>
    <cfRule type="cellIs" dxfId="4887" priority="4851" stopIfTrue="1" operator="between">
      <formula>221142</formula>
      <formula>221144</formula>
    </cfRule>
    <cfRule type="cellIs" dxfId="4886" priority="4852" stopIfTrue="1" operator="between">
      <formula>220001</formula>
      <formula>221144</formula>
    </cfRule>
  </conditionalFormatting>
  <conditionalFormatting sqref="C21">
    <cfRule type="cellIs" dxfId="4885" priority="4847" stopIfTrue="1" operator="between">
      <formula>221101</formula>
      <formula>221118</formula>
    </cfRule>
    <cfRule type="cellIs" dxfId="4884" priority="4848" stopIfTrue="1" operator="between">
      <formula>221142</formula>
      <formula>221144</formula>
    </cfRule>
    <cfRule type="cellIs" dxfId="4883" priority="4849" stopIfTrue="1" operator="between">
      <formula>220001</formula>
      <formula>221144</formula>
    </cfRule>
  </conditionalFormatting>
  <conditionalFormatting sqref="AM21">
    <cfRule type="cellIs" dxfId="4882" priority="4844" stopIfTrue="1" operator="between">
      <formula>221101</formula>
      <formula>221118</formula>
    </cfRule>
    <cfRule type="cellIs" dxfId="4881" priority="4845" stopIfTrue="1" operator="between">
      <formula>221142</formula>
      <formula>221144</formula>
    </cfRule>
    <cfRule type="cellIs" dxfId="4880" priority="4846" stopIfTrue="1" operator="between">
      <formula>220001</formula>
      <formula>221144</formula>
    </cfRule>
  </conditionalFormatting>
  <conditionalFormatting sqref="AL21">
    <cfRule type="cellIs" dxfId="4879" priority="4841" stopIfTrue="1" operator="between">
      <formula>221101</formula>
      <formula>221118</formula>
    </cfRule>
    <cfRule type="cellIs" dxfId="4878" priority="4842" stopIfTrue="1" operator="between">
      <formula>221142</formula>
      <formula>221144</formula>
    </cfRule>
    <cfRule type="cellIs" dxfId="4877" priority="4843" stopIfTrue="1" operator="between">
      <formula>220001</formula>
      <formula>221144</formula>
    </cfRule>
  </conditionalFormatting>
  <conditionalFormatting sqref="AL21">
    <cfRule type="cellIs" dxfId="4876" priority="4838" stopIfTrue="1" operator="between">
      <formula>221101</formula>
      <formula>221118</formula>
    </cfRule>
    <cfRule type="cellIs" dxfId="4875" priority="4839" stopIfTrue="1" operator="between">
      <formula>221142</formula>
      <formula>221144</formula>
    </cfRule>
    <cfRule type="cellIs" dxfId="4874" priority="4840" stopIfTrue="1" operator="between">
      <formula>220001</formula>
      <formula>221144</formula>
    </cfRule>
  </conditionalFormatting>
  <conditionalFormatting sqref="AK21">
    <cfRule type="cellIs" dxfId="4873" priority="4835" stopIfTrue="1" operator="between">
      <formula>221101</formula>
      <formula>221118</formula>
    </cfRule>
    <cfRule type="cellIs" dxfId="4872" priority="4836" stopIfTrue="1" operator="between">
      <formula>221142</formula>
      <formula>221144</formula>
    </cfRule>
    <cfRule type="cellIs" dxfId="4871" priority="4837" stopIfTrue="1" operator="between">
      <formula>220001</formula>
      <formula>221144</formula>
    </cfRule>
  </conditionalFormatting>
  <conditionalFormatting sqref="C21">
    <cfRule type="cellIs" dxfId="4870" priority="4832" stopIfTrue="1" operator="between">
      <formula>221101</formula>
      <formula>221118</formula>
    </cfRule>
    <cfRule type="cellIs" dxfId="4869" priority="4833" stopIfTrue="1" operator="between">
      <formula>221142</formula>
      <formula>221144</formula>
    </cfRule>
    <cfRule type="cellIs" dxfId="4868" priority="4834" stopIfTrue="1" operator="between">
      <formula>220001</formula>
      <formula>221144</formula>
    </cfRule>
  </conditionalFormatting>
  <conditionalFormatting sqref="AM21">
    <cfRule type="cellIs" dxfId="4867" priority="4829" stopIfTrue="1" operator="between">
      <formula>221101</formula>
      <formula>221118</formula>
    </cfRule>
    <cfRule type="cellIs" dxfId="4866" priority="4830" stopIfTrue="1" operator="between">
      <formula>221142</formula>
      <formula>221144</formula>
    </cfRule>
    <cfRule type="cellIs" dxfId="4865" priority="4831" stopIfTrue="1" operator="between">
      <formula>220001</formula>
      <formula>221144</formula>
    </cfRule>
  </conditionalFormatting>
  <conditionalFormatting sqref="AL21">
    <cfRule type="cellIs" dxfId="4864" priority="4826" stopIfTrue="1" operator="between">
      <formula>221101</formula>
      <formula>221118</formula>
    </cfRule>
    <cfRule type="cellIs" dxfId="4863" priority="4827" stopIfTrue="1" operator="between">
      <formula>221142</formula>
      <formula>221144</formula>
    </cfRule>
    <cfRule type="cellIs" dxfId="4862" priority="4828" stopIfTrue="1" operator="between">
      <formula>220001</formula>
      <formula>221144</formula>
    </cfRule>
  </conditionalFormatting>
  <conditionalFormatting sqref="AL21">
    <cfRule type="cellIs" dxfId="4861" priority="4823" stopIfTrue="1" operator="between">
      <formula>221101</formula>
      <formula>221118</formula>
    </cfRule>
    <cfRule type="cellIs" dxfId="4860" priority="4824" stopIfTrue="1" operator="between">
      <formula>221142</formula>
      <formula>221144</formula>
    </cfRule>
    <cfRule type="cellIs" dxfId="4859" priority="4825" stopIfTrue="1" operator="between">
      <formula>220001</formula>
      <formula>221144</formula>
    </cfRule>
  </conditionalFormatting>
  <conditionalFormatting sqref="AK21">
    <cfRule type="cellIs" dxfId="4858" priority="4820" stopIfTrue="1" operator="between">
      <formula>221101</formula>
      <formula>221118</formula>
    </cfRule>
    <cfRule type="cellIs" dxfId="4857" priority="4821" stopIfTrue="1" operator="between">
      <formula>221142</formula>
      <formula>221144</formula>
    </cfRule>
    <cfRule type="cellIs" dxfId="4856" priority="4822" stopIfTrue="1" operator="between">
      <formula>220001</formula>
      <formula>221144</formula>
    </cfRule>
  </conditionalFormatting>
  <conditionalFormatting sqref="AL21">
    <cfRule type="cellIs" dxfId="4855" priority="4817" stopIfTrue="1" operator="between">
      <formula>221101</formula>
      <formula>221118</formula>
    </cfRule>
    <cfRule type="cellIs" dxfId="4854" priority="4818" stopIfTrue="1" operator="between">
      <formula>221142</formula>
      <formula>221144</formula>
    </cfRule>
    <cfRule type="cellIs" dxfId="4853" priority="4819" stopIfTrue="1" operator="between">
      <formula>220001</formula>
      <formula>221144</formula>
    </cfRule>
  </conditionalFormatting>
  <conditionalFormatting sqref="AK21">
    <cfRule type="cellIs" dxfId="4852" priority="4814" stopIfTrue="1" operator="between">
      <formula>221101</formula>
      <formula>221118</formula>
    </cfRule>
    <cfRule type="cellIs" dxfId="4851" priority="4815" stopIfTrue="1" operator="between">
      <formula>221142</formula>
      <formula>221144</formula>
    </cfRule>
    <cfRule type="cellIs" dxfId="4850" priority="4816" stopIfTrue="1" operator="between">
      <formula>220001</formula>
      <formula>221144</formula>
    </cfRule>
  </conditionalFormatting>
  <conditionalFormatting sqref="AK21">
    <cfRule type="cellIs" dxfId="4849" priority="4811" stopIfTrue="1" operator="between">
      <formula>221101</formula>
      <formula>221118</formula>
    </cfRule>
    <cfRule type="cellIs" dxfId="4848" priority="4812" stopIfTrue="1" operator="between">
      <formula>221142</formula>
      <formula>221144</formula>
    </cfRule>
    <cfRule type="cellIs" dxfId="4847" priority="4813" stopIfTrue="1" operator="between">
      <formula>220001</formula>
      <formula>221144</formula>
    </cfRule>
  </conditionalFormatting>
  <conditionalFormatting sqref="AJ21">
    <cfRule type="cellIs" dxfId="4846" priority="4808" stopIfTrue="1" operator="between">
      <formula>221101</formula>
      <formula>221118</formula>
    </cfRule>
    <cfRule type="cellIs" dxfId="4845" priority="4809" stopIfTrue="1" operator="between">
      <formula>221142</formula>
      <formula>221144</formula>
    </cfRule>
    <cfRule type="cellIs" dxfId="4844" priority="4810" stopIfTrue="1" operator="between">
      <formula>220001</formula>
      <formula>221144</formula>
    </cfRule>
  </conditionalFormatting>
  <conditionalFormatting sqref="D21">
    <cfRule type="cellIs" dxfId="4843" priority="4805" stopIfTrue="1" operator="between">
      <formula>221101</formula>
      <formula>221118</formula>
    </cfRule>
    <cfRule type="cellIs" dxfId="4842" priority="4806" stopIfTrue="1" operator="between">
      <formula>221142</formula>
      <formula>221144</formula>
    </cfRule>
    <cfRule type="cellIs" dxfId="4841" priority="4807" stopIfTrue="1" operator="between">
      <formula>220001</formula>
      <formula>221144</formula>
    </cfRule>
  </conditionalFormatting>
  <conditionalFormatting sqref="AN21">
    <cfRule type="cellIs" dxfId="4840" priority="4802" stopIfTrue="1" operator="between">
      <formula>221101</formula>
      <formula>221118</formula>
    </cfRule>
    <cfRule type="cellIs" dxfId="4839" priority="4803" stopIfTrue="1" operator="between">
      <formula>221142</formula>
      <formula>221144</formula>
    </cfRule>
    <cfRule type="cellIs" dxfId="4838" priority="4804" stopIfTrue="1" operator="between">
      <formula>220001</formula>
      <formula>221144</formula>
    </cfRule>
  </conditionalFormatting>
  <conditionalFormatting sqref="AM21">
    <cfRule type="cellIs" dxfId="4837" priority="4799" stopIfTrue="1" operator="between">
      <formula>221101</formula>
      <formula>221118</formula>
    </cfRule>
    <cfRule type="cellIs" dxfId="4836" priority="4800" stopIfTrue="1" operator="between">
      <formula>221142</formula>
      <formula>221144</formula>
    </cfRule>
    <cfRule type="cellIs" dxfId="4835" priority="4801" stopIfTrue="1" operator="between">
      <formula>220001</formula>
      <formula>221144</formula>
    </cfRule>
  </conditionalFormatting>
  <conditionalFormatting sqref="AM21">
    <cfRule type="cellIs" dxfId="4834" priority="4796" stopIfTrue="1" operator="between">
      <formula>221101</formula>
      <formula>221118</formula>
    </cfRule>
    <cfRule type="cellIs" dxfId="4833" priority="4797" stopIfTrue="1" operator="between">
      <formula>221142</formula>
      <formula>221144</formula>
    </cfRule>
    <cfRule type="cellIs" dxfId="4832" priority="4798" stopIfTrue="1" operator="between">
      <formula>220001</formula>
      <formula>221144</formula>
    </cfRule>
  </conditionalFormatting>
  <conditionalFormatting sqref="AL21">
    <cfRule type="cellIs" dxfId="4831" priority="4793" stopIfTrue="1" operator="between">
      <formula>221101</formula>
      <formula>221118</formula>
    </cfRule>
    <cfRule type="cellIs" dxfId="4830" priority="4794" stopIfTrue="1" operator="between">
      <formula>221142</formula>
      <formula>221144</formula>
    </cfRule>
    <cfRule type="cellIs" dxfId="4829" priority="4795" stopIfTrue="1" operator="between">
      <formula>220001</formula>
      <formula>221144</formula>
    </cfRule>
  </conditionalFormatting>
  <conditionalFormatting sqref="C21">
    <cfRule type="cellIs" dxfId="4828" priority="4790" stopIfTrue="1" operator="between">
      <formula>221101</formula>
      <formula>221118</formula>
    </cfRule>
    <cfRule type="cellIs" dxfId="4827" priority="4791" stopIfTrue="1" operator="between">
      <formula>221142</formula>
      <formula>221144</formula>
    </cfRule>
    <cfRule type="cellIs" dxfId="4826" priority="4792" stopIfTrue="1" operator="between">
      <formula>220001</formula>
      <formula>221144</formula>
    </cfRule>
  </conditionalFormatting>
  <conditionalFormatting sqref="C21">
    <cfRule type="cellIs" dxfId="4825" priority="4787" stopIfTrue="1" operator="between">
      <formula>221101</formula>
      <formula>221118</formula>
    </cfRule>
    <cfRule type="cellIs" dxfId="4824" priority="4788" stopIfTrue="1" operator="between">
      <formula>221142</formula>
      <formula>221144</formula>
    </cfRule>
    <cfRule type="cellIs" dxfId="4823" priority="4789" stopIfTrue="1" operator="between">
      <formula>220001</formula>
      <formula>221144</formula>
    </cfRule>
  </conditionalFormatting>
  <conditionalFormatting sqref="C21">
    <cfRule type="cellIs" dxfId="4822" priority="4784" stopIfTrue="1" operator="between">
      <formula>221101</formula>
      <formula>221118</formula>
    </cfRule>
    <cfRule type="cellIs" dxfId="4821" priority="4785" stopIfTrue="1" operator="between">
      <formula>221142</formula>
      <formula>221144</formula>
    </cfRule>
    <cfRule type="cellIs" dxfId="4820" priority="4786" stopIfTrue="1" operator="between">
      <formula>220001</formula>
      <formula>221144</formula>
    </cfRule>
  </conditionalFormatting>
  <conditionalFormatting sqref="C21">
    <cfRule type="cellIs" dxfId="4819" priority="4781" stopIfTrue="1" operator="between">
      <formula>221101</formula>
      <formula>221118</formula>
    </cfRule>
    <cfRule type="cellIs" dxfId="4818" priority="4782" stopIfTrue="1" operator="between">
      <formula>221142</formula>
      <formula>221144</formula>
    </cfRule>
    <cfRule type="cellIs" dxfId="4817" priority="4783" stopIfTrue="1" operator="between">
      <formula>220001</formula>
      <formula>221144</formula>
    </cfRule>
  </conditionalFormatting>
  <conditionalFormatting sqref="C21">
    <cfRule type="cellIs" dxfId="4816" priority="4778" stopIfTrue="1" operator="between">
      <formula>221101</formula>
      <formula>221118</formula>
    </cfRule>
    <cfRule type="cellIs" dxfId="4815" priority="4779" stopIfTrue="1" operator="between">
      <formula>221142</formula>
      <formula>221144</formula>
    </cfRule>
    <cfRule type="cellIs" dxfId="4814" priority="4780" stopIfTrue="1" operator="between">
      <formula>220001</formula>
      <formula>221144</formula>
    </cfRule>
  </conditionalFormatting>
  <conditionalFormatting sqref="AM21">
    <cfRule type="cellIs" dxfId="4813" priority="4775" stopIfTrue="1" operator="between">
      <formula>221101</formula>
      <formula>221118</formula>
    </cfRule>
    <cfRule type="cellIs" dxfId="4812" priority="4776" stopIfTrue="1" operator="between">
      <formula>221142</formula>
      <formula>221144</formula>
    </cfRule>
    <cfRule type="cellIs" dxfId="4811" priority="4777" stopIfTrue="1" operator="between">
      <formula>220001</formula>
      <formula>221144</formula>
    </cfRule>
  </conditionalFormatting>
  <conditionalFormatting sqref="AL21">
    <cfRule type="cellIs" dxfId="4810" priority="4772" stopIfTrue="1" operator="between">
      <formula>221101</formula>
      <formula>221118</formula>
    </cfRule>
    <cfRule type="cellIs" dxfId="4809" priority="4773" stopIfTrue="1" operator="between">
      <formula>221142</formula>
      <formula>221144</formula>
    </cfRule>
    <cfRule type="cellIs" dxfId="4808" priority="4774" stopIfTrue="1" operator="between">
      <formula>220001</formula>
      <formula>221144</formula>
    </cfRule>
  </conditionalFormatting>
  <conditionalFormatting sqref="AL21">
    <cfRule type="cellIs" dxfId="4807" priority="4769" stopIfTrue="1" operator="between">
      <formula>221101</formula>
      <formula>221118</formula>
    </cfRule>
    <cfRule type="cellIs" dxfId="4806" priority="4770" stopIfTrue="1" operator="between">
      <formula>221142</formula>
      <formula>221144</formula>
    </cfRule>
    <cfRule type="cellIs" dxfId="4805" priority="4771" stopIfTrue="1" operator="between">
      <formula>220001</formula>
      <formula>221144</formula>
    </cfRule>
  </conditionalFormatting>
  <conditionalFormatting sqref="AK21">
    <cfRule type="cellIs" dxfId="4804" priority="4766" stopIfTrue="1" operator="between">
      <formula>221101</formula>
      <formula>221118</formula>
    </cfRule>
    <cfRule type="cellIs" dxfId="4803" priority="4767" stopIfTrue="1" operator="between">
      <formula>221142</formula>
      <formula>221144</formula>
    </cfRule>
    <cfRule type="cellIs" dxfId="4802" priority="4768" stopIfTrue="1" operator="between">
      <formula>220001</formula>
      <formula>221144</formula>
    </cfRule>
  </conditionalFormatting>
  <conditionalFormatting sqref="C21">
    <cfRule type="cellIs" dxfId="4801" priority="4763" stopIfTrue="1" operator="between">
      <formula>221101</formula>
      <formula>221118</formula>
    </cfRule>
    <cfRule type="cellIs" dxfId="4800" priority="4764" stopIfTrue="1" operator="between">
      <formula>221142</formula>
      <formula>221144</formula>
    </cfRule>
    <cfRule type="cellIs" dxfId="4799" priority="4765" stopIfTrue="1" operator="between">
      <formula>220001</formula>
      <formula>221144</formula>
    </cfRule>
  </conditionalFormatting>
  <conditionalFormatting sqref="AM21">
    <cfRule type="cellIs" dxfId="4798" priority="4760" stopIfTrue="1" operator="between">
      <formula>221101</formula>
      <formula>221118</formula>
    </cfRule>
    <cfRule type="cellIs" dxfId="4797" priority="4761" stopIfTrue="1" operator="between">
      <formula>221142</formula>
      <formula>221144</formula>
    </cfRule>
    <cfRule type="cellIs" dxfId="4796" priority="4762" stopIfTrue="1" operator="between">
      <formula>220001</formula>
      <formula>221144</formula>
    </cfRule>
  </conditionalFormatting>
  <conditionalFormatting sqref="AL21">
    <cfRule type="cellIs" dxfId="4795" priority="4757" stopIfTrue="1" operator="between">
      <formula>221101</formula>
      <formula>221118</formula>
    </cfRule>
    <cfRule type="cellIs" dxfId="4794" priority="4758" stopIfTrue="1" operator="between">
      <formula>221142</formula>
      <formula>221144</formula>
    </cfRule>
    <cfRule type="cellIs" dxfId="4793" priority="4759" stopIfTrue="1" operator="between">
      <formula>220001</formula>
      <formula>221144</formula>
    </cfRule>
  </conditionalFormatting>
  <conditionalFormatting sqref="AL21">
    <cfRule type="cellIs" dxfId="4792" priority="4754" stopIfTrue="1" operator="between">
      <formula>221101</formula>
      <formula>221118</formula>
    </cfRule>
    <cfRule type="cellIs" dxfId="4791" priority="4755" stopIfTrue="1" operator="between">
      <formula>221142</formula>
      <formula>221144</formula>
    </cfRule>
    <cfRule type="cellIs" dxfId="4790" priority="4756" stopIfTrue="1" operator="between">
      <formula>220001</formula>
      <formula>221144</formula>
    </cfRule>
  </conditionalFormatting>
  <conditionalFormatting sqref="AK21">
    <cfRule type="cellIs" dxfId="4789" priority="4751" stopIfTrue="1" operator="between">
      <formula>221101</formula>
      <formula>221118</formula>
    </cfRule>
    <cfRule type="cellIs" dxfId="4788" priority="4752" stopIfTrue="1" operator="between">
      <formula>221142</formula>
      <formula>221144</formula>
    </cfRule>
    <cfRule type="cellIs" dxfId="4787" priority="4753" stopIfTrue="1" operator="between">
      <formula>220001</formula>
      <formula>221144</formula>
    </cfRule>
  </conditionalFormatting>
  <conditionalFormatting sqref="AL21">
    <cfRule type="cellIs" dxfId="4786" priority="4748" stopIfTrue="1" operator="between">
      <formula>221101</formula>
      <formula>221118</formula>
    </cfRule>
    <cfRule type="cellIs" dxfId="4785" priority="4749" stopIfTrue="1" operator="between">
      <formula>221142</formula>
      <formula>221144</formula>
    </cfRule>
    <cfRule type="cellIs" dxfId="4784" priority="4750" stopIfTrue="1" operator="between">
      <formula>220001</formula>
      <formula>221144</formula>
    </cfRule>
  </conditionalFormatting>
  <conditionalFormatting sqref="AK21">
    <cfRule type="cellIs" dxfId="4783" priority="4745" stopIfTrue="1" operator="between">
      <formula>221101</formula>
      <formula>221118</formula>
    </cfRule>
    <cfRule type="cellIs" dxfId="4782" priority="4746" stopIfTrue="1" operator="between">
      <formula>221142</formula>
      <formula>221144</formula>
    </cfRule>
    <cfRule type="cellIs" dxfId="4781" priority="4747" stopIfTrue="1" operator="between">
      <formula>220001</formula>
      <formula>221144</formula>
    </cfRule>
  </conditionalFormatting>
  <conditionalFormatting sqref="AK21">
    <cfRule type="cellIs" dxfId="4780" priority="4742" stopIfTrue="1" operator="between">
      <formula>221101</formula>
      <formula>221118</formula>
    </cfRule>
    <cfRule type="cellIs" dxfId="4779" priority="4743" stopIfTrue="1" operator="between">
      <formula>221142</formula>
      <formula>221144</formula>
    </cfRule>
    <cfRule type="cellIs" dxfId="4778" priority="4744" stopIfTrue="1" operator="between">
      <formula>220001</formula>
      <formula>221144</formula>
    </cfRule>
  </conditionalFormatting>
  <conditionalFormatting sqref="AJ21">
    <cfRule type="cellIs" dxfId="4777" priority="4739" stopIfTrue="1" operator="between">
      <formula>221101</formula>
      <formula>221118</formula>
    </cfRule>
    <cfRule type="cellIs" dxfId="4776" priority="4740" stopIfTrue="1" operator="between">
      <formula>221142</formula>
      <formula>221144</formula>
    </cfRule>
    <cfRule type="cellIs" dxfId="4775" priority="4741" stopIfTrue="1" operator="between">
      <formula>220001</formula>
      <formula>221144</formula>
    </cfRule>
  </conditionalFormatting>
  <conditionalFormatting sqref="C21">
    <cfRule type="cellIs" dxfId="4774" priority="4736" stopIfTrue="1" operator="between">
      <formula>221101</formula>
      <formula>221118</formula>
    </cfRule>
    <cfRule type="cellIs" dxfId="4773" priority="4737" stopIfTrue="1" operator="between">
      <formula>221142</formula>
      <formula>221144</formula>
    </cfRule>
    <cfRule type="cellIs" dxfId="4772" priority="4738" stopIfTrue="1" operator="between">
      <formula>220001</formula>
      <formula>221144</formula>
    </cfRule>
  </conditionalFormatting>
  <conditionalFormatting sqref="AM21">
    <cfRule type="cellIs" dxfId="4771" priority="4733" stopIfTrue="1" operator="between">
      <formula>221101</formula>
      <formula>221118</formula>
    </cfRule>
    <cfRule type="cellIs" dxfId="4770" priority="4734" stopIfTrue="1" operator="between">
      <formula>221142</formula>
      <formula>221144</formula>
    </cfRule>
    <cfRule type="cellIs" dxfId="4769" priority="4735" stopIfTrue="1" operator="between">
      <formula>220001</formula>
      <formula>221144</formula>
    </cfRule>
  </conditionalFormatting>
  <conditionalFormatting sqref="AL21">
    <cfRule type="cellIs" dxfId="4768" priority="4730" stopIfTrue="1" operator="between">
      <formula>221101</formula>
      <formula>221118</formula>
    </cfRule>
    <cfRule type="cellIs" dxfId="4767" priority="4731" stopIfTrue="1" operator="between">
      <formula>221142</formula>
      <formula>221144</formula>
    </cfRule>
    <cfRule type="cellIs" dxfId="4766" priority="4732" stopIfTrue="1" operator="between">
      <formula>220001</formula>
      <formula>221144</formula>
    </cfRule>
  </conditionalFormatting>
  <conditionalFormatting sqref="AL21">
    <cfRule type="cellIs" dxfId="4765" priority="4727" stopIfTrue="1" operator="between">
      <formula>221101</formula>
      <formula>221118</formula>
    </cfRule>
    <cfRule type="cellIs" dxfId="4764" priority="4728" stopIfTrue="1" operator="between">
      <formula>221142</formula>
      <formula>221144</formula>
    </cfRule>
    <cfRule type="cellIs" dxfId="4763" priority="4729" stopIfTrue="1" operator="between">
      <formula>220001</formula>
      <formula>221144</formula>
    </cfRule>
  </conditionalFormatting>
  <conditionalFormatting sqref="AK21">
    <cfRule type="cellIs" dxfId="4762" priority="4724" stopIfTrue="1" operator="between">
      <formula>221101</formula>
      <formula>221118</formula>
    </cfRule>
    <cfRule type="cellIs" dxfId="4761" priority="4725" stopIfTrue="1" operator="between">
      <formula>221142</formula>
      <formula>221144</formula>
    </cfRule>
    <cfRule type="cellIs" dxfId="4760" priority="4726" stopIfTrue="1" operator="between">
      <formula>220001</formula>
      <formula>221144</formula>
    </cfRule>
  </conditionalFormatting>
  <conditionalFormatting sqref="AL21">
    <cfRule type="cellIs" dxfId="4759" priority="4721" stopIfTrue="1" operator="between">
      <formula>221101</formula>
      <formula>221118</formula>
    </cfRule>
    <cfRule type="cellIs" dxfId="4758" priority="4722" stopIfTrue="1" operator="between">
      <formula>221142</formula>
      <formula>221144</formula>
    </cfRule>
    <cfRule type="cellIs" dxfId="4757" priority="4723" stopIfTrue="1" operator="between">
      <formula>220001</formula>
      <formula>221144</formula>
    </cfRule>
  </conditionalFormatting>
  <conditionalFormatting sqref="AK21">
    <cfRule type="cellIs" dxfId="4756" priority="4718" stopIfTrue="1" operator="between">
      <formula>221101</formula>
      <formula>221118</formula>
    </cfRule>
    <cfRule type="cellIs" dxfId="4755" priority="4719" stopIfTrue="1" operator="between">
      <formula>221142</formula>
      <formula>221144</formula>
    </cfRule>
    <cfRule type="cellIs" dxfId="4754" priority="4720" stopIfTrue="1" operator="between">
      <formula>220001</formula>
      <formula>221144</formula>
    </cfRule>
  </conditionalFormatting>
  <conditionalFormatting sqref="AK21">
    <cfRule type="cellIs" dxfId="4753" priority="4715" stopIfTrue="1" operator="between">
      <formula>221101</formula>
      <formula>221118</formula>
    </cfRule>
    <cfRule type="cellIs" dxfId="4752" priority="4716" stopIfTrue="1" operator="between">
      <formula>221142</formula>
      <formula>221144</formula>
    </cfRule>
    <cfRule type="cellIs" dxfId="4751" priority="4717" stopIfTrue="1" operator="between">
      <formula>220001</formula>
      <formula>221144</formula>
    </cfRule>
  </conditionalFormatting>
  <conditionalFormatting sqref="AJ21">
    <cfRule type="cellIs" dxfId="4750" priority="4712" stopIfTrue="1" operator="between">
      <formula>221101</formula>
      <formula>221118</formula>
    </cfRule>
    <cfRule type="cellIs" dxfId="4749" priority="4713" stopIfTrue="1" operator="between">
      <formula>221142</formula>
      <formula>221144</formula>
    </cfRule>
    <cfRule type="cellIs" dxfId="4748" priority="4714" stopIfTrue="1" operator="between">
      <formula>220001</formula>
      <formula>221144</formula>
    </cfRule>
  </conditionalFormatting>
  <conditionalFormatting sqref="AL21">
    <cfRule type="cellIs" dxfId="4747" priority="4709" stopIfTrue="1" operator="between">
      <formula>221101</formula>
      <formula>221118</formula>
    </cfRule>
    <cfRule type="cellIs" dxfId="4746" priority="4710" stopIfTrue="1" operator="between">
      <formula>221142</formula>
      <formula>221144</formula>
    </cfRule>
    <cfRule type="cellIs" dxfId="4745" priority="4711" stopIfTrue="1" operator="between">
      <formula>220001</formula>
      <formula>221144</formula>
    </cfRule>
  </conditionalFormatting>
  <conditionalFormatting sqref="AK21">
    <cfRule type="cellIs" dxfId="4744" priority="4706" stopIfTrue="1" operator="between">
      <formula>221101</formula>
      <formula>221118</formula>
    </cfRule>
    <cfRule type="cellIs" dxfId="4743" priority="4707" stopIfTrue="1" operator="between">
      <formula>221142</formula>
      <formula>221144</formula>
    </cfRule>
    <cfRule type="cellIs" dxfId="4742" priority="4708" stopIfTrue="1" operator="between">
      <formula>220001</formula>
      <formula>221144</formula>
    </cfRule>
  </conditionalFormatting>
  <conditionalFormatting sqref="AK21">
    <cfRule type="cellIs" dxfId="4741" priority="4703" stopIfTrue="1" operator="between">
      <formula>221101</formula>
      <formula>221118</formula>
    </cfRule>
    <cfRule type="cellIs" dxfId="4740" priority="4704" stopIfTrue="1" operator="between">
      <formula>221142</formula>
      <formula>221144</formula>
    </cfRule>
    <cfRule type="cellIs" dxfId="4739" priority="4705" stopIfTrue="1" operator="between">
      <formula>220001</formula>
      <formula>221144</formula>
    </cfRule>
  </conditionalFormatting>
  <conditionalFormatting sqref="AJ21">
    <cfRule type="cellIs" dxfId="4738" priority="4700" stopIfTrue="1" operator="between">
      <formula>221101</formula>
      <formula>221118</formula>
    </cfRule>
    <cfRule type="cellIs" dxfId="4737" priority="4701" stopIfTrue="1" operator="between">
      <formula>221142</formula>
      <formula>221144</formula>
    </cfRule>
    <cfRule type="cellIs" dxfId="4736" priority="4702" stopIfTrue="1" operator="between">
      <formula>220001</formula>
      <formula>221144</formula>
    </cfRule>
  </conditionalFormatting>
  <conditionalFormatting sqref="AK21">
    <cfRule type="cellIs" dxfId="4735" priority="4697" stopIfTrue="1" operator="between">
      <formula>221101</formula>
      <formula>221118</formula>
    </cfRule>
    <cfRule type="cellIs" dxfId="4734" priority="4698" stopIfTrue="1" operator="between">
      <formula>221142</formula>
      <formula>221144</formula>
    </cfRule>
    <cfRule type="cellIs" dxfId="4733" priority="4699" stopIfTrue="1" operator="between">
      <formula>220001</formula>
      <formula>221144</formula>
    </cfRule>
  </conditionalFormatting>
  <conditionalFormatting sqref="AJ21">
    <cfRule type="cellIs" dxfId="4732" priority="4694" stopIfTrue="1" operator="between">
      <formula>221101</formula>
      <formula>221118</formula>
    </cfRule>
    <cfRule type="cellIs" dxfId="4731" priority="4695" stopIfTrue="1" operator="between">
      <formula>221142</formula>
      <formula>221144</formula>
    </cfRule>
    <cfRule type="cellIs" dxfId="4730" priority="4696" stopIfTrue="1" operator="between">
      <formula>220001</formula>
      <formula>221144</formula>
    </cfRule>
  </conditionalFormatting>
  <conditionalFormatting sqref="AJ21">
    <cfRule type="cellIs" dxfId="4729" priority="4691" stopIfTrue="1" operator="between">
      <formula>221101</formula>
      <formula>221118</formula>
    </cfRule>
    <cfRule type="cellIs" dxfId="4728" priority="4692" stopIfTrue="1" operator="between">
      <formula>221142</formula>
      <formula>221144</formula>
    </cfRule>
    <cfRule type="cellIs" dxfId="4727" priority="4693" stopIfTrue="1" operator="between">
      <formula>220001</formula>
      <formula>221144</formula>
    </cfRule>
  </conditionalFormatting>
  <conditionalFormatting sqref="AI21">
    <cfRule type="cellIs" dxfId="4726" priority="4688" stopIfTrue="1" operator="between">
      <formula>221101</formula>
      <formula>221118</formula>
    </cfRule>
    <cfRule type="cellIs" dxfId="4725" priority="4689" stopIfTrue="1" operator="between">
      <formula>221142</formula>
      <formula>221144</formula>
    </cfRule>
    <cfRule type="cellIs" dxfId="4724" priority="4690" stopIfTrue="1" operator="between">
      <formula>220001</formula>
      <formula>221144</formula>
    </cfRule>
  </conditionalFormatting>
  <conditionalFormatting sqref="D21">
    <cfRule type="cellIs" dxfId="4723" priority="4685" stopIfTrue="1" operator="between">
      <formula>221101</formula>
      <formula>221118</formula>
    </cfRule>
    <cfRule type="cellIs" dxfId="4722" priority="4686" stopIfTrue="1" operator="between">
      <formula>221142</formula>
      <formula>221144</formula>
    </cfRule>
    <cfRule type="cellIs" dxfId="4721" priority="4687" stopIfTrue="1" operator="between">
      <formula>220001</formula>
      <formula>221144</formula>
    </cfRule>
  </conditionalFormatting>
  <conditionalFormatting sqref="AN21">
    <cfRule type="cellIs" dxfId="4720" priority="4682" stopIfTrue="1" operator="between">
      <formula>221101</formula>
      <formula>221118</formula>
    </cfRule>
    <cfRule type="cellIs" dxfId="4719" priority="4683" stopIfTrue="1" operator="between">
      <formula>221142</formula>
      <formula>221144</formula>
    </cfRule>
    <cfRule type="cellIs" dxfId="4718" priority="4684" stopIfTrue="1" operator="between">
      <formula>220001</formula>
      <formula>221144</formula>
    </cfRule>
  </conditionalFormatting>
  <conditionalFormatting sqref="AM21">
    <cfRule type="cellIs" dxfId="4717" priority="4679" stopIfTrue="1" operator="between">
      <formula>221101</formula>
      <formula>221118</formula>
    </cfRule>
    <cfRule type="cellIs" dxfId="4716" priority="4680" stopIfTrue="1" operator="between">
      <formula>221142</formula>
      <formula>221144</formula>
    </cfRule>
    <cfRule type="cellIs" dxfId="4715" priority="4681" stopIfTrue="1" operator="between">
      <formula>220001</formula>
      <formula>221144</formula>
    </cfRule>
  </conditionalFormatting>
  <conditionalFormatting sqref="AM21">
    <cfRule type="cellIs" dxfId="4714" priority="4676" stopIfTrue="1" operator="between">
      <formula>221101</formula>
      <formula>221118</formula>
    </cfRule>
    <cfRule type="cellIs" dxfId="4713" priority="4677" stopIfTrue="1" operator="between">
      <formula>221142</formula>
      <formula>221144</formula>
    </cfRule>
    <cfRule type="cellIs" dxfId="4712" priority="4678" stopIfTrue="1" operator="between">
      <formula>220001</formula>
      <formula>221144</formula>
    </cfRule>
  </conditionalFormatting>
  <conditionalFormatting sqref="AL21">
    <cfRule type="cellIs" dxfId="4711" priority="4673" stopIfTrue="1" operator="between">
      <formula>221101</formula>
      <formula>221118</formula>
    </cfRule>
    <cfRule type="cellIs" dxfId="4710" priority="4674" stopIfTrue="1" operator="between">
      <formula>221142</formula>
      <formula>221144</formula>
    </cfRule>
    <cfRule type="cellIs" dxfId="4709" priority="4675" stopIfTrue="1" operator="between">
      <formula>220001</formula>
      <formula>221144</formula>
    </cfRule>
  </conditionalFormatting>
  <conditionalFormatting sqref="C21">
    <cfRule type="cellIs" dxfId="4708" priority="4670" stopIfTrue="1" operator="between">
      <formula>221101</formula>
      <formula>221118</formula>
    </cfRule>
    <cfRule type="cellIs" dxfId="4707" priority="4671" stopIfTrue="1" operator="between">
      <formula>221142</formula>
      <formula>221144</formula>
    </cfRule>
    <cfRule type="cellIs" dxfId="4706" priority="4672" stopIfTrue="1" operator="between">
      <formula>220001</formula>
      <formula>221144</formula>
    </cfRule>
  </conditionalFormatting>
  <conditionalFormatting sqref="C21">
    <cfRule type="cellIs" dxfId="4705" priority="4667" stopIfTrue="1" operator="between">
      <formula>221101</formula>
      <formula>221118</formula>
    </cfRule>
    <cfRule type="cellIs" dxfId="4704" priority="4668" stopIfTrue="1" operator="between">
      <formula>221142</formula>
      <formula>221144</formula>
    </cfRule>
    <cfRule type="cellIs" dxfId="4703" priority="4669" stopIfTrue="1" operator="between">
      <formula>220001</formula>
      <formula>221144</formula>
    </cfRule>
  </conditionalFormatting>
  <conditionalFormatting sqref="C21">
    <cfRule type="cellIs" dxfId="4702" priority="4664" stopIfTrue="1" operator="between">
      <formula>221101</formula>
      <formula>221118</formula>
    </cfRule>
    <cfRule type="cellIs" dxfId="4701" priority="4665" stopIfTrue="1" operator="between">
      <formula>221142</formula>
      <formula>221144</formula>
    </cfRule>
    <cfRule type="cellIs" dxfId="4700" priority="4666" stopIfTrue="1" operator="between">
      <formula>220001</formula>
      <formula>221144</formula>
    </cfRule>
  </conditionalFormatting>
  <conditionalFormatting sqref="C21">
    <cfRule type="cellIs" dxfId="4699" priority="4661" stopIfTrue="1" operator="between">
      <formula>221101</formula>
      <formula>221118</formula>
    </cfRule>
    <cfRule type="cellIs" dxfId="4698" priority="4662" stopIfTrue="1" operator="between">
      <formula>221142</formula>
      <formula>221144</formula>
    </cfRule>
    <cfRule type="cellIs" dxfId="4697" priority="4663" stopIfTrue="1" operator="between">
      <formula>220001</formula>
      <formula>221144</formula>
    </cfRule>
  </conditionalFormatting>
  <conditionalFormatting sqref="C21">
    <cfRule type="cellIs" dxfId="4696" priority="4658" stopIfTrue="1" operator="between">
      <formula>221101</formula>
      <formula>221118</formula>
    </cfRule>
    <cfRule type="cellIs" dxfId="4695" priority="4659" stopIfTrue="1" operator="between">
      <formula>221142</formula>
      <formula>221144</formula>
    </cfRule>
    <cfRule type="cellIs" dxfId="4694" priority="4660" stopIfTrue="1" operator="between">
      <formula>220001</formula>
      <formula>221144</formula>
    </cfRule>
  </conditionalFormatting>
  <conditionalFormatting sqref="AM21">
    <cfRule type="cellIs" dxfId="4693" priority="4655" stopIfTrue="1" operator="between">
      <formula>221101</formula>
      <formula>221118</formula>
    </cfRule>
    <cfRule type="cellIs" dxfId="4692" priority="4656" stopIfTrue="1" operator="between">
      <formula>221142</formula>
      <formula>221144</formula>
    </cfRule>
    <cfRule type="cellIs" dxfId="4691" priority="4657" stopIfTrue="1" operator="between">
      <formula>220001</formula>
      <formula>221144</formula>
    </cfRule>
  </conditionalFormatting>
  <conditionalFormatting sqref="AL21">
    <cfRule type="cellIs" dxfId="4690" priority="4652" stopIfTrue="1" operator="between">
      <formula>221101</formula>
      <formula>221118</formula>
    </cfRule>
    <cfRule type="cellIs" dxfId="4689" priority="4653" stopIfTrue="1" operator="between">
      <formula>221142</formula>
      <formula>221144</formula>
    </cfRule>
    <cfRule type="cellIs" dxfId="4688" priority="4654" stopIfTrue="1" operator="between">
      <formula>220001</formula>
      <formula>221144</formula>
    </cfRule>
  </conditionalFormatting>
  <conditionalFormatting sqref="AL21">
    <cfRule type="cellIs" dxfId="4687" priority="4649" stopIfTrue="1" operator="between">
      <formula>221101</formula>
      <formula>221118</formula>
    </cfRule>
    <cfRule type="cellIs" dxfId="4686" priority="4650" stopIfTrue="1" operator="between">
      <formula>221142</formula>
      <formula>221144</formula>
    </cfRule>
    <cfRule type="cellIs" dxfId="4685" priority="4651" stopIfTrue="1" operator="between">
      <formula>220001</formula>
      <formula>221144</formula>
    </cfRule>
  </conditionalFormatting>
  <conditionalFormatting sqref="AK21">
    <cfRule type="cellIs" dxfId="4684" priority="4646" stopIfTrue="1" operator="between">
      <formula>221101</formula>
      <formula>221118</formula>
    </cfRule>
    <cfRule type="cellIs" dxfId="4683" priority="4647" stopIfTrue="1" operator="between">
      <formula>221142</formula>
      <formula>221144</formula>
    </cfRule>
    <cfRule type="cellIs" dxfId="4682" priority="4648" stopIfTrue="1" operator="between">
      <formula>220001</formula>
      <formula>221144</formula>
    </cfRule>
  </conditionalFormatting>
  <conditionalFormatting sqref="C21">
    <cfRule type="cellIs" dxfId="4681" priority="4643" stopIfTrue="1" operator="between">
      <formula>221101</formula>
      <formula>221118</formula>
    </cfRule>
    <cfRule type="cellIs" dxfId="4680" priority="4644" stopIfTrue="1" operator="between">
      <formula>221142</formula>
      <formula>221144</formula>
    </cfRule>
    <cfRule type="cellIs" dxfId="4679" priority="4645" stopIfTrue="1" operator="between">
      <formula>220001</formula>
      <formula>221144</formula>
    </cfRule>
  </conditionalFormatting>
  <conditionalFormatting sqref="AM21">
    <cfRule type="cellIs" dxfId="4678" priority="4640" stopIfTrue="1" operator="between">
      <formula>221101</formula>
      <formula>221118</formula>
    </cfRule>
    <cfRule type="cellIs" dxfId="4677" priority="4641" stopIfTrue="1" operator="between">
      <formula>221142</formula>
      <formula>221144</formula>
    </cfRule>
    <cfRule type="cellIs" dxfId="4676" priority="4642" stopIfTrue="1" operator="between">
      <formula>220001</formula>
      <formula>221144</formula>
    </cfRule>
  </conditionalFormatting>
  <conditionalFormatting sqref="AL21">
    <cfRule type="cellIs" dxfId="4675" priority="4637" stopIfTrue="1" operator="between">
      <formula>221101</formula>
      <formula>221118</formula>
    </cfRule>
    <cfRule type="cellIs" dxfId="4674" priority="4638" stopIfTrue="1" operator="between">
      <formula>221142</formula>
      <formula>221144</formula>
    </cfRule>
    <cfRule type="cellIs" dxfId="4673" priority="4639" stopIfTrue="1" operator="between">
      <formula>220001</formula>
      <formula>221144</formula>
    </cfRule>
  </conditionalFormatting>
  <conditionalFormatting sqref="AL21">
    <cfRule type="cellIs" dxfId="4672" priority="4634" stopIfTrue="1" operator="between">
      <formula>221101</formula>
      <formula>221118</formula>
    </cfRule>
    <cfRule type="cellIs" dxfId="4671" priority="4635" stopIfTrue="1" operator="between">
      <formula>221142</formula>
      <formula>221144</formula>
    </cfRule>
    <cfRule type="cellIs" dxfId="4670" priority="4636" stopIfTrue="1" operator="between">
      <formula>220001</formula>
      <formula>221144</formula>
    </cfRule>
  </conditionalFormatting>
  <conditionalFormatting sqref="AK21">
    <cfRule type="cellIs" dxfId="4669" priority="4631" stopIfTrue="1" operator="between">
      <formula>221101</formula>
      <formula>221118</formula>
    </cfRule>
    <cfRule type="cellIs" dxfId="4668" priority="4632" stopIfTrue="1" operator="between">
      <formula>221142</formula>
      <formula>221144</formula>
    </cfRule>
    <cfRule type="cellIs" dxfId="4667" priority="4633" stopIfTrue="1" operator="between">
      <formula>220001</formula>
      <formula>221144</formula>
    </cfRule>
  </conditionalFormatting>
  <conditionalFormatting sqref="AL21">
    <cfRule type="cellIs" dxfId="4666" priority="4628" stopIfTrue="1" operator="between">
      <formula>221101</formula>
      <formula>221118</formula>
    </cfRule>
    <cfRule type="cellIs" dxfId="4665" priority="4629" stopIfTrue="1" operator="between">
      <formula>221142</formula>
      <formula>221144</formula>
    </cfRule>
    <cfRule type="cellIs" dxfId="4664" priority="4630" stopIfTrue="1" operator="between">
      <formula>220001</formula>
      <formula>221144</formula>
    </cfRule>
  </conditionalFormatting>
  <conditionalFormatting sqref="AK21">
    <cfRule type="cellIs" dxfId="4663" priority="4625" stopIfTrue="1" operator="between">
      <formula>221101</formula>
      <formula>221118</formula>
    </cfRule>
    <cfRule type="cellIs" dxfId="4662" priority="4626" stopIfTrue="1" operator="between">
      <formula>221142</formula>
      <formula>221144</formula>
    </cfRule>
    <cfRule type="cellIs" dxfId="4661" priority="4627" stopIfTrue="1" operator="between">
      <formula>220001</formula>
      <formula>221144</formula>
    </cfRule>
  </conditionalFormatting>
  <conditionalFormatting sqref="AK21">
    <cfRule type="cellIs" dxfId="4660" priority="4622" stopIfTrue="1" operator="between">
      <formula>221101</formula>
      <formula>221118</formula>
    </cfRule>
    <cfRule type="cellIs" dxfId="4659" priority="4623" stopIfTrue="1" operator="between">
      <formula>221142</formula>
      <formula>221144</formula>
    </cfRule>
    <cfRule type="cellIs" dxfId="4658" priority="4624" stopIfTrue="1" operator="between">
      <formula>220001</formula>
      <formula>221144</formula>
    </cfRule>
  </conditionalFormatting>
  <conditionalFormatting sqref="AJ21">
    <cfRule type="cellIs" dxfId="4657" priority="4619" stopIfTrue="1" operator="between">
      <formula>221101</formula>
      <formula>221118</formula>
    </cfRule>
    <cfRule type="cellIs" dxfId="4656" priority="4620" stopIfTrue="1" operator="between">
      <formula>221142</formula>
      <formula>221144</formula>
    </cfRule>
    <cfRule type="cellIs" dxfId="4655" priority="4621" stopIfTrue="1" operator="between">
      <formula>220001</formula>
      <formula>221144</formula>
    </cfRule>
  </conditionalFormatting>
  <conditionalFormatting sqref="C21">
    <cfRule type="cellIs" dxfId="4654" priority="4616" stopIfTrue="1" operator="between">
      <formula>221101</formula>
      <formula>221118</formula>
    </cfRule>
    <cfRule type="cellIs" dxfId="4653" priority="4617" stopIfTrue="1" operator="between">
      <formula>221142</formula>
      <formula>221144</formula>
    </cfRule>
    <cfRule type="cellIs" dxfId="4652" priority="4618" stopIfTrue="1" operator="between">
      <formula>220001</formula>
      <formula>221144</formula>
    </cfRule>
  </conditionalFormatting>
  <conditionalFormatting sqref="AM21">
    <cfRule type="cellIs" dxfId="4651" priority="4613" stopIfTrue="1" operator="between">
      <formula>221101</formula>
      <formula>221118</formula>
    </cfRule>
    <cfRule type="cellIs" dxfId="4650" priority="4614" stopIfTrue="1" operator="between">
      <formula>221142</formula>
      <formula>221144</formula>
    </cfRule>
    <cfRule type="cellIs" dxfId="4649" priority="4615" stopIfTrue="1" operator="between">
      <formula>220001</formula>
      <formula>221144</formula>
    </cfRule>
  </conditionalFormatting>
  <conditionalFormatting sqref="AL21">
    <cfRule type="cellIs" dxfId="4648" priority="4610" stopIfTrue="1" operator="between">
      <formula>221101</formula>
      <formula>221118</formula>
    </cfRule>
    <cfRule type="cellIs" dxfId="4647" priority="4611" stopIfTrue="1" operator="between">
      <formula>221142</formula>
      <formula>221144</formula>
    </cfRule>
    <cfRule type="cellIs" dxfId="4646" priority="4612" stopIfTrue="1" operator="between">
      <formula>220001</formula>
      <formula>221144</formula>
    </cfRule>
  </conditionalFormatting>
  <conditionalFormatting sqref="AL21">
    <cfRule type="cellIs" dxfId="4645" priority="4607" stopIfTrue="1" operator="between">
      <formula>221101</formula>
      <formula>221118</formula>
    </cfRule>
    <cfRule type="cellIs" dxfId="4644" priority="4608" stopIfTrue="1" operator="between">
      <formula>221142</formula>
      <formula>221144</formula>
    </cfRule>
    <cfRule type="cellIs" dxfId="4643" priority="4609" stopIfTrue="1" operator="between">
      <formula>220001</formula>
      <formula>221144</formula>
    </cfRule>
  </conditionalFormatting>
  <conditionalFormatting sqref="AK21">
    <cfRule type="cellIs" dxfId="4642" priority="4604" stopIfTrue="1" operator="between">
      <formula>221101</formula>
      <formula>221118</formula>
    </cfRule>
    <cfRule type="cellIs" dxfId="4641" priority="4605" stopIfTrue="1" operator="between">
      <formula>221142</formula>
      <formula>221144</formula>
    </cfRule>
    <cfRule type="cellIs" dxfId="4640" priority="4606" stopIfTrue="1" operator="between">
      <formula>220001</formula>
      <formula>221144</formula>
    </cfRule>
  </conditionalFormatting>
  <conditionalFormatting sqref="AL21">
    <cfRule type="cellIs" dxfId="4639" priority="4601" stopIfTrue="1" operator="between">
      <formula>221101</formula>
      <formula>221118</formula>
    </cfRule>
    <cfRule type="cellIs" dxfId="4638" priority="4602" stopIfTrue="1" operator="between">
      <formula>221142</formula>
      <formula>221144</formula>
    </cfRule>
    <cfRule type="cellIs" dxfId="4637" priority="4603" stopIfTrue="1" operator="between">
      <formula>220001</formula>
      <formula>221144</formula>
    </cfRule>
  </conditionalFormatting>
  <conditionalFormatting sqref="AK21">
    <cfRule type="cellIs" dxfId="4636" priority="4598" stopIfTrue="1" operator="between">
      <formula>221101</formula>
      <formula>221118</formula>
    </cfRule>
    <cfRule type="cellIs" dxfId="4635" priority="4599" stopIfTrue="1" operator="between">
      <formula>221142</formula>
      <formula>221144</formula>
    </cfRule>
    <cfRule type="cellIs" dxfId="4634" priority="4600" stopIfTrue="1" operator="between">
      <formula>220001</formula>
      <formula>221144</formula>
    </cfRule>
  </conditionalFormatting>
  <conditionalFormatting sqref="AK21">
    <cfRule type="cellIs" dxfId="4633" priority="4595" stopIfTrue="1" operator="between">
      <formula>221101</formula>
      <formula>221118</formula>
    </cfRule>
    <cfRule type="cellIs" dxfId="4632" priority="4596" stopIfTrue="1" operator="between">
      <formula>221142</formula>
      <formula>221144</formula>
    </cfRule>
    <cfRule type="cellIs" dxfId="4631" priority="4597" stopIfTrue="1" operator="between">
      <formula>220001</formula>
      <formula>221144</formula>
    </cfRule>
  </conditionalFormatting>
  <conditionalFormatting sqref="AJ21">
    <cfRule type="cellIs" dxfId="4630" priority="4592" stopIfTrue="1" operator="between">
      <formula>221101</formula>
      <formula>221118</formula>
    </cfRule>
    <cfRule type="cellIs" dxfId="4629" priority="4593" stopIfTrue="1" operator="between">
      <formula>221142</formula>
      <formula>221144</formula>
    </cfRule>
    <cfRule type="cellIs" dxfId="4628" priority="4594" stopIfTrue="1" operator="between">
      <formula>220001</formula>
      <formula>221144</formula>
    </cfRule>
  </conditionalFormatting>
  <conditionalFormatting sqref="AL21">
    <cfRule type="cellIs" dxfId="4627" priority="4589" stopIfTrue="1" operator="between">
      <formula>221101</formula>
      <formula>221118</formula>
    </cfRule>
    <cfRule type="cellIs" dxfId="4626" priority="4590" stopIfTrue="1" operator="between">
      <formula>221142</formula>
      <formula>221144</formula>
    </cfRule>
    <cfRule type="cellIs" dxfId="4625" priority="4591" stopIfTrue="1" operator="between">
      <formula>220001</formula>
      <formula>221144</formula>
    </cfRule>
  </conditionalFormatting>
  <conditionalFormatting sqref="AK21">
    <cfRule type="cellIs" dxfId="4624" priority="4586" stopIfTrue="1" operator="between">
      <formula>221101</formula>
      <formula>221118</formula>
    </cfRule>
    <cfRule type="cellIs" dxfId="4623" priority="4587" stopIfTrue="1" operator="between">
      <formula>221142</formula>
      <formula>221144</formula>
    </cfRule>
    <cfRule type="cellIs" dxfId="4622" priority="4588" stopIfTrue="1" operator="between">
      <formula>220001</formula>
      <formula>221144</formula>
    </cfRule>
  </conditionalFormatting>
  <conditionalFormatting sqref="AK21">
    <cfRule type="cellIs" dxfId="4621" priority="4583" stopIfTrue="1" operator="between">
      <formula>221101</formula>
      <formula>221118</formula>
    </cfRule>
    <cfRule type="cellIs" dxfId="4620" priority="4584" stopIfTrue="1" operator="between">
      <formula>221142</formula>
      <formula>221144</formula>
    </cfRule>
    <cfRule type="cellIs" dxfId="4619" priority="4585" stopIfTrue="1" operator="between">
      <formula>220001</formula>
      <formula>221144</formula>
    </cfRule>
  </conditionalFormatting>
  <conditionalFormatting sqref="AJ21">
    <cfRule type="cellIs" dxfId="4618" priority="4580" stopIfTrue="1" operator="between">
      <formula>221101</formula>
      <formula>221118</formula>
    </cfRule>
    <cfRule type="cellIs" dxfId="4617" priority="4581" stopIfTrue="1" operator="between">
      <formula>221142</formula>
      <formula>221144</formula>
    </cfRule>
    <cfRule type="cellIs" dxfId="4616" priority="4582" stopIfTrue="1" operator="between">
      <formula>220001</formula>
      <formula>221144</formula>
    </cfRule>
  </conditionalFormatting>
  <conditionalFormatting sqref="AK21">
    <cfRule type="cellIs" dxfId="4615" priority="4577" stopIfTrue="1" operator="between">
      <formula>221101</formula>
      <formula>221118</formula>
    </cfRule>
    <cfRule type="cellIs" dxfId="4614" priority="4578" stopIfTrue="1" operator="between">
      <formula>221142</formula>
      <formula>221144</formula>
    </cfRule>
    <cfRule type="cellIs" dxfId="4613" priority="4579" stopIfTrue="1" operator="between">
      <formula>220001</formula>
      <formula>221144</formula>
    </cfRule>
  </conditionalFormatting>
  <conditionalFormatting sqref="AJ21">
    <cfRule type="cellIs" dxfId="4612" priority="4574" stopIfTrue="1" operator="between">
      <formula>221101</formula>
      <formula>221118</formula>
    </cfRule>
    <cfRule type="cellIs" dxfId="4611" priority="4575" stopIfTrue="1" operator="between">
      <formula>221142</formula>
      <formula>221144</formula>
    </cfRule>
    <cfRule type="cellIs" dxfId="4610" priority="4576" stopIfTrue="1" operator="between">
      <formula>220001</formula>
      <formula>221144</formula>
    </cfRule>
  </conditionalFormatting>
  <conditionalFormatting sqref="AJ21">
    <cfRule type="cellIs" dxfId="4609" priority="4571" stopIfTrue="1" operator="between">
      <formula>221101</formula>
      <formula>221118</formula>
    </cfRule>
    <cfRule type="cellIs" dxfId="4608" priority="4572" stopIfTrue="1" operator="between">
      <formula>221142</formula>
      <formula>221144</formula>
    </cfRule>
    <cfRule type="cellIs" dxfId="4607" priority="4573" stopIfTrue="1" operator="between">
      <formula>220001</formula>
      <formula>221144</formula>
    </cfRule>
  </conditionalFormatting>
  <conditionalFormatting sqref="AI21">
    <cfRule type="cellIs" dxfId="4606" priority="4568" stopIfTrue="1" operator="between">
      <formula>221101</formula>
      <formula>221118</formula>
    </cfRule>
    <cfRule type="cellIs" dxfId="4605" priority="4569" stopIfTrue="1" operator="between">
      <formula>221142</formula>
      <formula>221144</formula>
    </cfRule>
    <cfRule type="cellIs" dxfId="4604" priority="4570" stopIfTrue="1" operator="between">
      <formula>220001</formula>
      <formula>221144</formula>
    </cfRule>
  </conditionalFormatting>
  <conditionalFormatting sqref="C21">
    <cfRule type="cellIs" dxfId="4603" priority="4565" stopIfTrue="1" operator="between">
      <formula>221101</formula>
      <formula>221118</formula>
    </cfRule>
    <cfRule type="cellIs" dxfId="4602" priority="4566" stopIfTrue="1" operator="between">
      <formula>221142</formula>
      <formula>221144</formula>
    </cfRule>
    <cfRule type="cellIs" dxfId="4601" priority="4567" stopIfTrue="1" operator="between">
      <formula>220001</formula>
      <formula>221144</formula>
    </cfRule>
  </conditionalFormatting>
  <conditionalFormatting sqref="AM21">
    <cfRule type="cellIs" dxfId="4600" priority="4562" stopIfTrue="1" operator="between">
      <formula>221101</formula>
      <formula>221118</formula>
    </cfRule>
    <cfRule type="cellIs" dxfId="4599" priority="4563" stopIfTrue="1" operator="between">
      <formula>221142</formula>
      <formula>221144</formula>
    </cfRule>
    <cfRule type="cellIs" dxfId="4598" priority="4564" stopIfTrue="1" operator="between">
      <formula>220001</formula>
      <formula>221144</formula>
    </cfRule>
  </conditionalFormatting>
  <conditionalFormatting sqref="AL21">
    <cfRule type="cellIs" dxfId="4597" priority="4559" stopIfTrue="1" operator="between">
      <formula>221101</formula>
      <formula>221118</formula>
    </cfRule>
    <cfRule type="cellIs" dxfId="4596" priority="4560" stopIfTrue="1" operator="between">
      <formula>221142</formula>
      <formula>221144</formula>
    </cfRule>
    <cfRule type="cellIs" dxfId="4595" priority="4561" stopIfTrue="1" operator="between">
      <formula>220001</formula>
      <formula>221144</formula>
    </cfRule>
  </conditionalFormatting>
  <conditionalFormatting sqref="AL21">
    <cfRule type="cellIs" dxfId="4594" priority="4556" stopIfTrue="1" operator="between">
      <formula>221101</formula>
      <formula>221118</formula>
    </cfRule>
    <cfRule type="cellIs" dxfId="4593" priority="4557" stopIfTrue="1" operator="between">
      <formula>221142</formula>
      <formula>221144</formula>
    </cfRule>
    <cfRule type="cellIs" dxfId="4592" priority="4558" stopIfTrue="1" operator="between">
      <formula>220001</formula>
      <formula>221144</formula>
    </cfRule>
  </conditionalFormatting>
  <conditionalFormatting sqref="AK21">
    <cfRule type="cellIs" dxfId="4591" priority="4553" stopIfTrue="1" operator="between">
      <formula>221101</formula>
      <formula>221118</formula>
    </cfRule>
    <cfRule type="cellIs" dxfId="4590" priority="4554" stopIfTrue="1" operator="between">
      <formula>221142</formula>
      <formula>221144</formula>
    </cfRule>
    <cfRule type="cellIs" dxfId="4589" priority="4555" stopIfTrue="1" operator="between">
      <formula>220001</formula>
      <formula>221144</formula>
    </cfRule>
  </conditionalFormatting>
  <conditionalFormatting sqref="AL21">
    <cfRule type="cellIs" dxfId="4588" priority="4550" stopIfTrue="1" operator="between">
      <formula>221101</formula>
      <formula>221118</formula>
    </cfRule>
    <cfRule type="cellIs" dxfId="4587" priority="4551" stopIfTrue="1" operator="between">
      <formula>221142</formula>
      <formula>221144</formula>
    </cfRule>
    <cfRule type="cellIs" dxfId="4586" priority="4552" stopIfTrue="1" operator="between">
      <formula>220001</formula>
      <formula>221144</formula>
    </cfRule>
  </conditionalFormatting>
  <conditionalFormatting sqref="AK21">
    <cfRule type="cellIs" dxfId="4585" priority="4547" stopIfTrue="1" operator="between">
      <formula>221101</formula>
      <formula>221118</formula>
    </cfRule>
    <cfRule type="cellIs" dxfId="4584" priority="4548" stopIfTrue="1" operator="between">
      <formula>221142</formula>
      <formula>221144</formula>
    </cfRule>
    <cfRule type="cellIs" dxfId="4583" priority="4549" stopIfTrue="1" operator="between">
      <formula>220001</formula>
      <formula>221144</formula>
    </cfRule>
  </conditionalFormatting>
  <conditionalFormatting sqref="AK21">
    <cfRule type="cellIs" dxfId="4582" priority="4544" stopIfTrue="1" operator="between">
      <formula>221101</formula>
      <formula>221118</formula>
    </cfRule>
    <cfRule type="cellIs" dxfId="4581" priority="4545" stopIfTrue="1" operator="between">
      <formula>221142</formula>
      <formula>221144</formula>
    </cfRule>
    <cfRule type="cellIs" dxfId="4580" priority="4546" stopIfTrue="1" operator="between">
      <formula>220001</formula>
      <formula>221144</formula>
    </cfRule>
  </conditionalFormatting>
  <conditionalFormatting sqref="AJ21">
    <cfRule type="cellIs" dxfId="4579" priority="4541" stopIfTrue="1" operator="between">
      <formula>221101</formula>
      <formula>221118</formula>
    </cfRule>
    <cfRule type="cellIs" dxfId="4578" priority="4542" stopIfTrue="1" operator="between">
      <formula>221142</formula>
      <formula>221144</formula>
    </cfRule>
    <cfRule type="cellIs" dxfId="4577" priority="4543" stopIfTrue="1" operator="between">
      <formula>220001</formula>
      <formula>221144</formula>
    </cfRule>
  </conditionalFormatting>
  <conditionalFormatting sqref="AL21">
    <cfRule type="cellIs" dxfId="4576" priority="4538" stopIfTrue="1" operator="between">
      <formula>221101</formula>
      <formula>221118</formula>
    </cfRule>
    <cfRule type="cellIs" dxfId="4575" priority="4539" stopIfTrue="1" operator="between">
      <formula>221142</formula>
      <formula>221144</formula>
    </cfRule>
    <cfRule type="cellIs" dxfId="4574" priority="4540" stopIfTrue="1" operator="between">
      <formula>220001</formula>
      <formula>221144</formula>
    </cfRule>
  </conditionalFormatting>
  <conditionalFormatting sqref="AK21">
    <cfRule type="cellIs" dxfId="4573" priority="4535" stopIfTrue="1" operator="between">
      <formula>221101</formula>
      <formula>221118</formula>
    </cfRule>
    <cfRule type="cellIs" dxfId="4572" priority="4536" stopIfTrue="1" operator="between">
      <formula>221142</formula>
      <formula>221144</formula>
    </cfRule>
    <cfRule type="cellIs" dxfId="4571" priority="4537" stopIfTrue="1" operator="between">
      <formula>220001</formula>
      <formula>221144</formula>
    </cfRule>
  </conditionalFormatting>
  <conditionalFormatting sqref="AK21">
    <cfRule type="cellIs" dxfId="4570" priority="4532" stopIfTrue="1" operator="between">
      <formula>221101</formula>
      <formula>221118</formula>
    </cfRule>
    <cfRule type="cellIs" dxfId="4569" priority="4533" stopIfTrue="1" operator="between">
      <formula>221142</formula>
      <formula>221144</formula>
    </cfRule>
    <cfRule type="cellIs" dxfId="4568" priority="4534" stopIfTrue="1" operator="between">
      <formula>220001</formula>
      <formula>221144</formula>
    </cfRule>
  </conditionalFormatting>
  <conditionalFormatting sqref="AJ21">
    <cfRule type="cellIs" dxfId="4567" priority="4529" stopIfTrue="1" operator="between">
      <formula>221101</formula>
      <formula>221118</formula>
    </cfRule>
    <cfRule type="cellIs" dxfId="4566" priority="4530" stopIfTrue="1" operator="between">
      <formula>221142</formula>
      <formula>221144</formula>
    </cfRule>
    <cfRule type="cellIs" dxfId="4565" priority="4531" stopIfTrue="1" operator="between">
      <formula>220001</formula>
      <formula>221144</formula>
    </cfRule>
  </conditionalFormatting>
  <conditionalFormatting sqref="AK21">
    <cfRule type="cellIs" dxfId="4564" priority="4526" stopIfTrue="1" operator="between">
      <formula>221101</formula>
      <formula>221118</formula>
    </cfRule>
    <cfRule type="cellIs" dxfId="4563" priority="4527" stopIfTrue="1" operator="between">
      <formula>221142</formula>
      <formula>221144</formula>
    </cfRule>
    <cfRule type="cellIs" dxfId="4562" priority="4528" stopIfTrue="1" operator="between">
      <formula>220001</formula>
      <formula>221144</formula>
    </cfRule>
  </conditionalFormatting>
  <conditionalFormatting sqref="AJ21">
    <cfRule type="cellIs" dxfId="4561" priority="4523" stopIfTrue="1" operator="between">
      <formula>221101</formula>
      <formula>221118</formula>
    </cfRule>
    <cfRule type="cellIs" dxfId="4560" priority="4524" stopIfTrue="1" operator="between">
      <formula>221142</formula>
      <formula>221144</formula>
    </cfRule>
    <cfRule type="cellIs" dxfId="4559" priority="4525" stopIfTrue="1" operator="between">
      <formula>220001</formula>
      <formula>221144</formula>
    </cfRule>
  </conditionalFormatting>
  <conditionalFormatting sqref="AJ21">
    <cfRule type="cellIs" dxfId="4558" priority="4520" stopIfTrue="1" operator="between">
      <formula>221101</formula>
      <formula>221118</formula>
    </cfRule>
    <cfRule type="cellIs" dxfId="4557" priority="4521" stopIfTrue="1" operator="between">
      <formula>221142</formula>
      <formula>221144</formula>
    </cfRule>
    <cfRule type="cellIs" dxfId="4556" priority="4522" stopIfTrue="1" operator="between">
      <formula>220001</formula>
      <formula>221144</formula>
    </cfRule>
  </conditionalFormatting>
  <conditionalFormatting sqref="AI21">
    <cfRule type="cellIs" dxfId="4555" priority="4517" stopIfTrue="1" operator="between">
      <formula>221101</formula>
      <formula>221118</formula>
    </cfRule>
    <cfRule type="cellIs" dxfId="4554" priority="4518" stopIfTrue="1" operator="between">
      <formula>221142</formula>
      <formula>221144</formula>
    </cfRule>
    <cfRule type="cellIs" dxfId="4553" priority="4519" stopIfTrue="1" operator="between">
      <formula>220001</formula>
      <formula>221144</formula>
    </cfRule>
  </conditionalFormatting>
  <conditionalFormatting sqref="AL21">
    <cfRule type="cellIs" dxfId="4552" priority="4514" stopIfTrue="1" operator="between">
      <formula>221101</formula>
      <formula>221118</formula>
    </cfRule>
    <cfRule type="cellIs" dxfId="4551" priority="4515" stopIfTrue="1" operator="between">
      <formula>221142</formula>
      <formula>221144</formula>
    </cfRule>
    <cfRule type="cellIs" dxfId="4550" priority="4516" stopIfTrue="1" operator="between">
      <formula>220001</formula>
      <formula>221144</formula>
    </cfRule>
  </conditionalFormatting>
  <conditionalFormatting sqref="AK21">
    <cfRule type="cellIs" dxfId="4549" priority="4511" stopIfTrue="1" operator="between">
      <formula>221101</formula>
      <formula>221118</formula>
    </cfRule>
    <cfRule type="cellIs" dxfId="4548" priority="4512" stopIfTrue="1" operator="between">
      <formula>221142</formula>
      <formula>221144</formula>
    </cfRule>
    <cfRule type="cellIs" dxfId="4547" priority="4513" stopIfTrue="1" operator="between">
      <formula>220001</formula>
      <formula>221144</formula>
    </cfRule>
  </conditionalFormatting>
  <conditionalFormatting sqref="AK21">
    <cfRule type="cellIs" dxfId="4546" priority="4508" stopIfTrue="1" operator="between">
      <formula>221101</formula>
      <formula>221118</formula>
    </cfRule>
    <cfRule type="cellIs" dxfId="4545" priority="4509" stopIfTrue="1" operator="between">
      <formula>221142</formula>
      <formula>221144</formula>
    </cfRule>
    <cfRule type="cellIs" dxfId="4544" priority="4510" stopIfTrue="1" operator="between">
      <formula>220001</formula>
      <formula>221144</formula>
    </cfRule>
  </conditionalFormatting>
  <conditionalFormatting sqref="AJ21">
    <cfRule type="cellIs" dxfId="4543" priority="4505" stopIfTrue="1" operator="between">
      <formula>221101</formula>
      <formula>221118</formula>
    </cfRule>
    <cfRule type="cellIs" dxfId="4542" priority="4506" stopIfTrue="1" operator="between">
      <formula>221142</formula>
      <formula>221144</formula>
    </cfRule>
    <cfRule type="cellIs" dxfId="4541" priority="4507" stopIfTrue="1" operator="between">
      <formula>220001</formula>
      <formula>221144</formula>
    </cfRule>
  </conditionalFormatting>
  <conditionalFormatting sqref="AK21">
    <cfRule type="cellIs" dxfId="4540" priority="4502" stopIfTrue="1" operator="between">
      <formula>221101</formula>
      <formula>221118</formula>
    </cfRule>
    <cfRule type="cellIs" dxfId="4539" priority="4503" stopIfTrue="1" operator="between">
      <formula>221142</formula>
      <formula>221144</formula>
    </cfRule>
    <cfRule type="cellIs" dxfId="4538" priority="4504" stopIfTrue="1" operator="between">
      <formula>220001</formula>
      <formula>221144</formula>
    </cfRule>
  </conditionalFormatting>
  <conditionalFormatting sqref="AJ21">
    <cfRule type="cellIs" dxfId="4537" priority="4499" stopIfTrue="1" operator="between">
      <formula>221101</formula>
      <formula>221118</formula>
    </cfRule>
    <cfRule type="cellIs" dxfId="4536" priority="4500" stopIfTrue="1" operator="between">
      <formula>221142</formula>
      <formula>221144</formula>
    </cfRule>
    <cfRule type="cellIs" dxfId="4535" priority="4501" stopIfTrue="1" operator="between">
      <formula>220001</formula>
      <formula>221144</formula>
    </cfRule>
  </conditionalFormatting>
  <conditionalFormatting sqref="AJ21">
    <cfRule type="cellIs" dxfId="4534" priority="4496" stopIfTrue="1" operator="between">
      <formula>221101</formula>
      <formula>221118</formula>
    </cfRule>
    <cfRule type="cellIs" dxfId="4533" priority="4497" stopIfTrue="1" operator="between">
      <formula>221142</formula>
      <formula>221144</formula>
    </cfRule>
    <cfRule type="cellIs" dxfId="4532" priority="4498" stopIfTrue="1" operator="between">
      <formula>220001</formula>
      <formula>221144</formula>
    </cfRule>
  </conditionalFormatting>
  <conditionalFormatting sqref="AI21">
    <cfRule type="cellIs" dxfId="4531" priority="4493" stopIfTrue="1" operator="between">
      <formula>221101</formula>
      <formula>221118</formula>
    </cfRule>
    <cfRule type="cellIs" dxfId="4530" priority="4494" stopIfTrue="1" operator="between">
      <formula>221142</formula>
      <formula>221144</formula>
    </cfRule>
    <cfRule type="cellIs" dxfId="4529" priority="4495" stopIfTrue="1" operator="between">
      <formula>220001</formula>
      <formula>221144</formula>
    </cfRule>
  </conditionalFormatting>
  <conditionalFormatting sqref="AK21">
    <cfRule type="cellIs" dxfId="4528" priority="4490" stopIfTrue="1" operator="between">
      <formula>221101</formula>
      <formula>221118</formula>
    </cfRule>
    <cfRule type="cellIs" dxfId="4527" priority="4491" stopIfTrue="1" operator="between">
      <formula>221142</formula>
      <formula>221144</formula>
    </cfRule>
    <cfRule type="cellIs" dxfId="4526" priority="4492" stopIfTrue="1" operator="between">
      <formula>220001</formula>
      <formula>221144</formula>
    </cfRule>
  </conditionalFormatting>
  <conditionalFormatting sqref="AJ21">
    <cfRule type="cellIs" dxfId="4525" priority="4487" stopIfTrue="1" operator="between">
      <formula>221101</formula>
      <formula>221118</formula>
    </cfRule>
    <cfRule type="cellIs" dxfId="4524" priority="4488" stopIfTrue="1" operator="between">
      <formula>221142</formula>
      <formula>221144</formula>
    </cfRule>
    <cfRule type="cellIs" dxfId="4523" priority="4489" stopIfTrue="1" operator="between">
      <formula>220001</formula>
      <formula>221144</formula>
    </cfRule>
  </conditionalFormatting>
  <conditionalFormatting sqref="AJ21">
    <cfRule type="cellIs" dxfId="4522" priority="4484" stopIfTrue="1" operator="between">
      <formula>221101</formula>
      <formula>221118</formula>
    </cfRule>
    <cfRule type="cellIs" dxfId="4521" priority="4485" stopIfTrue="1" operator="between">
      <formula>221142</formula>
      <formula>221144</formula>
    </cfRule>
    <cfRule type="cellIs" dxfId="4520" priority="4486" stopIfTrue="1" operator="between">
      <formula>220001</formula>
      <formula>221144</formula>
    </cfRule>
  </conditionalFormatting>
  <conditionalFormatting sqref="AI21">
    <cfRule type="cellIs" dxfId="4519" priority="4481" stopIfTrue="1" operator="between">
      <formula>221101</formula>
      <formula>221118</formula>
    </cfRule>
    <cfRule type="cellIs" dxfId="4518" priority="4482" stopIfTrue="1" operator="between">
      <formula>221142</formula>
      <formula>221144</formula>
    </cfRule>
    <cfRule type="cellIs" dxfId="4517" priority="4483" stopIfTrue="1" operator="between">
      <formula>220001</formula>
      <formula>221144</formula>
    </cfRule>
  </conditionalFormatting>
  <conditionalFormatting sqref="AJ21">
    <cfRule type="cellIs" dxfId="4516" priority="4478" stopIfTrue="1" operator="between">
      <formula>221101</formula>
      <formula>221118</formula>
    </cfRule>
    <cfRule type="cellIs" dxfId="4515" priority="4479" stopIfTrue="1" operator="between">
      <formula>221142</formula>
      <formula>221144</formula>
    </cfRule>
    <cfRule type="cellIs" dxfId="4514" priority="4480" stopIfTrue="1" operator="between">
      <formula>220001</formula>
      <formula>221144</formula>
    </cfRule>
  </conditionalFormatting>
  <conditionalFormatting sqref="AI21">
    <cfRule type="cellIs" dxfId="4513" priority="4475" stopIfTrue="1" operator="between">
      <formula>221101</formula>
      <formula>221118</formula>
    </cfRule>
    <cfRule type="cellIs" dxfId="4512" priority="4476" stopIfTrue="1" operator="between">
      <formula>221142</formula>
      <formula>221144</formula>
    </cfRule>
    <cfRule type="cellIs" dxfId="4511" priority="4477" stopIfTrue="1" operator="between">
      <formula>220001</formula>
      <formula>221144</formula>
    </cfRule>
  </conditionalFormatting>
  <conditionalFormatting sqref="AI21">
    <cfRule type="cellIs" dxfId="4510" priority="4472" stopIfTrue="1" operator="between">
      <formula>221101</formula>
      <formula>221118</formula>
    </cfRule>
    <cfRule type="cellIs" dxfId="4509" priority="4473" stopIfTrue="1" operator="between">
      <formula>221142</formula>
      <formula>221144</formula>
    </cfRule>
    <cfRule type="cellIs" dxfId="4508" priority="4474" stopIfTrue="1" operator="between">
      <formula>220001</formula>
      <formula>221144</formula>
    </cfRule>
  </conditionalFormatting>
  <conditionalFormatting sqref="AH21">
    <cfRule type="cellIs" dxfId="4507" priority="4469" stopIfTrue="1" operator="between">
      <formula>221101</formula>
      <formula>221118</formula>
    </cfRule>
    <cfRule type="cellIs" dxfId="4506" priority="4470" stopIfTrue="1" operator="between">
      <formula>221142</formula>
      <formula>221144</formula>
    </cfRule>
    <cfRule type="cellIs" dxfId="4505" priority="4471" stopIfTrue="1" operator="between">
      <formula>220001</formula>
      <formula>221144</formula>
    </cfRule>
  </conditionalFormatting>
  <conditionalFormatting sqref="C29">
    <cfRule type="cellIs" dxfId="4504" priority="4466" stopIfTrue="1" operator="between">
      <formula>221101</formula>
      <formula>221118</formula>
    </cfRule>
    <cfRule type="cellIs" dxfId="4503" priority="4467" stopIfTrue="1" operator="between">
      <formula>221142</formula>
      <formula>221144</formula>
    </cfRule>
    <cfRule type="cellIs" dxfId="4502" priority="4468" stopIfTrue="1" operator="between">
      <formula>220001</formula>
      <formula>221144</formula>
    </cfRule>
  </conditionalFormatting>
  <conditionalFormatting sqref="AO29">
    <cfRule type="cellIs" dxfId="4501" priority="4463" stopIfTrue="1" operator="between">
      <formula>221101</formula>
      <formula>221118</formula>
    </cfRule>
    <cfRule type="cellIs" dxfId="4500" priority="4464" stopIfTrue="1" operator="between">
      <formula>221142</formula>
      <formula>221144</formula>
    </cfRule>
    <cfRule type="cellIs" dxfId="4499" priority="4465" stopIfTrue="1" operator="between">
      <formula>220001</formula>
      <formula>221144</formula>
    </cfRule>
  </conditionalFormatting>
  <conditionalFormatting sqref="AN29">
    <cfRule type="cellIs" dxfId="4498" priority="4460" stopIfTrue="1" operator="between">
      <formula>221101</formula>
      <formula>221118</formula>
    </cfRule>
    <cfRule type="cellIs" dxfId="4497" priority="4461" stopIfTrue="1" operator="between">
      <formula>221142</formula>
      <formula>221144</formula>
    </cfRule>
    <cfRule type="cellIs" dxfId="4496" priority="4462" stopIfTrue="1" operator="between">
      <formula>220001</formula>
      <formula>221144</formula>
    </cfRule>
  </conditionalFormatting>
  <conditionalFormatting sqref="B29">
    <cfRule type="cellIs" dxfId="4495" priority="4457" stopIfTrue="1" operator="between">
      <formula>221101</formula>
      <formula>221118</formula>
    </cfRule>
    <cfRule type="cellIs" dxfId="4494" priority="4458" stopIfTrue="1" operator="between">
      <formula>221142</formula>
      <formula>221144</formula>
    </cfRule>
    <cfRule type="cellIs" dxfId="4493" priority="4459" stopIfTrue="1" operator="between">
      <formula>220001</formula>
      <formula>221144</formula>
    </cfRule>
  </conditionalFormatting>
  <conditionalFormatting sqref="AN29">
    <cfRule type="cellIs" dxfId="4492" priority="4454" stopIfTrue="1" operator="between">
      <formula>221101</formula>
      <formula>221118</formula>
    </cfRule>
    <cfRule type="cellIs" dxfId="4491" priority="4455" stopIfTrue="1" operator="between">
      <formula>221142</formula>
      <formula>221144</formula>
    </cfRule>
    <cfRule type="cellIs" dxfId="4490" priority="4456" stopIfTrue="1" operator="between">
      <formula>220001</formula>
      <formula>221144</formula>
    </cfRule>
  </conditionalFormatting>
  <conditionalFormatting sqref="AM29">
    <cfRule type="cellIs" dxfId="4489" priority="4451" stopIfTrue="1" operator="between">
      <formula>221101</formula>
      <formula>221118</formula>
    </cfRule>
    <cfRule type="cellIs" dxfId="4488" priority="4452" stopIfTrue="1" operator="between">
      <formula>221142</formula>
      <formula>221144</formula>
    </cfRule>
    <cfRule type="cellIs" dxfId="4487" priority="4453" stopIfTrue="1" operator="between">
      <formula>220001</formula>
      <formula>221144</formula>
    </cfRule>
  </conditionalFormatting>
  <conditionalFormatting sqref="D29">
    <cfRule type="cellIs" dxfId="4486" priority="4448" stopIfTrue="1" operator="between">
      <formula>221101</formula>
      <formula>221118</formula>
    </cfRule>
    <cfRule type="cellIs" dxfId="4485" priority="4449" stopIfTrue="1" operator="between">
      <formula>221142</formula>
      <formula>221144</formula>
    </cfRule>
    <cfRule type="cellIs" dxfId="4484" priority="4450" stopIfTrue="1" operator="between">
      <formula>220001</formula>
      <formula>221144</formula>
    </cfRule>
  </conditionalFormatting>
  <conditionalFormatting sqref="D29">
    <cfRule type="cellIs" dxfId="4483" priority="4445" stopIfTrue="1" operator="between">
      <formula>221101</formula>
      <formula>221118</formula>
    </cfRule>
    <cfRule type="cellIs" dxfId="4482" priority="4446" stopIfTrue="1" operator="between">
      <formula>221142</formula>
      <formula>221144</formula>
    </cfRule>
    <cfRule type="cellIs" dxfId="4481" priority="4447" stopIfTrue="1" operator="between">
      <formula>220001</formula>
      <formula>221144</formula>
    </cfRule>
  </conditionalFormatting>
  <conditionalFormatting sqref="D29">
    <cfRule type="cellIs" dxfId="4480" priority="4442" stopIfTrue="1" operator="between">
      <formula>221101</formula>
      <formula>221118</formula>
    </cfRule>
    <cfRule type="cellIs" dxfId="4479" priority="4443" stopIfTrue="1" operator="between">
      <formula>221142</formula>
      <formula>221144</formula>
    </cfRule>
    <cfRule type="cellIs" dxfId="4478" priority="4444" stopIfTrue="1" operator="between">
      <formula>220001</formula>
      <formula>221144</formula>
    </cfRule>
  </conditionalFormatting>
  <conditionalFormatting sqref="D29">
    <cfRule type="cellIs" dxfId="4477" priority="4439" stopIfTrue="1" operator="between">
      <formula>221101</formula>
      <formula>221118</formula>
    </cfRule>
    <cfRule type="cellIs" dxfId="4476" priority="4440" stopIfTrue="1" operator="between">
      <formula>221142</formula>
      <formula>221144</formula>
    </cfRule>
    <cfRule type="cellIs" dxfId="4475" priority="4441" stopIfTrue="1" operator="between">
      <formula>220001</formula>
      <formula>221144</formula>
    </cfRule>
  </conditionalFormatting>
  <conditionalFormatting sqref="B29">
    <cfRule type="cellIs" dxfId="4474" priority="4436" stopIfTrue="1" operator="between">
      <formula>221101</formula>
      <formula>221118</formula>
    </cfRule>
    <cfRule type="cellIs" dxfId="4473" priority="4437" stopIfTrue="1" operator="between">
      <formula>221142</formula>
      <formula>221144</formula>
    </cfRule>
    <cfRule type="cellIs" dxfId="4472" priority="4438" stopIfTrue="1" operator="between">
      <formula>220001</formula>
      <formula>221144</formula>
    </cfRule>
  </conditionalFormatting>
  <conditionalFormatting sqref="AN29">
    <cfRule type="cellIs" dxfId="4471" priority="4433" stopIfTrue="1" operator="between">
      <formula>221101</formula>
      <formula>221118</formula>
    </cfRule>
    <cfRule type="cellIs" dxfId="4470" priority="4434" stopIfTrue="1" operator="between">
      <formula>221142</formula>
      <formula>221144</formula>
    </cfRule>
    <cfRule type="cellIs" dxfId="4469" priority="4435" stopIfTrue="1" operator="between">
      <formula>220001</formula>
      <formula>221144</formula>
    </cfRule>
  </conditionalFormatting>
  <conditionalFormatting sqref="AM29">
    <cfRule type="cellIs" dxfId="4468" priority="4430" stopIfTrue="1" operator="between">
      <formula>221101</formula>
      <formula>221118</formula>
    </cfRule>
    <cfRule type="cellIs" dxfId="4467" priority="4431" stopIfTrue="1" operator="between">
      <formula>221142</formula>
      <formula>221144</formula>
    </cfRule>
    <cfRule type="cellIs" dxfId="4466" priority="4432" stopIfTrue="1" operator="between">
      <formula>220001</formula>
      <formula>221144</formula>
    </cfRule>
  </conditionalFormatting>
  <conditionalFormatting sqref="A29">
    <cfRule type="cellIs" dxfId="4465" priority="4427" stopIfTrue="1" operator="between">
      <formula>221101</formula>
      <formula>221118</formula>
    </cfRule>
    <cfRule type="cellIs" dxfId="4464" priority="4428" stopIfTrue="1" operator="between">
      <formula>221142</formula>
      <formula>221144</formula>
    </cfRule>
    <cfRule type="cellIs" dxfId="4463" priority="4429" stopIfTrue="1" operator="between">
      <formula>220001</formula>
      <formula>221144</formula>
    </cfRule>
  </conditionalFormatting>
  <conditionalFormatting sqref="AM29">
    <cfRule type="cellIs" dxfId="4462" priority="4424" stopIfTrue="1" operator="between">
      <formula>221101</formula>
      <formula>221118</formula>
    </cfRule>
    <cfRule type="cellIs" dxfId="4461" priority="4425" stopIfTrue="1" operator="between">
      <formula>221142</formula>
      <formula>221144</formula>
    </cfRule>
    <cfRule type="cellIs" dxfId="4460" priority="4426" stopIfTrue="1" operator="between">
      <formula>220001</formula>
      <formula>221144</formula>
    </cfRule>
  </conditionalFormatting>
  <conditionalFormatting sqref="AL29">
    <cfRule type="cellIs" dxfId="4459" priority="4421" stopIfTrue="1" operator="between">
      <formula>221101</formula>
      <formula>221118</formula>
    </cfRule>
    <cfRule type="cellIs" dxfId="4458" priority="4422" stopIfTrue="1" operator="between">
      <formula>221142</formula>
      <formula>221144</formula>
    </cfRule>
    <cfRule type="cellIs" dxfId="4457" priority="4423" stopIfTrue="1" operator="between">
      <formula>220001</formula>
      <formula>221144</formula>
    </cfRule>
  </conditionalFormatting>
  <conditionalFormatting sqref="C29">
    <cfRule type="cellIs" dxfId="4456" priority="4418" stopIfTrue="1" operator="between">
      <formula>221101</formula>
      <formula>221118</formula>
    </cfRule>
    <cfRule type="cellIs" dxfId="4455" priority="4419" stopIfTrue="1" operator="between">
      <formula>221142</formula>
      <formula>221144</formula>
    </cfRule>
    <cfRule type="cellIs" dxfId="4454" priority="4420" stopIfTrue="1" operator="between">
      <formula>220001</formula>
      <formula>221144</formula>
    </cfRule>
  </conditionalFormatting>
  <conditionalFormatting sqref="C29">
    <cfRule type="cellIs" dxfId="4453" priority="4415" stopIfTrue="1" operator="between">
      <formula>221101</formula>
      <formula>221118</formula>
    </cfRule>
    <cfRule type="cellIs" dxfId="4452" priority="4416" stopIfTrue="1" operator="between">
      <formula>221142</formula>
      <formula>221144</formula>
    </cfRule>
    <cfRule type="cellIs" dxfId="4451" priority="4417" stopIfTrue="1" operator="between">
      <formula>220001</formula>
      <formula>221144</formula>
    </cfRule>
  </conditionalFormatting>
  <conditionalFormatting sqref="C29">
    <cfRule type="cellIs" dxfId="4450" priority="4412" stopIfTrue="1" operator="between">
      <formula>221101</formula>
      <formula>221118</formula>
    </cfRule>
    <cfRule type="cellIs" dxfId="4449" priority="4413" stopIfTrue="1" operator="between">
      <formula>221142</formula>
      <formula>221144</formula>
    </cfRule>
    <cfRule type="cellIs" dxfId="4448" priority="4414" stopIfTrue="1" operator="between">
      <formula>220001</formula>
      <formula>221144</formula>
    </cfRule>
  </conditionalFormatting>
  <conditionalFormatting sqref="C29">
    <cfRule type="cellIs" dxfId="4447" priority="4409" stopIfTrue="1" operator="between">
      <formula>221101</formula>
      <formula>221118</formula>
    </cfRule>
    <cfRule type="cellIs" dxfId="4446" priority="4410" stopIfTrue="1" operator="between">
      <formula>221142</formula>
      <formula>221144</formula>
    </cfRule>
    <cfRule type="cellIs" dxfId="4445" priority="4411" stopIfTrue="1" operator="between">
      <formula>220001</formula>
      <formula>221144</formula>
    </cfRule>
  </conditionalFormatting>
  <conditionalFormatting sqref="B29">
    <cfRule type="cellIs" dxfId="4444" priority="4406" stopIfTrue="1" operator="between">
      <formula>221101</formula>
      <formula>221118</formula>
    </cfRule>
    <cfRule type="cellIs" dxfId="4443" priority="4407" stopIfTrue="1" operator="between">
      <formula>221142</formula>
      <formula>221144</formula>
    </cfRule>
    <cfRule type="cellIs" dxfId="4442" priority="4408" stopIfTrue="1" operator="between">
      <formula>220001</formula>
      <formula>221144</formula>
    </cfRule>
  </conditionalFormatting>
  <conditionalFormatting sqref="AN29">
    <cfRule type="cellIs" dxfId="4441" priority="4403" stopIfTrue="1" operator="between">
      <formula>221101</formula>
      <formula>221118</formula>
    </cfRule>
    <cfRule type="cellIs" dxfId="4440" priority="4404" stopIfTrue="1" operator="between">
      <formula>221142</formula>
      <formula>221144</formula>
    </cfRule>
    <cfRule type="cellIs" dxfId="4439" priority="4405" stopIfTrue="1" operator="between">
      <formula>220001</formula>
      <formula>221144</formula>
    </cfRule>
  </conditionalFormatting>
  <conditionalFormatting sqref="AM29">
    <cfRule type="cellIs" dxfId="4438" priority="4400" stopIfTrue="1" operator="between">
      <formula>221101</formula>
      <formula>221118</formula>
    </cfRule>
    <cfRule type="cellIs" dxfId="4437" priority="4401" stopIfTrue="1" operator="between">
      <formula>221142</formula>
      <formula>221144</formula>
    </cfRule>
    <cfRule type="cellIs" dxfId="4436" priority="4402" stopIfTrue="1" operator="between">
      <formula>220001</formula>
      <formula>221144</formula>
    </cfRule>
  </conditionalFormatting>
  <conditionalFormatting sqref="A29">
    <cfRule type="cellIs" dxfId="4435" priority="4397" stopIfTrue="1" operator="between">
      <formula>221101</formula>
      <formula>221118</formula>
    </cfRule>
    <cfRule type="cellIs" dxfId="4434" priority="4398" stopIfTrue="1" operator="between">
      <formula>221142</formula>
      <formula>221144</formula>
    </cfRule>
    <cfRule type="cellIs" dxfId="4433" priority="4399" stopIfTrue="1" operator="between">
      <formula>220001</formula>
      <formula>221144</formula>
    </cfRule>
  </conditionalFormatting>
  <conditionalFormatting sqref="AM29">
    <cfRule type="cellIs" dxfId="4432" priority="4394" stopIfTrue="1" operator="between">
      <formula>221101</formula>
      <formula>221118</formula>
    </cfRule>
    <cfRule type="cellIs" dxfId="4431" priority="4395" stopIfTrue="1" operator="between">
      <formula>221142</formula>
      <formula>221144</formula>
    </cfRule>
    <cfRule type="cellIs" dxfId="4430" priority="4396" stopIfTrue="1" operator="between">
      <formula>220001</formula>
      <formula>221144</formula>
    </cfRule>
  </conditionalFormatting>
  <conditionalFormatting sqref="AL29">
    <cfRule type="cellIs" dxfId="4429" priority="4391" stopIfTrue="1" operator="between">
      <formula>221101</formula>
      <formula>221118</formula>
    </cfRule>
    <cfRule type="cellIs" dxfId="4428" priority="4392" stopIfTrue="1" operator="between">
      <formula>221142</formula>
      <formula>221144</formula>
    </cfRule>
    <cfRule type="cellIs" dxfId="4427" priority="4393" stopIfTrue="1" operator="between">
      <formula>220001</formula>
      <formula>221144</formula>
    </cfRule>
  </conditionalFormatting>
  <conditionalFormatting sqref="C29">
    <cfRule type="cellIs" dxfId="4426" priority="4388" stopIfTrue="1" operator="between">
      <formula>221101</formula>
      <formula>221118</formula>
    </cfRule>
    <cfRule type="cellIs" dxfId="4425" priority="4389" stopIfTrue="1" operator="between">
      <formula>221142</formula>
      <formula>221144</formula>
    </cfRule>
    <cfRule type="cellIs" dxfId="4424" priority="4390" stopIfTrue="1" operator="between">
      <formula>220001</formula>
      <formula>221144</formula>
    </cfRule>
  </conditionalFormatting>
  <conditionalFormatting sqref="C29">
    <cfRule type="cellIs" dxfId="4423" priority="4385" stopIfTrue="1" operator="between">
      <formula>221101</formula>
      <formula>221118</formula>
    </cfRule>
    <cfRule type="cellIs" dxfId="4422" priority="4386" stopIfTrue="1" operator="between">
      <formula>221142</formula>
      <formula>221144</formula>
    </cfRule>
    <cfRule type="cellIs" dxfId="4421" priority="4387" stopIfTrue="1" operator="between">
      <formula>220001</formula>
      <formula>221144</formula>
    </cfRule>
  </conditionalFormatting>
  <conditionalFormatting sqref="C29">
    <cfRule type="cellIs" dxfId="4420" priority="4382" stopIfTrue="1" operator="between">
      <formula>221101</formula>
      <formula>221118</formula>
    </cfRule>
    <cfRule type="cellIs" dxfId="4419" priority="4383" stopIfTrue="1" operator="between">
      <formula>221142</formula>
      <formula>221144</formula>
    </cfRule>
    <cfRule type="cellIs" dxfId="4418" priority="4384" stopIfTrue="1" operator="between">
      <formula>220001</formula>
      <formula>221144</formula>
    </cfRule>
  </conditionalFormatting>
  <conditionalFormatting sqref="C29">
    <cfRule type="cellIs" dxfId="4417" priority="4379" stopIfTrue="1" operator="between">
      <formula>221101</formula>
      <formula>221118</formula>
    </cfRule>
    <cfRule type="cellIs" dxfId="4416" priority="4380" stopIfTrue="1" operator="between">
      <formula>221142</formula>
      <formula>221144</formula>
    </cfRule>
    <cfRule type="cellIs" dxfId="4415" priority="4381" stopIfTrue="1" operator="between">
      <formula>220001</formula>
      <formula>221144</formula>
    </cfRule>
  </conditionalFormatting>
  <conditionalFormatting sqref="A29">
    <cfRule type="cellIs" dxfId="4414" priority="4376" stopIfTrue="1" operator="between">
      <formula>221101</formula>
      <formula>221118</formula>
    </cfRule>
    <cfRule type="cellIs" dxfId="4413" priority="4377" stopIfTrue="1" operator="between">
      <formula>221142</formula>
      <formula>221144</formula>
    </cfRule>
    <cfRule type="cellIs" dxfId="4412" priority="4378" stopIfTrue="1" operator="between">
      <formula>220001</formula>
      <formula>221144</formula>
    </cfRule>
  </conditionalFormatting>
  <conditionalFormatting sqref="AM29">
    <cfRule type="cellIs" dxfId="4411" priority="4373" stopIfTrue="1" operator="between">
      <formula>221101</formula>
      <formula>221118</formula>
    </cfRule>
    <cfRule type="cellIs" dxfId="4410" priority="4374" stopIfTrue="1" operator="between">
      <formula>221142</formula>
      <formula>221144</formula>
    </cfRule>
    <cfRule type="cellIs" dxfId="4409" priority="4375" stopIfTrue="1" operator="between">
      <formula>220001</formula>
      <formula>221144</formula>
    </cfRule>
  </conditionalFormatting>
  <conditionalFormatting sqref="AL29">
    <cfRule type="cellIs" dxfId="4408" priority="4370" stopIfTrue="1" operator="between">
      <formula>221101</formula>
      <formula>221118</formula>
    </cfRule>
    <cfRule type="cellIs" dxfId="4407" priority="4371" stopIfTrue="1" operator="between">
      <formula>221142</formula>
      <formula>221144</formula>
    </cfRule>
    <cfRule type="cellIs" dxfId="4406" priority="4372" stopIfTrue="1" operator="between">
      <formula>220001</formula>
      <formula>221144</formula>
    </cfRule>
  </conditionalFormatting>
  <conditionalFormatting sqref="AL29">
    <cfRule type="cellIs" dxfId="4405" priority="4367" stopIfTrue="1" operator="between">
      <formula>221101</formula>
      <formula>221118</formula>
    </cfRule>
    <cfRule type="cellIs" dxfId="4404" priority="4368" stopIfTrue="1" operator="between">
      <formula>221142</formula>
      <formula>221144</formula>
    </cfRule>
    <cfRule type="cellIs" dxfId="4403" priority="4369" stopIfTrue="1" operator="between">
      <formula>220001</formula>
      <formula>221144</formula>
    </cfRule>
  </conditionalFormatting>
  <conditionalFormatting sqref="AK29">
    <cfRule type="cellIs" dxfId="4402" priority="4364" stopIfTrue="1" operator="between">
      <formula>221101</formula>
      <formula>221118</formula>
    </cfRule>
    <cfRule type="cellIs" dxfId="4401" priority="4365" stopIfTrue="1" operator="between">
      <formula>221142</formula>
      <formula>221144</formula>
    </cfRule>
    <cfRule type="cellIs" dxfId="4400" priority="4366" stopIfTrue="1" operator="between">
      <formula>220001</formula>
      <formula>221144</formula>
    </cfRule>
  </conditionalFormatting>
  <conditionalFormatting sqref="B29">
    <cfRule type="cellIs" dxfId="4399" priority="4361" stopIfTrue="1" operator="between">
      <formula>221101</formula>
      <formula>221118</formula>
    </cfRule>
    <cfRule type="cellIs" dxfId="4398" priority="4362" stopIfTrue="1" operator="between">
      <formula>221142</formula>
      <formula>221144</formula>
    </cfRule>
    <cfRule type="cellIs" dxfId="4397" priority="4363" stopIfTrue="1" operator="between">
      <formula>220001</formula>
      <formula>221144</formula>
    </cfRule>
  </conditionalFormatting>
  <conditionalFormatting sqref="B29">
    <cfRule type="cellIs" dxfId="4396" priority="4358" stopIfTrue="1" operator="between">
      <formula>221101</formula>
      <formula>221118</formula>
    </cfRule>
    <cfRule type="cellIs" dxfId="4395" priority="4359" stopIfTrue="1" operator="between">
      <formula>221142</formula>
      <formula>221144</formula>
    </cfRule>
    <cfRule type="cellIs" dxfId="4394" priority="4360" stopIfTrue="1" operator="between">
      <formula>220001</formula>
      <formula>221144</formula>
    </cfRule>
  </conditionalFormatting>
  <conditionalFormatting sqref="B29">
    <cfRule type="cellIs" dxfId="4393" priority="4355" stopIfTrue="1" operator="between">
      <formula>221101</formula>
      <formula>221118</formula>
    </cfRule>
    <cfRule type="cellIs" dxfId="4392" priority="4356" stopIfTrue="1" operator="between">
      <formula>221142</formula>
      <formula>221144</formula>
    </cfRule>
    <cfRule type="cellIs" dxfId="4391" priority="4357" stopIfTrue="1" operator="between">
      <formula>220001</formula>
      <formula>221144</formula>
    </cfRule>
  </conditionalFormatting>
  <conditionalFormatting sqref="B29">
    <cfRule type="cellIs" dxfId="4390" priority="4352" stopIfTrue="1" operator="between">
      <formula>221101</formula>
      <formula>221118</formula>
    </cfRule>
    <cfRule type="cellIs" dxfId="4389" priority="4353" stopIfTrue="1" operator="between">
      <formula>221142</formula>
      <formula>221144</formula>
    </cfRule>
    <cfRule type="cellIs" dxfId="4388" priority="4354" stopIfTrue="1" operator="between">
      <formula>220001</formula>
      <formula>221144</formula>
    </cfRule>
  </conditionalFormatting>
  <conditionalFormatting sqref="B29">
    <cfRule type="cellIs" dxfId="4387" priority="4349" stopIfTrue="1" operator="between">
      <formula>221101</formula>
      <formula>221118</formula>
    </cfRule>
    <cfRule type="cellIs" dxfId="4386" priority="4350" stopIfTrue="1" operator="between">
      <formula>221142</formula>
      <formula>221144</formula>
    </cfRule>
    <cfRule type="cellIs" dxfId="4385" priority="4351" stopIfTrue="1" operator="between">
      <formula>220001</formula>
      <formula>221144</formula>
    </cfRule>
  </conditionalFormatting>
  <conditionalFormatting sqref="AN29">
    <cfRule type="cellIs" dxfId="4384" priority="4346" stopIfTrue="1" operator="between">
      <formula>221101</formula>
      <formula>221118</formula>
    </cfRule>
    <cfRule type="cellIs" dxfId="4383" priority="4347" stopIfTrue="1" operator="between">
      <formula>221142</formula>
      <formula>221144</formula>
    </cfRule>
    <cfRule type="cellIs" dxfId="4382" priority="4348" stopIfTrue="1" operator="between">
      <formula>220001</formula>
      <formula>221144</formula>
    </cfRule>
  </conditionalFormatting>
  <conditionalFormatting sqref="AM29">
    <cfRule type="cellIs" dxfId="4381" priority="4343" stopIfTrue="1" operator="between">
      <formula>221101</formula>
      <formula>221118</formula>
    </cfRule>
    <cfRule type="cellIs" dxfId="4380" priority="4344" stopIfTrue="1" operator="between">
      <formula>221142</formula>
      <formula>221144</formula>
    </cfRule>
    <cfRule type="cellIs" dxfId="4379" priority="4345" stopIfTrue="1" operator="between">
      <formula>220001</formula>
      <formula>221144</formula>
    </cfRule>
  </conditionalFormatting>
  <conditionalFormatting sqref="AM29">
    <cfRule type="cellIs" dxfId="4378" priority="4340" stopIfTrue="1" operator="between">
      <formula>221101</formula>
      <formula>221118</formula>
    </cfRule>
    <cfRule type="cellIs" dxfId="4377" priority="4341" stopIfTrue="1" operator="between">
      <formula>221142</formula>
      <formula>221144</formula>
    </cfRule>
    <cfRule type="cellIs" dxfId="4376" priority="4342" stopIfTrue="1" operator="between">
      <formula>220001</formula>
      <formula>221144</formula>
    </cfRule>
  </conditionalFormatting>
  <conditionalFormatting sqref="AL29">
    <cfRule type="cellIs" dxfId="4375" priority="4337" stopIfTrue="1" operator="between">
      <formula>221101</formula>
      <formula>221118</formula>
    </cfRule>
    <cfRule type="cellIs" dxfId="4374" priority="4338" stopIfTrue="1" operator="between">
      <formula>221142</formula>
      <formula>221144</formula>
    </cfRule>
    <cfRule type="cellIs" dxfId="4373" priority="4339" stopIfTrue="1" operator="between">
      <formula>220001</formula>
      <formula>221144</formula>
    </cfRule>
  </conditionalFormatting>
  <conditionalFormatting sqref="C29">
    <cfRule type="cellIs" dxfId="4372" priority="4334" stopIfTrue="1" operator="between">
      <formula>221101</formula>
      <formula>221118</formula>
    </cfRule>
    <cfRule type="cellIs" dxfId="4371" priority="4335" stopIfTrue="1" operator="between">
      <formula>221142</formula>
      <formula>221144</formula>
    </cfRule>
    <cfRule type="cellIs" dxfId="4370" priority="4336" stopIfTrue="1" operator="between">
      <formula>220001</formula>
      <formula>221144</formula>
    </cfRule>
  </conditionalFormatting>
  <conditionalFormatting sqref="C29">
    <cfRule type="cellIs" dxfId="4369" priority="4331" stopIfTrue="1" operator="between">
      <formula>221101</formula>
      <formula>221118</formula>
    </cfRule>
    <cfRule type="cellIs" dxfId="4368" priority="4332" stopIfTrue="1" operator="between">
      <formula>221142</formula>
      <formula>221144</formula>
    </cfRule>
    <cfRule type="cellIs" dxfId="4367" priority="4333" stopIfTrue="1" operator="between">
      <formula>220001</formula>
      <formula>221144</formula>
    </cfRule>
  </conditionalFormatting>
  <conditionalFormatting sqref="C29">
    <cfRule type="cellIs" dxfId="4366" priority="4328" stopIfTrue="1" operator="between">
      <formula>221101</formula>
      <formula>221118</formula>
    </cfRule>
    <cfRule type="cellIs" dxfId="4365" priority="4329" stopIfTrue="1" operator="between">
      <formula>221142</formula>
      <formula>221144</formula>
    </cfRule>
    <cfRule type="cellIs" dxfId="4364" priority="4330" stopIfTrue="1" operator="between">
      <formula>220001</formula>
      <formula>221144</formula>
    </cfRule>
  </conditionalFormatting>
  <conditionalFormatting sqref="C29">
    <cfRule type="cellIs" dxfId="4363" priority="4325" stopIfTrue="1" operator="between">
      <formula>221101</formula>
      <formula>221118</formula>
    </cfRule>
    <cfRule type="cellIs" dxfId="4362" priority="4326" stopIfTrue="1" operator="between">
      <formula>221142</formula>
      <formula>221144</formula>
    </cfRule>
    <cfRule type="cellIs" dxfId="4361" priority="4327" stopIfTrue="1" operator="between">
      <formula>220001</formula>
      <formula>221144</formula>
    </cfRule>
  </conditionalFormatting>
  <conditionalFormatting sqref="AM29">
    <cfRule type="cellIs" dxfId="4360" priority="4322" stopIfTrue="1" operator="between">
      <formula>221101</formula>
      <formula>221118</formula>
    </cfRule>
    <cfRule type="cellIs" dxfId="4359" priority="4323" stopIfTrue="1" operator="between">
      <formula>221142</formula>
      <formula>221144</formula>
    </cfRule>
    <cfRule type="cellIs" dxfId="4358" priority="4324" stopIfTrue="1" operator="between">
      <formula>220001</formula>
      <formula>221144</formula>
    </cfRule>
  </conditionalFormatting>
  <conditionalFormatting sqref="AL29">
    <cfRule type="cellIs" dxfId="4357" priority="4319" stopIfTrue="1" operator="between">
      <formula>221101</formula>
      <formula>221118</formula>
    </cfRule>
    <cfRule type="cellIs" dxfId="4356" priority="4320" stopIfTrue="1" operator="between">
      <formula>221142</formula>
      <formula>221144</formula>
    </cfRule>
    <cfRule type="cellIs" dxfId="4355" priority="4321" stopIfTrue="1" operator="between">
      <formula>220001</formula>
      <formula>221144</formula>
    </cfRule>
  </conditionalFormatting>
  <conditionalFormatting sqref="AL29">
    <cfRule type="cellIs" dxfId="4354" priority="4316" stopIfTrue="1" operator="between">
      <formula>221101</formula>
      <formula>221118</formula>
    </cfRule>
    <cfRule type="cellIs" dxfId="4353" priority="4317" stopIfTrue="1" operator="between">
      <formula>221142</formula>
      <formula>221144</formula>
    </cfRule>
    <cfRule type="cellIs" dxfId="4352" priority="4318" stopIfTrue="1" operator="between">
      <formula>220001</formula>
      <formula>221144</formula>
    </cfRule>
  </conditionalFormatting>
  <conditionalFormatting sqref="AK29">
    <cfRule type="cellIs" dxfId="4351" priority="4313" stopIfTrue="1" operator="between">
      <formula>221101</formula>
      <formula>221118</formula>
    </cfRule>
    <cfRule type="cellIs" dxfId="4350" priority="4314" stopIfTrue="1" operator="between">
      <formula>221142</formula>
      <formula>221144</formula>
    </cfRule>
    <cfRule type="cellIs" dxfId="4349" priority="4315" stopIfTrue="1" operator="between">
      <formula>220001</formula>
      <formula>221144</formula>
    </cfRule>
  </conditionalFormatting>
  <conditionalFormatting sqref="B29">
    <cfRule type="cellIs" dxfId="4348" priority="4310" stopIfTrue="1" operator="between">
      <formula>221101</formula>
      <formula>221118</formula>
    </cfRule>
    <cfRule type="cellIs" dxfId="4347" priority="4311" stopIfTrue="1" operator="between">
      <formula>221142</formula>
      <formula>221144</formula>
    </cfRule>
    <cfRule type="cellIs" dxfId="4346" priority="4312" stopIfTrue="1" operator="between">
      <formula>220001</formula>
      <formula>221144</formula>
    </cfRule>
  </conditionalFormatting>
  <conditionalFormatting sqref="B29">
    <cfRule type="cellIs" dxfId="4345" priority="4307" stopIfTrue="1" operator="between">
      <formula>221101</formula>
      <formula>221118</formula>
    </cfRule>
    <cfRule type="cellIs" dxfId="4344" priority="4308" stopIfTrue="1" operator="between">
      <formula>221142</formula>
      <formula>221144</formula>
    </cfRule>
    <cfRule type="cellIs" dxfId="4343" priority="4309" stopIfTrue="1" operator="between">
      <formula>220001</formula>
      <formula>221144</formula>
    </cfRule>
  </conditionalFormatting>
  <conditionalFormatting sqref="B29">
    <cfRule type="cellIs" dxfId="4342" priority="4304" stopIfTrue="1" operator="between">
      <formula>221101</formula>
      <formula>221118</formula>
    </cfRule>
    <cfRule type="cellIs" dxfId="4341" priority="4305" stopIfTrue="1" operator="between">
      <formula>221142</formula>
      <formula>221144</formula>
    </cfRule>
    <cfRule type="cellIs" dxfId="4340" priority="4306" stopIfTrue="1" operator="between">
      <formula>220001</formula>
      <formula>221144</formula>
    </cfRule>
  </conditionalFormatting>
  <conditionalFormatting sqref="B29">
    <cfRule type="cellIs" dxfId="4339" priority="4301" stopIfTrue="1" operator="between">
      <formula>221101</formula>
      <formula>221118</formula>
    </cfRule>
    <cfRule type="cellIs" dxfId="4338" priority="4302" stopIfTrue="1" operator="between">
      <formula>221142</formula>
      <formula>221144</formula>
    </cfRule>
    <cfRule type="cellIs" dxfId="4337" priority="4303" stopIfTrue="1" operator="between">
      <formula>220001</formula>
      <formula>221144</formula>
    </cfRule>
  </conditionalFormatting>
  <conditionalFormatting sqref="AM29">
    <cfRule type="cellIs" dxfId="4336" priority="4298" stopIfTrue="1" operator="between">
      <formula>221101</formula>
      <formula>221118</formula>
    </cfRule>
    <cfRule type="cellIs" dxfId="4335" priority="4299" stopIfTrue="1" operator="between">
      <formula>221142</formula>
      <formula>221144</formula>
    </cfRule>
    <cfRule type="cellIs" dxfId="4334" priority="4300" stopIfTrue="1" operator="between">
      <formula>220001</formula>
      <formula>221144</formula>
    </cfRule>
  </conditionalFormatting>
  <conditionalFormatting sqref="AL29">
    <cfRule type="cellIs" dxfId="4333" priority="4295" stopIfTrue="1" operator="between">
      <formula>221101</formula>
      <formula>221118</formula>
    </cfRule>
    <cfRule type="cellIs" dxfId="4332" priority="4296" stopIfTrue="1" operator="between">
      <formula>221142</formula>
      <formula>221144</formula>
    </cfRule>
    <cfRule type="cellIs" dxfId="4331" priority="4297" stopIfTrue="1" operator="between">
      <formula>220001</formula>
      <formula>221144</formula>
    </cfRule>
  </conditionalFormatting>
  <conditionalFormatting sqref="AL29">
    <cfRule type="cellIs" dxfId="4330" priority="4292" stopIfTrue="1" operator="between">
      <formula>221101</formula>
      <formula>221118</formula>
    </cfRule>
    <cfRule type="cellIs" dxfId="4329" priority="4293" stopIfTrue="1" operator="between">
      <formula>221142</formula>
      <formula>221144</formula>
    </cfRule>
    <cfRule type="cellIs" dxfId="4328" priority="4294" stopIfTrue="1" operator="between">
      <formula>220001</formula>
      <formula>221144</formula>
    </cfRule>
  </conditionalFormatting>
  <conditionalFormatting sqref="AK29">
    <cfRule type="cellIs" dxfId="4327" priority="4289" stopIfTrue="1" operator="between">
      <formula>221101</formula>
      <formula>221118</formula>
    </cfRule>
    <cfRule type="cellIs" dxfId="4326" priority="4290" stopIfTrue="1" operator="between">
      <formula>221142</formula>
      <formula>221144</formula>
    </cfRule>
    <cfRule type="cellIs" dxfId="4325" priority="4291" stopIfTrue="1" operator="between">
      <formula>220001</formula>
      <formula>221144</formula>
    </cfRule>
  </conditionalFormatting>
  <conditionalFormatting sqref="B29">
    <cfRule type="cellIs" dxfId="4324" priority="4286" stopIfTrue="1" operator="between">
      <formula>221101</formula>
      <formula>221118</formula>
    </cfRule>
    <cfRule type="cellIs" dxfId="4323" priority="4287" stopIfTrue="1" operator="between">
      <formula>221142</formula>
      <formula>221144</formula>
    </cfRule>
    <cfRule type="cellIs" dxfId="4322" priority="4288" stopIfTrue="1" operator="between">
      <formula>220001</formula>
      <formula>221144</formula>
    </cfRule>
  </conditionalFormatting>
  <conditionalFormatting sqref="B29">
    <cfRule type="cellIs" dxfId="4321" priority="4283" stopIfTrue="1" operator="between">
      <formula>221101</formula>
      <formula>221118</formula>
    </cfRule>
    <cfRule type="cellIs" dxfId="4320" priority="4284" stopIfTrue="1" operator="between">
      <formula>221142</formula>
      <formula>221144</formula>
    </cfRule>
    <cfRule type="cellIs" dxfId="4319" priority="4285" stopIfTrue="1" operator="between">
      <formula>220001</formula>
      <formula>221144</formula>
    </cfRule>
  </conditionalFormatting>
  <conditionalFormatting sqref="B29">
    <cfRule type="cellIs" dxfId="4318" priority="4280" stopIfTrue="1" operator="between">
      <formula>221101</formula>
      <formula>221118</formula>
    </cfRule>
    <cfRule type="cellIs" dxfId="4317" priority="4281" stopIfTrue="1" operator="between">
      <formula>221142</formula>
      <formula>221144</formula>
    </cfRule>
    <cfRule type="cellIs" dxfId="4316" priority="4282" stopIfTrue="1" operator="between">
      <formula>220001</formula>
      <formula>221144</formula>
    </cfRule>
  </conditionalFormatting>
  <conditionalFormatting sqref="B29">
    <cfRule type="cellIs" dxfId="4315" priority="4277" stopIfTrue="1" operator="between">
      <formula>221101</formula>
      <formula>221118</formula>
    </cfRule>
    <cfRule type="cellIs" dxfId="4314" priority="4278" stopIfTrue="1" operator="between">
      <formula>221142</formula>
      <formula>221144</formula>
    </cfRule>
    <cfRule type="cellIs" dxfId="4313" priority="4279" stopIfTrue="1" operator="between">
      <formula>220001</formula>
      <formula>221144</formula>
    </cfRule>
  </conditionalFormatting>
  <conditionalFormatting sqref="AL29">
    <cfRule type="cellIs" dxfId="4312" priority="4274" stopIfTrue="1" operator="between">
      <formula>221101</formula>
      <formula>221118</formula>
    </cfRule>
    <cfRule type="cellIs" dxfId="4311" priority="4275" stopIfTrue="1" operator="between">
      <formula>221142</formula>
      <formula>221144</formula>
    </cfRule>
    <cfRule type="cellIs" dxfId="4310" priority="4276" stopIfTrue="1" operator="between">
      <formula>220001</formula>
      <formula>221144</formula>
    </cfRule>
  </conditionalFormatting>
  <conditionalFormatting sqref="AK29">
    <cfRule type="cellIs" dxfId="4309" priority="4271" stopIfTrue="1" operator="between">
      <formula>221101</formula>
      <formula>221118</formula>
    </cfRule>
    <cfRule type="cellIs" dxfId="4308" priority="4272" stopIfTrue="1" operator="between">
      <formula>221142</formula>
      <formula>221144</formula>
    </cfRule>
    <cfRule type="cellIs" dxfId="4307" priority="4273" stopIfTrue="1" operator="between">
      <formula>220001</formula>
      <formula>221144</formula>
    </cfRule>
  </conditionalFormatting>
  <conditionalFormatting sqref="AK29">
    <cfRule type="cellIs" dxfId="4306" priority="4268" stopIfTrue="1" operator="between">
      <formula>221101</formula>
      <formula>221118</formula>
    </cfRule>
    <cfRule type="cellIs" dxfId="4305" priority="4269" stopIfTrue="1" operator="between">
      <formula>221142</formula>
      <formula>221144</formula>
    </cfRule>
    <cfRule type="cellIs" dxfId="4304" priority="4270" stopIfTrue="1" operator="between">
      <formula>220001</formula>
      <formula>221144</formula>
    </cfRule>
  </conditionalFormatting>
  <conditionalFormatting sqref="AJ29">
    <cfRule type="cellIs" dxfId="4303" priority="4265" stopIfTrue="1" operator="between">
      <formula>221101</formula>
      <formula>221118</formula>
    </cfRule>
    <cfRule type="cellIs" dxfId="4302" priority="4266" stopIfTrue="1" operator="between">
      <formula>221142</formula>
      <formula>221144</formula>
    </cfRule>
    <cfRule type="cellIs" dxfId="4301" priority="4267" stopIfTrue="1" operator="between">
      <formula>220001</formula>
      <formula>221144</formula>
    </cfRule>
  </conditionalFormatting>
  <conditionalFormatting sqref="B29">
    <cfRule type="cellIs" dxfId="4300" priority="4262" stopIfTrue="1" operator="between">
      <formula>221101</formula>
      <formula>221118</formula>
    </cfRule>
    <cfRule type="cellIs" dxfId="4299" priority="4263" stopIfTrue="1" operator="between">
      <formula>221142</formula>
      <formula>221144</formula>
    </cfRule>
    <cfRule type="cellIs" dxfId="4298" priority="4264" stopIfTrue="1" operator="between">
      <formula>220001</formula>
      <formula>221144</formula>
    </cfRule>
  </conditionalFormatting>
  <conditionalFormatting sqref="AN29">
    <cfRule type="cellIs" dxfId="4297" priority="4259" stopIfTrue="1" operator="between">
      <formula>221101</formula>
      <formula>221118</formula>
    </cfRule>
    <cfRule type="cellIs" dxfId="4296" priority="4260" stopIfTrue="1" operator="between">
      <formula>221142</formula>
      <formula>221144</formula>
    </cfRule>
    <cfRule type="cellIs" dxfId="4295" priority="4261" stopIfTrue="1" operator="between">
      <formula>220001</formula>
      <formula>221144</formula>
    </cfRule>
  </conditionalFormatting>
  <conditionalFormatting sqref="AM29">
    <cfRule type="cellIs" dxfId="4294" priority="4256" stopIfTrue="1" operator="between">
      <formula>221101</formula>
      <formula>221118</formula>
    </cfRule>
    <cfRule type="cellIs" dxfId="4293" priority="4257" stopIfTrue="1" operator="between">
      <formula>221142</formula>
      <formula>221144</formula>
    </cfRule>
    <cfRule type="cellIs" dxfId="4292" priority="4258" stopIfTrue="1" operator="between">
      <formula>220001</formula>
      <formula>221144</formula>
    </cfRule>
  </conditionalFormatting>
  <conditionalFormatting sqref="AM29">
    <cfRule type="cellIs" dxfId="4291" priority="4253" stopIfTrue="1" operator="between">
      <formula>221101</formula>
      <formula>221118</formula>
    </cfRule>
    <cfRule type="cellIs" dxfId="4290" priority="4254" stopIfTrue="1" operator="between">
      <formula>221142</formula>
      <formula>221144</formula>
    </cfRule>
    <cfRule type="cellIs" dxfId="4289" priority="4255" stopIfTrue="1" operator="between">
      <formula>220001</formula>
      <formula>221144</formula>
    </cfRule>
  </conditionalFormatting>
  <conditionalFormatting sqref="AL29">
    <cfRule type="cellIs" dxfId="4288" priority="4250" stopIfTrue="1" operator="between">
      <formula>221101</formula>
      <formula>221118</formula>
    </cfRule>
    <cfRule type="cellIs" dxfId="4287" priority="4251" stopIfTrue="1" operator="between">
      <formula>221142</formula>
      <formula>221144</formula>
    </cfRule>
    <cfRule type="cellIs" dxfId="4286" priority="4252" stopIfTrue="1" operator="between">
      <formula>220001</formula>
      <formula>221144</formula>
    </cfRule>
  </conditionalFormatting>
  <conditionalFormatting sqref="C29">
    <cfRule type="cellIs" dxfId="4285" priority="4247" stopIfTrue="1" operator="between">
      <formula>221101</formula>
      <formula>221118</formula>
    </cfRule>
    <cfRule type="cellIs" dxfId="4284" priority="4248" stopIfTrue="1" operator="between">
      <formula>221142</formula>
      <formula>221144</formula>
    </cfRule>
    <cfRule type="cellIs" dxfId="4283" priority="4249" stopIfTrue="1" operator="between">
      <formula>220001</formula>
      <formula>221144</formula>
    </cfRule>
  </conditionalFormatting>
  <conditionalFormatting sqref="C29">
    <cfRule type="cellIs" dxfId="4282" priority="4244" stopIfTrue="1" operator="between">
      <formula>221101</formula>
      <formula>221118</formula>
    </cfRule>
    <cfRule type="cellIs" dxfId="4281" priority="4245" stopIfTrue="1" operator="between">
      <formula>221142</formula>
      <formula>221144</formula>
    </cfRule>
    <cfRule type="cellIs" dxfId="4280" priority="4246" stopIfTrue="1" operator="between">
      <formula>220001</formula>
      <formula>221144</formula>
    </cfRule>
  </conditionalFormatting>
  <conditionalFormatting sqref="C29">
    <cfRule type="cellIs" dxfId="4279" priority="4241" stopIfTrue="1" operator="between">
      <formula>221101</formula>
      <formula>221118</formula>
    </cfRule>
    <cfRule type="cellIs" dxfId="4278" priority="4242" stopIfTrue="1" operator="between">
      <formula>221142</formula>
      <formula>221144</formula>
    </cfRule>
    <cfRule type="cellIs" dxfId="4277" priority="4243" stopIfTrue="1" operator="between">
      <formula>220001</formula>
      <formula>221144</formula>
    </cfRule>
  </conditionalFormatting>
  <conditionalFormatting sqref="C29">
    <cfRule type="cellIs" dxfId="4276" priority="4238" stopIfTrue="1" operator="between">
      <formula>221101</formula>
      <formula>221118</formula>
    </cfRule>
    <cfRule type="cellIs" dxfId="4275" priority="4239" stopIfTrue="1" operator="between">
      <formula>221142</formula>
      <formula>221144</formula>
    </cfRule>
    <cfRule type="cellIs" dxfId="4274" priority="4240" stopIfTrue="1" operator="between">
      <formula>220001</formula>
      <formula>221144</formula>
    </cfRule>
  </conditionalFormatting>
  <conditionalFormatting sqref="AM29">
    <cfRule type="cellIs" dxfId="4273" priority="4235" stopIfTrue="1" operator="between">
      <formula>221101</formula>
      <formula>221118</formula>
    </cfRule>
    <cfRule type="cellIs" dxfId="4272" priority="4236" stopIfTrue="1" operator="between">
      <formula>221142</formula>
      <formula>221144</formula>
    </cfRule>
    <cfRule type="cellIs" dxfId="4271" priority="4237" stopIfTrue="1" operator="between">
      <formula>220001</formula>
      <formula>221144</formula>
    </cfRule>
  </conditionalFormatting>
  <conditionalFormatting sqref="AL29">
    <cfRule type="cellIs" dxfId="4270" priority="4232" stopIfTrue="1" operator="between">
      <formula>221101</formula>
      <formula>221118</formula>
    </cfRule>
    <cfRule type="cellIs" dxfId="4269" priority="4233" stopIfTrue="1" operator="between">
      <formula>221142</formula>
      <formula>221144</formula>
    </cfRule>
    <cfRule type="cellIs" dxfId="4268" priority="4234" stopIfTrue="1" operator="between">
      <formula>220001</formula>
      <formula>221144</formula>
    </cfRule>
  </conditionalFormatting>
  <conditionalFormatting sqref="AL29">
    <cfRule type="cellIs" dxfId="4267" priority="4229" stopIfTrue="1" operator="between">
      <formula>221101</formula>
      <formula>221118</formula>
    </cfRule>
    <cfRule type="cellIs" dxfId="4266" priority="4230" stopIfTrue="1" operator="between">
      <formula>221142</formula>
      <formula>221144</formula>
    </cfRule>
    <cfRule type="cellIs" dxfId="4265" priority="4231" stopIfTrue="1" operator="between">
      <formula>220001</formula>
      <formula>221144</formula>
    </cfRule>
  </conditionalFormatting>
  <conditionalFormatting sqref="AK29">
    <cfRule type="cellIs" dxfId="4264" priority="4226" stopIfTrue="1" operator="between">
      <formula>221101</formula>
      <formula>221118</formula>
    </cfRule>
    <cfRule type="cellIs" dxfId="4263" priority="4227" stopIfTrue="1" operator="between">
      <formula>221142</formula>
      <formula>221144</formula>
    </cfRule>
    <cfRule type="cellIs" dxfId="4262" priority="4228" stopIfTrue="1" operator="between">
      <formula>220001</formula>
      <formula>221144</formula>
    </cfRule>
  </conditionalFormatting>
  <conditionalFormatting sqref="B29">
    <cfRule type="cellIs" dxfId="4261" priority="4223" stopIfTrue="1" operator="between">
      <formula>221101</formula>
      <formula>221118</formula>
    </cfRule>
    <cfRule type="cellIs" dxfId="4260" priority="4224" stopIfTrue="1" operator="between">
      <formula>221142</formula>
      <formula>221144</formula>
    </cfRule>
    <cfRule type="cellIs" dxfId="4259" priority="4225" stopIfTrue="1" operator="between">
      <formula>220001</formula>
      <formula>221144</formula>
    </cfRule>
  </conditionalFormatting>
  <conditionalFormatting sqref="B29">
    <cfRule type="cellIs" dxfId="4258" priority="4220" stopIfTrue="1" operator="between">
      <formula>221101</formula>
      <formula>221118</formula>
    </cfRule>
    <cfRule type="cellIs" dxfId="4257" priority="4221" stopIfTrue="1" operator="between">
      <formula>221142</formula>
      <formula>221144</formula>
    </cfRule>
    <cfRule type="cellIs" dxfId="4256" priority="4222" stopIfTrue="1" operator="between">
      <formula>220001</formula>
      <formula>221144</formula>
    </cfRule>
  </conditionalFormatting>
  <conditionalFormatting sqref="B29">
    <cfRule type="cellIs" dxfId="4255" priority="4217" stopIfTrue="1" operator="between">
      <formula>221101</formula>
      <formula>221118</formula>
    </cfRule>
    <cfRule type="cellIs" dxfId="4254" priority="4218" stopIfTrue="1" operator="between">
      <formula>221142</formula>
      <formula>221144</formula>
    </cfRule>
    <cfRule type="cellIs" dxfId="4253" priority="4219" stopIfTrue="1" operator="between">
      <formula>220001</formula>
      <formula>221144</formula>
    </cfRule>
  </conditionalFormatting>
  <conditionalFormatting sqref="B29">
    <cfRule type="cellIs" dxfId="4252" priority="4214" stopIfTrue="1" operator="between">
      <formula>221101</formula>
      <formula>221118</formula>
    </cfRule>
    <cfRule type="cellIs" dxfId="4251" priority="4215" stopIfTrue="1" operator="between">
      <formula>221142</formula>
      <formula>221144</formula>
    </cfRule>
    <cfRule type="cellIs" dxfId="4250" priority="4216" stopIfTrue="1" operator="between">
      <formula>220001</formula>
      <formula>221144</formula>
    </cfRule>
  </conditionalFormatting>
  <conditionalFormatting sqref="AM29">
    <cfRule type="cellIs" dxfId="4249" priority="4211" stopIfTrue="1" operator="between">
      <formula>221101</formula>
      <formula>221118</formula>
    </cfRule>
    <cfRule type="cellIs" dxfId="4248" priority="4212" stopIfTrue="1" operator="between">
      <formula>221142</formula>
      <formula>221144</formula>
    </cfRule>
    <cfRule type="cellIs" dxfId="4247" priority="4213" stopIfTrue="1" operator="between">
      <formula>220001</formula>
      <formula>221144</formula>
    </cfRule>
  </conditionalFormatting>
  <conditionalFormatting sqref="AL29">
    <cfRule type="cellIs" dxfId="4246" priority="4208" stopIfTrue="1" operator="between">
      <formula>221101</formula>
      <formula>221118</formula>
    </cfRule>
    <cfRule type="cellIs" dxfId="4245" priority="4209" stopIfTrue="1" operator="between">
      <formula>221142</formula>
      <formula>221144</formula>
    </cfRule>
    <cfRule type="cellIs" dxfId="4244" priority="4210" stopIfTrue="1" operator="between">
      <formula>220001</formula>
      <formula>221144</formula>
    </cfRule>
  </conditionalFormatting>
  <conditionalFormatting sqref="AL29">
    <cfRule type="cellIs" dxfId="4243" priority="4205" stopIfTrue="1" operator="between">
      <formula>221101</formula>
      <formula>221118</formula>
    </cfRule>
    <cfRule type="cellIs" dxfId="4242" priority="4206" stopIfTrue="1" operator="between">
      <formula>221142</formula>
      <formula>221144</formula>
    </cfRule>
    <cfRule type="cellIs" dxfId="4241" priority="4207" stopIfTrue="1" operator="between">
      <formula>220001</formula>
      <formula>221144</formula>
    </cfRule>
  </conditionalFormatting>
  <conditionalFormatting sqref="AK29">
    <cfRule type="cellIs" dxfId="4240" priority="4202" stopIfTrue="1" operator="between">
      <formula>221101</formula>
      <formula>221118</formula>
    </cfRule>
    <cfRule type="cellIs" dxfId="4239" priority="4203" stopIfTrue="1" operator="between">
      <formula>221142</formula>
      <formula>221144</formula>
    </cfRule>
    <cfRule type="cellIs" dxfId="4238" priority="4204" stopIfTrue="1" operator="between">
      <formula>220001</formula>
      <formula>221144</formula>
    </cfRule>
  </conditionalFormatting>
  <conditionalFormatting sqref="B29">
    <cfRule type="cellIs" dxfId="4237" priority="4199" stopIfTrue="1" operator="between">
      <formula>221101</formula>
      <formula>221118</formula>
    </cfRule>
    <cfRule type="cellIs" dxfId="4236" priority="4200" stopIfTrue="1" operator="between">
      <formula>221142</formula>
      <formula>221144</formula>
    </cfRule>
    <cfRule type="cellIs" dxfId="4235" priority="4201" stopIfTrue="1" operator="between">
      <formula>220001</formula>
      <formula>221144</formula>
    </cfRule>
  </conditionalFormatting>
  <conditionalFormatting sqref="B29">
    <cfRule type="cellIs" dxfId="4234" priority="4196" stopIfTrue="1" operator="between">
      <formula>221101</formula>
      <formula>221118</formula>
    </cfRule>
    <cfRule type="cellIs" dxfId="4233" priority="4197" stopIfTrue="1" operator="between">
      <formula>221142</formula>
      <formula>221144</formula>
    </cfRule>
    <cfRule type="cellIs" dxfId="4232" priority="4198" stopIfTrue="1" operator="between">
      <formula>220001</formula>
      <formula>221144</formula>
    </cfRule>
  </conditionalFormatting>
  <conditionalFormatting sqref="B29">
    <cfRule type="cellIs" dxfId="4231" priority="4193" stopIfTrue="1" operator="between">
      <formula>221101</formula>
      <formula>221118</formula>
    </cfRule>
    <cfRule type="cellIs" dxfId="4230" priority="4194" stopIfTrue="1" operator="between">
      <formula>221142</formula>
      <formula>221144</formula>
    </cfRule>
    <cfRule type="cellIs" dxfId="4229" priority="4195" stopIfTrue="1" operator="between">
      <formula>220001</formula>
      <formula>221144</formula>
    </cfRule>
  </conditionalFormatting>
  <conditionalFormatting sqref="B29">
    <cfRule type="cellIs" dxfId="4228" priority="4190" stopIfTrue="1" operator="between">
      <formula>221101</formula>
      <formula>221118</formula>
    </cfRule>
    <cfRule type="cellIs" dxfId="4227" priority="4191" stopIfTrue="1" operator="between">
      <formula>221142</formula>
      <formula>221144</formula>
    </cfRule>
    <cfRule type="cellIs" dxfId="4226" priority="4192" stopIfTrue="1" operator="between">
      <formula>220001</formula>
      <formula>221144</formula>
    </cfRule>
  </conditionalFormatting>
  <conditionalFormatting sqref="AL29">
    <cfRule type="cellIs" dxfId="4225" priority="4187" stopIfTrue="1" operator="between">
      <formula>221101</formula>
      <formula>221118</formula>
    </cfRule>
    <cfRule type="cellIs" dxfId="4224" priority="4188" stopIfTrue="1" operator="between">
      <formula>221142</formula>
      <formula>221144</formula>
    </cfRule>
    <cfRule type="cellIs" dxfId="4223" priority="4189" stopIfTrue="1" operator="between">
      <formula>220001</formula>
      <formula>221144</formula>
    </cfRule>
  </conditionalFormatting>
  <conditionalFormatting sqref="AK29">
    <cfRule type="cellIs" dxfId="4222" priority="4184" stopIfTrue="1" operator="between">
      <formula>221101</formula>
      <formula>221118</formula>
    </cfRule>
    <cfRule type="cellIs" dxfId="4221" priority="4185" stopIfTrue="1" operator="between">
      <formula>221142</formula>
      <formula>221144</formula>
    </cfRule>
    <cfRule type="cellIs" dxfId="4220" priority="4186" stopIfTrue="1" operator="between">
      <formula>220001</formula>
      <formula>221144</formula>
    </cfRule>
  </conditionalFormatting>
  <conditionalFormatting sqref="AK29">
    <cfRule type="cellIs" dxfId="4219" priority="4181" stopIfTrue="1" operator="between">
      <formula>221101</formula>
      <formula>221118</formula>
    </cfRule>
    <cfRule type="cellIs" dxfId="4218" priority="4182" stopIfTrue="1" operator="between">
      <formula>221142</formula>
      <formula>221144</formula>
    </cfRule>
    <cfRule type="cellIs" dxfId="4217" priority="4183" stopIfTrue="1" operator="between">
      <formula>220001</formula>
      <formula>221144</formula>
    </cfRule>
  </conditionalFormatting>
  <conditionalFormatting sqref="AJ29">
    <cfRule type="cellIs" dxfId="4216" priority="4178" stopIfTrue="1" operator="between">
      <formula>221101</formula>
      <formula>221118</formula>
    </cfRule>
    <cfRule type="cellIs" dxfId="4215" priority="4179" stopIfTrue="1" operator="between">
      <formula>221142</formula>
      <formula>221144</formula>
    </cfRule>
    <cfRule type="cellIs" dxfId="4214" priority="4180" stopIfTrue="1" operator="between">
      <formula>220001</formula>
      <formula>221144</formula>
    </cfRule>
  </conditionalFormatting>
  <conditionalFormatting sqref="AM29">
    <cfRule type="cellIs" dxfId="4213" priority="4175" stopIfTrue="1" operator="between">
      <formula>221101</formula>
      <formula>221118</formula>
    </cfRule>
    <cfRule type="cellIs" dxfId="4212" priority="4176" stopIfTrue="1" operator="between">
      <formula>221142</formula>
      <formula>221144</formula>
    </cfRule>
    <cfRule type="cellIs" dxfId="4211" priority="4177" stopIfTrue="1" operator="between">
      <formula>220001</formula>
      <formula>221144</formula>
    </cfRule>
  </conditionalFormatting>
  <conditionalFormatting sqref="AL29">
    <cfRule type="cellIs" dxfId="4210" priority="4172" stopIfTrue="1" operator="between">
      <formula>221101</formula>
      <formula>221118</formula>
    </cfRule>
    <cfRule type="cellIs" dxfId="4209" priority="4173" stopIfTrue="1" operator="between">
      <formula>221142</formula>
      <formula>221144</formula>
    </cfRule>
    <cfRule type="cellIs" dxfId="4208" priority="4174" stopIfTrue="1" operator="between">
      <formula>220001</formula>
      <formula>221144</formula>
    </cfRule>
  </conditionalFormatting>
  <conditionalFormatting sqref="AL29">
    <cfRule type="cellIs" dxfId="4207" priority="4169" stopIfTrue="1" operator="between">
      <formula>221101</formula>
      <formula>221118</formula>
    </cfRule>
    <cfRule type="cellIs" dxfId="4206" priority="4170" stopIfTrue="1" operator="between">
      <formula>221142</formula>
      <formula>221144</formula>
    </cfRule>
    <cfRule type="cellIs" dxfId="4205" priority="4171" stopIfTrue="1" operator="between">
      <formula>220001</formula>
      <formula>221144</formula>
    </cfRule>
  </conditionalFormatting>
  <conditionalFormatting sqref="AK29">
    <cfRule type="cellIs" dxfId="4204" priority="4166" stopIfTrue="1" operator="between">
      <formula>221101</formula>
      <formula>221118</formula>
    </cfRule>
    <cfRule type="cellIs" dxfId="4203" priority="4167" stopIfTrue="1" operator="between">
      <formula>221142</formula>
      <formula>221144</formula>
    </cfRule>
    <cfRule type="cellIs" dxfId="4202" priority="4168" stopIfTrue="1" operator="between">
      <formula>220001</formula>
      <formula>221144</formula>
    </cfRule>
  </conditionalFormatting>
  <conditionalFormatting sqref="B29">
    <cfRule type="cellIs" dxfId="4201" priority="4163" stopIfTrue="1" operator="between">
      <formula>221101</formula>
      <formula>221118</formula>
    </cfRule>
    <cfRule type="cellIs" dxfId="4200" priority="4164" stopIfTrue="1" operator="between">
      <formula>221142</formula>
      <formula>221144</formula>
    </cfRule>
    <cfRule type="cellIs" dxfId="4199" priority="4165" stopIfTrue="1" operator="between">
      <formula>220001</formula>
      <formula>221144</formula>
    </cfRule>
  </conditionalFormatting>
  <conditionalFormatting sqref="B29">
    <cfRule type="cellIs" dxfId="4198" priority="4160" stopIfTrue="1" operator="between">
      <formula>221101</formula>
      <formula>221118</formula>
    </cfRule>
    <cfRule type="cellIs" dxfId="4197" priority="4161" stopIfTrue="1" operator="between">
      <formula>221142</formula>
      <formula>221144</formula>
    </cfRule>
    <cfRule type="cellIs" dxfId="4196" priority="4162" stopIfTrue="1" operator="between">
      <formula>220001</formula>
      <formula>221144</formula>
    </cfRule>
  </conditionalFormatting>
  <conditionalFormatting sqref="B29">
    <cfRule type="cellIs" dxfId="4195" priority="4157" stopIfTrue="1" operator="between">
      <formula>221101</formula>
      <formula>221118</formula>
    </cfRule>
    <cfRule type="cellIs" dxfId="4194" priority="4158" stopIfTrue="1" operator="between">
      <formula>221142</formula>
      <formula>221144</formula>
    </cfRule>
    <cfRule type="cellIs" dxfId="4193" priority="4159" stopIfTrue="1" operator="between">
      <formula>220001</formula>
      <formula>221144</formula>
    </cfRule>
  </conditionalFormatting>
  <conditionalFormatting sqref="B29">
    <cfRule type="cellIs" dxfId="4192" priority="4154" stopIfTrue="1" operator="between">
      <formula>221101</formula>
      <formula>221118</formula>
    </cfRule>
    <cfRule type="cellIs" dxfId="4191" priority="4155" stopIfTrue="1" operator="between">
      <formula>221142</formula>
      <formula>221144</formula>
    </cfRule>
    <cfRule type="cellIs" dxfId="4190" priority="4156" stopIfTrue="1" operator="between">
      <formula>220001</formula>
      <formula>221144</formula>
    </cfRule>
  </conditionalFormatting>
  <conditionalFormatting sqref="AL29">
    <cfRule type="cellIs" dxfId="4189" priority="4151" stopIfTrue="1" operator="between">
      <formula>221101</formula>
      <formula>221118</formula>
    </cfRule>
    <cfRule type="cellIs" dxfId="4188" priority="4152" stopIfTrue="1" operator="between">
      <formula>221142</formula>
      <formula>221144</formula>
    </cfRule>
    <cfRule type="cellIs" dxfId="4187" priority="4153" stopIfTrue="1" operator="between">
      <formula>220001</formula>
      <formula>221144</formula>
    </cfRule>
  </conditionalFormatting>
  <conditionalFormatting sqref="AK29">
    <cfRule type="cellIs" dxfId="4186" priority="4148" stopIfTrue="1" operator="between">
      <formula>221101</formula>
      <formula>221118</formula>
    </cfRule>
    <cfRule type="cellIs" dxfId="4185" priority="4149" stopIfTrue="1" operator="between">
      <formula>221142</formula>
      <formula>221144</formula>
    </cfRule>
    <cfRule type="cellIs" dxfId="4184" priority="4150" stopIfTrue="1" operator="between">
      <formula>220001</formula>
      <formula>221144</formula>
    </cfRule>
  </conditionalFormatting>
  <conditionalFormatting sqref="AK29">
    <cfRule type="cellIs" dxfId="4183" priority="4145" stopIfTrue="1" operator="between">
      <formula>221101</formula>
      <formula>221118</formula>
    </cfRule>
    <cfRule type="cellIs" dxfId="4182" priority="4146" stopIfTrue="1" operator="between">
      <formula>221142</formula>
      <formula>221144</formula>
    </cfRule>
    <cfRule type="cellIs" dxfId="4181" priority="4147" stopIfTrue="1" operator="between">
      <formula>220001</formula>
      <formula>221144</formula>
    </cfRule>
  </conditionalFormatting>
  <conditionalFormatting sqref="AJ29">
    <cfRule type="cellIs" dxfId="4180" priority="4142" stopIfTrue="1" operator="between">
      <formula>221101</formula>
      <formula>221118</formula>
    </cfRule>
    <cfRule type="cellIs" dxfId="4179" priority="4143" stopIfTrue="1" operator="between">
      <formula>221142</formula>
      <formula>221144</formula>
    </cfRule>
    <cfRule type="cellIs" dxfId="4178" priority="4144" stopIfTrue="1" operator="between">
      <formula>220001</formula>
      <formula>221144</formula>
    </cfRule>
  </conditionalFormatting>
  <conditionalFormatting sqref="AL29">
    <cfRule type="cellIs" dxfId="4177" priority="4139" stopIfTrue="1" operator="between">
      <formula>221101</formula>
      <formula>221118</formula>
    </cfRule>
    <cfRule type="cellIs" dxfId="4176" priority="4140" stopIfTrue="1" operator="between">
      <formula>221142</formula>
      <formula>221144</formula>
    </cfRule>
    <cfRule type="cellIs" dxfId="4175" priority="4141" stopIfTrue="1" operator="between">
      <formula>220001</formula>
      <formula>221144</formula>
    </cfRule>
  </conditionalFormatting>
  <conditionalFormatting sqref="AK29">
    <cfRule type="cellIs" dxfId="4174" priority="4136" stopIfTrue="1" operator="between">
      <formula>221101</formula>
      <formula>221118</formula>
    </cfRule>
    <cfRule type="cellIs" dxfId="4173" priority="4137" stopIfTrue="1" operator="between">
      <formula>221142</formula>
      <formula>221144</formula>
    </cfRule>
    <cfRule type="cellIs" dxfId="4172" priority="4138" stopIfTrue="1" operator="between">
      <formula>220001</formula>
      <formula>221144</formula>
    </cfRule>
  </conditionalFormatting>
  <conditionalFormatting sqref="AK29">
    <cfRule type="cellIs" dxfId="4171" priority="4133" stopIfTrue="1" operator="between">
      <formula>221101</formula>
      <formula>221118</formula>
    </cfRule>
    <cfRule type="cellIs" dxfId="4170" priority="4134" stopIfTrue="1" operator="between">
      <formula>221142</formula>
      <formula>221144</formula>
    </cfRule>
    <cfRule type="cellIs" dxfId="4169" priority="4135" stopIfTrue="1" operator="between">
      <formula>220001</formula>
      <formula>221144</formula>
    </cfRule>
  </conditionalFormatting>
  <conditionalFormatting sqref="AJ29">
    <cfRule type="cellIs" dxfId="4168" priority="4130" stopIfTrue="1" operator="between">
      <formula>221101</formula>
      <formula>221118</formula>
    </cfRule>
    <cfRule type="cellIs" dxfId="4167" priority="4131" stopIfTrue="1" operator="between">
      <formula>221142</formula>
      <formula>221144</formula>
    </cfRule>
    <cfRule type="cellIs" dxfId="4166" priority="4132" stopIfTrue="1" operator="between">
      <formula>220001</formula>
      <formula>221144</formula>
    </cfRule>
  </conditionalFormatting>
  <conditionalFormatting sqref="AK29">
    <cfRule type="cellIs" dxfId="4165" priority="4127" stopIfTrue="1" operator="between">
      <formula>221101</formula>
      <formula>221118</formula>
    </cfRule>
    <cfRule type="cellIs" dxfId="4164" priority="4128" stopIfTrue="1" operator="between">
      <formula>221142</formula>
      <formula>221144</formula>
    </cfRule>
    <cfRule type="cellIs" dxfId="4163" priority="4129" stopIfTrue="1" operator="between">
      <formula>220001</formula>
      <formula>221144</formula>
    </cfRule>
  </conditionalFormatting>
  <conditionalFormatting sqref="AJ29">
    <cfRule type="cellIs" dxfId="4162" priority="4124" stopIfTrue="1" operator="between">
      <formula>221101</formula>
      <formula>221118</formula>
    </cfRule>
    <cfRule type="cellIs" dxfId="4161" priority="4125" stopIfTrue="1" operator="between">
      <formula>221142</formula>
      <formula>221144</formula>
    </cfRule>
    <cfRule type="cellIs" dxfId="4160" priority="4126" stopIfTrue="1" operator="between">
      <formula>220001</formula>
      <formula>221144</formula>
    </cfRule>
  </conditionalFormatting>
  <conditionalFormatting sqref="AJ29">
    <cfRule type="cellIs" dxfId="4159" priority="4121" stopIfTrue="1" operator="between">
      <formula>221101</formula>
      <formula>221118</formula>
    </cfRule>
    <cfRule type="cellIs" dxfId="4158" priority="4122" stopIfTrue="1" operator="between">
      <formula>221142</formula>
      <formula>221144</formula>
    </cfRule>
    <cfRule type="cellIs" dxfId="4157" priority="4123" stopIfTrue="1" operator="between">
      <formula>220001</formula>
      <formula>221144</formula>
    </cfRule>
  </conditionalFormatting>
  <conditionalFormatting sqref="AI29">
    <cfRule type="cellIs" dxfId="4156" priority="4118" stopIfTrue="1" operator="between">
      <formula>221101</formula>
      <formula>221118</formula>
    </cfRule>
    <cfRule type="cellIs" dxfId="4155" priority="4119" stopIfTrue="1" operator="between">
      <formula>221142</formula>
      <formula>221144</formula>
    </cfRule>
    <cfRule type="cellIs" dxfId="4154" priority="4120" stopIfTrue="1" operator="between">
      <formula>220001</formula>
      <formula>221144</formula>
    </cfRule>
  </conditionalFormatting>
  <conditionalFormatting sqref="B29">
    <cfRule type="cellIs" dxfId="4153" priority="4115" stopIfTrue="1" operator="between">
      <formula>221101</formula>
      <formula>221118</formula>
    </cfRule>
    <cfRule type="cellIs" dxfId="4152" priority="4116" stopIfTrue="1" operator="between">
      <formula>221142</formula>
      <formula>221144</formula>
    </cfRule>
    <cfRule type="cellIs" dxfId="4151" priority="4117" stopIfTrue="1" operator="between">
      <formula>220001</formula>
      <formula>221144</formula>
    </cfRule>
  </conditionalFormatting>
  <conditionalFormatting sqref="AN29">
    <cfRule type="cellIs" dxfId="4150" priority="4112" stopIfTrue="1" operator="between">
      <formula>221101</formula>
      <formula>221118</formula>
    </cfRule>
    <cfRule type="cellIs" dxfId="4149" priority="4113" stopIfTrue="1" operator="between">
      <formula>221142</formula>
      <formula>221144</formula>
    </cfRule>
    <cfRule type="cellIs" dxfId="4148" priority="4114" stopIfTrue="1" operator="between">
      <formula>220001</formula>
      <formula>221144</formula>
    </cfRule>
  </conditionalFormatting>
  <conditionalFormatting sqref="AM29">
    <cfRule type="cellIs" dxfId="4147" priority="4109" stopIfTrue="1" operator="between">
      <formula>221101</formula>
      <formula>221118</formula>
    </cfRule>
    <cfRule type="cellIs" dxfId="4146" priority="4110" stopIfTrue="1" operator="between">
      <formula>221142</formula>
      <formula>221144</formula>
    </cfRule>
    <cfRule type="cellIs" dxfId="4145" priority="4111" stopIfTrue="1" operator="between">
      <formula>220001</formula>
      <formula>221144</formula>
    </cfRule>
  </conditionalFormatting>
  <conditionalFormatting sqref="A29">
    <cfRule type="cellIs" dxfId="4144" priority="4106" stopIfTrue="1" operator="between">
      <formula>221101</formula>
      <formula>221118</formula>
    </cfRule>
    <cfRule type="cellIs" dxfId="4143" priority="4107" stopIfTrue="1" operator="between">
      <formula>221142</formula>
      <formula>221144</formula>
    </cfRule>
    <cfRule type="cellIs" dxfId="4142" priority="4108" stopIfTrue="1" operator="between">
      <formula>220001</formula>
      <formula>221144</formula>
    </cfRule>
  </conditionalFormatting>
  <conditionalFormatting sqref="AM29">
    <cfRule type="cellIs" dxfId="4141" priority="4103" stopIfTrue="1" operator="between">
      <formula>221101</formula>
      <formula>221118</formula>
    </cfRule>
    <cfRule type="cellIs" dxfId="4140" priority="4104" stopIfTrue="1" operator="between">
      <formula>221142</formula>
      <formula>221144</formula>
    </cfRule>
    <cfRule type="cellIs" dxfId="4139" priority="4105" stopIfTrue="1" operator="between">
      <formula>220001</formula>
      <formula>221144</formula>
    </cfRule>
  </conditionalFormatting>
  <conditionalFormatting sqref="AL29">
    <cfRule type="cellIs" dxfId="4138" priority="4100" stopIfTrue="1" operator="between">
      <formula>221101</formula>
      <formula>221118</formula>
    </cfRule>
    <cfRule type="cellIs" dxfId="4137" priority="4101" stopIfTrue="1" operator="between">
      <formula>221142</formula>
      <formula>221144</formula>
    </cfRule>
    <cfRule type="cellIs" dxfId="4136" priority="4102" stopIfTrue="1" operator="between">
      <formula>220001</formula>
      <formula>221144</formula>
    </cfRule>
  </conditionalFormatting>
  <conditionalFormatting sqref="C29">
    <cfRule type="cellIs" dxfId="4135" priority="4097" stopIfTrue="1" operator="between">
      <formula>221101</formula>
      <formula>221118</formula>
    </cfRule>
    <cfRule type="cellIs" dxfId="4134" priority="4098" stopIfTrue="1" operator="between">
      <formula>221142</formula>
      <formula>221144</formula>
    </cfRule>
    <cfRule type="cellIs" dxfId="4133" priority="4099" stopIfTrue="1" operator="between">
      <formula>220001</formula>
      <formula>221144</formula>
    </cfRule>
  </conditionalFormatting>
  <conditionalFormatting sqref="C29">
    <cfRule type="cellIs" dxfId="4132" priority="4094" stopIfTrue="1" operator="between">
      <formula>221101</formula>
      <formula>221118</formula>
    </cfRule>
    <cfRule type="cellIs" dxfId="4131" priority="4095" stopIfTrue="1" operator="between">
      <formula>221142</formula>
      <formula>221144</formula>
    </cfRule>
    <cfRule type="cellIs" dxfId="4130" priority="4096" stopIfTrue="1" operator="between">
      <formula>220001</formula>
      <formula>221144</formula>
    </cfRule>
  </conditionalFormatting>
  <conditionalFormatting sqref="C29">
    <cfRule type="cellIs" dxfId="4129" priority="4091" stopIfTrue="1" operator="between">
      <formula>221101</formula>
      <formula>221118</formula>
    </cfRule>
    <cfRule type="cellIs" dxfId="4128" priority="4092" stopIfTrue="1" operator="between">
      <formula>221142</formula>
      <formula>221144</formula>
    </cfRule>
    <cfRule type="cellIs" dxfId="4127" priority="4093" stopIfTrue="1" operator="between">
      <formula>220001</formula>
      <formula>221144</formula>
    </cfRule>
  </conditionalFormatting>
  <conditionalFormatting sqref="C29">
    <cfRule type="cellIs" dxfId="4126" priority="4088" stopIfTrue="1" operator="between">
      <formula>221101</formula>
      <formula>221118</formula>
    </cfRule>
    <cfRule type="cellIs" dxfId="4125" priority="4089" stopIfTrue="1" operator="between">
      <formula>221142</formula>
      <formula>221144</formula>
    </cfRule>
    <cfRule type="cellIs" dxfId="4124" priority="4090" stopIfTrue="1" operator="between">
      <formula>220001</formula>
      <formula>221144</formula>
    </cfRule>
  </conditionalFormatting>
  <conditionalFormatting sqref="A29">
    <cfRule type="cellIs" dxfId="4123" priority="4085" stopIfTrue="1" operator="between">
      <formula>221101</formula>
      <formula>221118</formula>
    </cfRule>
    <cfRule type="cellIs" dxfId="4122" priority="4086" stopIfTrue="1" operator="between">
      <formula>221142</formula>
      <formula>221144</formula>
    </cfRule>
    <cfRule type="cellIs" dxfId="4121" priority="4087" stopIfTrue="1" operator="between">
      <formula>220001</formula>
      <formula>221144</formula>
    </cfRule>
  </conditionalFormatting>
  <conditionalFormatting sqref="AM29">
    <cfRule type="cellIs" dxfId="4120" priority="4082" stopIfTrue="1" operator="between">
      <formula>221101</formula>
      <formula>221118</formula>
    </cfRule>
    <cfRule type="cellIs" dxfId="4119" priority="4083" stopIfTrue="1" operator="between">
      <formula>221142</formula>
      <formula>221144</formula>
    </cfRule>
    <cfRule type="cellIs" dxfId="4118" priority="4084" stopIfTrue="1" operator="between">
      <formula>220001</formula>
      <formula>221144</formula>
    </cfRule>
  </conditionalFormatting>
  <conditionalFormatting sqref="AL29">
    <cfRule type="cellIs" dxfId="4117" priority="4079" stopIfTrue="1" operator="between">
      <formula>221101</formula>
      <formula>221118</formula>
    </cfRule>
    <cfRule type="cellIs" dxfId="4116" priority="4080" stopIfTrue="1" operator="between">
      <formula>221142</formula>
      <formula>221144</formula>
    </cfRule>
    <cfRule type="cellIs" dxfId="4115" priority="4081" stopIfTrue="1" operator="between">
      <formula>220001</formula>
      <formula>221144</formula>
    </cfRule>
  </conditionalFormatting>
  <conditionalFormatting sqref="AL29">
    <cfRule type="cellIs" dxfId="4114" priority="4076" stopIfTrue="1" operator="between">
      <formula>221101</formula>
      <formula>221118</formula>
    </cfRule>
    <cfRule type="cellIs" dxfId="4113" priority="4077" stopIfTrue="1" operator="between">
      <formula>221142</formula>
      <formula>221144</formula>
    </cfRule>
    <cfRule type="cellIs" dxfId="4112" priority="4078" stopIfTrue="1" operator="between">
      <formula>220001</formula>
      <formula>221144</formula>
    </cfRule>
  </conditionalFormatting>
  <conditionalFormatting sqref="AK29">
    <cfRule type="cellIs" dxfId="4111" priority="4073" stopIfTrue="1" operator="between">
      <formula>221101</formula>
      <formula>221118</formula>
    </cfRule>
    <cfRule type="cellIs" dxfId="4110" priority="4074" stopIfTrue="1" operator="between">
      <formula>221142</formula>
      <formula>221144</formula>
    </cfRule>
    <cfRule type="cellIs" dxfId="4109" priority="4075" stopIfTrue="1" operator="between">
      <formula>220001</formula>
      <formula>221144</formula>
    </cfRule>
  </conditionalFormatting>
  <conditionalFormatting sqref="B29">
    <cfRule type="cellIs" dxfId="4108" priority="4070" stopIfTrue="1" operator="between">
      <formula>221101</formula>
      <formula>221118</formula>
    </cfRule>
    <cfRule type="cellIs" dxfId="4107" priority="4071" stopIfTrue="1" operator="between">
      <formula>221142</formula>
      <formula>221144</formula>
    </cfRule>
    <cfRule type="cellIs" dxfId="4106" priority="4072" stopIfTrue="1" operator="between">
      <formula>220001</formula>
      <formula>221144</formula>
    </cfRule>
  </conditionalFormatting>
  <conditionalFormatting sqref="B29">
    <cfRule type="cellIs" dxfId="4105" priority="4067" stopIfTrue="1" operator="between">
      <formula>221101</formula>
      <formula>221118</formula>
    </cfRule>
    <cfRule type="cellIs" dxfId="4104" priority="4068" stopIfTrue="1" operator="between">
      <formula>221142</formula>
      <formula>221144</formula>
    </cfRule>
    <cfRule type="cellIs" dxfId="4103" priority="4069" stopIfTrue="1" operator="between">
      <formula>220001</formula>
      <formula>221144</formula>
    </cfRule>
  </conditionalFormatting>
  <conditionalFormatting sqref="B29">
    <cfRule type="cellIs" dxfId="4102" priority="4064" stopIfTrue="1" operator="between">
      <formula>221101</formula>
      <formula>221118</formula>
    </cfRule>
    <cfRule type="cellIs" dxfId="4101" priority="4065" stopIfTrue="1" operator="between">
      <formula>221142</formula>
      <formula>221144</formula>
    </cfRule>
    <cfRule type="cellIs" dxfId="4100" priority="4066" stopIfTrue="1" operator="between">
      <formula>220001</formula>
      <formula>221144</formula>
    </cfRule>
  </conditionalFormatting>
  <conditionalFormatting sqref="B29">
    <cfRule type="cellIs" dxfId="4099" priority="4061" stopIfTrue="1" operator="between">
      <formula>221101</formula>
      <formula>221118</formula>
    </cfRule>
    <cfRule type="cellIs" dxfId="4098" priority="4062" stopIfTrue="1" operator="between">
      <formula>221142</formula>
      <formula>221144</formula>
    </cfRule>
    <cfRule type="cellIs" dxfId="4097" priority="4063" stopIfTrue="1" operator="between">
      <formula>220001</formula>
      <formula>221144</formula>
    </cfRule>
  </conditionalFormatting>
  <conditionalFormatting sqref="A29">
    <cfRule type="cellIs" dxfId="4096" priority="4058" stopIfTrue="1" operator="between">
      <formula>221101</formula>
      <formula>221118</formula>
    </cfRule>
    <cfRule type="cellIs" dxfId="4095" priority="4059" stopIfTrue="1" operator="between">
      <formula>221142</formula>
      <formula>221144</formula>
    </cfRule>
    <cfRule type="cellIs" dxfId="4094" priority="4060" stopIfTrue="1" operator="between">
      <formula>220001</formula>
      <formula>221144</formula>
    </cfRule>
  </conditionalFormatting>
  <conditionalFormatting sqref="AM29">
    <cfRule type="cellIs" dxfId="4093" priority="4055" stopIfTrue="1" operator="between">
      <formula>221101</formula>
      <formula>221118</formula>
    </cfRule>
    <cfRule type="cellIs" dxfId="4092" priority="4056" stopIfTrue="1" operator="between">
      <formula>221142</formula>
      <formula>221144</formula>
    </cfRule>
    <cfRule type="cellIs" dxfId="4091" priority="4057" stopIfTrue="1" operator="between">
      <formula>220001</formula>
      <formula>221144</formula>
    </cfRule>
  </conditionalFormatting>
  <conditionalFormatting sqref="AL29">
    <cfRule type="cellIs" dxfId="4090" priority="4052" stopIfTrue="1" operator="between">
      <formula>221101</formula>
      <formula>221118</formula>
    </cfRule>
    <cfRule type="cellIs" dxfId="4089" priority="4053" stopIfTrue="1" operator="between">
      <formula>221142</formula>
      <formula>221144</formula>
    </cfRule>
    <cfRule type="cellIs" dxfId="4088" priority="4054" stopIfTrue="1" operator="between">
      <formula>220001</formula>
      <formula>221144</formula>
    </cfRule>
  </conditionalFormatting>
  <conditionalFormatting sqref="AL29">
    <cfRule type="cellIs" dxfId="4087" priority="4049" stopIfTrue="1" operator="between">
      <formula>221101</formula>
      <formula>221118</formula>
    </cfRule>
    <cfRule type="cellIs" dxfId="4086" priority="4050" stopIfTrue="1" operator="between">
      <formula>221142</formula>
      <formula>221144</formula>
    </cfRule>
    <cfRule type="cellIs" dxfId="4085" priority="4051" stopIfTrue="1" operator="between">
      <formula>220001</formula>
      <formula>221144</formula>
    </cfRule>
  </conditionalFormatting>
  <conditionalFormatting sqref="AK29">
    <cfRule type="cellIs" dxfId="4084" priority="4046" stopIfTrue="1" operator="between">
      <formula>221101</formula>
      <formula>221118</formula>
    </cfRule>
    <cfRule type="cellIs" dxfId="4083" priority="4047" stopIfTrue="1" operator="between">
      <formula>221142</formula>
      <formula>221144</formula>
    </cfRule>
    <cfRule type="cellIs" dxfId="4082" priority="4048" stopIfTrue="1" operator="between">
      <formula>220001</formula>
      <formula>221144</formula>
    </cfRule>
  </conditionalFormatting>
  <conditionalFormatting sqref="B29">
    <cfRule type="cellIs" dxfId="4081" priority="4043" stopIfTrue="1" operator="between">
      <formula>221101</formula>
      <formula>221118</formula>
    </cfRule>
    <cfRule type="cellIs" dxfId="4080" priority="4044" stopIfTrue="1" operator="between">
      <formula>221142</formula>
      <formula>221144</formula>
    </cfRule>
    <cfRule type="cellIs" dxfId="4079" priority="4045" stopIfTrue="1" operator="between">
      <formula>220001</formula>
      <formula>221144</formula>
    </cfRule>
  </conditionalFormatting>
  <conditionalFormatting sqref="B29">
    <cfRule type="cellIs" dxfId="4078" priority="4040" stopIfTrue="1" operator="between">
      <formula>221101</formula>
      <formula>221118</formula>
    </cfRule>
    <cfRule type="cellIs" dxfId="4077" priority="4041" stopIfTrue="1" operator="between">
      <formula>221142</formula>
      <formula>221144</formula>
    </cfRule>
    <cfRule type="cellIs" dxfId="4076" priority="4042" stopIfTrue="1" operator="between">
      <formula>220001</formula>
      <formula>221144</formula>
    </cfRule>
  </conditionalFormatting>
  <conditionalFormatting sqref="B29">
    <cfRule type="cellIs" dxfId="4075" priority="4037" stopIfTrue="1" operator="between">
      <formula>221101</formula>
      <formula>221118</formula>
    </cfRule>
    <cfRule type="cellIs" dxfId="4074" priority="4038" stopIfTrue="1" operator="between">
      <formula>221142</formula>
      <formula>221144</formula>
    </cfRule>
    <cfRule type="cellIs" dxfId="4073" priority="4039" stopIfTrue="1" operator="between">
      <formula>220001</formula>
      <formula>221144</formula>
    </cfRule>
  </conditionalFormatting>
  <conditionalFormatting sqref="B29">
    <cfRule type="cellIs" dxfId="4072" priority="4034" stopIfTrue="1" operator="between">
      <formula>221101</formula>
      <formula>221118</formula>
    </cfRule>
    <cfRule type="cellIs" dxfId="4071" priority="4035" stopIfTrue="1" operator="between">
      <formula>221142</formula>
      <formula>221144</formula>
    </cfRule>
    <cfRule type="cellIs" dxfId="4070" priority="4036" stopIfTrue="1" operator="between">
      <formula>220001</formula>
      <formula>221144</formula>
    </cfRule>
  </conditionalFormatting>
  <conditionalFormatting sqref="AL29">
    <cfRule type="cellIs" dxfId="4069" priority="4031" stopIfTrue="1" operator="between">
      <formula>221101</formula>
      <formula>221118</formula>
    </cfRule>
    <cfRule type="cellIs" dxfId="4068" priority="4032" stopIfTrue="1" operator="between">
      <formula>221142</formula>
      <formula>221144</formula>
    </cfRule>
    <cfRule type="cellIs" dxfId="4067" priority="4033" stopIfTrue="1" operator="between">
      <formula>220001</formula>
      <formula>221144</formula>
    </cfRule>
  </conditionalFormatting>
  <conditionalFormatting sqref="AK29">
    <cfRule type="cellIs" dxfId="4066" priority="4028" stopIfTrue="1" operator="between">
      <formula>221101</formula>
      <formula>221118</formula>
    </cfRule>
    <cfRule type="cellIs" dxfId="4065" priority="4029" stopIfTrue="1" operator="between">
      <formula>221142</formula>
      <formula>221144</formula>
    </cfRule>
    <cfRule type="cellIs" dxfId="4064" priority="4030" stopIfTrue="1" operator="between">
      <formula>220001</formula>
      <formula>221144</formula>
    </cfRule>
  </conditionalFormatting>
  <conditionalFormatting sqref="AK29">
    <cfRule type="cellIs" dxfId="4063" priority="4025" stopIfTrue="1" operator="between">
      <formula>221101</formula>
      <formula>221118</formula>
    </cfRule>
    <cfRule type="cellIs" dxfId="4062" priority="4026" stopIfTrue="1" operator="between">
      <formula>221142</formula>
      <formula>221144</formula>
    </cfRule>
    <cfRule type="cellIs" dxfId="4061" priority="4027" stopIfTrue="1" operator="between">
      <formula>220001</formula>
      <formula>221144</formula>
    </cfRule>
  </conditionalFormatting>
  <conditionalFormatting sqref="AJ29">
    <cfRule type="cellIs" dxfId="4060" priority="4022" stopIfTrue="1" operator="between">
      <formula>221101</formula>
      <formula>221118</formula>
    </cfRule>
    <cfRule type="cellIs" dxfId="4059" priority="4023" stopIfTrue="1" operator="between">
      <formula>221142</formula>
      <formula>221144</formula>
    </cfRule>
    <cfRule type="cellIs" dxfId="4058" priority="4024" stopIfTrue="1" operator="between">
      <formula>220001</formula>
      <formula>221144</formula>
    </cfRule>
  </conditionalFormatting>
  <conditionalFormatting sqref="A29">
    <cfRule type="cellIs" dxfId="4057" priority="4019" stopIfTrue="1" operator="between">
      <formula>221101</formula>
      <formula>221118</formula>
    </cfRule>
    <cfRule type="cellIs" dxfId="4056" priority="4020" stopIfTrue="1" operator="between">
      <formula>221142</formula>
      <formula>221144</formula>
    </cfRule>
    <cfRule type="cellIs" dxfId="4055" priority="4021" stopIfTrue="1" operator="between">
      <formula>220001</formula>
      <formula>221144</formula>
    </cfRule>
  </conditionalFormatting>
  <conditionalFormatting sqref="A29">
    <cfRule type="cellIs" dxfId="4054" priority="4016" stopIfTrue="1" operator="between">
      <formula>221101</formula>
      <formula>221118</formula>
    </cfRule>
    <cfRule type="cellIs" dxfId="4053" priority="4017" stopIfTrue="1" operator="between">
      <formula>221142</formula>
      <formula>221144</formula>
    </cfRule>
    <cfRule type="cellIs" dxfId="4052" priority="4018" stopIfTrue="1" operator="between">
      <formula>220001</formula>
      <formula>221144</formula>
    </cfRule>
  </conditionalFormatting>
  <conditionalFormatting sqref="A29">
    <cfRule type="cellIs" dxfId="4051" priority="4013" stopIfTrue="1" operator="between">
      <formula>221101</formula>
      <formula>221118</formula>
    </cfRule>
    <cfRule type="cellIs" dxfId="4050" priority="4014" stopIfTrue="1" operator="between">
      <formula>221142</formula>
      <formula>221144</formula>
    </cfRule>
    <cfRule type="cellIs" dxfId="4049" priority="4015" stopIfTrue="1" operator="between">
      <formula>220001</formula>
      <formula>221144</formula>
    </cfRule>
  </conditionalFormatting>
  <conditionalFormatting sqref="A29">
    <cfRule type="cellIs" dxfId="4048" priority="4010" stopIfTrue="1" operator="between">
      <formula>221101</formula>
      <formula>221118</formula>
    </cfRule>
    <cfRule type="cellIs" dxfId="4047" priority="4011" stopIfTrue="1" operator="between">
      <formula>221142</formula>
      <formula>221144</formula>
    </cfRule>
    <cfRule type="cellIs" dxfId="4046" priority="4012" stopIfTrue="1" operator="between">
      <formula>220001</formula>
      <formula>221144</formula>
    </cfRule>
  </conditionalFormatting>
  <conditionalFormatting sqref="A29">
    <cfRule type="cellIs" dxfId="4045" priority="4007" stopIfTrue="1" operator="between">
      <formula>221101</formula>
      <formula>221118</formula>
    </cfRule>
    <cfRule type="cellIs" dxfId="4044" priority="4008" stopIfTrue="1" operator="between">
      <formula>221142</formula>
      <formula>221144</formula>
    </cfRule>
    <cfRule type="cellIs" dxfId="4043" priority="4009" stopIfTrue="1" operator="between">
      <formula>220001</formula>
      <formula>221144</formula>
    </cfRule>
  </conditionalFormatting>
  <conditionalFormatting sqref="AM29">
    <cfRule type="cellIs" dxfId="4042" priority="4004" stopIfTrue="1" operator="between">
      <formula>221101</formula>
      <formula>221118</formula>
    </cfRule>
    <cfRule type="cellIs" dxfId="4041" priority="4005" stopIfTrue="1" operator="between">
      <formula>221142</formula>
      <formula>221144</formula>
    </cfRule>
    <cfRule type="cellIs" dxfId="4040" priority="4006" stopIfTrue="1" operator="between">
      <formula>220001</formula>
      <formula>221144</formula>
    </cfRule>
  </conditionalFormatting>
  <conditionalFormatting sqref="AL29">
    <cfRule type="cellIs" dxfId="4039" priority="4001" stopIfTrue="1" operator="between">
      <formula>221101</formula>
      <formula>221118</formula>
    </cfRule>
    <cfRule type="cellIs" dxfId="4038" priority="4002" stopIfTrue="1" operator="between">
      <formula>221142</formula>
      <formula>221144</formula>
    </cfRule>
    <cfRule type="cellIs" dxfId="4037" priority="4003" stopIfTrue="1" operator="between">
      <formula>220001</formula>
      <formula>221144</formula>
    </cfRule>
  </conditionalFormatting>
  <conditionalFormatting sqref="AL29">
    <cfRule type="cellIs" dxfId="4036" priority="3998" stopIfTrue="1" operator="between">
      <formula>221101</formula>
      <formula>221118</formula>
    </cfRule>
    <cfRule type="cellIs" dxfId="4035" priority="3999" stopIfTrue="1" operator="between">
      <formula>221142</formula>
      <formula>221144</formula>
    </cfRule>
    <cfRule type="cellIs" dxfId="4034" priority="4000" stopIfTrue="1" operator="between">
      <formula>220001</formula>
      <formula>221144</formula>
    </cfRule>
  </conditionalFormatting>
  <conditionalFormatting sqref="AK29">
    <cfRule type="cellIs" dxfId="4033" priority="3995" stopIfTrue="1" operator="between">
      <formula>221101</formula>
      <formula>221118</formula>
    </cfRule>
    <cfRule type="cellIs" dxfId="4032" priority="3996" stopIfTrue="1" operator="between">
      <formula>221142</formula>
      <formula>221144</formula>
    </cfRule>
    <cfRule type="cellIs" dxfId="4031" priority="3997" stopIfTrue="1" operator="between">
      <formula>220001</formula>
      <formula>221144</formula>
    </cfRule>
  </conditionalFormatting>
  <conditionalFormatting sqref="B29">
    <cfRule type="cellIs" dxfId="4030" priority="3992" stopIfTrue="1" operator="between">
      <formula>221101</formula>
      <formula>221118</formula>
    </cfRule>
    <cfRule type="cellIs" dxfId="4029" priority="3993" stopIfTrue="1" operator="between">
      <formula>221142</formula>
      <formula>221144</formula>
    </cfRule>
    <cfRule type="cellIs" dxfId="4028" priority="3994" stopIfTrue="1" operator="between">
      <formula>220001</formula>
      <formula>221144</formula>
    </cfRule>
  </conditionalFormatting>
  <conditionalFormatting sqref="B29">
    <cfRule type="cellIs" dxfId="4027" priority="3989" stopIfTrue="1" operator="between">
      <formula>221101</formula>
      <formula>221118</formula>
    </cfRule>
    <cfRule type="cellIs" dxfId="4026" priority="3990" stopIfTrue="1" operator="between">
      <formula>221142</formula>
      <formula>221144</formula>
    </cfRule>
    <cfRule type="cellIs" dxfId="4025" priority="3991" stopIfTrue="1" operator="between">
      <formula>220001</formula>
      <formula>221144</formula>
    </cfRule>
  </conditionalFormatting>
  <conditionalFormatting sqref="B29">
    <cfRule type="cellIs" dxfId="4024" priority="3986" stopIfTrue="1" operator="between">
      <formula>221101</formula>
      <formula>221118</formula>
    </cfRule>
    <cfRule type="cellIs" dxfId="4023" priority="3987" stopIfTrue="1" operator="between">
      <formula>221142</formula>
      <formula>221144</formula>
    </cfRule>
    <cfRule type="cellIs" dxfId="4022" priority="3988" stopIfTrue="1" operator="between">
      <formula>220001</formula>
      <formula>221144</formula>
    </cfRule>
  </conditionalFormatting>
  <conditionalFormatting sqref="B29">
    <cfRule type="cellIs" dxfId="4021" priority="3983" stopIfTrue="1" operator="between">
      <formula>221101</formula>
      <formula>221118</formula>
    </cfRule>
    <cfRule type="cellIs" dxfId="4020" priority="3984" stopIfTrue="1" operator="between">
      <formula>221142</formula>
      <formula>221144</formula>
    </cfRule>
    <cfRule type="cellIs" dxfId="4019" priority="3985" stopIfTrue="1" operator="between">
      <formula>220001</formula>
      <formula>221144</formula>
    </cfRule>
  </conditionalFormatting>
  <conditionalFormatting sqref="AL29">
    <cfRule type="cellIs" dxfId="4018" priority="3980" stopIfTrue="1" operator="between">
      <formula>221101</formula>
      <formula>221118</formula>
    </cfRule>
    <cfRule type="cellIs" dxfId="4017" priority="3981" stopIfTrue="1" operator="between">
      <formula>221142</formula>
      <formula>221144</formula>
    </cfRule>
    <cfRule type="cellIs" dxfId="4016" priority="3982" stopIfTrue="1" operator="between">
      <formula>220001</formula>
      <formula>221144</formula>
    </cfRule>
  </conditionalFormatting>
  <conditionalFormatting sqref="AK29">
    <cfRule type="cellIs" dxfId="4015" priority="3977" stopIfTrue="1" operator="between">
      <formula>221101</formula>
      <formula>221118</formula>
    </cfRule>
    <cfRule type="cellIs" dxfId="4014" priority="3978" stopIfTrue="1" operator="between">
      <formula>221142</formula>
      <formula>221144</formula>
    </cfRule>
    <cfRule type="cellIs" dxfId="4013" priority="3979" stopIfTrue="1" operator="between">
      <formula>220001</formula>
      <formula>221144</formula>
    </cfRule>
  </conditionalFormatting>
  <conditionalFormatting sqref="AK29">
    <cfRule type="cellIs" dxfId="4012" priority="3974" stopIfTrue="1" operator="between">
      <formula>221101</formula>
      <formula>221118</formula>
    </cfRule>
    <cfRule type="cellIs" dxfId="4011" priority="3975" stopIfTrue="1" operator="between">
      <formula>221142</formula>
      <formula>221144</formula>
    </cfRule>
    <cfRule type="cellIs" dxfId="4010" priority="3976" stopIfTrue="1" operator="between">
      <formula>220001</formula>
      <formula>221144</formula>
    </cfRule>
  </conditionalFormatting>
  <conditionalFormatting sqref="AJ29">
    <cfRule type="cellIs" dxfId="4009" priority="3971" stopIfTrue="1" operator="between">
      <formula>221101</formula>
      <formula>221118</formula>
    </cfRule>
    <cfRule type="cellIs" dxfId="4008" priority="3972" stopIfTrue="1" operator="between">
      <formula>221142</formula>
      <formula>221144</formula>
    </cfRule>
    <cfRule type="cellIs" dxfId="4007" priority="3973" stopIfTrue="1" operator="between">
      <formula>220001</formula>
      <formula>221144</formula>
    </cfRule>
  </conditionalFormatting>
  <conditionalFormatting sqref="A29">
    <cfRule type="cellIs" dxfId="4006" priority="3968" stopIfTrue="1" operator="between">
      <formula>221101</formula>
      <formula>221118</formula>
    </cfRule>
    <cfRule type="cellIs" dxfId="4005" priority="3969" stopIfTrue="1" operator="between">
      <formula>221142</formula>
      <formula>221144</formula>
    </cfRule>
    <cfRule type="cellIs" dxfId="4004" priority="3970" stopIfTrue="1" operator="between">
      <formula>220001</formula>
      <formula>221144</formula>
    </cfRule>
  </conditionalFormatting>
  <conditionalFormatting sqref="A29">
    <cfRule type="cellIs" dxfId="4003" priority="3965" stopIfTrue="1" operator="between">
      <formula>221101</formula>
      <formula>221118</formula>
    </cfRule>
    <cfRule type="cellIs" dxfId="4002" priority="3966" stopIfTrue="1" operator="between">
      <formula>221142</formula>
      <formula>221144</formula>
    </cfRule>
    <cfRule type="cellIs" dxfId="4001" priority="3967" stopIfTrue="1" operator="between">
      <formula>220001</formula>
      <formula>221144</formula>
    </cfRule>
  </conditionalFormatting>
  <conditionalFormatting sqref="A29">
    <cfRule type="cellIs" dxfId="4000" priority="3962" stopIfTrue="1" operator="between">
      <formula>221101</formula>
      <formula>221118</formula>
    </cfRule>
    <cfRule type="cellIs" dxfId="3999" priority="3963" stopIfTrue="1" operator="between">
      <formula>221142</formula>
      <formula>221144</formula>
    </cfRule>
    <cfRule type="cellIs" dxfId="3998" priority="3964" stopIfTrue="1" operator="between">
      <formula>220001</formula>
      <formula>221144</formula>
    </cfRule>
  </conditionalFormatting>
  <conditionalFormatting sqref="A29">
    <cfRule type="cellIs" dxfId="3997" priority="3959" stopIfTrue="1" operator="between">
      <formula>221101</formula>
      <formula>221118</formula>
    </cfRule>
    <cfRule type="cellIs" dxfId="3996" priority="3960" stopIfTrue="1" operator="between">
      <formula>221142</formula>
      <formula>221144</formula>
    </cfRule>
    <cfRule type="cellIs" dxfId="3995" priority="3961" stopIfTrue="1" operator="between">
      <formula>220001</formula>
      <formula>221144</formula>
    </cfRule>
  </conditionalFormatting>
  <conditionalFormatting sqref="AL29">
    <cfRule type="cellIs" dxfId="3994" priority="3956" stopIfTrue="1" operator="between">
      <formula>221101</formula>
      <formula>221118</formula>
    </cfRule>
    <cfRule type="cellIs" dxfId="3993" priority="3957" stopIfTrue="1" operator="between">
      <formula>221142</formula>
      <formula>221144</formula>
    </cfRule>
    <cfRule type="cellIs" dxfId="3992" priority="3958" stopIfTrue="1" operator="between">
      <formula>220001</formula>
      <formula>221144</formula>
    </cfRule>
  </conditionalFormatting>
  <conditionalFormatting sqref="AK29">
    <cfRule type="cellIs" dxfId="3991" priority="3953" stopIfTrue="1" operator="between">
      <formula>221101</formula>
      <formula>221118</formula>
    </cfRule>
    <cfRule type="cellIs" dxfId="3990" priority="3954" stopIfTrue="1" operator="between">
      <formula>221142</formula>
      <formula>221144</formula>
    </cfRule>
    <cfRule type="cellIs" dxfId="3989" priority="3955" stopIfTrue="1" operator="between">
      <formula>220001</formula>
      <formula>221144</formula>
    </cfRule>
  </conditionalFormatting>
  <conditionalFormatting sqref="AK29">
    <cfRule type="cellIs" dxfId="3988" priority="3950" stopIfTrue="1" operator="between">
      <formula>221101</formula>
      <formula>221118</formula>
    </cfRule>
    <cfRule type="cellIs" dxfId="3987" priority="3951" stopIfTrue="1" operator="between">
      <formula>221142</formula>
      <formula>221144</formula>
    </cfRule>
    <cfRule type="cellIs" dxfId="3986" priority="3952" stopIfTrue="1" operator="between">
      <formula>220001</formula>
      <formula>221144</formula>
    </cfRule>
  </conditionalFormatting>
  <conditionalFormatting sqref="AJ29">
    <cfRule type="cellIs" dxfId="3985" priority="3947" stopIfTrue="1" operator="between">
      <formula>221101</formula>
      <formula>221118</formula>
    </cfRule>
    <cfRule type="cellIs" dxfId="3984" priority="3948" stopIfTrue="1" operator="between">
      <formula>221142</formula>
      <formula>221144</formula>
    </cfRule>
    <cfRule type="cellIs" dxfId="3983" priority="3949" stopIfTrue="1" operator="between">
      <formula>220001</formula>
      <formula>221144</formula>
    </cfRule>
  </conditionalFormatting>
  <conditionalFormatting sqref="A29">
    <cfRule type="cellIs" dxfId="3982" priority="3944" stopIfTrue="1" operator="between">
      <formula>221101</formula>
      <formula>221118</formula>
    </cfRule>
    <cfRule type="cellIs" dxfId="3981" priority="3945" stopIfTrue="1" operator="between">
      <formula>221142</formula>
      <formula>221144</formula>
    </cfRule>
    <cfRule type="cellIs" dxfId="3980" priority="3946" stopIfTrue="1" operator="between">
      <formula>220001</formula>
      <formula>221144</formula>
    </cfRule>
  </conditionalFormatting>
  <conditionalFormatting sqref="A29">
    <cfRule type="cellIs" dxfId="3979" priority="3941" stopIfTrue="1" operator="between">
      <formula>221101</formula>
      <formula>221118</formula>
    </cfRule>
    <cfRule type="cellIs" dxfId="3978" priority="3942" stopIfTrue="1" operator="between">
      <formula>221142</formula>
      <formula>221144</formula>
    </cfRule>
    <cfRule type="cellIs" dxfId="3977" priority="3943" stopIfTrue="1" operator="between">
      <formula>220001</formula>
      <formula>221144</formula>
    </cfRule>
  </conditionalFormatting>
  <conditionalFormatting sqref="A29">
    <cfRule type="cellIs" dxfId="3976" priority="3938" stopIfTrue="1" operator="between">
      <formula>221101</formula>
      <formula>221118</formula>
    </cfRule>
    <cfRule type="cellIs" dxfId="3975" priority="3939" stopIfTrue="1" operator="between">
      <formula>221142</formula>
      <formula>221144</formula>
    </cfRule>
    <cfRule type="cellIs" dxfId="3974" priority="3940" stopIfTrue="1" operator="between">
      <formula>220001</formula>
      <formula>221144</formula>
    </cfRule>
  </conditionalFormatting>
  <conditionalFormatting sqref="A29">
    <cfRule type="cellIs" dxfId="3973" priority="3935" stopIfTrue="1" operator="between">
      <formula>221101</formula>
      <formula>221118</formula>
    </cfRule>
    <cfRule type="cellIs" dxfId="3972" priority="3936" stopIfTrue="1" operator="between">
      <formula>221142</formula>
      <formula>221144</formula>
    </cfRule>
    <cfRule type="cellIs" dxfId="3971" priority="3937" stopIfTrue="1" operator="between">
      <formula>220001</formula>
      <formula>221144</formula>
    </cfRule>
  </conditionalFormatting>
  <conditionalFormatting sqref="AK29">
    <cfRule type="cellIs" dxfId="3970" priority="3932" stopIfTrue="1" operator="between">
      <formula>221101</formula>
      <formula>221118</formula>
    </cfRule>
    <cfRule type="cellIs" dxfId="3969" priority="3933" stopIfTrue="1" operator="between">
      <formula>221142</formula>
      <formula>221144</formula>
    </cfRule>
    <cfRule type="cellIs" dxfId="3968" priority="3934" stopIfTrue="1" operator="between">
      <formula>220001</formula>
      <formula>221144</formula>
    </cfRule>
  </conditionalFormatting>
  <conditionalFormatting sqref="AJ29">
    <cfRule type="cellIs" dxfId="3967" priority="3929" stopIfTrue="1" operator="between">
      <formula>221101</formula>
      <formula>221118</formula>
    </cfRule>
    <cfRule type="cellIs" dxfId="3966" priority="3930" stopIfTrue="1" operator="between">
      <formula>221142</formula>
      <formula>221144</formula>
    </cfRule>
    <cfRule type="cellIs" dxfId="3965" priority="3931" stopIfTrue="1" operator="between">
      <formula>220001</formula>
      <formula>221144</formula>
    </cfRule>
  </conditionalFormatting>
  <conditionalFormatting sqref="AJ29">
    <cfRule type="cellIs" dxfId="3964" priority="3926" stopIfTrue="1" operator="between">
      <formula>221101</formula>
      <formula>221118</formula>
    </cfRule>
    <cfRule type="cellIs" dxfId="3963" priority="3927" stopIfTrue="1" operator="between">
      <formula>221142</formula>
      <formula>221144</formula>
    </cfRule>
    <cfRule type="cellIs" dxfId="3962" priority="3928" stopIfTrue="1" operator="between">
      <formula>220001</formula>
      <formula>221144</formula>
    </cfRule>
  </conditionalFormatting>
  <conditionalFormatting sqref="AI29">
    <cfRule type="cellIs" dxfId="3961" priority="3923" stopIfTrue="1" operator="between">
      <formula>221101</formula>
      <formula>221118</formula>
    </cfRule>
    <cfRule type="cellIs" dxfId="3960" priority="3924" stopIfTrue="1" operator="between">
      <formula>221142</formula>
      <formula>221144</formula>
    </cfRule>
    <cfRule type="cellIs" dxfId="3959" priority="3925" stopIfTrue="1" operator="between">
      <formula>220001</formula>
      <formula>221144</formula>
    </cfRule>
  </conditionalFormatting>
  <conditionalFormatting sqref="A29">
    <cfRule type="cellIs" dxfId="3958" priority="3920" stopIfTrue="1" operator="between">
      <formula>221101</formula>
      <formula>221118</formula>
    </cfRule>
    <cfRule type="cellIs" dxfId="3957" priority="3921" stopIfTrue="1" operator="between">
      <formula>221142</formula>
      <formula>221144</formula>
    </cfRule>
    <cfRule type="cellIs" dxfId="3956" priority="3922" stopIfTrue="1" operator="between">
      <formula>220001</formula>
      <formula>221144</formula>
    </cfRule>
  </conditionalFormatting>
  <conditionalFormatting sqref="AM29">
    <cfRule type="cellIs" dxfId="3955" priority="3917" stopIfTrue="1" operator="between">
      <formula>221101</formula>
      <formula>221118</formula>
    </cfRule>
    <cfRule type="cellIs" dxfId="3954" priority="3918" stopIfTrue="1" operator="between">
      <formula>221142</formula>
      <formula>221144</formula>
    </cfRule>
    <cfRule type="cellIs" dxfId="3953" priority="3919" stopIfTrue="1" operator="between">
      <formula>220001</formula>
      <formula>221144</formula>
    </cfRule>
  </conditionalFormatting>
  <conditionalFormatting sqref="AL29">
    <cfRule type="cellIs" dxfId="3952" priority="3914" stopIfTrue="1" operator="between">
      <formula>221101</formula>
      <formula>221118</formula>
    </cfRule>
    <cfRule type="cellIs" dxfId="3951" priority="3915" stopIfTrue="1" operator="between">
      <formula>221142</formula>
      <formula>221144</formula>
    </cfRule>
    <cfRule type="cellIs" dxfId="3950" priority="3916" stopIfTrue="1" operator="between">
      <formula>220001</formula>
      <formula>221144</formula>
    </cfRule>
  </conditionalFormatting>
  <conditionalFormatting sqref="AL29">
    <cfRule type="cellIs" dxfId="3949" priority="3911" stopIfTrue="1" operator="between">
      <formula>221101</formula>
      <formula>221118</formula>
    </cfRule>
    <cfRule type="cellIs" dxfId="3948" priority="3912" stopIfTrue="1" operator="between">
      <formula>221142</formula>
      <formula>221144</formula>
    </cfRule>
    <cfRule type="cellIs" dxfId="3947" priority="3913" stopIfTrue="1" operator="between">
      <formula>220001</formula>
      <formula>221144</formula>
    </cfRule>
  </conditionalFormatting>
  <conditionalFormatting sqref="AK29">
    <cfRule type="cellIs" dxfId="3946" priority="3908" stopIfTrue="1" operator="between">
      <formula>221101</formula>
      <formula>221118</formula>
    </cfRule>
    <cfRule type="cellIs" dxfId="3945" priority="3909" stopIfTrue="1" operator="between">
      <formula>221142</formula>
      <formula>221144</formula>
    </cfRule>
    <cfRule type="cellIs" dxfId="3944" priority="3910" stopIfTrue="1" operator="between">
      <formula>220001</formula>
      <formula>221144</formula>
    </cfRule>
  </conditionalFormatting>
  <conditionalFormatting sqref="B29">
    <cfRule type="cellIs" dxfId="3943" priority="3905" stopIfTrue="1" operator="between">
      <formula>221101</formula>
      <formula>221118</formula>
    </cfRule>
    <cfRule type="cellIs" dxfId="3942" priority="3906" stopIfTrue="1" operator="between">
      <formula>221142</formula>
      <formula>221144</formula>
    </cfRule>
    <cfRule type="cellIs" dxfId="3941" priority="3907" stopIfTrue="1" operator="between">
      <formula>220001</formula>
      <formula>221144</formula>
    </cfRule>
  </conditionalFormatting>
  <conditionalFormatting sqref="B29">
    <cfRule type="cellIs" dxfId="3940" priority="3902" stopIfTrue="1" operator="between">
      <formula>221101</formula>
      <formula>221118</formula>
    </cfRule>
    <cfRule type="cellIs" dxfId="3939" priority="3903" stopIfTrue="1" operator="between">
      <formula>221142</formula>
      <formula>221144</formula>
    </cfRule>
    <cfRule type="cellIs" dxfId="3938" priority="3904" stopIfTrue="1" operator="between">
      <formula>220001</formula>
      <formula>221144</formula>
    </cfRule>
  </conditionalFormatting>
  <conditionalFormatting sqref="B29">
    <cfRule type="cellIs" dxfId="3937" priority="3899" stopIfTrue="1" operator="between">
      <formula>221101</formula>
      <formula>221118</formula>
    </cfRule>
    <cfRule type="cellIs" dxfId="3936" priority="3900" stopIfTrue="1" operator="between">
      <formula>221142</formula>
      <formula>221144</formula>
    </cfRule>
    <cfRule type="cellIs" dxfId="3935" priority="3901" stopIfTrue="1" operator="between">
      <formula>220001</formula>
      <formula>221144</formula>
    </cfRule>
  </conditionalFormatting>
  <conditionalFormatting sqref="B29">
    <cfRule type="cellIs" dxfId="3934" priority="3896" stopIfTrue="1" operator="between">
      <formula>221101</formula>
      <formula>221118</formula>
    </cfRule>
    <cfRule type="cellIs" dxfId="3933" priority="3897" stopIfTrue="1" operator="between">
      <formula>221142</formula>
      <formula>221144</formula>
    </cfRule>
    <cfRule type="cellIs" dxfId="3932" priority="3898" stopIfTrue="1" operator="between">
      <formula>220001</formula>
      <formula>221144</formula>
    </cfRule>
  </conditionalFormatting>
  <conditionalFormatting sqref="AL29">
    <cfRule type="cellIs" dxfId="3931" priority="3893" stopIfTrue="1" operator="between">
      <formula>221101</formula>
      <formula>221118</formula>
    </cfRule>
    <cfRule type="cellIs" dxfId="3930" priority="3894" stopIfTrue="1" operator="between">
      <formula>221142</formula>
      <formula>221144</formula>
    </cfRule>
    <cfRule type="cellIs" dxfId="3929" priority="3895" stopIfTrue="1" operator="between">
      <formula>220001</formula>
      <formula>221144</formula>
    </cfRule>
  </conditionalFormatting>
  <conditionalFormatting sqref="AK29">
    <cfRule type="cellIs" dxfId="3928" priority="3890" stopIfTrue="1" operator="between">
      <formula>221101</formula>
      <formula>221118</formula>
    </cfRule>
    <cfRule type="cellIs" dxfId="3927" priority="3891" stopIfTrue="1" operator="between">
      <formula>221142</formula>
      <formula>221144</formula>
    </cfRule>
    <cfRule type="cellIs" dxfId="3926" priority="3892" stopIfTrue="1" operator="between">
      <formula>220001</formula>
      <formula>221144</formula>
    </cfRule>
  </conditionalFormatting>
  <conditionalFormatting sqref="AK29">
    <cfRule type="cellIs" dxfId="3925" priority="3887" stopIfTrue="1" operator="between">
      <formula>221101</formula>
      <formula>221118</formula>
    </cfRule>
    <cfRule type="cellIs" dxfId="3924" priority="3888" stopIfTrue="1" operator="between">
      <formula>221142</formula>
      <formula>221144</formula>
    </cfRule>
    <cfRule type="cellIs" dxfId="3923" priority="3889" stopIfTrue="1" operator="between">
      <formula>220001</formula>
      <formula>221144</formula>
    </cfRule>
  </conditionalFormatting>
  <conditionalFormatting sqref="AJ29">
    <cfRule type="cellIs" dxfId="3922" priority="3884" stopIfTrue="1" operator="between">
      <formula>221101</formula>
      <formula>221118</formula>
    </cfRule>
    <cfRule type="cellIs" dxfId="3921" priority="3885" stopIfTrue="1" operator="between">
      <formula>221142</formula>
      <formula>221144</formula>
    </cfRule>
    <cfRule type="cellIs" dxfId="3920" priority="3886" stopIfTrue="1" operator="between">
      <formula>220001</formula>
      <formula>221144</formula>
    </cfRule>
  </conditionalFormatting>
  <conditionalFormatting sqref="A29">
    <cfRule type="cellIs" dxfId="3919" priority="3881" stopIfTrue="1" operator="between">
      <formula>221101</formula>
      <formula>221118</formula>
    </cfRule>
    <cfRule type="cellIs" dxfId="3918" priority="3882" stopIfTrue="1" operator="between">
      <formula>221142</formula>
      <formula>221144</formula>
    </cfRule>
    <cfRule type="cellIs" dxfId="3917" priority="3883" stopIfTrue="1" operator="between">
      <formula>220001</formula>
      <formula>221144</formula>
    </cfRule>
  </conditionalFormatting>
  <conditionalFormatting sqref="A29">
    <cfRule type="cellIs" dxfId="3916" priority="3878" stopIfTrue="1" operator="between">
      <formula>221101</formula>
      <formula>221118</formula>
    </cfRule>
    <cfRule type="cellIs" dxfId="3915" priority="3879" stopIfTrue="1" operator="between">
      <formula>221142</formula>
      <formula>221144</formula>
    </cfRule>
    <cfRule type="cellIs" dxfId="3914" priority="3880" stopIfTrue="1" operator="between">
      <formula>220001</formula>
      <formula>221144</formula>
    </cfRule>
  </conditionalFormatting>
  <conditionalFormatting sqref="A29">
    <cfRule type="cellIs" dxfId="3913" priority="3875" stopIfTrue="1" operator="between">
      <formula>221101</formula>
      <formula>221118</formula>
    </cfRule>
    <cfRule type="cellIs" dxfId="3912" priority="3876" stopIfTrue="1" operator="between">
      <formula>221142</formula>
      <formula>221144</formula>
    </cfRule>
    <cfRule type="cellIs" dxfId="3911" priority="3877" stopIfTrue="1" operator="between">
      <formula>220001</formula>
      <formula>221144</formula>
    </cfRule>
  </conditionalFormatting>
  <conditionalFormatting sqref="A29">
    <cfRule type="cellIs" dxfId="3910" priority="3872" stopIfTrue="1" operator="between">
      <formula>221101</formula>
      <formula>221118</formula>
    </cfRule>
    <cfRule type="cellIs" dxfId="3909" priority="3873" stopIfTrue="1" operator="between">
      <formula>221142</formula>
      <formula>221144</formula>
    </cfRule>
    <cfRule type="cellIs" dxfId="3908" priority="3874" stopIfTrue="1" operator="between">
      <formula>220001</formula>
      <formula>221144</formula>
    </cfRule>
  </conditionalFormatting>
  <conditionalFormatting sqref="AL29">
    <cfRule type="cellIs" dxfId="3907" priority="3869" stopIfTrue="1" operator="between">
      <formula>221101</formula>
      <formula>221118</formula>
    </cfRule>
    <cfRule type="cellIs" dxfId="3906" priority="3870" stopIfTrue="1" operator="between">
      <formula>221142</formula>
      <formula>221144</formula>
    </cfRule>
    <cfRule type="cellIs" dxfId="3905" priority="3871" stopIfTrue="1" operator="between">
      <formula>220001</formula>
      <formula>221144</formula>
    </cfRule>
  </conditionalFormatting>
  <conditionalFormatting sqref="AK29">
    <cfRule type="cellIs" dxfId="3904" priority="3866" stopIfTrue="1" operator="between">
      <formula>221101</formula>
      <formula>221118</formula>
    </cfRule>
    <cfRule type="cellIs" dxfId="3903" priority="3867" stopIfTrue="1" operator="between">
      <formula>221142</formula>
      <formula>221144</formula>
    </cfRule>
    <cfRule type="cellIs" dxfId="3902" priority="3868" stopIfTrue="1" operator="between">
      <formula>220001</formula>
      <formula>221144</formula>
    </cfRule>
  </conditionalFormatting>
  <conditionalFormatting sqref="AK29">
    <cfRule type="cellIs" dxfId="3901" priority="3863" stopIfTrue="1" operator="between">
      <formula>221101</formula>
      <formula>221118</formula>
    </cfRule>
    <cfRule type="cellIs" dxfId="3900" priority="3864" stopIfTrue="1" operator="between">
      <formula>221142</formula>
      <formula>221144</formula>
    </cfRule>
    <cfRule type="cellIs" dxfId="3899" priority="3865" stopIfTrue="1" operator="between">
      <formula>220001</formula>
      <formula>221144</formula>
    </cfRule>
  </conditionalFormatting>
  <conditionalFormatting sqref="AJ29">
    <cfRule type="cellIs" dxfId="3898" priority="3860" stopIfTrue="1" operator="between">
      <formula>221101</formula>
      <formula>221118</formula>
    </cfRule>
    <cfRule type="cellIs" dxfId="3897" priority="3861" stopIfTrue="1" operator="between">
      <formula>221142</formula>
      <formula>221144</formula>
    </cfRule>
    <cfRule type="cellIs" dxfId="3896" priority="3862" stopIfTrue="1" operator="between">
      <formula>220001</formula>
      <formula>221144</formula>
    </cfRule>
  </conditionalFormatting>
  <conditionalFormatting sqref="A29">
    <cfRule type="cellIs" dxfId="3895" priority="3857" stopIfTrue="1" operator="between">
      <formula>221101</formula>
      <formula>221118</formula>
    </cfRule>
    <cfRule type="cellIs" dxfId="3894" priority="3858" stopIfTrue="1" operator="between">
      <formula>221142</formula>
      <formula>221144</formula>
    </cfRule>
    <cfRule type="cellIs" dxfId="3893" priority="3859" stopIfTrue="1" operator="between">
      <formula>220001</formula>
      <formula>221144</formula>
    </cfRule>
  </conditionalFormatting>
  <conditionalFormatting sqref="A29">
    <cfRule type="cellIs" dxfId="3892" priority="3854" stopIfTrue="1" operator="between">
      <formula>221101</formula>
      <formula>221118</formula>
    </cfRule>
    <cfRule type="cellIs" dxfId="3891" priority="3855" stopIfTrue="1" operator="between">
      <formula>221142</formula>
      <formula>221144</formula>
    </cfRule>
    <cfRule type="cellIs" dxfId="3890" priority="3856" stopIfTrue="1" operator="between">
      <formula>220001</formula>
      <formula>221144</formula>
    </cfRule>
  </conditionalFormatting>
  <conditionalFormatting sqref="A29">
    <cfRule type="cellIs" dxfId="3889" priority="3851" stopIfTrue="1" operator="between">
      <formula>221101</formula>
      <formula>221118</formula>
    </cfRule>
    <cfRule type="cellIs" dxfId="3888" priority="3852" stopIfTrue="1" operator="between">
      <formula>221142</formula>
      <formula>221144</formula>
    </cfRule>
    <cfRule type="cellIs" dxfId="3887" priority="3853" stopIfTrue="1" operator="between">
      <formula>220001</formula>
      <formula>221144</formula>
    </cfRule>
  </conditionalFormatting>
  <conditionalFormatting sqref="A29">
    <cfRule type="cellIs" dxfId="3886" priority="3848" stopIfTrue="1" operator="between">
      <formula>221101</formula>
      <formula>221118</formula>
    </cfRule>
    <cfRule type="cellIs" dxfId="3885" priority="3849" stopIfTrue="1" operator="between">
      <formula>221142</formula>
      <formula>221144</formula>
    </cfRule>
    <cfRule type="cellIs" dxfId="3884" priority="3850" stopIfTrue="1" operator="between">
      <formula>220001</formula>
      <formula>221144</formula>
    </cfRule>
  </conditionalFormatting>
  <conditionalFormatting sqref="AK29">
    <cfRule type="cellIs" dxfId="3883" priority="3845" stopIfTrue="1" operator="between">
      <formula>221101</formula>
      <formula>221118</formula>
    </cfRule>
    <cfRule type="cellIs" dxfId="3882" priority="3846" stopIfTrue="1" operator="between">
      <formula>221142</formula>
      <formula>221144</formula>
    </cfRule>
    <cfRule type="cellIs" dxfId="3881" priority="3847" stopIfTrue="1" operator="between">
      <formula>220001</formula>
      <formula>221144</formula>
    </cfRule>
  </conditionalFormatting>
  <conditionalFormatting sqref="AJ29">
    <cfRule type="cellIs" dxfId="3880" priority="3842" stopIfTrue="1" operator="between">
      <formula>221101</formula>
      <formula>221118</formula>
    </cfRule>
    <cfRule type="cellIs" dxfId="3879" priority="3843" stopIfTrue="1" operator="between">
      <formula>221142</formula>
      <formula>221144</formula>
    </cfRule>
    <cfRule type="cellIs" dxfId="3878" priority="3844" stopIfTrue="1" operator="between">
      <formula>220001</formula>
      <formula>221144</formula>
    </cfRule>
  </conditionalFormatting>
  <conditionalFormatting sqref="AJ29">
    <cfRule type="cellIs" dxfId="3877" priority="3839" stopIfTrue="1" operator="between">
      <formula>221101</formula>
      <formula>221118</formula>
    </cfRule>
    <cfRule type="cellIs" dxfId="3876" priority="3840" stopIfTrue="1" operator="between">
      <formula>221142</formula>
      <formula>221144</formula>
    </cfRule>
    <cfRule type="cellIs" dxfId="3875" priority="3841" stopIfTrue="1" operator="between">
      <formula>220001</formula>
      <formula>221144</formula>
    </cfRule>
  </conditionalFormatting>
  <conditionalFormatting sqref="AI29">
    <cfRule type="cellIs" dxfId="3874" priority="3836" stopIfTrue="1" operator="between">
      <formula>221101</formula>
      <formula>221118</formula>
    </cfRule>
    <cfRule type="cellIs" dxfId="3873" priority="3837" stopIfTrue="1" operator="between">
      <formula>221142</formula>
      <formula>221144</formula>
    </cfRule>
    <cfRule type="cellIs" dxfId="3872" priority="3838" stopIfTrue="1" operator="between">
      <formula>220001</formula>
      <formula>221144</formula>
    </cfRule>
  </conditionalFormatting>
  <conditionalFormatting sqref="AL29">
    <cfRule type="cellIs" dxfId="3871" priority="3833" stopIfTrue="1" operator="between">
      <formula>221101</formula>
      <formula>221118</formula>
    </cfRule>
    <cfRule type="cellIs" dxfId="3870" priority="3834" stopIfTrue="1" operator="between">
      <formula>221142</formula>
      <formula>221144</formula>
    </cfRule>
    <cfRule type="cellIs" dxfId="3869" priority="3835" stopIfTrue="1" operator="between">
      <formula>220001</formula>
      <formula>221144</formula>
    </cfRule>
  </conditionalFormatting>
  <conditionalFormatting sqref="AK29">
    <cfRule type="cellIs" dxfId="3868" priority="3830" stopIfTrue="1" operator="between">
      <formula>221101</formula>
      <formula>221118</formula>
    </cfRule>
    <cfRule type="cellIs" dxfId="3867" priority="3831" stopIfTrue="1" operator="between">
      <formula>221142</formula>
      <formula>221144</formula>
    </cfRule>
    <cfRule type="cellIs" dxfId="3866" priority="3832" stopIfTrue="1" operator="between">
      <formula>220001</formula>
      <formula>221144</formula>
    </cfRule>
  </conditionalFormatting>
  <conditionalFormatting sqref="AK29">
    <cfRule type="cellIs" dxfId="3865" priority="3827" stopIfTrue="1" operator="between">
      <formula>221101</formula>
      <formula>221118</formula>
    </cfRule>
    <cfRule type="cellIs" dxfId="3864" priority="3828" stopIfTrue="1" operator="between">
      <formula>221142</formula>
      <formula>221144</formula>
    </cfRule>
    <cfRule type="cellIs" dxfId="3863" priority="3829" stopIfTrue="1" operator="between">
      <formula>220001</formula>
      <formula>221144</formula>
    </cfRule>
  </conditionalFormatting>
  <conditionalFormatting sqref="AJ29">
    <cfRule type="cellIs" dxfId="3862" priority="3824" stopIfTrue="1" operator="between">
      <formula>221101</formula>
      <formula>221118</formula>
    </cfRule>
    <cfRule type="cellIs" dxfId="3861" priority="3825" stopIfTrue="1" operator="between">
      <formula>221142</formula>
      <formula>221144</formula>
    </cfRule>
    <cfRule type="cellIs" dxfId="3860" priority="3826" stopIfTrue="1" operator="between">
      <formula>220001</formula>
      <formula>221144</formula>
    </cfRule>
  </conditionalFormatting>
  <conditionalFormatting sqref="A29">
    <cfRule type="cellIs" dxfId="3859" priority="3821" stopIfTrue="1" operator="between">
      <formula>221101</formula>
      <formula>221118</formula>
    </cfRule>
    <cfRule type="cellIs" dxfId="3858" priority="3822" stopIfTrue="1" operator="between">
      <formula>221142</formula>
      <formula>221144</formula>
    </cfRule>
    <cfRule type="cellIs" dxfId="3857" priority="3823" stopIfTrue="1" operator="between">
      <formula>220001</formula>
      <formula>221144</formula>
    </cfRule>
  </conditionalFormatting>
  <conditionalFormatting sqref="A29">
    <cfRule type="cellIs" dxfId="3856" priority="3818" stopIfTrue="1" operator="between">
      <formula>221101</formula>
      <formula>221118</formula>
    </cfRule>
    <cfRule type="cellIs" dxfId="3855" priority="3819" stopIfTrue="1" operator="between">
      <formula>221142</formula>
      <formula>221144</formula>
    </cfRule>
    <cfRule type="cellIs" dxfId="3854" priority="3820" stopIfTrue="1" operator="between">
      <formula>220001</formula>
      <formula>221144</formula>
    </cfRule>
  </conditionalFormatting>
  <conditionalFormatting sqref="A29">
    <cfRule type="cellIs" dxfId="3853" priority="3815" stopIfTrue="1" operator="between">
      <formula>221101</formula>
      <formula>221118</formula>
    </cfRule>
    <cfRule type="cellIs" dxfId="3852" priority="3816" stopIfTrue="1" operator="between">
      <formula>221142</formula>
      <formula>221144</formula>
    </cfRule>
    <cfRule type="cellIs" dxfId="3851" priority="3817" stopIfTrue="1" operator="between">
      <formula>220001</formula>
      <formula>221144</formula>
    </cfRule>
  </conditionalFormatting>
  <conditionalFormatting sqref="A29">
    <cfRule type="cellIs" dxfId="3850" priority="3812" stopIfTrue="1" operator="between">
      <formula>221101</formula>
      <formula>221118</formula>
    </cfRule>
    <cfRule type="cellIs" dxfId="3849" priority="3813" stopIfTrue="1" operator="between">
      <formula>221142</formula>
      <formula>221144</formula>
    </cfRule>
    <cfRule type="cellIs" dxfId="3848" priority="3814" stopIfTrue="1" operator="between">
      <formula>220001</formula>
      <formula>221144</formula>
    </cfRule>
  </conditionalFormatting>
  <conditionalFormatting sqref="AK29">
    <cfRule type="cellIs" dxfId="3847" priority="3809" stopIfTrue="1" operator="between">
      <formula>221101</formula>
      <formula>221118</formula>
    </cfRule>
    <cfRule type="cellIs" dxfId="3846" priority="3810" stopIfTrue="1" operator="between">
      <formula>221142</formula>
      <formula>221144</formula>
    </cfRule>
    <cfRule type="cellIs" dxfId="3845" priority="3811" stopIfTrue="1" operator="between">
      <formula>220001</formula>
      <formula>221144</formula>
    </cfRule>
  </conditionalFormatting>
  <conditionalFormatting sqref="AJ29">
    <cfRule type="cellIs" dxfId="3844" priority="3806" stopIfTrue="1" operator="between">
      <formula>221101</formula>
      <formula>221118</formula>
    </cfRule>
    <cfRule type="cellIs" dxfId="3843" priority="3807" stopIfTrue="1" operator="between">
      <formula>221142</formula>
      <formula>221144</formula>
    </cfRule>
    <cfRule type="cellIs" dxfId="3842" priority="3808" stopIfTrue="1" operator="between">
      <formula>220001</formula>
      <formula>221144</formula>
    </cfRule>
  </conditionalFormatting>
  <conditionalFormatting sqref="AJ29">
    <cfRule type="cellIs" dxfId="3841" priority="3803" stopIfTrue="1" operator="between">
      <formula>221101</formula>
      <formula>221118</formula>
    </cfRule>
    <cfRule type="cellIs" dxfId="3840" priority="3804" stopIfTrue="1" operator="between">
      <formula>221142</formula>
      <formula>221144</formula>
    </cfRule>
    <cfRule type="cellIs" dxfId="3839" priority="3805" stopIfTrue="1" operator="between">
      <formula>220001</formula>
      <formula>221144</formula>
    </cfRule>
  </conditionalFormatting>
  <conditionalFormatting sqref="AI29">
    <cfRule type="cellIs" dxfId="3838" priority="3800" stopIfTrue="1" operator="between">
      <formula>221101</formula>
      <formula>221118</formula>
    </cfRule>
    <cfRule type="cellIs" dxfId="3837" priority="3801" stopIfTrue="1" operator="between">
      <formula>221142</formula>
      <formula>221144</formula>
    </cfRule>
    <cfRule type="cellIs" dxfId="3836" priority="3802" stopIfTrue="1" operator="between">
      <formula>220001</formula>
      <formula>221144</formula>
    </cfRule>
  </conditionalFormatting>
  <conditionalFormatting sqref="AK29">
    <cfRule type="cellIs" dxfId="3835" priority="3797" stopIfTrue="1" operator="between">
      <formula>221101</formula>
      <formula>221118</formula>
    </cfRule>
    <cfRule type="cellIs" dxfId="3834" priority="3798" stopIfTrue="1" operator="between">
      <formula>221142</formula>
      <formula>221144</formula>
    </cfRule>
    <cfRule type="cellIs" dxfId="3833" priority="3799" stopIfTrue="1" operator="between">
      <formula>220001</formula>
      <formula>221144</formula>
    </cfRule>
  </conditionalFormatting>
  <conditionalFormatting sqref="AJ29">
    <cfRule type="cellIs" dxfId="3832" priority="3794" stopIfTrue="1" operator="between">
      <formula>221101</formula>
      <formula>221118</formula>
    </cfRule>
    <cfRule type="cellIs" dxfId="3831" priority="3795" stopIfTrue="1" operator="between">
      <formula>221142</formula>
      <formula>221144</formula>
    </cfRule>
    <cfRule type="cellIs" dxfId="3830" priority="3796" stopIfTrue="1" operator="between">
      <formula>220001</formula>
      <formula>221144</formula>
    </cfRule>
  </conditionalFormatting>
  <conditionalFormatting sqref="AJ29">
    <cfRule type="cellIs" dxfId="3829" priority="3791" stopIfTrue="1" operator="between">
      <formula>221101</formula>
      <formula>221118</formula>
    </cfRule>
    <cfRule type="cellIs" dxfId="3828" priority="3792" stopIfTrue="1" operator="between">
      <formula>221142</formula>
      <formula>221144</formula>
    </cfRule>
    <cfRule type="cellIs" dxfId="3827" priority="3793" stopIfTrue="1" operator="between">
      <formula>220001</formula>
      <formula>221144</formula>
    </cfRule>
  </conditionalFormatting>
  <conditionalFormatting sqref="AI29">
    <cfRule type="cellIs" dxfId="3826" priority="3788" stopIfTrue="1" operator="between">
      <formula>221101</formula>
      <formula>221118</formula>
    </cfRule>
    <cfRule type="cellIs" dxfId="3825" priority="3789" stopIfTrue="1" operator="between">
      <formula>221142</formula>
      <formula>221144</formula>
    </cfRule>
    <cfRule type="cellIs" dxfId="3824" priority="3790" stopIfTrue="1" operator="between">
      <formula>220001</formula>
      <formula>221144</formula>
    </cfRule>
  </conditionalFormatting>
  <conditionalFormatting sqref="AJ29">
    <cfRule type="cellIs" dxfId="3823" priority="3785" stopIfTrue="1" operator="between">
      <formula>221101</formula>
      <formula>221118</formula>
    </cfRule>
    <cfRule type="cellIs" dxfId="3822" priority="3786" stopIfTrue="1" operator="between">
      <formula>221142</formula>
      <formula>221144</formula>
    </cfRule>
    <cfRule type="cellIs" dxfId="3821" priority="3787" stopIfTrue="1" operator="between">
      <formula>220001</formula>
      <formula>221144</formula>
    </cfRule>
  </conditionalFormatting>
  <conditionalFormatting sqref="AI29">
    <cfRule type="cellIs" dxfId="3820" priority="3782" stopIfTrue="1" operator="between">
      <formula>221101</formula>
      <formula>221118</formula>
    </cfRule>
    <cfRule type="cellIs" dxfId="3819" priority="3783" stopIfTrue="1" operator="between">
      <formula>221142</formula>
      <formula>221144</formula>
    </cfRule>
    <cfRule type="cellIs" dxfId="3818" priority="3784" stopIfTrue="1" operator="between">
      <formula>220001</formula>
      <formula>221144</formula>
    </cfRule>
  </conditionalFormatting>
  <conditionalFormatting sqref="AI29">
    <cfRule type="cellIs" dxfId="3817" priority="3779" stopIfTrue="1" operator="between">
      <formula>221101</formula>
      <formula>221118</formula>
    </cfRule>
    <cfRule type="cellIs" dxfId="3816" priority="3780" stopIfTrue="1" operator="between">
      <formula>221142</formula>
      <formula>221144</formula>
    </cfRule>
    <cfRule type="cellIs" dxfId="3815" priority="3781" stopIfTrue="1" operator="between">
      <formula>220001</formula>
      <formula>221144</formula>
    </cfRule>
  </conditionalFormatting>
  <conditionalFormatting sqref="AH29">
    <cfRule type="cellIs" dxfId="3814" priority="3776" stopIfTrue="1" operator="between">
      <formula>221101</formula>
      <formula>221118</formula>
    </cfRule>
    <cfRule type="cellIs" dxfId="3813" priority="3777" stopIfTrue="1" operator="between">
      <formula>221142</formula>
      <formula>221144</formula>
    </cfRule>
    <cfRule type="cellIs" dxfId="3812" priority="3778" stopIfTrue="1" operator="between">
      <formula>220001</formula>
      <formula>221144</formula>
    </cfRule>
  </conditionalFormatting>
  <conditionalFormatting sqref="AO37">
    <cfRule type="cellIs" dxfId="3811" priority="3773" stopIfTrue="1" operator="between">
      <formula>221101</formula>
      <formula>221118</formula>
    </cfRule>
    <cfRule type="cellIs" dxfId="3810" priority="3774" stopIfTrue="1" operator="between">
      <formula>221142</formula>
      <formula>221144</formula>
    </cfRule>
    <cfRule type="cellIs" dxfId="3809" priority="3775" stopIfTrue="1" operator="between">
      <formula>220001</formula>
      <formula>221144</formula>
    </cfRule>
  </conditionalFormatting>
  <conditionalFormatting sqref="AN37">
    <cfRule type="cellIs" dxfId="3808" priority="3770" stopIfTrue="1" operator="between">
      <formula>221101</formula>
      <formula>221118</formula>
    </cfRule>
    <cfRule type="cellIs" dxfId="3807" priority="3771" stopIfTrue="1" operator="between">
      <formula>221142</formula>
      <formula>221144</formula>
    </cfRule>
    <cfRule type="cellIs" dxfId="3806" priority="3772" stopIfTrue="1" operator="between">
      <formula>220001</formula>
      <formula>221144</formula>
    </cfRule>
  </conditionalFormatting>
  <conditionalFormatting sqref="AN37">
    <cfRule type="cellIs" dxfId="3805" priority="3767" stopIfTrue="1" operator="between">
      <formula>221101</formula>
      <formula>221118</formula>
    </cfRule>
    <cfRule type="cellIs" dxfId="3804" priority="3768" stopIfTrue="1" operator="between">
      <formula>221142</formula>
      <formula>221144</formula>
    </cfRule>
    <cfRule type="cellIs" dxfId="3803" priority="3769" stopIfTrue="1" operator="between">
      <formula>220001</formula>
      <formula>221144</formula>
    </cfRule>
  </conditionalFormatting>
  <conditionalFormatting sqref="AM37">
    <cfRule type="cellIs" dxfId="3802" priority="3764" stopIfTrue="1" operator="between">
      <formula>221101</formula>
      <formula>221118</formula>
    </cfRule>
    <cfRule type="cellIs" dxfId="3801" priority="3765" stopIfTrue="1" operator="between">
      <formula>221142</formula>
      <formula>221144</formula>
    </cfRule>
    <cfRule type="cellIs" dxfId="3800" priority="3766" stopIfTrue="1" operator="between">
      <formula>220001</formula>
      <formula>221144</formula>
    </cfRule>
  </conditionalFormatting>
  <conditionalFormatting sqref="D37">
    <cfRule type="cellIs" dxfId="3799" priority="3761" stopIfTrue="1" operator="between">
      <formula>221101</formula>
      <formula>221118</formula>
    </cfRule>
    <cfRule type="cellIs" dxfId="3798" priority="3762" stopIfTrue="1" operator="between">
      <formula>221142</formula>
      <formula>221144</formula>
    </cfRule>
    <cfRule type="cellIs" dxfId="3797" priority="3763" stopIfTrue="1" operator="between">
      <formula>220001</formula>
      <formula>221144</formula>
    </cfRule>
  </conditionalFormatting>
  <conditionalFormatting sqref="D37">
    <cfRule type="cellIs" dxfId="3796" priority="3758" stopIfTrue="1" operator="between">
      <formula>221101</formula>
      <formula>221118</formula>
    </cfRule>
    <cfRule type="cellIs" dxfId="3795" priority="3759" stopIfTrue="1" operator="between">
      <formula>221142</formula>
      <formula>221144</formula>
    </cfRule>
    <cfRule type="cellIs" dxfId="3794" priority="3760" stopIfTrue="1" operator="between">
      <formula>220001</formula>
      <formula>221144</formula>
    </cfRule>
  </conditionalFormatting>
  <conditionalFormatting sqref="D37">
    <cfRule type="cellIs" dxfId="3793" priority="3755" stopIfTrue="1" operator="between">
      <formula>221101</formula>
      <formula>221118</formula>
    </cfRule>
    <cfRule type="cellIs" dxfId="3792" priority="3756" stopIfTrue="1" operator="between">
      <formula>221142</formula>
      <formula>221144</formula>
    </cfRule>
    <cfRule type="cellIs" dxfId="3791" priority="3757" stopIfTrue="1" operator="between">
      <formula>220001</formula>
      <formula>221144</formula>
    </cfRule>
  </conditionalFormatting>
  <conditionalFormatting sqref="D37">
    <cfRule type="cellIs" dxfId="3790" priority="3752" stopIfTrue="1" operator="between">
      <formula>221101</formula>
      <formula>221118</formula>
    </cfRule>
    <cfRule type="cellIs" dxfId="3789" priority="3753" stopIfTrue="1" operator="between">
      <formula>221142</formula>
      <formula>221144</formula>
    </cfRule>
    <cfRule type="cellIs" dxfId="3788" priority="3754" stopIfTrue="1" operator="between">
      <formula>220001</formula>
      <formula>221144</formula>
    </cfRule>
  </conditionalFormatting>
  <conditionalFormatting sqref="AN37">
    <cfRule type="cellIs" dxfId="3787" priority="3749" stopIfTrue="1" operator="between">
      <formula>221101</formula>
      <formula>221118</formula>
    </cfRule>
    <cfRule type="cellIs" dxfId="3786" priority="3750" stopIfTrue="1" operator="between">
      <formula>221142</formula>
      <formula>221144</formula>
    </cfRule>
    <cfRule type="cellIs" dxfId="3785" priority="3751" stopIfTrue="1" operator="between">
      <formula>220001</formula>
      <formula>221144</formula>
    </cfRule>
  </conditionalFormatting>
  <conditionalFormatting sqref="AM37">
    <cfRule type="cellIs" dxfId="3784" priority="3746" stopIfTrue="1" operator="between">
      <formula>221101</formula>
      <formula>221118</formula>
    </cfRule>
    <cfRule type="cellIs" dxfId="3783" priority="3747" stopIfTrue="1" operator="between">
      <formula>221142</formula>
      <formula>221144</formula>
    </cfRule>
    <cfRule type="cellIs" dxfId="3782" priority="3748" stopIfTrue="1" operator="between">
      <formula>220001</formula>
      <formula>221144</formula>
    </cfRule>
  </conditionalFormatting>
  <conditionalFormatting sqref="AM37">
    <cfRule type="cellIs" dxfId="3781" priority="3743" stopIfTrue="1" operator="between">
      <formula>221101</formula>
      <formula>221118</formula>
    </cfRule>
    <cfRule type="cellIs" dxfId="3780" priority="3744" stopIfTrue="1" operator="between">
      <formula>221142</formula>
      <formula>221144</formula>
    </cfRule>
    <cfRule type="cellIs" dxfId="3779" priority="3745" stopIfTrue="1" operator="between">
      <formula>220001</formula>
      <formula>221144</formula>
    </cfRule>
  </conditionalFormatting>
  <conditionalFormatting sqref="AL37">
    <cfRule type="cellIs" dxfId="3778" priority="3740" stopIfTrue="1" operator="between">
      <formula>221101</formula>
      <formula>221118</formula>
    </cfRule>
    <cfRule type="cellIs" dxfId="3777" priority="3741" stopIfTrue="1" operator="between">
      <formula>221142</formula>
      <formula>221144</formula>
    </cfRule>
    <cfRule type="cellIs" dxfId="3776" priority="3742" stopIfTrue="1" operator="between">
      <formula>220001</formula>
      <formula>221144</formula>
    </cfRule>
  </conditionalFormatting>
  <conditionalFormatting sqref="C37">
    <cfRule type="cellIs" dxfId="3775" priority="3737" stopIfTrue="1" operator="between">
      <formula>221101</formula>
      <formula>221118</formula>
    </cfRule>
    <cfRule type="cellIs" dxfId="3774" priority="3738" stopIfTrue="1" operator="between">
      <formula>221142</formula>
      <formula>221144</formula>
    </cfRule>
    <cfRule type="cellIs" dxfId="3773" priority="3739" stopIfTrue="1" operator="between">
      <formula>220001</formula>
      <formula>221144</formula>
    </cfRule>
  </conditionalFormatting>
  <conditionalFormatting sqref="C37">
    <cfRule type="cellIs" dxfId="3772" priority="3734" stopIfTrue="1" operator="between">
      <formula>221101</formula>
      <formula>221118</formula>
    </cfRule>
    <cfRule type="cellIs" dxfId="3771" priority="3735" stopIfTrue="1" operator="between">
      <formula>221142</formula>
      <formula>221144</formula>
    </cfRule>
    <cfRule type="cellIs" dxfId="3770" priority="3736" stopIfTrue="1" operator="between">
      <formula>220001</formula>
      <formula>221144</formula>
    </cfRule>
  </conditionalFormatting>
  <conditionalFormatting sqref="C37">
    <cfRule type="cellIs" dxfId="3769" priority="3731" stopIfTrue="1" operator="between">
      <formula>221101</formula>
      <formula>221118</formula>
    </cfRule>
    <cfRule type="cellIs" dxfId="3768" priority="3732" stopIfTrue="1" operator="between">
      <formula>221142</formula>
      <formula>221144</formula>
    </cfRule>
    <cfRule type="cellIs" dxfId="3767" priority="3733" stopIfTrue="1" operator="between">
      <formula>220001</formula>
      <formula>221144</formula>
    </cfRule>
  </conditionalFormatting>
  <conditionalFormatting sqref="C37">
    <cfRule type="cellIs" dxfId="3766" priority="3728" stopIfTrue="1" operator="between">
      <formula>221101</formula>
      <formula>221118</formula>
    </cfRule>
    <cfRule type="cellIs" dxfId="3765" priority="3729" stopIfTrue="1" operator="between">
      <formula>221142</formula>
      <formula>221144</formula>
    </cfRule>
    <cfRule type="cellIs" dxfId="3764" priority="3730" stopIfTrue="1" operator="between">
      <formula>220001</formula>
      <formula>221144</formula>
    </cfRule>
  </conditionalFormatting>
  <conditionalFormatting sqref="AN37">
    <cfRule type="cellIs" dxfId="3763" priority="3725" stopIfTrue="1" operator="between">
      <formula>221101</formula>
      <formula>221118</formula>
    </cfRule>
    <cfRule type="cellIs" dxfId="3762" priority="3726" stopIfTrue="1" operator="between">
      <formula>221142</formula>
      <formula>221144</formula>
    </cfRule>
    <cfRule type="cellIs" dxfId="3761" priority="3727" stopIfTrue="1" operator="between">
      <formula>220001</formula>
      <formula>221144</formula>
    </cfRule>
  </conditionalFormatting>
  <conditionalFormatting sqref="AM37">
    <cfRule type="cellIs" dxfId="3760" priority="3722" stopIfTrue="1" operator="between">
      <formula>221101</formula>
      <formula>221118</formula>
    </cfRule>
    <cfRule type="cellIs" dxfId="3759" priority="3723" stopIfTrue="1" operator="between">
      <formula>221142</formula>
      <formula>221144</formula>
    </cfRule>
    <cfRule type="cellIs" dxfId="3758" priority="3724" stopIfTrue="1" operator="between">
      <formula>220001</formula>
      <formula>221144</formula>
    </cfRule>
  </conditionalFormatting>
  <conditionalFormatting sqref="AM37">
    <cfRule type="cellIs" dxfId="3757" priority="3719" stopIfTrue="1" operator="between">
      <formula>221101</formula>
      <formula>221118</formula>
    </cfRule>
    <cfRule type="cellIs" dxfId="3756" priority="3720" stopIfTrue="1" operator="between">
      <formula>221142</formula>
      <formula>221144</formula>
    </cfRule>
    <cfRule type="cellIs" dxfId="3755" priority="3721" stopIfTrue="1" operator="between">
      <formula>220001</formula>
      <formula>221144</formula>
    </cfRule>
  </conditionalFormatting>
  <conditionalFormatting sqref="AL37">
    <cfRule type="cellIs" dxfId="3754" priority="3716" stopIfTrue="1" operator="between">
      <formula>221101</formula>
      <formula>221118</formula>
    </cfRule>
    <cfRule type="cellIs" dxfId="3753" priority="3717" stopIfTrue="1" operator="between">
      <formula>221142</formula>
      <formula>221144</formula>
    </cfRule>
    <cfRule type="cellIs" dxfId="3752" priority="3718" stopIfTrue="1" operator="between">
      <formula>220001</formula>
      <formula>221144</formula>
    </cfRule>
  </conditionalFormatting>
  <conditionalFormatting sqref="C37">
    <cfRule type="cellIs" dxfId="3751" priority="3713" stopIfTrue="1" operator="between">
      <formula>221101</formula>
      <formula>221118</formula>
    </cfRule>
    <cfRule type="cellIs" dxfId="3750" priority="3714" stopIfTrue="1" operator="between">
      <formula>221142</formula>
      <formula>221144</formula>
    </cfRule>
    <cfRule type="cellIs" dxfId="3749" priority="3715" stopIfTrue="1" operator="between">
      <formula>220001</formula>
      <formula>221144</formula>
    </cfRule>
  </conditionalFormatting>
  <conditionalFormatting sqref="C37">
    <cfRule type="cellIs" dxfId="3748" priority="3710" stopIfTrue="1" operator="between">
      <formula>221101</formula>
      <formula>221118</formula>
    </cfRule>
    <cfRule type="cellIs" dxfId="3747" priority="3711" stopIfTrue="1" operator="between">
      <formula>221142</formula>
      <formula>221144</formula>
    </cfRule>
    <cfRule type="cellIs" dxfId="3746" priority="3712" stopIfTrue="1" operator="between">
      <formula>220001</formula>
      <formula>221144</formula>
    </cfRule>
  </conditionalFormatting>
  <conditionalFormatting sqref="C37">
    <cfRule type="cellIs" dxfId="3745" priority="3707" stopIfTrue="1" operator="between">
      <formula>221101</formula>
      <formula>221118</formula>
    </cfRule>
    <cfRule type="cellIs" dxfId="3744" priority="3708" stopIfTrue="1" operator="between">
      <formula>221142</formula>
      <formula>221144</formula>
    </cfRule>
    <cfRule type="cellIs" dxfId="3743" priority="3709" stopIfTrue="1" operator="between">
      <formula>220001</formula>
      <formula>221144</formula>
    </cfRule>
  </conditionalFormatting>
  <conditionalFormatting sqref="C37">
    <cfRule type="cellIs" dxfId="3742" priority="3704" stopIfTrue="1" operator="between">
      <formula>221101</formula>
      <formula>221118</formula>
    </cfRule>
    <cfRule type="cellIs" dxfId="3741" priority="3705" stopIfTrue="1" operator="between">
      <formula>221142</formula>
      <formula>221144</formula>
    </cfRule>
    <cfRule type="cellIs" dxfId="3740" priority="3706" stopIfTrue="1" operator="between">
      <formula>220001</formula>
      <formula>221144</formula>
    </cfRule>
  </conditionalFormatting>
  <conditionalFormatting sqref="AM37">
    <cfRule type="cellIs" dxfId="3739" priority="3701" stopIfTrue="1" operator="between">
      <formula>221101</formula>
      <formula>221118</formula>
    </cfRule>
    <cfRule type="cellIs" dxfId="3738" priority="3702" stopIfTrue="1" operator="between">
      <formula>221142</formula>
      <formula>221144</formula>
    </cfRule>
    <cfRule type="cellIs" dxfId="3737" priority="3703" stopIfTrue="1" operator="between">
      <formula>220001</formula>
      <formula>221144</formula>
    </cfRule>
  </conditionalFormatting>
  <conditionalFormatting sqref="AL37">
    <cfRule type="cellIs" dxfId="3736" priority="3698" stopIfTrue="1" operator="between">
      <formula>221101</formula>
      <formula>221118</formula>
    </cfRule>
    <cfRule type="cellIs" dxfId="3735" priority="3699" stopIfTrue="1" operator="between">
      <formula>221142</formula>
      <formula>221144</formula>
    </cfRule>
    <cfRule type="cellIs" dxfId="3734" priority="3700" stopIfTrue="1" operator="between">
      <formula>220001</formula>
      <formula>221144</formula>
    </cfRule>
  </conditionalFormatting>
  <conditionalFormatting sqref="AL37">
    <cfRule type="cellIs" dxfId="3733" priority="3695" stopIfTrue="1" operator="between">
      <formula>221101</formula>
      <formula>221118</formula>
    </cfRule>
    <cfRule type="cellIs" dxfId="3732" priority="3696" stopIfTrue="1" operator="between">
      <formula>221142</formula>
      <formula>221144</formula>
    </cfRule>
    <cfRule type="cellIs" dxfId="3731" priority="3697" stopIfTrue="1" operator="between">
      <formula>220001</formula>
      <formula>221144</formula>
    </cfRule>
  </conditionalFormatting>
  <conditionalFormatting sqref="AK37">
    <cfRule type="cellIs" dxfId="3730" priority="3692" stopIfTrue="1" operator="between">
      <formula>221101</formula>
      <formula>221118</formula>
    </cfRule>
    <cfRule type="cellIs" dxfId="3729" priority="3693" stopIfTrue="1" operator="between">
      <formula>221142</formula>
      <formula>221144</formula>
    </cfRule>
    <cfRule type="cellIs" dxfId="3728" priority="3694" stopIfTrue="1" operator="between">
      <formula>220001</formula>
      <formula>221144</formula>
    </cfRule>
  </conditionalFormatting>
  <conditionalFormatting sqref="AN37">
    <cfRule type="cellIs" dxfId="3727" priority="3689" stopIfTrue="1" operator="between">
      <formula>221101</formula>
      <formula>221118</formula>
    </cfRule>
    <cfRule type="cellIs" dxfId="3726" priority="3690" stopIfTrue="1" operator="between">
      <formula>221142</formula>
      <formula>221144</formula>
    </cfRule>
    <cfRule type="cellIs" dxfId="3725" priority="3691" stopIfTrue="1" operator="between">
      <formula>220001</formula>
      <formula>221144</formula>
    </cfRule>
  </conditionalFormatting>
  <conditionalFormatting sqref="AM37">
    <cfRule type="cellIs" dxfId="3724" priority="3686" stopIfTrue="1" operator="between">
      <formula>221101</formula>
      <formula>221118</formula>
    </cfRule>
    <cfRule type="cellIs" dxfId="3723" priority="3687" stopIfTrue="1" operator="between">
      <formula>221142</formula>
      <formula>221144</formula>
    </cfRule>
    <cfRule type="cellIs" dxfId="3722" priority="3688" stopIfTrue="1" operator="between">
      <formula>220001</formula>
      <formula>221144</formula>
    </cfRule>
  </conditionalFormatting>
  <conditionalFormatting sqref="AM37">
    <cfRule type="cellIs" dxfId="3721" priority="3683" stopIfTrue="1" operator="between">
      <formula>221101</formula>
      <formula>221118</formula>
    </cfRule>
    <cfRule type="cellIs" dxfId="3720" priority="3684" stopIfTrue="1" operator="between">
      <formula>221142</formula>
      <formula>221144</formula>
    </cfRule>
    <cfRule type="cellIs" dxfId="3719" priority="3685" stopIfTrue="1" operator="between">
      <formula>220001</formula>
      <formula>221144</formula>
    </cfRule>
  </conditionalFormatting>
  <conditionalFormatting sqref="AL37">
    <cfRule type="cellIs" dxfId="3718" priority="3680" stopIfTrue="1" operator="between">
      <formula>221101</formula>
      <formula>221118</formula>
    </cfRule>
    <cfRule type="cellIs" dxfId="3717" priority="3681" stopIfTrue="1" operator="between">
      <formula>221142</formula>
      <formula>221144</formula>
    </cfRule>
    <cfRule type="cellIs" dxfId="3716" priority="3682" stopIfTrue="1" operator="between">
      <formula>220001</formula>
      <formula>221144</formula>
    </cfRule>
  </conditionalFormatting>
  <conditionalFormatting sqref="C37">
    <cfRule type="cellIs" dxfId="3715" priority="3677" stopIfTrue="1" operator="between">
      <formula>221101</formula>
      <formula>221118</formula>
    </cfRule>
    <cfRule type="cellIs" dxfId="3714" priority="3678" stopIfTrue="1" operator="between">
      <formula>221142</formula>
      <formula>221144</formula>
    </cfRule>
    <cfRule type="cellIs" dxfId="3713" priority="3679" stopIfTrue="1" operator="between">
      <formula>220001</formula>
      <formula>221144</formula>
    </cfRule>
  </conditionalFormatting>
  <conditionalFormatting sqref="C37">
    <cfRule type="cellIs" dxfId="3712" priority="3674" stopIfTrue="1" operator="between">
      <formula>221101</formula>
      <formula>221118</formula>
    </cfRule>
    <cfRule type="cellIs" dxfId="3711" priority="3675" stopIfTrue="1" operator="between">
      <formula>221142</formula>
      <formula>221144</formula>
    </cfRule>
    <cfRule type="cellIs" dxfId="3710" priority="3676" stopIfTrue="1" operator="between">
      <formula>220001</formula>
      <formula>221144</formula>
    </cfRule>
  </conditionalFormatting>
  <conditionalFormatting sqref="C37">
    <cfRule type="cellIs" dxfId="3709" priority="3671" stopIfTrue="1" operator="between">
      <formula>221101</formula>
      <formula>221118</formula>
    </cfRule>
    <cfRule type="cellIs" dxfId="3708" priority="3672" stopIfTrue="1" operator="between">
      <formula>221142</formula>
      <formula>221144</formula>
    </cfRule>
    <cfRule type="cellIs" dxfId="3707" priority="3673" stopIfTrue="1" operator="between">
      <formula>220001</formula>
      <formula>221144</formula>
    </cfRule>
  </conditionalFormatting>
  <conditionalFormatting sqref="C37">
    <cfRule type="cellIs" dxfId="3706" priority="3668" stopIfTrue="1" operator="between">
      <formula>221101</formula>
      <formula>221118</formula>
    </cfRule>
    <cfRule type="cellIs" dxfId="3705" priority="3669" stopIfTrue="1" operator="between">
      <formula>221142</formula>
      <formula>221144</formula>
    </cfRule>
    <cfRule type="cellIs" dxfId="3704" priority="3670" stopIfTrue="1" operator="between">
      <formula>220001</formula>
      <formula>221144</formula>
    </cfRule>
  </conditionalFormatting>
  <conditionalFormatting sqref="AM37">
    <cfRule type="cellIs" dxfId="3703" priority="3665" stopIfTrue="1" operator="between">
      <formula>221101</formula>
      <formula>221118</formula>
    </cfRule>
    <cfRule type="cellIs" dxfId="3702" priority="3666" stopIfTrue="1" operator="between">
      <formula>221142</formula>
      <formula>221144</formula>
    </cfRule>
    <cfRule type="cellIs" dxfId="3701" priority="3667" stopIfTrue="1" operator="between">
      <formula>220001</formula>
      <formula>221144</formula>
    </cfRule>
  </conditionalFormatting>
  <conditionalFormatting sqref="AL37">
    <cfRule type="cellIs" dxfId="3700" priority="3662" stopIfTrue="1" operator="between">
      <formula>221101</formula>
      <formula>221118</formula>
    </cfRule>
    <cfRule type="cellIs" dxfId="3699" priority="3663" stopIfTrue="1" operator="between">
      <formula>221142</formula>
      <formula>221144</formula>
    </cfRule>
    <cfRule type="cellIs" dxfId="3698" priority="3664" stopIfTrue="1" operator="between">
      <formula>220001</formula>
      <formula>221144</formula>
    </cfRule>
  </conditionalFormatting>
  <conditionalFormatting sqref="AL37">
    <cfRule type="cellIs" dxfId="3697" priority="3659" stopIfTrue="1" operator="between">
      <formula>221101</formula>
      <formula>221118</formula>
    </cfRule>
    <cfRule type="cellIs" dxfId="3696" priority="3660" stopIfTrue="1" operator="between">
      <formula>221142</formula>
      <formula>221144</formula>
    </cfRule>
    <cfRule type="cellIs" dxfId="3695" priority="3661" stopIfTrue="1" operator="between">
      <formula>220001</formula>
      <formula>221144</formula>
    </cfRule>
  </conditionalFormatting>
  <conditionalFormatting sqref="AK37">
    <cfRule type="cellIs" dxfId="3694" priority="3656" stopIfTrue="1" operator="between">
      <formula>221101</formula>
      <formula>221118</formula>
    </cfRule>
    <cfRule type="cellIs" dxfId="3693" priority="3657" stopIfTrue="1" operator="between">
      <formula>221142</formula>
      <formula>221144</formula>
    </cfRule>
    <cfRule type="cellIs" dxfId="3692" priority="3658" stopIfTrue="1" operator="between">
      <formula>220001</formula>
      <formula>221144</formula>
    </cfRule>
  </conditionalFormatting>
  <conditionalFormatting sqref="AM37">
    <cfRule type="cellIs" dxfId="3691" priority="3653" stopIfTrue="1" operator="between">
      <formula>221101</formula>
      <formula>221118</formula>
    </cfRule>
    <cfRule type="cellIs" dxfId="3690" priority="3654" stopIfTrue="1" operator="between">
      <formula>221142</formula>
      <formula>221144</formula>
    </cfRule>
    <cfRule type="cellIs" dxfId="3689" priority="3655" stopIfTrue="1" operator="between">
      <formula>220001</formula>
      <formula>221144</formula>
    </cfRule>
  </conditionalFormatting>
  <conditionalFormatting sqref="AL37">
    <cfRule type="cellIs" dxfId="3688" priority="3650" stopIfTrue="1" operator="between">
      <formula>221101</formula>
      <formula>221118</formula>
    </cfRule>
    <cfRule type="cellIs" dxfId="3687" priority="3651" stopIfTrue="1" operator="between">
      <formula>221142</formula>
      <formula>221144</formula>
    </cfRule>
    <cfRule type="cellIs" dxfId="3686" priority="3652" stopIfTrue="1" operator="between">
      <formula>220001</formula>
      <formula>221144</formula>
    </cfRule>
  </conditionalFormatting>
  <conditionalFormatting sqref="AL37">
    <cfRule type="cellIs" dxfId="3685" priority="3647" stopIfTrue="1" operator="between">
      <formula>221101</formula>
      <formula>221118</formula>
    </cfRule>
    <cfRule type="cellIs" dxfId="3684" priority="3648" stopIfTrue="1" operator="between">
      <formula>221142</formula>
      <formula>221144</formula>
    </cfRule>
    <cfRule type="cellIs" dxfId="3683" priority="3649" stopIfTrue="1" operator="between">
      <formula>220001</formula>
      <formula>221144</formula>
    </cfRule>
  </conditionalFormatting>
  <conditionalFormatting sqref="AK37">
    <cfRule type="cellIs" dxfId="3682" priority="3644" stopIfTrue="1" operator="between">
      <formula>221101</formula>
      <formula>221118</formula>
    </cfRule>
    <cfRule type="cellIs" dxfId="3681" priority="3645" stopIfTrue="1" operator="between">
      <formula>221142</formula>
      <formula>221144</formula>
    </cfRule>
    <cfRule type="cellIs" dxfId="3680" priority="3646" stopIfTrue="1" operator="between">
      <formula>220001</formula>
      <formula>221144</formula>
    </cfRule>
  </conditionalFormatting>
  <conditionalFormatting sqref="AL37">
    <cfRule type="cellIs" dxfId="3679" priority="3641" stopIfTrue="1" operator="between">
      <formula>221101</formula>
      <formula>221118</formula>
    </cfRule>
    <cfRule type="cellIs" dxfId="3678" priority="3642" stopIfTrue="1" operator="between">
      <formula>221142</formula>
      <formula>221144</formula>
    </cfRule>
    <cfRule type="cellIs" dxfId="3677" priority="3643" stopIfTrue="1" operator="between">
      <formula>220001</formula>
      <formula>221144</formula>
    </cfRule>
  </conditionalFormatting>
  <conditionalFormatting sqref="AK37">
    <cfRule type="cellIs" dxfId="3676" priority="3638" stopIfTrue="1" operator="between">
      <formula>221101</formula>
      <formula>221118</formula>
    </cfRule>
    <cfRule type="cellIs" dxfId="3675" priority="3639" stopIfTrue="1" operator="between">
      <formula>221142</formula>
      <formula>221144</formula>
    </cfRule>
    <cfRule type="cellIs" dxfId="3674" priority="3640" stopIfTrue="1" operator="between">
      <formula>220001</formula>
      <formula>221144</formula>
    </cfRule>
  </conditionalFormatting>
  <conditionalFormatting sqref="AK37">
    <cfRule type="cellIs" dxfId="3673" priority="3635" stopIfTrue="1" operator="between">
      <formula>221101</formula>
      <formula>221118</formula>
    </cfRule>
    <cfRule type="cellIs" dxfId="3672" priority="3636" stopIfTrue="1" operator="between">
      <formula>221142</formula>
      <formula>221144</formula>
    </cfRule>
    <cfRule type="cellIs" dxfId="3671" priority="3637" stopIfTrue="1" operator="between">
      <formula>220001</formula>
      <formula>221144</formula>
    </cfRule>
  </conditionalFormatting>
  <conditionalFormatting sqref="AJ37">
    <cfRule type="cellIs" dxfId="3670" priority="3632" stopIfTrue="1" operator="between">
      <formula>221101</formula>
      <formula>221118</formula>
    </cfRule>
    <cfRule type="cellIs" dxfId="3669" priority="3633" stopIfTrue="1" operator="between">
      <formula>221142</formula>
      <formula>221144</formula>
    </cfRule>
    <cfRule type="cellIs" dxfId="3668" priority="3634" stopIfTrue="1" operator="between">
      <formula>220001</formula>
      <formula>221144</formula>
    </cfRule>
  </conditionalFormatting>
  <conditionalFormatting sqref="AN37">
    <cfRule type="cellIs" dxfId="3667" priority="3629" stopIfTrue="1" operator="between">
      <formula>221101</formula>
      <formula>221118</formula>
    </cfRule>
    <cfRule type="cellIs" dxfId="3666" priority="3630" stopIfTrue="1" operator="between">
      <formula>221142</formula>
      <formula>221144</formula>
    </cfRule>
    <cfRule type="cellIs" dxfId="3665" priority="3631" stopIfTrue="1" operator="between">
      <formula>220001</formula>
      <formula>221144</formula>
    </cfRule>
  </conditionalFormatting>
  <conditionalFormatting sqref="AM37">
    <cfRule type="cellIs" dxfId="3664" priority="3626" stopIfTrue="1" operator="between">
      <formula>221101</formula>
      <formula>221118</formula>
    </cfRule>
    <cfRule type="cellIs" dxfId="3663" priority="3627" stopIfTrue="1" operator="between">
      <formula>221142</formula>
      <formula>221144</formula>
    </cfRule>
    <cfRule type="cellIs" dxfId="3662" priority="3628" stopIfTrue="1" operator="between">
      <formula>220001</formula>
      <formula>221144</formula>
    </cfRule>
  </conditionalFormatting>
  <conditionalFormatting sqref="AM37">
    <cfRule type="cellIs" dxfId="3661" priority="3623" stopIfTrue="1" operator="between">
      <formula>221101</formula>
      <formula>221118</formula>
    </cfRule>
    <cfRule type="cellIs" dxfId="3660" priority="3624" stopIfTrue="1" operator="between">
      <formula>221142</formula>
      <formula>221144</formula>
    </cfRule>
    <cfRule type="cellIs" dxfId="3659" priority="3625" stopIfTrue="1" operator="between">
      <formula>220001</formula>
      <formula>221144</formula>
    </cfRule>
  </conditionalFormatting>
  <conditionalFormatting sqref="AL37">
    <cfRule type="cellIs" dxfId="3658" priority="3620" stopIfTrue="1" operator="between">
      <formula>221101</formula>
      <formula>221118</formula>
    </cfRule>
    <cfRule type="cellIs" dxfId="3657" priority="3621" stopIfTrue="1" operator="between">
      <formula>221142</formula>
      <formula>221144</formula>
    </cfRule>
    <cfRule type="cellIs" dxfId="3656" priority="3622" stopIfTrue="1" operator="between">
      <formula>220001</formula>
      <formula>221144</formula>
    </cfRule>
  </conditionalFormatting>
  <conditionalFormatting sqref="C37">
    <cfRule type="cellIs" dxfId="3655" priority="3617" stopIfTrue="1" operator="between">
      <formula>221101</formula>
      <formula>221118</formula>
    </cfRule>
    <cfRule type="cellIs" dxfId="3654" priority="3618" stopIfTrue="1" operator="between">
      <formula>221142</formula>
      <formula>221144</formula>
    </cfRule>
    <cfRule type="cellIs" dxfId="3653" priority="3619" stopIfTrue="1" operator="between">
      <formula>220001</formula>
      <formula>221144</formula>
    </cfRule>
  </conditionalFormatting>
  <conditionalFormatting sqref="C37">
    <cfRule type="cellIs" dxfId="3652" priority="3614" stopIfTrue="1" operator="between">
      <formula>221101</formula>
      <formula>221118</formula>
    </cfRule>
    <cfRule type="cellIs" dxfId="3651" priority="3615" stopIfTrue="1" operator="between">
      <formula>221142</formula>
      <formula>221144</formula>
    </cfRule>
    <cfRule type="cellIs" dxfId="3650" priority="3616" stopIfTrue="1" operator="between">
      <formula>220001</formula>
      <formula>221144</formula>
    </cfRule>
  </conditionalFormatting>
  <conditionalFormatting sqref="C37">
    <cfRule type="cellIs" dxfId="3649" priority="3611" stopIfTrue="1" operator="between">
      <formula>221101</formula>
      <formula>221118</formula>
    </cfRule>
    <cfRule type="cellIs" dxfId="3648" priority="3612" stopIfTrue="1" operator="between">
      <formula>221142</formula>
      <formula>221144</formula>
    </cfRule>
    <cfRule type="cellIs" dxfId="3647" priority="3613" stopIfTrue="1" operator="between">
      <formula>220001</formula>
      <formula>221144</formula>
    </cfRule>
  </conditionalFormatting>
  <conditionalFormatting sqref="C37">
    <cfRule type="cellIs" dxfId="3646" priority="3608" stopIfTrue="1" operator="between">
      <formula>221101</formula>
      <formula>221118</formula>
    </cfRule>
    <cfRule type="cellIs" dxfId="3645" priority="3609" stopIfTrue="1" operator="between">
      <formula>221142</formula>
      <formula>221144</formula>
    </cfRule>
    <cfRule type="cellIs" dxfId="3644" priority="3610" stopIfTrue="1" operator="between">
      <formula>220001</formula>
      <formula>221144</formula>
    </cfRule>
  </conditionalFormatting>
  <conditionalFormatting sqref="AM37">
    <cfRule type="cellIs" dxfId="3643" priority="3605" stopIfTrue="1" operator="between">
      <formula>221101</formula>
      <formula>221118</formula>
    </cfRule>
    <cfRule type="cellIs" dxfId="3642" priority="3606" stopIfTrue="1" operator="between">
      <formula>221142</formula>
      <formula>221144</formula>
    </cfRule>
    <cfRule type="cellIs" dxfId="3641" priority="3607" stopIfTrue="1" operator="between">
      <formula>220001</formula>
      <formula>221144</formula>
    </cfRule>
  </conditionalFormatting>
  <conditionalFormatting sqref="AL37">
    <cfRule type="cellIs" dxfId="3640" priority="3602" stopIfTrue="1" operator="between">
      <formula>221101</formula>
      <formula>221118</formula>
    </cfRule>
    <cfRule type="cellIs" dxfId="3639" priority="3603" stopIfTrue="1" operator="between">
      <formula>221142</formula>
      <formula>221144</formula>
    </cfRule>
    <cfRule type="cellIs" dxfId="3638" priority="3604" stopIfTrue="1" operator="between">
      <formula>220001</formula>
      <formula>221144</formula>
    </cfRule>
  </conditionalFormatting>
  <conditionalFormatting sqref="AL37">
    <cfRule type="cellIs" dxfId="3637" priority="3599" stopIfTrue="1" operator="between">
      <formula>221101</formula>
      <formula>221118</formula>
    </cfRule>
    <cfRule type="cellIs" dxfId="3636" priority="3600" stopIfTrue="1" operator="between">
      <formula>221142</formula>
      <formula>221144</formula>
    </cfRule>
    <cfRule type="cellIs" dxfId="3635" priority="3601" stopIfTrue="1" operator="between">
      <formula>220001</formula>
      <formula>221144</formula>
    </cfRule>
  </conditionalFormatting>
  <conditionalFormatting sqref="AK37">
    <cfRule type="cellIs" dxfId="3634" priority="3596" stopIfTrue="1" operator="between">
      <formula>221101</formula>
      <formula>221118</formula>
    </cfRule>
    <cfRule type="cellIs" dxfId="3633" priority="3597" stopIfTrue="1" operator="between">
      <formula>221142</formula>
      <formula>221144</formula>
    </cfRule>
    <cfRule type="cellIs" dxfId="3632" priority="3598" stopIfTrue="1" operator="between">
      <formula>220001</formula>
      <formula>221144</formula>
    </cfRule>
  </conditionalFormatting>
  <conditionalFormatting sqref="AM37">
    <cfRule type="cellIs" dxfId="3631" priority="3593" stopIfTrue="1" operator="between">
      <formula>221101</formula>
      <formula>221118</formula>
    </cfRule>
    <cfRule type="cellIs" dxfId="3630" priority="3594" stopIfTrue="1" operator="between">
      <formula>221142</formula>
      <formula>221144</formula>
    </cfRule>
    <cfRule type="cellIs" dxfId="3629" priority="3595" stopIfTrue="1" operator="between">
      <formula>220001</formula>
      <formula>221144</formula>
    </cfRule>
  </conditionalFormatting>
  <conditionalFormatting sqref="AL37">
    <cfRule type="cellIs" dxfId="3628" priority="3590" stopIfTrue="1" operator="between">
      <formula>221101</formula>
      <formula>221118</formula>
    </cfRule>
    <cfRule type="cellIs" dxfId="3627" priority="3591" stopIfTrue="1" operator="between">
      <formula>221142</formula>
      <formula>221144</formula>
    </cfRule>
    <cfRule type="cellIs" dxfId="3626" priority="3592" stopIfTrue="1" operator="between">
      <formula>220001</formula>
      <formula>221144</formula>
    </cfRule>
  </conditionalFormatting>
  <conditionalFormatting sqref="AL37">
    <cfRule type="cellIs" dxfId="3625" priority="3587" stopIfTrue="1" operator="between">
      <formula>221101</formula>
      <formula>221118</formula>
    </cfRule>
    <cfRule type="cellIs" dxfId="3624" priority="3588" stopIfTrue="1" operator="between">
      <formula>221142</formula>
      <formula>221144</formula>
    </cfRule>
    <cfRule type="cellIs" dxfId="3623" priority="3589" stopIfTrue="1" operator="between">
      <formula>220001</formula>
      <formula>221144</formula>
    </cfRule>
  </conditionalFormatting>
  <conditionalFormatting sqref="AK37">
    <cfRule type="cellIs" dxfId="3622" priority="3584" stopIfTrue="1" operator="between">
      <formula>221101</formula>
      <formula>221118</formula>
    </cfRule>
    <cfRule type="cellIs" dxfId="3621" priority="3585" stopIfTrue="1" operator="between">
      <formula>221142</formula>
      <formula>221144</formula>
    </cfRule>
    <cfRule type="cellIs" dxfId="3620" priority="3586" stopIfTrue="1" operator="between">
      <formula>220001</formula>
      <formula>221144</formula>
    </cfRule>
  </conditionalFormatting>
  <conditionalFormatting sqref="AL37">
    <cfRule type="cellIs" dxfId="3619" priority="3581" stopIfTrue="1" operator="between">
      <formula>221101</formula>
      <formula>221118</formula>
    </cfRule>
    <cfRule type="cellIs" dxfId="3618" priority="3582" stopIfTrue="1" operator="between">
      <formula>221142</formula>
      <formula>221144</formula>
    </cfRule>
    <cfRule type="cellIs" dxfId="3617" priority="3583" stopIfTrue="1" operator="between">
      <formula>220001</formula>
      <formula>221144</formula>
    </cfRule>
  </conditionalFormatting>
  <conditionalFormatting sqref="AK37">
    <cfRule type="cellIs" dxfId="3616" priority="3578" stopIfTrue="1" operator="between">
      <formula>221101</formula>
      <formula>221118</formula>
    </cfRule>
    <cfRule type="cellIs" dxfId="3615" priority="3579" stopIfTrue="1" operator="between">
      <formula>221142</formula>
      <formula>221144</formula>
    </cfRule>
    <cfRule type="cellIs" dxfId="3614" priority="3580" stopIfTrue="1" operator="between">
      <formula>220001</formula>
      <formula>221144</formula>
    </cfRule>
  </conditionalFormatting>
  <conditionalFormatting sqref="AK37">
    <cfRule type="cellIs" dxfId="3613" priority="3575" stopIfTrue="1" operator="between">
      <formula>221101</formula>
      <formula>221118</formula>
    </cfRule>
    <cfRule type="cellIs" dxfId="3612" priority="3576" stopIfTrue="1" operator="between">
      <formula>221142</formula>
      <formula>221144</formula>
    </cfRule>
    <cfRule type="cellIs" dxfId="3611" priority="3577" stopIfTrue="1" operator="between">
      <formula>220001</formula>
      <formula>221144</formula>
    </cfRule>
  </conditionalFormatting>
  <conditionalFormatting sqref="AJ37">
    <cfRule type="cellIs" dxfId="3610" priority="3572" stopIfTrue="1" operator="between">
      <formula>221101</formula>
      <formula>221118</formula>
    </cfRule>
    <cfRule type="cellIs" dxfId="3609" priority="3573" stopIfTrue="1" operator="between">
      <formula>221142</formula>
      <formula>221144</formula>
    </cfRule>
    <cfRule type="cellIs" dxfId="3608" priority="3574" stopIfTrue="1" operator="between">
      <formula>220001</formula>
      <formula>221144</formula>
    </cfRule>
  </conditionalFormatting>
  <conditionalFormatting sqref="AM37">
    <cfRule type="cellIs" dxfId="3607" priority="3569" stopIfTrue="1" operator="between">
      <formula>221101</formula>
      <formula>221118</formula>
    </cfRule>
    <cfRule type="cellIs" dxfId="3606" priority="3570" stopIfTrue="1" operator="between">
      <formula>221142</formula>
      <formula>221144</formula>
    </cfRule>
    <cfRule type="cellIs" dxfId="3605" priority="3571" stopIfTrue="1" operator="between">
      <formula>220001</formula>
      <formula>221144</formula>
    </cfRule>
  </conditionalFormatting>
  <conditionalFormatting sqref="AL37">
    <cfRule type="cellIs" dxfId="3604" priority="3566" stopIfTrue="1" operator="between">
      <formula>221101</formula>
      <formula>221118</formula>
    </cfRule>
    <cfRule type="cellIs" dxfId="3603" priority="3567" stopIfTrue="1" operator="between">
      <formula>221142</formula>
      <formula>221144</formula>
    </cfRule>
    <cfRule type="cellIs" dxfId="3602" priority="3568" stopIfTrue="1" operator="between">
      <formula>220001</formula>
      <formula>221144</formula>
    </cfRule>
  </conditionalFormatting>
  <conditionalFormatting sqref="AL37">
    <cfRule type="cellIs" dxfId="3601" priority="3563" stopIfTrue="1" operator="between">
      <formula>221101</formula>
      <formula>221118</formula>
    </cfRule>
    <cfRule type="cellIs" dxfId="3600" priority="3564" stopIfTrue="1" operator="between">
      <formula>221142</formula>
      <formula>221144</formula>
    </cfRule>
    <cfRule type="cellIs" dxfId="3599" priority="3565" stopIfTrue="1" operator="between">
      <formula>220001</formula>
      <formula>221144</formula>
    </cfRule>
  </conditionalFormatting>
  <conditionalFormatting sqref="AK37">
    <cfRule type="cellIs" dxfId="3598" priority="3560" stopIfTrue="1" operator="between">
      <formula>221101</formula>
      <formula>221118</formula>
    </cfRule>
    <cfRule type="cellIs" dxfId="3597" priority="3561" stopIfTrue="1" operator="between">
      <formula>221142</formula>
      <formula>221144</formula>
    </cfRule>
    <cfRule type="cellIs" dxfId="3596" priority="3562" stopIfTrue="1" operator="between">
      <formula>220001</formula>
      <formula>221144</formula>
    </cfRule>
  </conditionalFormatting>
  <conditionalFormatting sqref="AL37">
    <cfRule type="cellIs" dxfId="3595" priority="3557" stopIfTrue="1" operator="between">
      <formula>221101</formula>
      <formula>221118</formula>
    </cfRule>
    <cfRule type="cellIs" dxfId="3594" priority="3558" stopIfTrue="1" operator="between">
      <formula>221142</formula>
      <formula>221144</formula>
    </cfRule>
    <cfRule type="cellIs" dxfId="3593" priority="3559" stopIfTrue="1" operator="between">
      <formula>220001</formula>
      <formula>221144</formula>
    </cfRule>
  </conditionalFormatting>
  <conditionalFormatting sqref="AK37">
    <cfRule type="cellIs" dxfId="3592" priority="3554" stopIfTrue="1" operator="between">
      <formula>221101</formula>
      <formula>221118</formula>
    </cfRule>
    <cfRule type="cellIs" dxfId="3591" priority="3555" stopIfTrue="1" operator="between">
      <formula>221142</formula>
      <formula>221144</formula>
    </cfRule>
    <cfRule type="cellIs" dxfId="3590" priority="3556" stopIfTrue="1" operator="between">
      <formula>220001</formula>
      <formula>221144</formula>
    </cfRule>
  </conditionalFormatting>
  <conditionalFormatting sqref="AK37">
    <cfRule type="cellIs" dxfId="3589" priority="3551" stopIfTrue="1" operator="between">
      <formula>221101</formula>
      <formula>221118</formula>
    </cfRule>
    <cfRule type="cellIs" dxfId="3588" priority="3552" stopIfTrue="1" operator="between">
      <formula>221142</formula>
      <formula>221144</formula>
    </cfRule>
    <cfRule type="cellIs" dxfId="3587" priority="3553" stopIfTrue="1" operator="between">
      <formula>220001</formula>
      <formula>221144</formula>
    </cfRule>
  </conditionalFormatting>
  <conditionalFormatting sqref="AJ37">
    <cfRule type="cellIs" dxfId="3586" priority="3548" stopIfTrue="1" operator="between">
      <formula>221101</formula>
      <formula>221118</formula>
    </cfRule>
    <cfRule type="cellIs" dxfId="3585" priority="3549" stopIfTrue="1" operator="between">
      <formula>221142</formula>
      <formula>221144</formula>
    </cfRule>
    <cfRule type="cellIs" dxfId="3584" priority="3550" stopIfTrue="1" operator="between">
      <formula>220001</formula>
      <formula>221144</formula>
    </cfRule>
  </conditionalFormatting>
  <conditionalFormatting sqref="AL37">
    <cfRule type="cellIs" dxfId="3583" priority="3545" stopIfTrue="1" operator="between">
      <formula>221101</formula>
      <formula>221118</formula>
    </cfRule>
    <cfRule type="cellIs" dxfId="3582" priority="3546" stopIfTrue="1" operator="between">
      <formula>221142</formula>
      <formula>221144</formula>
    </cfRule>
    <cfRule type="cellIs" dxfId="3581" priority="3547" stopIfTrue="1" operator="between">
      <formula>220001</formula>
      <formula>221144</formula>
    </cfRule>
  </conditionalFormatting>
  <conditionalFormatting sqref="AK37">
    <cfRule type="cellIs" dxfId="3580" priority="3542" stopIfTrue="1" operator="between">
      <formula>221101</formula>
      <formula>221118</formula>
    </cfRule>
    <cfRule type="cellIs" dxfId="3579" priority="3543" stopIfTrue="1" operator="between">
      <formula>221142</formula>
      <formula>221144</formula>
    </cfRule>
    <cfRule type="cellIs" dxfId="3578" priority="3544" stopIfTrue="1" operator="between">
      <formula>220001</formula>
      <formula>221144</formula>
    </cfRule>
  </conditionalFormatting>
  <conditionalFormatting sqref="AK37">
    <cfRule type="cellIs" dxfId="3577" priority="3539" stopIfTrue="1" operator="between">
      <formula>221101</formula>
      <formula>221118</formula>
    </cfRule>
    <cfRule type="cellIs" dxfId="3576" priority="3540" stopIfTrue="1" operator="between">
      <formula>221142</formula>
      <formula>221144</formula>
    </cfRule>
    <cfRule type="cellIs" dxfId="3575" priority="3541" stopIfTrue="1" operator="between">
      <formula>220001</formula>
      <formula>221144</formula>
    </cfRule>
  </conditionalFormatting>
  <conditionalFormatting sqref="AJ37">
    <cfRule type="cellIs" dxfId="3574" priority="3536" stopIfTrue="1" operator="between">
      <formula>221101</formula>
      <formula>221118</formula>
    </cfRule>
    <cfRule type="cellIs" dxfId="3573" priority="3537" stopIfTrue="1" operator="between">
      <formula>221142</formula>
      <formula>221144</formula>
    </cfRule>
    <cfRule type="cellIs" dxfId="3572" priority="3538" stopIfTrue="1" operator="between">
      <formula>220001</formula>
      <formula>221144</formula>
    </cfRule>
  </conditionalFormatting>
  <conditionalFormatting sqref="AK37">
    <cfRule type="cellIs" dxfId="3571" priority="3533" stopIfTrue="1" operator="between">
      <formula>221101</formula>
      <formula>221118</formula>
    </cfRule>
    <cfRule type="cellIs" dxfId="3570" priority="3534" stopIfTrue="1" operator="between">
      <formula>221142</formula>
      <formula>221144</formula>
    </cfRule>
    <cfRule type="cellIs" dxfId="3569" priority="3535" stopIfTrue="1" operator="between">
      <formula>220001</formula>
      <formula>221144</formula>
    </cfRule>
  </conditionalFormatting>
  <conditionalFormatting sqref="AJ37">
    <cfRule type="cellIs" dxfId="3568" priority="3530" stopIfTrue="1" operator="between">
      <formula>221101</formula>
      <formula>221118</formula>
    </cfRule>
    <cfRule type="cellIs" dxfId="3567" priority="3531" stopIfTrue="1" operator="between">
      <formula>221142</formula>
      <formula>221144</formula>
    </cfRule>
    <cfRule type="cellIs" dxfId="3566" priority="3532" stopIfTrue="1" operator="between">
      <formula>220001</formula>
      <formula>221144</formula>
    </cfRule>
  </conditionalFormatting>
  <conditionalFormatting sqref="AJ37">
    <cfRule type="cellIs" dxfId="3565" priority="3527" stopIfTrue="1" operator="between">
      <formula>221101</formula>
      <formula>221118</formula>
    </cfRule>
    <cfRule type="cellIs" dxfId="3564" priority="3528" stopIfTrue="1" operator="between">
      <formula>221142</formula>
      <formula>221144</formula>
    </cfRule>
    <cfRule type="cellIs" dxfId="3563" priority="3529" stopIfTrue="1" operator="between">
      <formula>220001</formula>
      <formula>221144</formula>
    </cfRule>
  </conditionalFormatting>
  <conditionalFormatting sqref="AI37">
    <cfRule type="cellIs" dxfId="3562" priority="3524" stopIfTrue="1" operator="between">
      <formula>221101</formula>
      <formula>221118</formula>
    </cfRule>
    <cfRule type="cellIs" dxfId="3561" priority="3525" stopIfTrue="1" operator="between">
      <formula>221142</formula>
      <formula>221144</formula>
    </cfRule>
    <cfRule type="cellIs" dxfId="3560" priority="3526" stopIfTrue="1" operator="between">
      <formula>220001</formula>
      <formula>221144</formula>
    </cfRule>
  </conditionalFormatting>
  <conditionalFormatting sqref="AN37">
    <cfRule type="cellIs" dxfId="3559" priority="3521" stopIfTrue="1" operator="between">
      <formula>221101</formula>
      <formula>221118</formula>
    </cfRule>
    <cfRule type="cellIs" dxfId="3558" priority="3522" stopIfTrue="1" operator="between">
      <formula>221142</formula>
      <formula>221144</formula>
    </cfRule>
    <cfRule type="cellIs" dxfId="3557" priority="3523" stopIfTrue="1" operator="between">
      <formula>220001</formula>
      <formula>221144</formula>
    </cfRule>
  </conditionalFormatting>
  <conditionalFormatting sqref="AM37">
    <cfRule type="cellIs" dxfId="3556" priority="3518" stopIfTrue="1" operator="between">
      <formula>221101</formula>
      <formula>221118</formula>
    </cfRule>
    <cfRule type="cellIs" dxfId="3555" priority="3519" stopIfTrue="1" operator="between">
      <formula>221142</formula>
      <formula>221144</formula>
    </cfRule>
    <cfRule type="cellIs" dxfId="3554" priority="3520" stopIfTrue="1" operator="between">
      <formula>220001</formula>
      <formula>221144</formula>
    </cfRule>
  </conditionalFormatting>
  <conditionalFormatting sqref="AM37">
    <cfRule type="cellIs" dxfId="3553" priority="3515" stopIfTrue="1" operator="between">
      <formula>221101</formula>
      <formula>221118</formula>
    </cfRule>
    <cfRule type="cellIs" dxfId="3552" priority="3516" stopIfTrue="1" operator="between">
      <formula>221142</formula>
      <formula>221144</formula>
    </cfRule>
    <cfRule type="cellIs" dxfId="3551" priority="3517" stopIfTrue="1" operator="between">
      <formula>220001</formula>
      <formula>221144</formula>
    </cfRule>
  </conditionalFormatting>
  <conditionalFormatting sqref="AL37">
    <cfRule type="cellIs" dxfId="3550" priority="3512" stopIfTrue="1" operator="between">
      <formula>221101</formula>
      <formula>221118</formula>
    </cfRule>
    <cfRule type="cellIs" dxfId="3549" priority="3513" stopIfTrue="1" operator="between">
      <formula>221142</formula>
      <formula>221144</formula>
    </cfRule>
    <cfRule type="cellIs" dxfId="3548" priority="3514" stopIfTrue="1" operator="between">
      <formula>220001</formula>
      <formula>221144</formula>
    </cfRule>
  </conditionalFormatting>
  <conditionalFormatting sqref="C37">
    <cfRule type="cellIs" dxfId="3547" priority="3509" stopIfTrue="1" operator="between">
      <formula>221101</formula>
      <formula>221118</formula>
    </cfRule>
    <cfRule type="cellIs" dxfId="3546" priority="3510" stopIfTrue="1" operator="between">
      <formula>221142</formula>
      <formula>221144</formula>
    </cfRule>
    <cfRule type="cellIs" dxfId="3545" priority="3511" stopIfTrue="1" operator="between">
      <formula>220001</formula>
      <formula>221144</formula>
    </cfRule>
  </conditionalFormatting>
  <conditionalFormatting sqref="C37">
    <cfRule type="cellIs" dxfId="3544" priority="3506" stopIfTrue="1" operator="between">
      <formula>221101</formula>
      <formula>221118</formula>
    </cfRule>
    <cfRule type="cellIs" dxfId="3543" priority="3507" stopIfTrue="1" operator="between">
      <formula>221142</formula>
      <formula>221144</formula>
    </cfRule>
    <cfRule type="cellIs" dxfId="3542" priority="3508" stopIfTrue="1" operator="between">
      <formula>220001</formula>
      <formula>221144</formula>
    </cfRule>
  </conditionalFormatting>
  <conditionalFormatting sqref="C37">
    <cfRule type="cellIs" dxfId="3541" priority="3503" stopIfTrue="1" operator="between">
      <formula>221101</formula>
      <formula>221118</formula>
    </cfRule>
    <cfRule type="cellIs" dxfId="3540" priority="3504" stopIfTrue="1" operator="between">
      <formula>221142</formula>
      <formula>221144</formula>
    </cfRule>
    <cfRule type="cellIs" dxfId="3539" priority="3505" stopIfTrue="1" operator="between">
      <formula>220001</formula>
      <formula>221144</formula>
    </cfRule>
  </conditionalFormatting>
  <conditionalFormatting sqref="C37">
    <cfRule type="cellIs" dxfId="3538" priority="3500" stopIfTrue="1" operator="between">
      <formula>221101</formula>
      <formula>221118</formula>
    </cfRule>
    <cfRule type="cellIs" dxfId="3537" priority="3501" stopIfTrue="1" operator="between">
      <formula>221142</formula>
      <formula>221144</formula>
    </cfRule>
    <cfRule type="cellIs" dxfId="3536" priority="3502" stopIfTrue="1" operator="between">
      <formula>220001</formula>
      <formula>221144</formula>
    </cfRule>
  </conditionalFormatting>
  <conditionalFormatting sqref="AM37">
    <cfRule type="cellIs" dxfId="3535" priority="3497" stopIfTrue="1" operator="between">
      <formula>221101</formula>
      <formula>221118</formula>
    </cfRule>
    <cfRule type="cellIs" dxfId="3534" priority="3498" stopIfTrue="1" operator="between">
      <formula>221142</formula>
      <formula>221144</formula>
    </cfRule>
    <cfRule type="cellIs" dxfId="3533" priority="3499" stopIfTrue="1" operator="between">
      <formula>220001</formula>
      <formula>221144</formula>
    </cfRule>
  </conditionalFormatting>
  <conditionalFormatting sqref="AL37">
    <cfRule type="cellIs" dxfId="3532" priority="3494" stopIfTrue="1" operator="between">
      <formula>221101</formula>
      <formula>221118</formula>
    </cfRule>
    <cfRule type="cellIs" dxfId="3531" priority="3495" stopIfTrue="1" operator="between">
      <formula>221142</formula>
      <formula>221144</formula>
    </cfRule>
    <cfRule type="cellIs" dxfId="3530" priority="3496" stopIfTrue="1" operator="between">
      <formula>220001</formula>
      <formula>221144</formula>
    </cfRule>
  </conditionalFormatting>
  <conditionalFormatting sqref="AL37">
    <cfRule type="cellIs" dxfId="3529" priority="3491" stopIfTrue="1" operator="between">
      <formula>221101</formula>
      <formula>221118</formula>
    </cfRule>
    <cfRule type="cellIs" dxfId="3528" priority="3492" stopIfTrue="1" operator="between">
      <formula>221142</formula>
      <formula>221144</formula>
    </cfRule>
    <cfRule type="cellIs" dxfId="3527" priority="3493" stopIfTrue="1" operator="between">
      <formula>220001</formula>
      <formula>221144</formula>
    </cfRule>
  </conditionalFormatting>
  <conditionalFormatting sqref="AK37">
    <cfRule type="cellIs" dxfId="3526" priority="3488" stopIfTrue="1" operator="between">
      <formula>221101</formula>
      <formula>221118</formula>
    </cfRule>
    <cfRule type="cellIs" dxfId="3525" priority="3489" stopIfTrue="1" operator="between">
      <formula>221142</formula>
      <formula>221144</formula>
    </cfRule>
    <cfRule type="cellIs" dxfId="3524" priority="3490" stopIfTrue="1" operator="between">
      <formula>220001</formula>
      <formula>221144</formula>
    </cfRule>
  </conditionalFormatting>
  <conditionalFormatting sqref="AM37">
    <cfRule type="cellIs" dxfId="3523" priority="3485" stopIfTrue="1" operator="between">
      <formula>221101</formula>
      <formula>221118</formula>
    </cfRule>
    <cfRule type="cellIs" dxfId="3522" priority="3486" stopIfTrue="1" operator="between">
      <formula>221142</formula>
      <formula>221144</formula>
    </cfRule>
    <cfRule type="cellIs" dxfId="3521" priority="3487" stopIfTrue="1" operator="between">
      <formula>220001</formula>
      <formula>221144</formula>
    </cfRule>
  </conditionalFormatting>
  <conditionalFormatting sqref="AL37">
    <cfRule type="cellIs" dxfId="3520" priority="3482" stopIfTrue="1" operator="between">
      <formula>221101</formula>
      <formula>221118</formula>
    </cfRule>
    <cfRule type="cellIs" dxfId="3519" priority="3483" stopIfTrue="1" operator="between">
      <formula>221142</formula>
      <formula>221144</formula>
    </cfRule>
    <cfRule type="cellIs" dxfId="3518" priority="3484" stopIfTrue="1" operator="between">
      <formula>220001</formula>
      <formula>221144</formula>
    </cfRule>
  </conditionalFormatting>
  <conditionalFormatting sqref="AL37">
    <cfRule type="cellIs" dxfId="3517" priority="3479" stopIfTrue="1" operator="between">
      <formula>221101</formula>
      <formula>221118</formula>
    </cfRule>
    <cfRule type="cellIs" dxfId="3516" priority="3480" stopIfTrue="1" operator="between">
      <formula>221142</formula>
      <formula>221144</formula>
    </cfRule>
    <cfRule type="cellIs" dxfId="3515" priority="3481" stopIfTrue="1" operator="between">
      <formula>220001</formula>
      <formula>221144</formula>
    </cfRule>
  </conditionalFormatting>
  <conditionalFormatting sqref="AK37">
    <cfRule type="cellIs" dxfId="3514" priority="3476" stopIfTrue="1" operator="between">
      <formula>221101</formula>
      <formula>221118</formula>
    </cfRule>
    <cfRule type="cellIs" dxfId="3513" priority="3477" stopIfTrue="1" operator="between">
      <formula>221142</formula>
      <formula>221144</formula>
    </cfRule>
    <cfRule type="cellIs" dxfId="3512" priority="3478" stopIfTrue="1" operator="between">
      <formula>220001</formula>
      <formula>221144</formula>
    </cfRule>
  </conditionalFormatting>
  <conditionalFormatting sqref="AL37">
    <cfRule type="cellIs" dxfId="3511" priority="3473" stopIfTrue="1" operator="between">
      <formula>221101</formula>
      <formula>221118</formula>
    </cfRule>
    <cfRule type="cellIs" dxfId="3510" priority="3474" stopIfTrue="1" operator="between">
      <formula>221142</formula>
      <formula>221144</formula>
    </cfRule>
    <cfRule type="cellIs" dxfId="3509" priority="3475" stopIfTrue="1" operator="between">
      <formula>220001</formula>
      <formula>221144</formula>
    </cfRule>
  </conditionalFormatting>
  <conditionalFormatting sqref="AK37">
    <cfRule type="cellIs" dxfId="3508" priority="3470" stopIfTrue="1" operator="between">
      <formula>221101</formula>
      <formula>221118</formula>
    </cfRule>
    <cfRule type="cellIs" dxfId="3507" priority="3471" stopIfTrue="1" operator="between">
      <formula>221142</formula>
      <formula>221144</formula>
    </cfRule>
    <cfRule type="cellIs" dxfId="3506" priority="3472" stopIfTrue="1" operator="between">
      <formula>220001</formula>
      <formula>221144</formula>
    </cfRule>
  </conditionalFormatting>
  <conditionalFormatting sqref="AK37">
    <cfRule type="cellIs" dxfId="3505" priority="3467" stopIfTrue="1" operator="between">
      <formula>221101</formula>
      <formula>221118</formula>
    </cfRule>
    <cfRule type="cellIs" dxfId="3504" priority="3468" stopIfTrue="1" operator="between">
      <formula>221142</formula>
      <formula>221144</formula>
    </cfRule>
    <cfRule type="cellIs" dxfId="3503" priority="3469" stopIfTrue="1" operator="between">
      <formula>220001</formula>
      <formula>221144</formula>
    </cfRule>
  </conditionalFormatting>
  <conditionalFormatting sqref="AJ37">
    <cfRule type="cellIs" dxfId="3502" priority="3464" stopIfTrue="1" operator="between">
      <formula>221101</formula>
      <formula>221118</formula>
    </cfRule>
    <cfRule type="cellIs" dxfId="3501" priority="3465" stopIfTrue="1" operator="between">
      <formula>221142</formula>
      <formula>221144</formula>
    </cfRule>
    <cfRule type="cellIs" dxfId="3500" priority="3466" stopIfTrue="1" operator="between">
      <formula>220001</formula>
      <formula>221144</formula>
    </cfRule>
  </conditionalFormatting>
  <conditionalFormatting sqref="AM37">
    <cfRule type="cellIs" dxfId="3499" priority="3461" stopIfTrue="1" operator="between">
      <formula>221101</formula>
      <formula>221118</formula>
    </cfRule>
    <cfRule type="cellIs" dxfId="3498" priority="3462" stopIfTrue="1" operator="between">
      <formula>221142</formula>
      <formula>221144</formula>
    </cfRule>
    <cfRule type="cellIs" dxfId="3497" priority="3463" stopIfTrue="1" operator="between">
      <formula>220001</formula>
      <formula>221144</formula>
    </cfRule>
  </conditionalFormatting>
  <conditionalFormatting sqref="AL37">
    <cfRule type="cellIs" dxfId="3496" priority="3458" stopIfTrue="1" operator="between">
      <formula>221101</formula>
      <formula>221118</formula>
    </cfRule>
    <cfRule type="cellIs" dxfId="3495" priority="3459" stopIfTrue="1" operator="between">
      <formula>221142</formula>
      <formula>221144</formula>
    </cfRule>
    <cfRule type="cellIs" dxfId="3494" priority="3460" stopIfTrue="1" operator="between">
      <formula>220001</formula>
      <formula>221144</formula>
    </cfRule>
  </conditionalFormatting>
  <conditionalFormatting sqref="AL37">
    <cfRule type="cellIs" dxfId="3493" priority="3455" stopIfTrue="1" operator="between">
      <formula>221101</formula>
      <formula>221118</formula>
    </cfRule>
    <cfRule type="cellIs" dxfId="3492" priority="3456" stopIfTrue="1" operator="between">
      <formula>221142</formula>
      <formula>221144</formula>
    </cfRule>
    <cfRule type="cellIs" dxfId="3491" priority="3457" stopIfTrue="1" operator="between">
      <formula>220001</formula>
      <formula>221144</formula>
    </cfRule>
  </conditionalFormatting>
  <conditionalFormatting sqref="AK37">
    <cfRule type="cellIs" dxfId="3490" priority="3452" stopIfTrue="1" operator="between">
      <formula>221101</formula>
      <formula>221118</formula>
    </cfRule>
    <cfRule type="cellIs" dxfId="3489" priority="3453" stopIfTrue="1" operator="between">
      <formula>221142</formula>
      <formula>221144</formula>
    </cfRule>
    <cfRule type="cellIs" dxfId="3488" priority="3454" stopIfTrue="1" operator="between">
      <formula>220001</formula>
      <formula>221144</formula>
    </cfRule>
  </conditionalFormatting>
  <conditionalFormatting sqref="AL37">
    <cfRule type="cellIs" dxfId="3487" priority="3449" stopIfTrue="1" operator="between">
      <formula>221101</formula>
      <formula>221118</formula>
    </cfRule>
    <cfRule type="cellIs" dxfId="3486" priority="3450" stopIfTrue="1" operator="between">
      <formula>221142</formula>
      <formula>221144</formula>
    </cfRule>
    <cfRule type="cellIs" dxfId="3485" priority="3451" stopIfTrue="1" operator="between">
      <formula>220001</formula>
      <formula>221144</formula>
    </cfRule>
  </conditionalFormatting>
  <conditionalFormatting sqref="AK37">
    <cfRule type="cellIs" dxfId="3484" priority="3446" stopIfTrue="1" operator="between">
      <formula>221101</formula>
      <formula>221118</formula>
    </cfRule>
    <cfRule type="cellIs" dxfId="3483" priority="3447" stopIfTrue="1" operator="between">
      <formula>221142</formula>
      <formula>221144</formula>
    </cfRule>
    <cfRule type="cellIs" dxfId="3482" priority="3448" stopIfTrue="1" operator="between">
      <formula>220001</formula>
      <formula>221144</formula>
    </cfRule>
  </conditionalFormatting>
  <conditionalFormatting sqref="AK37">
    <cfRule type="cellIs" dxfId="3481" priority="3443" stopIfTrue="1" operator="between">
      <formula>221101</formula>
      <formula>221118</formula>
    </cfRule>
    <cfRule type="cellIs" dxfId="3480" priority="3444" stopIfTrue="1" operator="between">
      <formula>221142</formula>
      <formula>221144</formula>
    </cfRule>
    <cfRule type="cellIs" dxfId="3479" priority="3445" stopIfTrue="1" operator="between">
      <formula>220001</formula>
      <formula>221144</formula>
    </cfRule>
  </conditionalFormatting>
  <conditionalFormatting sqref="AJ37">
    <cfRule type="cellIs" dxfId="3478" priority="3440" stopIfTrue="1" operator="between">
      <formula>221101</formula>
      <formula>221118</formula>
    </cfRule>
    <cfRule type="cellIs" dxfId="3477" priority="3441" stopIfTrue="1" operator="between">
      <formula>221142</formula>
      <formula>221144</formula>
    </cfRule>
    <cfRule type="cellIs" dxfId="3476" priority="3442" stopIfTrue="1" operator="between">
      <formula>220001</formula>
      <formula>221144</formula>
    </cfRule>
  </conditionalFormatting>
  <conditionalFormatting sqref="AL37">
    <cfRule type="cellIs" dxfId="3475" priority="3437" stopIfTrue="1" operator="between">
      <formula>221101</formula>
      <formula>221118</formula>
    </cfRule>
    <cfRule type="cellIs" dxfId="3474" priority="3438" stopIfTrue="1" operator="between">
      <formula>221142</formula>
      <formula>221144</formula>
    </cfRule>
    <cfRule type="cellIs" dxfId="3473" priority="3439" stopIfTrue="1" operator="between">
      <formula>220001</formula>
      <formula>221144</formula>
    </cfRule>
  </conditionalFormatting>
  <conditionalFormatting sqref="AK37">
    <cfRule type="cellIs" dxfId="3472" priority="3434" stopIfTrue="1" operator="between">
      <formula>221101</formula>
      <formula>221118</formula>
    </cfRule>
    <cfRule type="cellIs" dxfId="3471" priority="3435" stopIfTrue="1" operator="between">
      <formula>221142</formula>
      <formula>221144</formula>
    </cfRule>
    <cfRule type="cellIs" dxfId="3470" priority="3436" stopIfTrue="1" operator="between">
      <formula>220001</formula>
      <formula>221144</formula>
    </cfRule>
  </conditionalFormatting>
  <conditionalFormatting sqref="AK37">
    <cfRule type="cellIs" dxfId="3469" priority="3431" stopIfTrue="1" operator="between">
      <formula>221101</formula>
      <formula>221118</formula>
    </cfRule>
    <cfRule type="cellIs" dxfId="3468" priority="3432" stopIfTrue="1" operator="between">
      <formula>221142</formula>
      <formula>221144</formula>
    </cfRule>
    <cfRule type="cellIs" dxfId="3467" priority="3433" stopIfTrue="1" operator="between">
      <formula>220001</formula>
      <formula>221144</formula>
    </cfRule>
  </conditionalFormatting>
  <conditionalFormatting sqref="AJ37">
    <cfRule type="cellIs" dxfId="3466" priority="3428" stopIfTrue="1" operator="between">
      <formula>221101</formula>
      <formula>221118</formula>
    </cfRule>
    <cfRule type="cellIs" dxfId="3465" priority="3429" stopIfTrue="1" operator="between">
      <formula>221142</formula>
      <formula>221144</formula>
    </cfRule>
    <cfRule type="cellIs" dxfId="3464" priority="3430" stopIfTrue="1" operator="between">
      <formula>220001</formula>
      <formula>221144</formula>
    </cfRule>
  </conditionalFormatting>
  <conditionalFormatting sqref="AK37">
    <cfRule type="cellIs" dxfId="3463" priority="3425" stopIfTrue="1" operator="between">
      <formula>221101</formula>
      <formula>221118</formula>
    </cfRule>
    <cfRule type="cellIs" dxfId="3462" priority="3426" stopIfTrue="1" operator="between">
      <formula>221142</formula>
      <formula>221144</formula>
    </cfRule>
    <cfRule type="cellIs" dxfId="3461" priority="3427" stopIfTrue="1" operator="between">
      <formula>220001</formula>
      <formula>221144</formula>
    </cfRule>
  </conditionalFormatting>
  <conditionalFormatting sqref="AJ37">
    <cfRule type="cellIs" dxfId="3460" priority="3422" stopIfTrue="1" operator="between">
      <formula>221101</formula>
      <formula>221118</formula>
    </cfRule>
    <cfRule type="cellIs" dxfId="3459" priority="3423" stopIfTrue="1" operator="between">
      <formula>221142</formula>
      <formula>221144</formula>
    </cfRule>
    <cfRule type="cellIs" dxfId="3458" priority="3424" stopIfTrue="1" operator="between">
      <formula>220001</formula>
      <formula>221144</formula>
    </cfRule>
  </conditionalFormatting>
  <conditionalFormatting sqref="AJ37">
    <cfRule type="cellIs" dxfId="3457" priority="3419" stopIfTrue="1" operator="between">
      <formula>221101</formula>
      <formula>221118</formula>
    </cfRule>
    <cfRule type="cellIs" dxfId="3456" priority="3420" stopIfTrue="1" operator="between">
      <formula>221142</formula>
      <formula>221144</formula>
    </cfRule>
    <cfRule type="cellIs" dxfId="3455" priority="3421" stopIfTrue="1" operator="between">
      <formula>220001</formula>
      <formula>221144</formula>
    </cfRule>
  </conditionalFormatting>
  <conditionalFormatting sqref="AI37">
    <cfRule type="cellIs" dxfId="3454" priority="3416" stopIfTrue="1" operator="between">
      <formula>221101</formula>
      <formula>221118</formula>
    </cfRule>
    <cfRule type="cellIs" dxfId="3453" priority="3417" stopIfTrue="1" operator="between">
      <formula>221142</formula>
      <formula>221144</formula>
    </cfRule>
    <cfRule type="cellIs" dxfId="3452" priority="3418" stopIfTrue="1" operator="between">
      <formula>220001</formula>
      <formula>221144</formula>
    </cfRule>
  </conditionalFormatting>
  <conditionalFormatting sqref="AM37">
    <cfRule type="cellIs" dxfId="3451" priority="3413" stopIfTrue="1" operator="between">
      <formula>221101</formula>
      <formula>221118</formula>
    </cfRule>
    <cfRule type="cellIs" dxfId="3450" priority="3414" stopIfTrue="1" operator="between">
      <formula>221142</formula>
      <formula>221144</formula>
    </cfRule>
    <cfRule type="cellIs" dxfId="3449" priority="3415" stopIfTrue="1" operator="between">
      <formula>220001</formula>
      <formula>221144</formula>
    </cfRule>
  </conditionalFormatting>
  <conditionalFormatting sqref="AL37">
    <cfRule type="cellIs" dxfId="3448" priority="3410" stopIfTrue="1" operator="between">
      <formula>221101</formula>
      <formula>221118</formula>
    </cfRule>
    <cfRule type="cellIs" dxfId="3447" priority="3411" stopIfTrue="1" operator="between">
      <formula>221142</formula>
      <formula>221144</formula>
    </cfRule>
    <cfRule type="cellIs" dxfId="3446" priority="3412" stopIfTrue="1" operator="between">
      <formula>220001</formula>
      <formula>221144</formula>
    </cfRule>
  </conditionalFormatting>
  <conditionalFormatting sqref="AL37">
    <cfRule type="cellIs" dxfId="3445" priority="3407" stopIfTrue="1" operator="between">
      <formula>221101</formula>
      <formula>221118</formula>
    </cfRule>
    <cfRule type="cellIs" dxfId="3444" priority="3408" stopIfTrue="1" operator="between">
      <formula>221142</formula>
      <formula>221144</formula>
    </cfRule>
    <cfRule type="cellIs" dxfId="3443" priority="3409" stopIfTrue="1" operator="between">
      <formula>220001</formula>
      <formula>221144</formula>
    </cfRule>
  </conditionalFormatting>
  <conditionalFormatting sqref="AK37">
    <cfRule type="cellIs" dxfId="3442" priority="3404" stopIfTrue="1" operator="between">
      <formula>221101</formula>
      <formula>221118</formula>
    </cfRule>
    <cfRule type="cellIs" dxfId="3441" priority="3405" stopIfTrue="1" operator="between">
      <formula>221142</formula>
      <formula>221144</formula>
    </cfRule>
    <cfRule type="cellIs" dxfId="3440" priority="3406" stopIfTrue="1" operator="between">
      <formula>220001</formula>
      <formula>221144</formula>
    </cfRule>
  </conditionalFormatting>
  <conditionalFormatting sqref="AL37">
    <cfRule type="cellIs" dxfId="3439" priority="3401" stopIfTrue="1" operator="between">
      <formula>221101</formula>
      <formula>221118</formula>
    </cfRule>
    <cfRule type="cellIs" dxfId="3438" priority="3402" stopIfTrue="1" operator="between">
      <formula>221142</formula>
      <formula>221144</formula>
    </cfRule>
    <cfRule type="cellIs" dxfId="3437" priority="3403" stopIfTrue="1" operator="between">
      <formula>220001</formula>
      <formula>221144</formula>
    </cfRule>
  </conditionalFormatting>
  <conditionalFormatting sqref="AK37">
    <cfRule type="cellIs" dxfId="3436" priority="3398" stopIfTrue="1" operator="between">
      <formula>221101</formula>
      <formula>221118</formula>
    </cfRule>
    <cfRule type="cellIs" dxfId="3435" priority="3399" stopIfTrue="1" operator="between">
      <formula>221142</formula>
      <formula>221144</formula>
    </cfRule>
    <cfRule type="cellIs" dxfId="3434" priority="3400" stopIfTrue="1" operator="between">
      <formula>220001</formula>
      <formula>221144</formula>
    </cfRule>
  </conditionalFormatting>
  <conditionalFormatting sqref="AK37">
    <cfRule type="cellIs" dxfId="3433" priority="3395" stopIfTrue="1" operator="between">
      <formula>221101</formula>
      <formula>221118</formula>
    </cfRule>
    <cfRule type="cellIs" dxfId="3432" priority="3396" stopIfTrue="1" operator="between">
      <formula>221142</formula>
      <formula>221144</formula>
    </cfRule>
    <cfRule type="cellIs" dxfId="3431" priority="3397" stopIfTrue="1" operator="between">
      <formula>220001</formula>
      <formula>221144</formula>
    </cfRule>
  </conditionalFormatting>
  <conditionalFormatting sqref="AJ37">
    <cfRule type="cellIs" dxfId="3430" priority="3392" stopIfTrue="1" operator="between">
      <formula>221101</formula>
      <formula>221118</formula>
    </cfRule>
    <cfRule type="cellIs" dxfId="3429" priority="3393" stopIfTrue="1" operator="between">
      <formula>221142</formula>
      <formula>221144</formula>
    </cfRule>
    <cfRule type="cellIs" dxfId="3428" priority="3394" stopIfTrue="1" operator="between">
      <formula>220001</formula>
      <formula>221144</formula>
    </cfRule>
  </conditionalFormatting>
  <conditionalFormatting sqref="AL37">
    <cfRule type="cellIs" dxfId="3427" priority="3389" stopIfTrue="1" operator="between">
      <formula>221101</formula>
      <formula>221118</formula>
    </cfRule>
    <cfRule type="cellIs" dxfId="3426" priority="3390" stopIfTrue="1" operator="between">
      <formula>221142</formula>
      <formula>221144</formula>
    </cfRule>
    <cfRule type="cellIs" dxfId="3425" priority="3391" stopIfTrue="1" operator="between">
      <formula>220001</formula>
      <formula>221144</formula>
    </cfRule>
  </conditionalFormatting>
  <conditionalFormatting sqref="AK37">
    <cfRule type="cellIs" dxfId="3424" priority="3386" stopIfTrue="1" operator="between">
      <formula>221101</formula>
      <formula>221118</formula>
    </cfRule>
    <cfRule type="cellIs" dxfId="3423" priority="3387" stopIfTrue="1" operator="between">
      <formula>221142</formula>
      <formula>221144</formula>
    </cfRule>
    <cfRule type="cellIs" dxfId="3422" priority="3388" stopIfTrue="1" operator="between">
      <formula>220001</formula>
      <formula>221144</formula>
    </cfRule>
  </conditionalFormatting>
  <conditionalFormatting sqref="AK37">
    <cfRule type="cellIs" dxfId="3421" priority="3383" stopIfTrue="1" operator="between">
      <formula>221101</formula>
      <formula>221118</formula>
    </cfRule>
    <cfRule type="cellIs" dxfId="3420" priority="3384" stopIfTrue="1" operator="between">
      <formula>221142</formula>
      <formula>221144</formula>
    </cfRule>
    <cfRule type="cellIs" dxfId="3419" priority="3385" stopIfTrue="1" operator="between">
      <formula>220001</formula>
      <formula>221144</formula>
    </cfRule>
  </conditionalFormatting>
  <conditionalFormatting sqref="AJ37">
    <cfRule type="cellIs" dxfId="3418" priority="3380" stopIfTrue="1" operator="between">
      <formula>221101</formula>
      <formula>221118</formula>
    </cfRule>
    <cfRule type="cellIs" dxfId="3417" priority="3381" stopIfTrue="1" operator="between">
      <formula>221142</formula>
      <formula>221144</formula>
    </cfRule>
    <cfRule type="cellIs" dxfId="3416" priority="3382" stopIfTrue="1" operator="between">
      <formula>220001</formula>
      <formula>221144</formula>
    </cfRule>
  </conditionalFormatting>
  <conditionalFormatting sqref="AK37">
    <cfRule type="cellIs" dxfId="3415" priority="3377" stopIfTrue="1" operator="between">
      <formula>221101</formula>
      <formula>221118</formula>
    </cfRule>
    <cfRule type="cellIs" dxfId="3414" priority="3378" stopIfTrue="1" operator="between">
      <formula>221142</formula>
      <formula>221144</formula>
    </cfRule>
    <cfRule type="cellIs" dxfId="3413" priority="3379" stopIfTrue="1" operator="between">
      <formula>220001</formula>
      <formula>221144</formula>
    </cfRule>
  </conditionalFormatting>
  <conditionalFormatting sqref="AJ37">
    <cfRule type="cellIs" dxfId="3412" priority="3374" stopIfTrue="1" operator="between">
      <formula>221101</formula>
      <formula>221118</formula>
    </cfRule>
    <cfRule type="cellIs" dxfId="3411" priority="3375" stopIfTrue="1" operator="between">
      <formula>221142</formula>
      <formula>221144</formula>
    </cfRule>
    <cfRule type="cellIs" dxfId="3410" priority="3376" stopIfTrue="1" operator="between">
      <formula>220001</formula>
      <formula>221144</formula>
    </cfRule>
  </conditionalFormatting>
  <conditionalFormatting sqref="AJ37">
    <cfRule type="cellIs" dxfId="3409" priority="3371" stopIfTrue="1" operator="between">
      <formula>221101</formula>
      <formula>221118</formula>
    </cfRule>
    <cfRule type="cellIs" dxfId="3408" priority="3372" stopIfTrue="1" operator="between">
      <formula>221142</formula>
      <formula>221144</formula>
    </cfRule>
    <cfRule type="cellIs" dxfId="3407" priority="3373" stopIfTrue="1" operator="between">
      <formula>220001</formula>
      <formula>221144</formula>
    </cfRule>
  </conditionalFormatting>
  <conditionalFormatting sqref="AI37">
    <cfRule type="cellIs" dxfId="3406" priority="3368" stopIfTrue="1" operator="between">
      <formula>221101</formula>
      <formula>221118</formula>
    </cfRule>
    <cfRule type="cellIs" dxfId="3405" priority="3369" stopIfTrue="1" operator="between">
      <formula>221142</formula>
      <formula>221144</formula>
    </cfRule>
    <cfRule type="cellIs" dxfId="3404" priority="3370" stopIfTrue="1" operator="between">
      <formula>220001</formula>
      <formula>221144</formula>
    </cfRule>
  </conditionalFormatting>
  <conditionalFormatting sqref="AL37">
    <cfRule type="cellIs" dxfId="3403" priority="3365" stopIfTrue="1" operator="between">
      <formula>221101</formula>
      <formula>221118</formula>
    </cfRule>
    <cfRule type="cellIs" dxfId="3402" priority="3366" stopIfTrue="1" operator="between">
      <formula>221142</formula>
      <formula>221144</formula>
    </cfRule>
    <cfRule type="cellIs" dxfId="3401" priority="3367" stopIfTrue="1" operator="between">
      <formula>220001</formula>
      <formula>221144</formula>
    </cfRule>
  </conditionalFormatting>
  <conditionalFormatting sqref="AK37">
    <cfRule type="cellIs" dxfId="3400" priority="3362" stopIfTrue="1" operator="between">
      <formula>221101</formula>
      <formula>221118</formula>
    </cfRule>
    <cfRule type="cellIs" dxfId="3399" priority="3363" stopIfTrue="1" operator="between">
      <formula>221142</formula>
      <formula>221144</formula>
    </cfRule>
    <cfRule type="cellIs" dxfId="3398" priority="3364" stopIfTrue="1" operator="between">
      <formula>220001</formula>
      <formula>221144</formula>
    </cfRule>
  </conditionalFormatting>
  <conditionalFormatting sqref="AK37">
    <cfRule type="cellIs" dxfId="3397" priority="3359" stopIfTrue="1" operator="between">
      <formula>221101</formula>
      <formula>221118</formula>
    </cfRule>
    <cfRule type="cellIs" dxfId="3396" priority="3360" stopIfTrue="1" operator="between">
      <formula>221142</formula>
      <formula>221144</formula>
    </cfRule>
    <cfRule type="cellIs" dxfId="3395" priority="3361" stopIfTrue="1" operator="between">
      <formula>220001</formula>
      <formula>221144</formula>
    </cfRule>
  </conditionalFormatting>
  <conditionalFormatting sqref="AJ37">
    <cfRule type="cellIs" dxfId="3394" priority="3356" stopIfTrue="1" operator="between">
      <formula>221101</formula>
      <formula>221118</formula>
    </cfRule>
    <cfRule type="cellIs" dxfId="3393" priority="3357" stopIfTrue="1" operator="between">
      <formula>221142</formula>
      <formula>221144</formula>
    </cfRule>
    <cfRule type="cellIs" dxfId="3392" priority="3358" stopIfTrue="1" operator="between">
      <formula>220001</formula>
      <formula>221144</formula>
    </cfRule>
  </conditionalFormatting>
  <conditionalFormatting sqref="AK37">
    <cfRule type="cellIs" dxfId="3391" priority="3353" stopIfTrue="1" operator="between">
      <formula>221101</formula>
      <formula>221118</formula>
    </cfRule>
    <cfRule type="cellIs" dxfId="3390" priority="3354" stopIfTrue="1" operator="between">
      <formula>221142</formula>
      <formula>221144</formula>
    </cfRule>
    <cfRule type="cellIs" dxfId="3389" priority="3355" stopIfTrue="1" operator="between">
      <formula>220001</formula>
      <formula>221144</formula>
    </cfRule>
  </conditionalFormatting>
  <conditionalFormatting sqref="AJ37">
    <cfRule type="cellIs" dxfId="3388" priority="3350" stopIfTrue="1" operator="between">
      <formula>221101</formula>
      <formula>221118</formula>
    </cfRule>
    <cfRule type="cellIs" dxfId="3387" priority="3351" stopIfTrue="1" operator="between">
      <formula>221142</formula>
      <formula>221144</formula>
    </cfRule>
    <cfRule type="cellIs" dxfId="3386" priority="3352" stopIfTrue="1" operator="between">
      <formula>220001</formula>
      <formula>221144</formula>
    </cfRule>
  </conditionalFormatting>
  <conditionalFormatting sqref="AJ37">
    <cfRule type="cellIs" dxfId="3385" priority="3347" stopIfTrue="1" operator="between">
      <formula>221101</formula>
      <formula>221118</formula>
    </cfRule>
    <cfRule type="cellIs" dxfId="3384" priority="3348" stopIfTrue="1" operator="between">
      <formula>221142</formula>
      <formula>221144</formula>
    </cfRule>
    <cfRule type="cellIs" dxfId="3383" priority="3349" stopIfTrue="1" operator="between">
      <formula>220001</formula>
      <formula>221144</formula>
    </cfRule>
  </conditionalFormatting>
  <conditionalFormatting sqref="AI37">
    <cfRule type="cellIs" dxfId="3382" priority="3344" stopIfTrue="1" operator="between">
      <formula>221101</formula>
      <formula>221118</formula>
    </cfRule>
    <cfRule type="cellIs" dxfId="3381" priority="3345" stopIfTrue="1" operator="between">
      <formula>221142</formula>
      <formula>221144</formula>
    </cfRule>
    <cfRule type="cellIs" dxfId="3380" priority="3346" stopIfTrue="1" operator="between">
      <formula>220001</formula>
      <formula>221144</formula>
    </cfRule>
  </conditionalFormatting>
  <conditionalFormatting sqref="AK37">
    <cfRule type="cellIs" dxfId="3379" priority="3341" stopIfTrue="1" operator="between">
      <formula>221101</formula>
      <formula>221118</formula>
    </cfRule>
    <cfRule type="cellIs" dxfId="3378" priority="3342" stopIfTrue="1" operator="between">
      <formula>221142</formula>
      <formula>221144</formula>
    </cfRule>
    <cfRule type="cellIs" dxfId="3377" priority="3343" stopIfTrue="1" operator="between">
      <formula>220001</formula>
      <formula>221144</formula>
    </cfRule>
  </conditionalFormatting>
  <conditionalFormatting sqref="AJ37">
    <cfRule type="cellIs" dxfId="3376" priority="3338" stopIfTrue="1" operator="between">
      <formula>221101</formula>
      <formula>221118</formula>
    </cfRule>
    <cfRule type="cellIs" dxfId="3375" priority="3339" stopIfTrue="1" operator="between">
      <formula>221142</formula>
      <formula>221144</formula>
    </cfRule>
    <cfRule type="cellIs" dxfId="3374" priority="3340" stopIfTrue="1" operator="between">
      <formula>220001</formula>
      <formula>221144</formula>
    </cfRule>
  </conditionalFormatting>
  <conditionalFormatting sqref="AJ37">
    <cfRule type="cellIs" dxfId="3373" priority="3335" stopIfTrue="1" operator="between">
      <formula>221101</formula>
      <formula>221118</formula>
    </cfRule>
    <cfRule type="cellIs" dxfId="3372" priority="3336" stopIfTrue="1" operator="between">
      <formula>221142</formula>
      <formula>221144</formula>
    </cfRule>
    <cfRule type="cellIs" dxfId="3371" priority="3337" stopIfTrue="1" operator="between">
      <formula>220001</formula>
      <formula>221144</formula>
    </cfRule>
  </conditionalFormatting>
  <conditionalFormatting sqref="AI37">
    <cfRule type="cellIs" dxfId="3370" priority="3332" stopIfTrue="1" operator="between">
      <formula>221101</formula>
      <formula>221118</formula>
    </cfRule>
    <cfRule type="cellIs" dxfId="3369" priority="3333" stopIfTrue="1" operator="between">
      <formula>221142</formula>
      <formula>221144</formula>
    </cfRule>
    <cfRule type="cellIs" dxfId="3368" priority="3334" stopIfTrue="1" operator="between">
      <formula>220001</formula>
      <formula>221144</formula>
    </cfRule>
  </conditionalFormatting>
  <conditionalFormatting sqref="AJ37">
    <cfRule type="cellIs" dxfId="3367" priority="3329" stopIfTrue="1" operator="between">
      <formula>221101</formula>
      <formula>221118</formula>
    </cfRule>
    <cfRule type="cellIs" dxfId="3366" priority="3330" stopIfTrue="1" operator="between">
      <formula>221142</formula>
      <formula>221144</formula>
    </cfRule>
    <cfRule type="cellIs" dxfId="3365" priority="3331" stopIfTrue="1" operator="between">
      <formula>220001</formula>
      <formula>221144</formula>
    </cfRule>
  </conditionalFormatting>
  <conditionalFormatting sqref="AI37">
    <cfRule type="cellIs" dxfId="3364" priority="3326" stopIfTrue="1" operator="between">
      <formula>221101</formula>
      <formula>221118</formula>
    </cfRule>
    <cfRule type="cellIs" dxfId="3363" priority="3327" stopIfTrue="1" operator="between">
      <formula>221142</formula>
      <formula>221144</formula>
    </cfRule>
    <cfRule type="cellIs" dxfId="3362" priority="3328" stopIfTrue="1" operator="between">
      <formula>220001</formula>
      <formula>221144</formula>
    </cfRule>
  </conditionalFormatting>
  <conditionalFormatting sqref="AI37">
    <cfRule type="cellIs" dxfId="3361" priority="3323" stopIfTrue="1" operator="between">
      <formula>221101</formula>
      <formula>221118</formula>
    </cfRule>
    <cfRule type="cellIs" dxfId="3360" priority="3324" stopIfTrue="1" operator="between">
      <formula>221142</formula>
      <formula>221144</formula>
    </cfRule>
    <cfRule type="cellIs" dxfId="3359" priority="3325" stopIfTrue="1" operator="between">
      <formula>220001</formula>
      <formula>221144</formula>
    </cfRule>
  </conditionalFormatting>
  <conditionalFormatting sqref="AH37">
    <cfRule type="cellIs" dxfId="3358" priority="3320" stopIfTrue="1" operator="between">
      <formula>221101</formula>
      <formula>221118</formula>
    </cfRule>
    <cfRule type="cellIs" dxfId="3357" priority="3321" stopIfTrue="1" operator="between">
      <formula>221142</formula>
      <formula>221144</formula>
    </cfRule>
    <cfRule type="cellIs" dxfId="3356" priority="3322" stopIfTrue="1" operator="between">
      <formula>220001</formula>
      <formula>221144</formula>
    </cfRule>
  </conditionalFormatting>
  <conditionalFormatting sqref="AO42">
    <cfRule type="cellIs" dxfId="3355" priority="3317" stopIfTrue="1" operator="between">
      <formula>221101</formula>
      <formula>221118</formula>
    </cfRule>
    <cfRule type="cellIs" dxfId="3354" priority="3318" stopIfTrue="1" operator="between">
      <formula>221142</formula>
      <formula>221144</formula>
    </cfRule>
    <cfRule type="cellIs" dxfId="3353" priority="3319" stopIfTrue="1" operator="between">
      <formula>220001</formula>
      <formula>221144</formula>
    </cfRule>
  </conditionalFormatting>
  <conditionalFormatting sqref="AN42">
    <cfRule type="cellIs" dxfId="3352" priority="3314" stopIfTrue="1" operator="between">
      <formula>221101</formula>
      <formula>221118</formula>
    </cfRule>
    <cfRule type="cellIs" dxfId="3351" priority="3315" stopIfTrue="1" operator="between">
      <formula>221142</formula>
      <formula>221144</formula>
    </cfRule>
    <cfRule type="cellIs" dxfId="3350" priority="3316" stopIfTrue="1" operator="between">
      <formula>220001</formula>
      <formula>221144</formula>
    </cfRule>
  </conditionalFormatting>
  <conditionalFormatting sqref="AN42">
    <cfRule type="cellIs" dxfId="3349" priority="3311" stopIfTrue="1" operator="between">
      <formula>221101</formula>
      <formula>221118</formula>
    </cfRule>
    <cfRule type="cellIs" dxfId="3348" priority="3312" stopIfTrue="1" operator="between">
      <formula>221142</formula>
      <formula>221144</formula>
    </cfRule>
    <cfRule type="cellIs" dxfId="3347" priority="3313" stopIfTrue="1" operator="between">
      <formula>220001</formula>
      <formula>221144</formula>
    </cfRule>
  </conditionalFormatting>
  <conditionalFormatting sqref="AM42">
    <cfRule type="cellIs" dxfId="3346" priority="3308" stopIfTrue="1" operator="between">
      <formula>221101</formula>
      <formula>221118</formula>
    </cfRule>
    <cfRule type="cellIs" dxfId="3345" priority="3309" stopIfTrue="1" operator="between">
      <formula>221142</formula>
      <formula>221144</formula>
    </cfRule>
    <cfRule type="cellIs" dxfId="3344" priority="3310" stopIfTrue="1" operator="between">
      <formula>220001</formula>
      <formula>221144</formula>
    </cfRule>
  </conditionalFormatting>
  <conditionalFormatting sqref="D42">
    <cfRule type="cellIs" dxfId="3343" priority="3305" stopIfTrue="1" operator="between">
      <formula>221101</formula>
      <formula>221118</formula>
    </cfRule>
    <cfRule type="cellIs" dxfId="3342" priority="3306" stopIfTrue="1" operator="between">
      <formula>221142</formula>
      <formula>221144</formula>
    </cfRule>
    <cfRule type="cellIs" dxfId="3341" priority="3307" stopIfTrue="1" operator="between">
      <formula>220001</formula>
      <formula>221144</formula>
    </cfRule>
  </conditionalFormatting>
  <conditionalFormatting sqref="D42">
    <cfRule type="cellIs" dxfId="3340" priority="3302" stopIfTrue="1" operator="between">
      <formula>221101</formula>
      <formula>221118</formula>
    </cfRule>
    <cfRule type="cellIs" dxfId="3339" priority="3303" stopIfTrue="1" operator="between">
      <formula>221142</formula>
      <formula>221144</formula>
    </cfRule>
    <cfRule type="cellIs" dxfId="3338" priority="3304" stopIfTrue="1" operator="between">
      <formula>220001</formula>
      <formula>221144</formula>
    </cfRule>
  </conditionalFormatting>
  <conditionalFormatting sqref="D42">
    <cfRule type="cellIs" dxfId="3337" priority="3299" stopIfTrue="1" operator="between">
      <formula>221101</formula>
      <formula>221118</formula>
    </cfRule>
    <cfRule type="cellIs" dxfId="3336" priority="3300" stopIfTrue="1" operator="between">
      <formula>221142</formula>
      <formula>221144</formula>
    </cfRule>
    <cfRule type="cellIs" dxfId="3335" priority="3301" stopIfTrue="1" operator="between">
      <formula>220001</formula>
      <formula>221144</formula>
    </cfRule>
  </conditionalFormatting>
  <conditionalFormatting sqref="D42">
    <cfRule type="cellIs" dxfId="3334" priority="3296" stopIfTrue="1" operator="between">
      <formula>221101</formula>
      <formula>221118</formula>
    </cfRule>
    <cfRule type="cellIs" dxfId="3333" priority="3297" stopIfTrue="1" operator="between">
      <formula>221142</formula>
      <formula>221144</formula>
    </cfRule>
    <cfRule type="cellIs" dxfId="3332" priority="3298" stopIfTrue="1" operator="between">
      <formula>220001</formula>
      <formula>221144</formula>
    </cfRule>
  </conditionalFormatting>
  <conditionalFormatting sqref="AN42">
    <cfRule type="cellIs" dxfId="3331" priority="3293" stopIfTrue="1" operator="between">
      <formula>221101</formula>
      <formula>221118</formula>
    </cfRule>
    <cfRule type="cellIs" dxfId="3330" priority="3294" stopIfTrue="1" operator="between">
      <formula>221142</formula>
      <formula>221144</formula>
    </cfRule>
    <cfRule type="cellIs" dxfId="3329" priority="3295" stopIfTrue="1" operator="between">
      <formula>220001</formula>
      <formula>221144</formula>
    </cfRule>
  </conditionalFormatting>
  <conditionalFormatting sqref="AM42">
    <cfRule type="cellIs" dxfId="3328" priority="3290" stopIfTrue="1" operator="between">
      <formula>221101</formula>
      <formula>221118</formula>
    </cfRule>
    <cfRule type="cellIs" dxfId="3327" priority="3291" stopIfTrue="1" operator="between">
      <formula>221142</formula>
      <formula>221144</formula>
    </cfRule>
    <cfRule type="cellIs" dxfId="3326" priority="3292" stopIfTrue="1" operator="between">
      <formula>220001</formula>
      <formula>221144</formula>
    </cfRule>
  </conditionalFormatting>
  <conditionalFormatting sqref="AM42">
    <cfRule type="cellIs" dxfId="3325" priority="3287" stopIfTrue="1" operator="between">
      <formula>221101</formula>
      <formula>221118</formula>
    </cfRule>
    <cfRule type="cellIs" dxfId="3324" priority="3288" stopIfTrue="1" operator="between">
      <formula>221142</formula>
      <formula>221144</formula>
    </cfRule>
    <cfRule type="cellIs" dxfId="3323" priority="3289" stopIfTrue="1" operator="between">
      <formula>220001</formula>
      <formula>221144</formula>
    </cfRule>
  </conditionalFormatting>
  <conditionalFormatting sqref="AL42">
    <cfRule type="cellIs" dxfId="3322" priority="3284" stopIfTrue="1" operator="between">
      <formula>221101</formula>
      <formula>221118</formula>
    </cfRule>
    <cfRule type="cellIs" dxfId="3321" priority="3285" stopIfTrue="1" operator="between">
      <formula>221142</formula>
      <formula>221144</formula>
    </cfRule>
    <cfRule type="cellIs" dxfId="3320" priority="3286" stopIfTrue="1" operator="between">
      <formula>220001</formula>
      <formula>221144</formula>
    </cfRule>
  </conditionalFormatting>
  <conditionalFormatting sqref="C42">
    <cfRule type="cellIs" dxfId="3319" priority="3281" stopIfTrue="1" operator="between">
      <formula>221101</formula>
      <formula>221118</formula>
    </cfRule>
    <cfRule type="cellIs" dxfId="3318" priority="3282" stopIfTrue="1" operator="between">
      <formula>221142</formula>
      <formula>221144</formula>
    </cfRule>
    <cfRule type="cellIs" dxfId="3317" priority="3283" stopIfTrue="1" operator="between">
      <formula>220001</formula>
      <formula>221144</formula>
    </cfRule>
  </conditionalFormatting>
  <conditionalFormatting sqref="C42">
    <cfRule type="cellIs" dxfId="3316" priority="3278" stopIfTrue="1" operator="between">
      <formula>221101</formula>
      <formula>221118</formula>
    </cfRule>
    <cfRule type="cellIs" dxfId="3315" priority="3279" stopIfTrue="1" operator="between">
      <formula>221142</formula>
      <formula>221144</formula>
    </cfRule>
    <cfRule type="cellIs" dxfId="3314" priority="3280" stopIfTrue="1" operator="between">
      <formula>220001</formula>
      <formula>221144</formula>
    </cfRule>
  </conditionalFormatting>
  <conditionalFormatting sqref="C42">
    <cfRule type="cellIs" dxfId="3313" priority="3275" stopIfTrue="1" operator="between">
      <formula>221101</formula>
      <formula>221118</formula>
    </cfRule>
    <cfRule type="cellIs" dxfId="3312" priority="3276" stopIfTrue="1" operator="between">
      <formula>221142</formula>
      <formula>221144</formula>
    </cfRule>
    <cfRule type="cellIs" dxfId="3311" priority="3277" stopIfTrue="1" operator="between">
      <formula>220001</formula>
      <formula>221144</formula>
    </cfRule>
  </conditionalFormatting>
  <conditionalFormatting sqref="C42">
    <cfRule type="cellIs" dxfId="3310" priority="3272" stopIfTrue="1" operator="between">
      <formula>221101</formula>
      <formula>221118</formula>
    </cfRule>
    <cfRule type="cellIs" dxfId="3309" priority="3273" stopIfTrue="1" operator="between">
      <formula>221142</formula>
      <formula>221144</formula>
    </cfRule>
    <cfRule type="cellIs" dxfId="3308" priority="3274" stopIfTrue="1" operator="between">
      <formula>220001</formula>
      <formula>221144</formula>
    </cfRule>
  </conditionalFormatting>
  <conditionalFormatting sqref="AN42">
    <cfRule type="cellIs" dxfId="3307" priority="3269" stopIfTrue="1" operator="between">
      <formula>221101</formula>
      <formula>221118</formula>
    </cfRule>
    <cfRule type="cellIs" dxfId="3306" priority="3270" stopIfTrue="1" operator="between">
      <formula>221142</formula>
      <formula>221144</formula>
    </cfRule>
    <cfRule type="cellIs" dxfId="3305" priority="3271" stopIfTrue="1" operator="between">
      <formula>220001</formula>
      <formula>221144</formula>
    </cfRule>
  </conditionalFormatting>
  <conditionalFormatting sqref="AM42">
    <cfRule type="cellIs" dxfId="3304" priority="3266" stopIfTrue="1" operator="between">
      <formula>221101</formula>
      <formula>221118</formula>
    </cfRule>
    <cfRule type="cellIs" dxfId="3303" priority="3267" stopIfTrue="1" operator="between">
      <formula>221142</formula>
      <formula>221144</formula>
    </cfRule>
    <cfRule type="cellIs" dxfId="3302" priority="3268" stopIfTrue="1" operator="between">
      <formula>220001</formula>
      <formula>221144</formula>
    </cfRule>
  </conditionalFormatting>
  <conditionalFormatting sqref="AM42">
    <cfRule type="cellIs" dxfId="3301" priority="3263" stopIfTrue="1" operator="between">
      <formula>221101</formula>
      <formula>221118</formula>
    </cfRule>
    <cfRule type="cellIs" dxfId="3300" priority="3264" stopIfTrue="1" operator="between">
      <formula>221142</formula>
      <formula>221144</formula>
    </cfRule>
    <cfRule type="cellIs" dxfId="3299" priority="3265" stopIfTrue="1" operator="between">
      <formula>220001</formula>
      <formula>221144</formula>
    </cfRule>
  </conditionalFormatting>
  <conditionalFormatting sqref="AL42">
    <cfRule type="cellIs" dxfId="3298" priority="3260" stopIfTrue="1" operator="between">
      <formula>221101</formula>
      <formula>221118</formula>
    </cfRule>
    <cfRule type="cellIs" dxfId="3297" priority="3261" stopIfTrue="1" operator="between">
      <formula>221142</formula>
      <formula>221144</formula>
    </cfRule>
    <cfRule type="cellIs" dxfId="3296" priority="3262" stopIfTrue="1" operator="between">
      <formula>220001</formula>
      <formula>221144</formula>
    </cfRule>
  </conditionalFormatting>
  <conditionalFormatting sqref="C42">
    <cfRule type="cellIs" dxfId="3295" priority="3257" stopIfTrue="1" operator="between">
      <formula>221101</formula>
      <formula>221118</formula>
    </cfRule>
    <cfRule type="cellIs" dxfId="3294" priority="3258" stopIfTrue="1" operator="between">
      <formula>221142</formula>
      <formula>221144</formula>
    </cfRule>
    <cfRule type="cellIs" dxfId="3293" priority="3259" stopIfTrue="1" operator="between">
      <formula>220001</formula>
      <formula>221144</formula>
    </cfRule>
  </conditionalFormatting>
  <conditionalFormatting sqref="C42">
    <cfRule type="cellIs" dxfId="3292" priority="3254" stopIfTrue="1" operator="between">
      <formula>221101</formula>
      <formula>221118</formula>
    </cfRule>
    <cfRule type="cellIs" dxfId="3291" priority="3255" stopIfTrue="1" operator="between">
      <formula>221142</formula>
      <formula>221144</formula>
    </cfRule>
    <cfRule type="cellIs" dxfId="3290" priority="3256" stopIfTrue="1" operator="between">
      <formula>220001</formula>
      <formula>221144</formula>
    </cfRule>
  </conditionalFormatting>
  <conditionalFormatting sqref="C42">
    <cfRule type="cellIs" dxfId="3289" priority="3251" stopIfTrue="1" operator="between">
      <formula>221101</formula>
      <formula>221118</formula>
    </cfRule>
    <cfRule type="cellIs" dxfId="3288" priority="3252" stopIfTrue="1" operator="between">
      <formula>221142</formula>
      <formula>221144</formula>
    </cfRule>
    <cfRule type="cellIs" dxfId="3287" priority="3253" stopIfTrue="1" operator="between">
      <formula>220001</formula>
      <formula>221144</formula>
    </cfRule>
  </conditionalFormatting>
  <conditionalFormatting sqref="C42">
    <cfRule type="cellIs" dxfId="3286" priority="3248" stopIfTrue="1" operator="between">
      <formula>221101</formula>
      <formula>221118</formula>
    </cfRule>
    <cfRule type="cellIs" dxfId="3285" priority="3249" stopIfTrue="1" operator="between">
      <formula>221142</formula>
      <formula>221144</formula>
    </cfRule>
    <cfRule type="cellIs" dxfId="3284" priority="3250" stopIfTrue="1" operator="between">
      <formula>220001</formula>
      <formula>221144</formula>
    </cfRule>
  </conditionalFormatting>
  <conditionalFormatting sqref="AM42">
    <cfRule type="cellIs" dxfId="3283" priority="3245" stopIfTrue="1" operator="between">
      <formula>221101</formula>
      <formula>221118</formula>
    </cfRule>
    <cfRule type="cellIs" dxfId="3282" priority="3246" stopIfTrue="1" operator="between">
      <formula>221142</formula>
      <formula>221144</formula>
    </cfRule>
    <cfRule type="cellIs" dxfId="3281" priority="3247" stopIfTrue="1" operator="between">
      <formula>220001</formula>
      <formula>221144</formula>
    </cfRule>
  </conditionalFormatting>
  <conditionalFormatting sqref="AL42">
    <cfRule type="cellIs" dxfId="3280" priority="3242" stopIfTrue="1" operator="between">
      <formula>221101</formula>
      <formula>221118</formula>
    </cfRule>
    <cfRule type="cellIs" dxfId="3279" priority="3243" stopIfTrue="1" operator="between">
      <formula>221142</formula>
      <formula>221144</formula>
    </cfRule>
    <cfRule type="cellIs" dxfId="3278" priority="3244" stopIfTrue="1" operator="between">
      <formula>220001</formula>
      <formula>221144</formula>
    </cfRule>
  </conditionalFormatting>
  <conditionalFormatting sqref="AL42">
    <cfRule type="cellIs" dxfId="3277" priority="3239" stopIfTrue="1" operator="between">
      <formula>221101</formula>
      <formula>221118</formula>
    </cfRule>
    <cfRule type="cellIs" dxfId="3276" priority="3240" stopIfTrue="1" operator="between">
      <formula>221142</formula>
      <formula>221144</formula>
    </cfRule>
    <cfRule type="cellIs" dxfId="3275" priority="3241" stopIfTrue="1" operator="between">
      <formula>220001</formula>
      <formula>221144</formula>
    </cfRule>
  </conditionalFormatting>
  <conditionalFormatting sqref="AK42">
    <cfRule type="cellIs" dxfId="3274" priority="3236" stopIfTrue="1" operator="between">
      <formula>221101</formula>
      <formula>221118</formula>
    </cfRule>
    <cfRule type="cellIs" dxfId="3273" priority="3237" stopIfTrue="1" operator="between">
      <formula>221142</formula>
      <formula>221144</formula>
    </cfRule>
    <cfRule type="cellIs" dxfId="3272" priority="3238" stopIfTrue="1" operator="between">
      <formula>220001</formula>
      <formula>221144</formula>
    </cfRule>
  </conditionalFormatting>
  <conditionalFormatting sqref="AN42">
    <cfRule type="cellIs" dxfId="3271" priority="3233" stopIfTrue="1" operator="between">
      <formula>221101</formula>
      <formula>221118</formula>
    </cfRule>
    <cfRule type="cellIs" dxfId="3270" priority="3234" stopIfTrue="1" operator="between">
      <formula>221142</formula>
      <formula>221144</formula>
    </cfRule>
    <cfRule type="cellIs" dxfId="3269" priority="3235" stopIfTrue="1" operator="between">
      <formula>220001</formula>
      <formula>221144</formula>
    </cfRule>
  </conditionalFormatting>
  <conditionalFormatting sqref="AM42">
    <cfRule type="cellIs" dxfId="3268" priority="3230" stopIfTrue="1" operator="between">
      <formula>221101</formula>
      <formula>221118</formula>
    </cfRule>
    <cfRule type="cellIs" dxfId="3267" priority="3231" stopIfTrue="1" operator="between">
      <formula>221142</formula>
      <formula>221144</formula>
    </cfRule>
    <cfRule type="cellIs" dxfId="3266" priority="3232" stopIfTrue="1" operator="between">
      <formula>220001</formula>
      <formula>221144</formula>
    </cfRule>
  </conditionalFormatting>
  <conditionalFormatting sqref="AM42">
    <cfRule type="cellIs" dxfId="3265" priority="3227" stopIfTrue="1" operator="between">
      <formula>221101</formula>
      <formula>221118</formula>
    </cfRule>
    <cfRule type="cellIs" dxfId="3264" priority="3228" stopIfTrue="1" operator="between">
      <formula>221142</formula>
      <formula>221144</formula>
    </cfRule>
    <cfRule type="cellIs" dxfId="3263" priority="3229" stopIfTrue="1" operator="between">
      <formula>220001</formula>
      <formula>221144</formula>
    </cfRule>
  </conditionalFormatting>
  <conditionalFormatting sqref="AL42">
    <cfRule type="cellIs" dxfId="3262" priority="3224" stopIfTrue="1" operator="between">
      <formula>221101</formula>
      <formula>221118</formula>
    </cfRule>
    <cfRule type="cellIs" dxfId="3261" priority="3225" stopIfTrue="1" operator="between">
      <formula>221142</formula>
      <formula>221144</formula>
    </cfRule>
    <cfRule type="cellIs" dxfId="3260" priority="3226" stopIfTrue="1" operator="between">
      <formula>220001</formula>
      <formula>221144</formula>
    </cfRule>
  </conditionalFormatting>
  <conditionalFormatting sqref="C42">
    <cfRule type="cellIs" dxfId="3259" priority="3221" stopIfTrue="1" operator="between">
      <formula>221101</formula>
      <formula>221118</formula>
    </cfRule>
    <cfRule type="cellIs" dxfId="3258" priority="3222" stopIfTrue="1" operator="between">
      <formula>221142</formula>
      <formula>221144</formula>
    </cfRule>
    <cfRule type="cellIs" dxfId="3257" priority="3223" stopIfTrue="1" operator="between">
      <formula>220001</formula>
      <formula>221144</formula>
    </cfRule>
  </conditionalFormatting>
  <conditionalFormatting sqref="C42">
    <cfRule type="cellIs" dxfId="3256" priority="3218" stopIfTrue="1" operator="between">
      <formula>221101</formula>
      <formula>221118</formula>
    </cfRule>
    <cfRule type="cellIs" dxfId="3255" priority="3219" stopIfTrue="1" operator="between">
      <formula>221142</formula>
      <formula>221144</formula>
    </cfRule>
    <cfRule type="cellIs" dxfId="3254" priority="3220" stopIfTrue="1" operator="between">
      <formula>220001</formula>
      <formula>221144</formula>
    </cfRule>
  </conditionalFormatting>
  <conditionalFormatting sqref="C42">
    <cfRule type="cellIs" dxfId="3253" priority="3215" stopIfTrue="1" operator="between">
      <formula>221101</formula>
      <formula>221118</formula>
    </cfRule>
    <cfRule type="cellIs" dxfId="3252" priority="3216" stopIfTrue="1" operator="between">
      <formula>221142</formula>
      <formula>221144</formula>
    </cfRule>
    <cfRule type="cellIs" dxfId="3251" priority="3217" stopIfTrue="1" operator="between">
      <formula>220001</formula>
      <formula>221144</formula>
    </cfRule>
  </conditionalFormatting>
  <conditionalFormatting sqref="C42">
    <cfRule type="cellIs" dxfId="3250" priority="3212" stopIfTrue="1" operator="between">
      <formula>221101</formula>
      <formula>221118</formula>
    </cfRule>
    <cfRule type="cellIs" dxfId="3249" priority="3213" stopIfTrue="1" operator="between">
      <formula>221142</formula>
      <formula>221144</formula>
    </cfRule>
    <cfRule type="cellIs" dxfId="3248" priority="3214" stopIfTrue="1" operator="between">
      <formula>220001</formula>
      <formula>221144</formula>
    </cfRule>
  </conditionalFormatting>
  <conditionalFormatting sqref="AM42">
    <cfRule type="cellIs" dxfId="3247" priority="3209" stopIfTrue="1" operator="between">
      <formula>221101</formula>
      <formula>221118</formula>
    </cfRule>
    <cfRule type="cellIs" dxfId="3246" priority="3210" stopIfTrue="1" operator="between">
      <formula>221142</formula>
      <formula>221144</formula>
    </cfRule>
    <cfRule type="cellIs" dxfId="3245" priority="3211" stopIfTrue="1" operator="between">
      <formula>220001</formula>
      <formula>221144</formula>
    </cfRule>
  </conditionalFormatting>
  <conditionalFormatting sqref="AL42">
    <cfRule type="cellIs" dxfId="3244" priority="3206" stopIfTrue="1" operator="between">
      <formula>221101</formula>
      <formula>221118</formula>
    </cfRule>
    <cfRule type="cellIs" dxfId="3243" priority="3207" stopIfTrue="1" operator="between">
      <formula>221142</formula>
      <formula>221144</formula>
    </cfRule>
    <cfRule type="cellIs" dxfId="3242" priority="3208" stopIfTrue="1" operator="between">
      <formula>220001</formula>
      <formula>221144</formula>
    </cfRule>
  </conditionalFormatting>
  <conditionalFormatting sqref="AL42">
    <cfRule type="cellIs" dxfId="3241" priority="3203" stopIfTrue="1" operator="between">
      <formula>221101</formula>
      <formula>221118</formula>
    </cfRule>
    <cfRule type="cellIs" dxfId="3240" priority="3204" stopIfTrue="1" operator="between">
      <formula>221142</formula>
      <formula>221144</formula>
    </cfRule>
    <cfRule type="cellIs" dxfId="3239" priority="3205" stopIfTrue="1" operator="between">
      <formula>220001</formula>
      <formula>221144</formula>
    </cfRule>
  </conditionalFormatting>
  <conditionalFormatting sqref="AK42">
    <cfRule type="cellIs" dxfId="3238" priority="3200" stopIfTrue="1" operator="between">
      <formula>221101</formula>
      <formula>221118</formula>
    </cfRule>
    <cfRule type="cellIs" dxfId="3237" priority="3201" stopIfTrue="1" operator="between">
      <formula>221142</formula>
      <formula>221144</formula>
    </cfRule>
    <cfRule type="cellIs" dxfId="3236" priority="3202" stopIfTrue="1" operator="between">
      <formula>220001</formula>
      <formula>221144</formula>
    </cfRule>
  </conditionalFormatting>
  <conditionalFormatting sqref="AM42">
    <cfRule type="cellIs" dxfId="3235" priority="3197" stopIfTrue="1" operator="between">
      <formula>221101</formula>
      <formula>221118</formula>
    </cfRule>
    <cfRule type="cellIs" dxfId="3234" priority="3198" stopIfTrue="1" operator="between">
      <formula>221142</formula>
      <formula>221144</formula>
    </cfRule>
    <cfRule type="cellIs" dxfId="3233" priority="3199" stopIfTrue="1" operator="between">
      <formula>220001</formula>
      <formula>221144</formula>
    </cfRule>
  </conditionalFormatting>
  <conditionalFormatting sqref="AL42">
    <cfRule type="cellIs" dxfId="3232" priority="3194" stopIfTrue="1" operator="between">
      <formula>221101</formula>
      <formula>221118</formula>
    </cfRule>
    <cfRule type="cellIs" dxfId="3231" priority="3195" stopIfTrue="1" operator="between">
      <formula>221142</formula>
      <formula>221144</formula>
    </cfRule>
    <cfRule type="cellIs" dxfId="3230" priority="3196" stopIfTrue="1" operator="between">
      <formula>220001</formula>
      <formula>221144</formula>
    </cfRule>
  </conditionalFormatting>
  <conditionalFormatting sqref="AL42">
    <cfRule type="cellIs" dxfId="3229" priority="3191" stopIfTrue="1" operator="between">
      <formula>221101</formula>
      <formula>221118</formula>
    </cfRule>
    <cfRule type="cellIs" dxfId="3228" priority="3192" stopIfTrue="1" operator="between">
      <formula>221142</formula>
      <formula>221144</formula>
    </cfRule>
    <cfRule type="cellIs" dxfId="3227" priority="3193" stopIfTrue="1" operator="between">
      <formula>220001</formula>
      <formula>221144</formula>
    </cfRule>
  </conditionalFormatting>
  <conditionalFormatting sqref="AK42">
    <cfRule type="cellIs" dxfId="3226" priority="3188" stopIfTrue="1" operator="between">
      <formula>221101</formula>
      <formula>221118</formula>
    </cfRule>
    <cfRule type="cellIs" dxfId="3225" priority="3189" stopIfTrue="1" operator="between">
      <formula>221142</formula>
      <formula>221144</formula>
    </cfRule>
    <cfRule type="cellIs" dxfId="3224" priority="3190" stopIfTrue="1" operator="between">
      <formula>220001</formula>
      <formula>221144</formula>
    </cfRule>
  </conditionalFormatting>
  <conditionalFormatting sqref="AL42">
    <cfRule type="cellIs" dxfId="3223" priority="3185" stopIfTrue="1" operator="between">
      <formula>221101</formula>
      <formula>221118</formula>
    </cfRule>
    <cfRule type="cellIs" dxfId="3222" priority="3186" stopIfTrue="1" operator="between">
      <formula>221142</formula>
      <formula>221144</formula>
    </cfRule>
    <cfRule type="cellIs" dxfId="3221" priority="3187" stopIfTrue="1" operator="between">
      <formula>220001</formula>
      <formula>221144</formula>
    </cfRule>
  </conditionalFormatting>
  <conditionalFormatting sqref="AK42">
    <cfRule type="cellIs" dxfId="3220" priority="3182" stopIfTrue="1" operator="between">
      <formula>221101</formula>
      <formula>221118</formula>
    </cfRule>
    <cfRule type="cellIs" dxfId="3219" priority="3183" stopIfTrue="1" operator="between">
      <formula>221142</formula>
      <formula>221144</formula>
    </cfRule>
    <cfRule type="cellIs" dxfId="3218" priority="3184" stopIfTrue="1" operator="between">
      <formula>220001</formula>
      <formula>221144</formula>
    </cfRule>
  </conditionalFormatting>
  <conditionalFormatting sqref="AK42">
    <cfRule type="cellIs" dxfId="3217" priority="3179" stopIfTrue="1" operator="between">
      <formula>221101</formula>
      <formula>221118</formula>
    </cfRule>
    <cfRule type="cellIs" dxfId="3216" priority="3180" stopIfTrue="1" operator="between">
      <formula>221142</formula>
      <formula>221144</formula>
    </cfRule>
    <cfRule type="cellIs" dxfId="3215" priority="3181" stopIfTrue="1" operator="between">
      <formula>220001</formula>
      <formula>221144</formula>
    </cfRule>
  </conditionalFormatting>
  <conditionalFormatting sqref="AJ42">
    <cfRule type="cellIs" dxfId="3214" priority="3176" stopIfTrue="1" operator="between">
      <formula>221101</formula>
      <formula>221118</formula>
    </cfRule>
    <cfRule type="cellIs" dxfId="3213" priority="3177" stopIfTrue="1" operator="between">
      <formula>221142</formula>
      <formula>221144</formula>
    </cfRule>
    <cfRule type="cellIs" dxfId="3212" priority="3178" stopIfTrue="1" operator="between">
      <formula>220001</formula>
      <formula>221144</formula>
    </cfRule>
  </conditionalFormatting>
  <conditionalFormatting sqref="AN42">
    <cfRule type="cellIs" dxfId="3211" priority="3173" stopIfTrue="1" operator="between">
      <formula>221101</formula>
      <formula>221118</formula>
    </cfRule>
    <cfRule type="cellIs" dxfId="3210" priority="3174" stopIfTrue="1" operator="between">
      <formula>221142</formula>
      <formula>221144</formula>
    </cfRule>
    <cfRule type="cellIs" dxfId="3209" priority="3175" stopIfTrue="1" operator="between">
      <formula>220001</formula>
      <formula>221144</formula>
    </cfRule>
  </conditionalFormatting>
  <conditionalFormatting sqref="AM42">
    <cfRule type="cellIs" dxfId="3208" priority="3170" stopIfTrue="1" operator="between">
      <formula>221101</formula>
      <formula>221118</formula>
    </cfRule>
    <cfRule type="cellIs" dxfId="3207" priority="3171" stopIfTrue="1" operator="between">
      <formula>221142</formula>
      <formula>221144</formula>
    </cfRule>
    <cfRule type="cellIs" dxfId="3206" priority="3172" stopIfTrue="1" operator="between">
      <formula>220001</formula>
      <formula>221144</formula>
    </cfRule>
  </conditionalFormatting>
  <conditionalFormatting sqref="AM42">
    <cfRule type="cellIs" dxfId="3205" priority="3167" stopIfTrue="1" operator="between">
      <formula>221101</formula>
      <formula>221118</formula>
    </cfRule>
    <cfRule type="cellIs" dxfId="3204" priority="3168" stopIfTrue="1" operator="between">
      <formula>221142</formula>
      <formula>221144</formula>
    </cfRule>
    <cfRule type="cellIs" dxfId="3203" priority="3169" stopIfTrue="1" operator="between">
      <formula>220001</formula>
      <formula>221144</formula>
    </cfRule>
  </conditionalFormatting>
  <conditionalFormatting sqref="AL42">
    <cfRule type="cellIs" dxfId="3202" priority="3164" stopIfTrue="1" operator="between">
      <formula>221101</formula>
      <formula>221118</formula>
    </cfRule>
    <cfRule type="cellIs" dxfId="3201" priority="3165" stopIfTrue="1" operator="between">
      <formula>221142</formula>
      <formula>221144</formula>
    </cfRule>
    <cfRule type="cellIs" dxfId="3200" priority="3166" stopIfTrue="1" operator="between">
      <formula>220001</formula>
      <formula>221144</formula>
    </cfRule>
  </conditionalFormatting>
  <conditionalFormatting sqref="C42">
    <cfRule type="cellIs" dxfId="3199" priority="3161" stopIfTrue="1" operator="between">
      <formula>221101</formula>
      <formula>221118</formula>
    </cfRule>
    <cfRule type="cellIs" dxfId="3198" priority="3162" stopIfTrue="1" operator="between">
      <formula>221142</formula>
      <formula>221144</formula>
    </cfRule>
    <cfRule type="cellIs" dxfId="3197" priority="3163" stopIfTrue="1" operator="between">
      <formula>220001</formula>
      <formula>221144</formula>
    </cfRule>
  </conditionalFormatting>
  <conditionalFormatting sqref="C42">
    <cfRule type="cellIs" dxfId="3196" priority="3158" stopIfTrue="1" operator="between">
      <formula>221101</formula>
      <formula>221118</formula>
    </cfRule>
    <cfRule type="cellIs" dxfId="3195" priority="3159" stopIfTrue="1" operator="between">
      <formula>221142</formula>
      <formula>221144</formula>
    </cfRule>
    <cfRule type="cellIs" dxfId="3194" priority="3160" stopIfTrue="1" operator="between">
      <formula>220001</formula>
      <formula>221144</formula>
    </cfRule>
  </conditionalFormatting>
  <conditionalFormatting sqref="C42">
    <cfRule type="cellIs" dxfId="3193" priority="3155" stopIfTrue="1" operator="between">
      <formula>221101</formula>
      <formula>221118</formula>
    </cfRule>
    <cfRule type="cellIs" dxfId="3192" priority="3156" stopIfTrue="1" operator="between">
      <formula>221142</formula>
      <formula>221144</formula>
    </cfRule>
    <cfRule type="cellIs" dxfId="3191" priority="3157" stopIfTrue="1" operator="between">
      <formula>220001</formula>
      <formula>221144</formula>
    </cfRule>
  </conditionalFormatting>
  <conditionalFormatting sqref="C42">
    <cfRule type="cellIs" dxfId="3190" priority="3152" stopIfTrue="1" operator="between">
      <formula>221101</formula>
      <formula>221118</formula>
    </cfRule>
    <cfRule type="cellIs" dxfId="3189" priority="3153" stopIfTrue="1" operator="between">
      <formula>221142</formula>
      <formula>221144</formula>
    </cfRule>
    <cfRule type="cellIs" dxfId="3188" priority="3154" stopIfTrue="1" operator="between">
      <formula>220001</formula>
      <formula>221144</formula>
    </cfRule>
  </conditionalFormatting>
  <conditionalFormatting sqref="AM42">
    <cfRule type="cellIs" dxfId="3187" priority="3149" stopIfTrue="1" operator="between">
      <formula>221101</formula>
      <formula>221118</formula>
    </cfRule>
    <cfRule type="cellIs" dxfId="3186" priority="3150" stopIfTrue="1" operator="between">
      <formula>221142</formula>
      <formula>221144</formula>
    </cfRule>
    <cfRule type="cellIs" dxfId="3185" priority="3151" stopIfTrue="1" operator="between">
      <formula>220001</formula>
      <formula>221144</formula>
    </cfRule>
  </conditionalFormatting>
  <conditionalFormatting sqref="AL42">
    <cfRule type="cellIs" dxfId="3184" priority="3146" stopIfTrue="1" operator="between">
      <formula>221101</formula>
      <formula>221118</formula>
    </cfRule>
    <cfRule type="cellIs" dxfId="3183" priority="3147" stopIfTrue="1" operator="between">
      <formula>221142</formula>
      <formula>221144</formula>
    </cfRule>
    <cfRule type="cellIs" dxfId="3182" priority="3148" stopIfTrue="1" operator="between">
      <formula>220001</formula>
      <formula>221144</formula>
    </cfRule>
  </conditionalFormatting>
  <conditionalFormatting sqref="AL42">
    <cfRule type="cellIs" dxfId="3181" priority="3143" stopIfTrue="1" operator="between">
      <formula>221101</formula>
      <formula>221118</formula>
    </cfRule>
    <cfRule type="cellIs" dxfId="3180" priority="3144" stopIfTrue="1" operator="between">
      <formula>221142</formula>
      <formula>221144</formula>
    </cfRule>
    <cfRule type="cellIs" dxfId="3179" priority="3145" stopIfTrue="1" operator="between">
      <formula>220001</formula>
      <formula>221144</formula>
    </cfRule>
  </conditionalFormatting>
  <conditionalFormatting sqref="AK42">
    <cfRule type="cellIs" dxfId="3178" priority="3140" stopIfTrue="1" operator="between">
      <formula>221101</formula>
      <formula>221118</formula>
    </cfRule>
    <cfRule type="cellIs" dxfId="3177" priority="3141" stopIfTrue="1" operator="between">
      <formula>221142</formula>
      <formula>221144</formula>
    </cfRule>
    <cfRule type="cellIs" dxfId="3176" priority="3142" stopIfTrue="1" operator="between">
      <formula>220001</formula>
      <formula>221144</formula>
    </cfRule>
  </conditionalFormatting>
  <conditionalFormatting sqref="AM42">
    <cfRule type="cellIs" dxfId="3175" priority="3137" stopIfTrue="1" operator="between">
      <formula>221101</formula>
      <formula>221118</formula>
    </cfRule>
    <cfRule type="cellIs" dxfId="3174" priority="3138" stopIfTrue="1" operator="between">
      <formula>221142</formula>
      <formula>221144</formula>
    </cfRule>
    <cfRule type="cellIs" dxfId="3173" priority="3139" stopIfTrue="1" operator="between">
      <formula>220001</formula>
      <formula>221144</formula>
    </cfRule>
  </conditionalFormatting>
  <conditionalFormatting sqref="AL42">
    <cfRule type="cellIs" dxfId="3172" priority="3134" stopIfTrue="1" operator="between">
      <formula>221101</formula>
      <formula>221118</formula>
    </cfRule>
    <cfRule type="cellIs" dxfId="3171" priority="3135" stopIfTrue="1" operator="between">
      <formula>221142</formula>
      <formula>221144</formula>
    </cfRule>
    <cfRule type="cellIs" dxfId="3170" priority="3136" stopIfTrue="1" operator="between">
      <formula>220001</formula>
      <formula>221144</formula>
    </cfRule>
  </conditionalFormatting>
  <conditionalFormatting sqref="AL42">
    <cfRule type="cellIs" dxfId="3169" priority="3131" stopIfTrue="1" operator="between">
      <formula>221101</formula>
      <formula>221118</formula>
    </cfRule>
    <cfRule type="cellIs" dxfId="3168" priority="3132" stopIfTrue="1" operator="between">
      <formula>221142</formula>
      <formula>221144</formula>
    </cfRule>
    <cfRule type="cellIs" dxfId="3167" priority="3133" stopIfTrue="1" operator="between">
      <formula>220001</formula>
      <formula>221144</formula>
    </cfRule>
  </conditionalFormatting>
  <conditionalFormatting sqref="AK42">
    <cfRule type="cellIs" dxfId="3166" priority="3128" stopIfTrue="1" operator="between">
      <formula>221101</formula>
      <formula>221118</formula>
    </cfRule>
    <cfRule type="cellIs" dxfId="3165" priority="3129" stopIfTrue="1" operator="between">
      <formula>221142</formula>
      <formula>221144</formula>
    </cfRule>
    <cfRule type="cellIs" dxfId="3164" priority="3130" stopIfTrue="1" operator="between">
      <formula>220001</formula>
      <formula>221144</formula>
    </cfRule>
  </conditionalFormatting>
  <conditionalFormatting sqref="AL42">
    <cfRule type="cellIs" dxfId="3163" priority="3125" stopIfTrue="1" operator="between">
      <formula>221101</formula>
      <formula>221118</formula>
    </cfRule>
    <cfRule type="cellIs" dxfId="3162" priority="3126" stopIfTrue="1" operator="between">
      <formula>221142</formula>
      <formula>221144</formula>
    </cfRule>
    <cfRule type="cellIs" dxfId="3161" priority="3127" stopIfTrue="1" operator="between">
      <formula>220001</formula>
      <formula>221144</formula>
    </cfRule>
  </conditionalFormatting>
  <conditionalFormatting sqref="AK42">
    <cfRule type="cellIs" dxfId="3160" priority="3122" stopIfTrue="1" operator="between">
      <formula>221101</formula>
      <formula>221118</formula>
    </cfRule>
    <cfRule type="cellIs" dxfId="3159" priority="3123" stopIfTrue="1" operator="between">
      <formula>221142</formula>
      <formula>221144</formula>
    </cfRule>
    <cfRule type="cellIs" dxfId="3158" priority="3124" stopIfTrue="1" operator="between">
      <formula>220001</formula>
      <formula>221144</formula>
    </cfRule>
  </conditionalFormatting>
  <conditionalFormatting sqref="AK42">
    <cfRule type="cellIs" dxfId="3157" priority="3119" stopIfTrue="1" operator="between">
      <formula>221101</formula>
      <formula>221118</formula>
    </cfRule>
    <cfRule type="cellIs" dxfId="3156" priority="3120" stopIfTrue="1" operator="between">
      <formula>221142</formula>
      <formula>221144</formula>
    </cfRule>
    <cfRule type="cellIs" dxfId="3155" priority="3121" stopIfTrue="1" operator="between">
      <formula>220001</formula>
      <formula>221144</formula>
    </cfRule>
  </conditionalFormatting>
  <conditionalFormatting sqref="AJ42">
    <cfRule type="cellIs" dxfId="3154" priority="3116" stopIfTrue="1" operator="between">
      <formula>221101</formula>
      <formula>221118</formula>
    </cfRule>
    <cfRule type="cellIs" dxfId="3153" priority="3117" stopIfTrue="1" operator="between">
      <formula>221142</formula>
      <formula>221144</formula>
    </cfRule>
    <cfRule type="cellIs" dxfId="3152" priority="3118" stopIfTrue="1" operator="between">
      <formula>220001</formula>
      <formula>221144</formula>
    </cfRule>
  </conditionalFormatting>
  <conditionalFormatting sqref="AM42">
    <cfRule type="cellIs" dxfId="3151" priority="3113" stopIfTrue="1" operator="between">
      <formula>221101</formula>
      <formula>221118</formula>
    </cfRule>
    <cfRule type="cellIs" dxfId="3150" priority="3114" stopIfTrue="1" operator="between">
      <formula>221142</formula>
      <formula>221144</formula>
    </cfRule>
    <cfRule type="cellIs" dxfId="3149" priority="3115" stopIfTrue="1" operator="between">
      <formula>220001</formula>
      <formula>221144</formula>
    </cfRule>
  </conditionalFormatting>
  <conditionalFormatting sqref="AL42">
    <cfRule type="cellIs" dxfId="3148" priority="3110" stopIfTrue="1" operator="between">
      <formula>221101</formula>
      <formula>221118</formula>
    </cfRule>
    <cfRule type="cellIs" dxfId="3147" priority="3111" stopIfTrue="1" operator="between">
      <formula>221142</formula>
      <formula>221144</formula>
    </cfRule>
    <cfRule type="cellIs" dxfId="3146" priority="3112" stopIfTrue="1" operator="between">
      <formula>220001</formula>
      <formula>221144</formula>
    </cfRule>
  </conditionalFormatting>
  <conditionalFormatting sqref="AL42">
    <cfRule type="cellIs" dxfId="3145" priority="3107" stopIfTrue="1" operator="between">
      <formula>221101</formula>
      <formula>221118</formula>
    </cfRule>
    <cfRule type="cellIs" dxfId="3144" priority="3108" stopIfTrue="1" operator="between">
      <formula>221142</formula>
      <formula>221144</formula>
    </cfRule>
    <cfRule type="cellIs" dxfId="3143" priority="3109" stopIfTrue="1" operator="between">
      <formula>220001</formula>
      <formula>221144</formula>
    </cfRule>
  </conditionalFormatting>
  <conditionalFormatting sqref="AK42">
    <cfRule type="cellIs" dxfId="3142" priority="3104" stopIfTrue="1" operator="between">
      <formula>221101</formula>
      <formula>221118</formula>
    </cfRule>
    <cfRule type="cellIs" dxfId="3141" priority="3105" stopIfTrue="1" operator="between">
      <formula>221142</formula>
      <formula>221144</formula>
    </cfRule>
    <cfRule type="cellIs" dxfId="3140" priority="3106" stopIfTrue="1" operator="between">
      <formula>220001</formula>
      <formula>221144</formula>
    </cfRule>
  </conditionalFormatting>
  <conditionalFormatting sqref="AL42">
    <cfRule type="cellIs" dxfId="3139" priority="3101" stopIfTrue="1" operator="between">
      <formula>221101</formula>
      <formula>221118</formula>
    </cfRule>
    <cfRule type="cellIs" dxfId="3138" priority="3102" stopIfTrue="1" operator="between">
      <formula>221142</formula>
      <formula>221144</formula>
    </cfRule>
    <cfRule type="cellIs" dxfId="3137" priority="3103" stopIfTrue="1" operator="between">
      <formula>220001</formula>
      <formula>221144</formula>
    </cfRule>
  </conditionalFormatting>
  <conditionalFormatting sqref="AK42">
    <cfRule type="cellIs" dxfId="3136" priority="3098" stopIfTrue="1" operator="between">
      <formula>221101</formula>
      <formula>221118</formula>
    </cfRule>
    <cfRule type="cellIs" dxfId="3135" priority="3099" stopIfTrue="1" operator="between">
      <formula>221142</formula>
      <formula>221144</formula>
    </cfRule>
    <cfRule type="cellIs" dxfId="3134" priority="3100" stopIfTrue="1" operator="between">
      <formula>220001</formula>
      <formula>221144</formula>
    </cfRule>
  </conditionalFormatting>
  <conditionalFormatting sqref="AK42">
    <cfRule type="cellIs" dxfId="3133" priority="3095" stopIfTrue="1" operator="between">
      <formula>221101</formula>
      <formula>221118</formula>
    </cfRule>
    <cfRule type="cellIs" dxfId="3132" priority="3096" stopIfTrue="1" operator="between">
      <formula>221142</formula>
      <formula>221144</formula>
    </cfRule>
    <cfRule type="cellIs" dxfId="3131" priority="3097" stopIfTrue="1" operator="between">
      <formula>220001</formula>
      <formula>221144</formula>
    </cfRule>
  </conditionalFormatting>
  <conditionalFormatting sqref="AJ42">
    <cfRule type="cellIs" dxfId="3130" priority="3092" stopIfTrue="1" operator="between">
      <formula>221101</formula>
      <formula>221118</formula>
    </cfRule>
    <cfRule type="cellIs" dxfId="3129" priority="3093" stopIfTrue="1" operator="between">
      <formula>221142</formula>
      <formula>221144</formula>
    </cfRule>
    <cfRule type="cellIs" dxfId="3128" priority="3094" stopIfTrue="1" operator="between">
      <formula>220001</formula>
      <formula>221144</formula>
    </cfRule>
  </conditionalFormatting>
  <conditionalFormatting sqref="AL42">
    <cfRule type="cellIs" dxfId="3127" priority="3089" stopIfTrue="1" operator="between">
      <formula>221101</formula>
      <formula>221118</formula>
    </cfRule>
    <cfRule type="cellIs" dxfId="3126" priority="3090" stopIfTrue="1" operator="between">
      <formula>221142</formula>
      <formula>221144</formula>
    </cfRule>
    <cfRule type="cellIs" dxfId="3125" priority="3091" stopIfTrue="1" operator="between">
      <formula>220001</formula>
      <formula>221144</formula>
    </cfRule>
  </conditionalFormatting>
  <conditionalFormatting sqref="AK42">
    <cfRule type="cellIs" dxfId="3124" priority="3086" stopIfTrue="1" operator="between">
      <formula>221101</formula>
      <formula>221118</formula>
    </cfRule>
    <cfRule type="cellIs" dxfId="3123" priority="3087" stopIfTrue="1" operator="between">
      <formula>221142</formula>
      <formula>221144</formula>
    </cfRule>
    <cfRule type="cellIs" dxfId="3122" priority="3088" stopIfTrue="1" operator="between">
      <formula>220001</formula>
      <formula>221144</formula>
    </cfRule>
  </conditionalFormatting>
  <conditionalFormatting sqref="AK42">
    <cfRule type="cellIs" dxfId="3121" priority="3083" stopIfTrue="1" operator="between">
      <formula>221101</formula>
      <formula>221118</formula>
    </cfRule>
    <cfRule type="cellIs" dxfId="3120" priority="3084" stopIfTrue="1" operator="between">
      <formula>221142</formula>
      <formula>221144</formula>
    </cfRule>
    <cfRule type="cellIs" dxfId="3119" priority="3085" stopIfTrue="1" operator="between">
      <formula>220001</formula>
      <formula>221144</formula>
    </cfRule>
  </conditionalFormatting>
  <conditionalFormatting sqref="AJ42">
    <cfRule type="cellIs" dxfId="3118" priority="3080" stopIfTrue="1" operator="between">
      <formula>221101</formula>
      <formula>221118</formula>
    </cfRule>
    <cfRule type="cellIs" dxfId="3117" priority="3081" stopIfTrue="1" operator="between">
      <formula>221142</formula>
      <formula>221144</formula>
    </cfRule>
    <cfRule type="cellIs" dxfId="3116" priority="3082" stopIfTrue="1" operator="between">
      <formula>220001</formula>
      <formula>221144</formula>
    </cfRule>
  </conditionalFormatting>
  <conditionalFormatting sqref="AK42">
    <cfRule type="cellIs" dxfId="3115" priority="3077" stopIfTrue="1" operator="between">
      <formula>221101</formula>
      <formula>221118</formula>
    </cfRule>
    <cfRule type="cellIs" dxfId="3114" priority="3078" stopIfTrue="1" operator="between">
      <formula>221142</formula>
      <formula>221144</formula>
    </cfRule>
    <cfRule type="cellIs" dxfId="3113" priority="3079" stopIfTrue="1" operator="between">
      <formula>220001</formula>
      <formula>221144</formula>
    </cfRule>
  </conditionalFormatting>
  <conditionalFormatting sqref="AJ42">
    <cfRule type="cellIs" dxfId="3112" priority="3074" stopIfTrue="1" operator="between">
      <formula>221101</formula>
      <formula>221118</formula>
    </cfRule>
    <cfRule type="cellIs" dxfId="3111" priority="3075" stopIfTrue="1" operator="between">
      <formula>221142</formula>
      <formula>221144</formula>
    </cfRule>
    <cfRule type="cellIs" dxfId="3110" priority="3076" stopIfTrue="1" operator="between">
      <formula>220001</formula>
      <formula>221144</formula>
    </cfRule>
  </conditionalFormatting>
  <conditionalFormatting sqref="AJ42">
    <cfRule type="cellIs" dxfId="3109" priority="3071" stopIfTrue="1" operator="between">
      <formula>221101</formula>
      <formula>221118</formula>
    </cfRule>
    <cfRule type="cellIs" dxfId="3108" priority="3072" stopIfTrue="1" operator="between">
      <formula>221142</formula>
      <formula>221144</formula>
    </cfRule>
    <cfRule type="cellIs" dxfId="3107" priority="3073" stopIfTrue="1" operator="between">
      <formula>220001</formula>
      <formula>221144</formula>
    </cfRule>
  </conditionalFormatting>
  <conditionalFormatting sqref="AI42">
    <cfRule type="cellIs" dxfId="3106" priority="3068" stopIfTrue="1" operator="between">
      <formula>221101</formula>
      <formula>221118</formula>
    </cfRule>
    <cfRule type="cellIs" dxfId="3105" priority="3069" stopIfTrue="1" operator="between">
      <formula>221142</formula>
      <formula>221144</formula>
    </cfRule>
    <cfRule type="cellIs" dxfId="3104" priority="3070" stopIfTrue="1" operator="between">
      <formula>220001</formula>
      <formula>221144</formula>
    </cfRule>
  </conditionalFormatting>
  <conditionalFormatting sqref="AN42">
    <cfRule type="cellIs" dxfId="3103" priority="3065" stopIfTrue="1" operator="between">
      <formula>221101</formula>
      <formula>221118</formula>
    </cfRule>
    <cfRule type="cellIs" dxfId="3102" priority="3066" stopIfTrue="1" operator="between">
      <formula>221142</formula>
      <formula>221144</formula>
    </cfRule>
    <cfRule type="cellIs" dxfId="3101" priority="3067" stopIfTrue="1" operator="between">
      <formula>220001</formula>
      <formula>221144</formula>
    </cfRule>
  </conditionalFormatting>
  <conditionalFormatting sqref="AM42">
    <cfRule type="cellIs" dxfId="3100" priority="3062" stopIfTrue="1" operator="between">
      <formula>221101</formula>
      <formula>221118</formula>
    </cfRule>
    <cfRule type="cellIs" dxfId="3099" priority="3063" stopIfTrue="1" operator="between">
      <formula>221142</formula>
      <formula>221144</formula>
    </cfRule>
    <cfRule type="cellIs" dxfId="3098" priority="3064" stopIfTrue="1" operator="between">
      <formula>220001</formula>
      <formula>221144</formula>
    </cfRule>
  </conditionalFormatting>
  <conditionalFormatting sqref="AM42">
    <cfRule type="cellIs" dxfId="3097" priority="3059" stopIfTrue="1" operator="between">
      <formula>221101</formula>
      <formula>221118</formula>
    </cfRule>
    <cfRule type="cellIs" dxfId="3096" priority="3060" stopIfTrue="1" operator="between">
      <formula>221142</formula>
      <formula>221144</formula>
    </cfRule>
    <cfRule type="cellIs" dxfId="3095" priority="3061" stopIfTrue="1" operator="between">
      <formula>220001</formula>
      <formula>221144</formula>
    </cfRule>
  </conditionalFormatting>
  <conditionalFormatting sqref="AL42">
    <cfRule type="cellIs" dxfId="3094" priority="3056" stopIfTrue="1" operator="between">
      <formula>221101</formula>
      <formula>221118</formula>
    </cfRule>
    <cfRule type="cellIs" dxfId="3093" priority="3057" stopIfTrue="1" operator="between">
      <formula>221142</formula>
      <formula>221144</formula>
    </cfRule>
    <cfRule type="cellIs" dxfId="3092" priority="3058" stopIfTrue="1" operator="between">
      <formula>220001</formula>
      <formula>221144</formula>
    </cfRule>
  </conditionalFormatting>
  <conditionalFormatting sqref="C42">
    <cfRule type="cellIs" dxfId="3091" priority="3053" stopIfTrue="1" operator="between">
      <formula>221101</formula>
      <formula>221118</formula>
    </cfRule>
    <cfRule type="cellIs" dxfId="3090" priority="3054" stopIfTrue="1" operator="between">
      <formula>221142</formula>
      <formula>221144</formula>
    </cfRule>
    <cfRule type="cellIs" dxfId="3089" priority="3055" stopIfTrue="1" operator="between">
      <formula>220001</formula>
      <formula>221144</formula>
    </cfRule>
  </conditionalFormatting>
  <conditionalFormatting sqref="C42">
    <cfRule type="cellIs" dxfId="3088" priority="3050" stopIfTrue="1" operator="between">
      <formula>221101</formula>
      <formula>221118</formula>
    </cfRule>
    <cfRule type="cellIs" dxfId="3087" priority="3051" stopIfTrue="1" operator="between">
      <formula>221142</formula>
      <formula>221144</formula>
    </cfRule>
    <cfRule type="cellIs" dxfId="3086" priority="3052" stopIfTrue="1" operator="between">
      <formula>220001</formula>
      <formula>221144</formula>
    </cfRule>
  </conditionalFormatting>
  <conditionalFormatting sqref="C42">
    <cfRule type="cellIs" dxfId="3085" priority="3047" stopIfTrue="1" operator="between">
      <formula>221101</formula>
      <formula>221118</formula>
    </cfRule>
    <cfRule type="cellIs" dxfId="3084" priority="3048" stopIfTrue="1" operator="between">
      <formula>221142</formula>
      <formula>221144</formula>
    </cfRule>
    <cfRule type="cellIs" dxfId="3083" priority="3049" stopIfTrue="1" operator="between">
      <formula>220001</formula>
      <formula>221144</formula>
    </cfRule>
  </conditionalFormatting>
  <conditionalFormatting sqref="C42">
    <cfRule type="cellIs" dxfId="3082" priority="3044" stopIfTrue="1" operator="between">
      <formula>221101</formula>
      <formula>221118</formula>
    </cfRule>
    <cfRule type="cellIs" dxfId="3081" priority="3045" stopIfTrue="1" operator="between">
      <formula>221142</formula>
      <formula>221144</formula>
    </cfRule>
    <cfRule type="cellIs" dxfId="3080" priority="3046" stopIfTrue="1" operator="between">
      <formula>220001</formula>
      <formula>221144</formula>
    </cfRule>
  </conditionalFormatting>
  <conditionalFormatting sqref="AM42">
    <cfRule type="cellIs" dxfId="3079" priority="3041" stopIfTrue="1" operator="between">
      <formula>221101</formula>
      <formula>221118</formula>
    </cfRule>
    <cfRule type="cellIs" dxfId="3078" priority="3042" stopIfTrue="1" operator="between">
      <formula>221142</formula>
      <formula>221144</formula>
    </cfRule>
    <cfRule type="cellIs" dxfId="3077" priority="3043" stopIfTrue="1" operator="between">
      <formula>220001</formula>
      <formula>221144</formula>
    </cfRule>
  </conditionalFormatting>
  <conditionalFormatting sqref="AL42">
    <cfRule type="cellIs" dxfId="3076" priority="3038" stopIfTrue="1" operator="between">
      <formula>221101</formula>
      <formula>221118</formula>
    </cfRule>
    <cfRule type="cellIs" dxfId="3075" priority="3039" stopIfTrue="1" operator="between">
      <formula>221142</formula>
      <formula>221144</formula>
    </cfRule>
    <cfRule type="cellIs" dxfId="3074" priority="3040" stopIfTrue="1" operator="between">
      <formula>220001</formula>
      <formula>221144</formula>
    </cfRule>
  </conditionalFormatting>
  <conditionalFormatting sqref="AL42">
    <cfRule type="cellIs" dxfId="3073" priority="3035" stopIfTrue="1" operator="between">
      <formula>221101</formula>
      <formula>221118</formula>
    </cfRule>
    <cfRule type="cellIs" dxfId="3072" priority="3036" stopIfTrue="1" operator="between">
      <formula>221142</formula>
      <formula>221144</formula>
    </cfRule>
    <cfRule type="cellIs" dxfId="3071" priority="3037" stopIfTrue="1" operator="between">
      <formula>220001</formula>
      <formula>221144</formula>
    </cfRule>
  </conditionalFormatting>
  <conditionalFormatting sqref="AK42">
    <cfRule type="cellIs" dxfId="3070" priority="3032" stopIfTrue="1" operator="between">
      <formula>221101</formula>
      <formula>221118</formula>
    </cfRule>
    <cfRule type="cellIs" dxfId="3069" priority="3033" stopIfTrue="1" operator="between">
      <formula>221142</formula>
      <formula>221144</formula>
    </cfRule>
    <cfRule type="cellIs" dxfId="3068" priority="3034" stopIfTrue="1" operator="between">
      <formula>220001</formula>
      <formula>221144</formula>
    </cfRule>
  </conditionalFormatting>
  <conditionalFormatting sqref="AM42">
    <cfRule type="cellIs" dxfId="3067" priority="3029" stopIfTrue="1" operator="between">
      <formula>221101</formula>
      <formula>221118</formula>
    </cfRule>
    <cfRule type="cellIs" dxfId="3066" priority="3030" stopIfTrue="1" operator="between">
      <formula>221142</formula>
      <formula>221144</formula>
    </cfRule>
    <cfRule type="cellIs" dxfId="3065" priority="3031" stopIfTrue="1" operator="between">
      <formula>220001</formula>
      <formula>221144</formula>
    </cfRule>
  </conditionalFormatting>
  <conditionalFormatting sqref="AL42">
    <cfRule type="cellIs" dxfId="3064" priority="3026" stopIfTrue="1" operator="between">
      <formula>221101</formula>
      <formula>221118</formula>
    </cfRule>
    <cfRule type="cellIs" dxfId="3063" priority="3027" stopIfTrue="1" operator="between">
      <formula>221142</formula>
      <formula>221144</formula>
    </cfRule>
    <cfRule type="cellIs" dxfId="3062" priority="3028" stopIfTrue="1" operator="between">
      <formula>220001</formula>
      <formula>221144</formula>
    </cfRule>
  </conditionalFormatting>
  <conditionalFormatting sqref="AL42">
    <cfRule type="cellIs" dxfId="3061" priority="3023" stopIfTrue="1" operator="between">
      <formula>221101</formula>
      <formula>221118</formula>
    </cfRule>
    <cfRule type="cellIs" dxfId="3060" priority="3024" stopIfTrue="1" operator="between">
      <formula>221142</formula>
      <formula>221144</formula>
    </cfRule>
    <cfRule type="cellIs" dxfId="3059" priority="3025" stopIfTrue="1" operator="between">
      <formula>220001</formula>
      <formula>221144</formula>
    </cfRule>
  </conditionalFormatting>
  <conditionalFormatting sqref="AK42">
    <cfRule type="cellIs" dxfId="3058" priority="3020" stopIfTrue="1" operator="between">
      <formula>221101</formula>
      <formula>221118</formula>
    </cfRule>
    <cfRule type="cellIs" dxfId="3057" priority="3021" stopIfTrue="1" operator="between">
      <formula>221142</formula>
      <formula>221144</formula>
    </cfRule>
    <cfRule type="cellIs" dxfId="3056" priority="3022" stopIfTrue="1" operator="between">
      <formula>220001</formula>
      <formula>221144</formula>
    </cfRule>
  </conditionalFormatting>
  <conditionalFormatting sqref="AL42">
    <cfRule type="cellIs" dxfId="3055" priority="3017" stopIfTrue="1" operator="between">
      <formula>221101</formula>
      <formula>221118</formula>
    </cfRule>
    <cfRule type="cellIs" dxfId="3054" priority="3018" stopIfTrue="1" operator="between">
      <formula>221142</formula>
      <formula>221144</formula>
    </cfRule>
    <cfRule type="cellIs" dxfId="3053" priority="3019" stopIfTrue="1" operator="between">
      <formula>220001</formula>
      <formula>221144</formula>
    </cfRule>
  </conditionalFormatting>
  <conditionalFormatting sqref="AK42">
    <cfRule type="cellIs" dxfId="3052" priority="3014" stopIfTrue="1" operator="between">
      <formula>221101</formula>
      <formula>221118</formula>
    </cfRule>
    <cfRule type="cellIs" dxfId="3051" priority="3015" stopIfTrue="1" operator="between">
      <formula>221142</formula>
      <formula>221144</formula>
    </cfRule>
    <cfRule type="cellIs" dxfId="3050" priority="3016" stopIfTrue="1" operator="between">
      <formula>220001</formula>
      <formula>221144</formula>
    </cfRule>
  </conditionalFormatting>
  <conditionalFormatting sqref="AK42">
    <cfRule type="cellIs" dxfId="3049" priority="3011" stopIfTrue="1" operator="between">
      <formula>221101</formula>
      <formula>221118</formula>
    </cfRule>
    <cfRule type="cellIs" dxfId="3048" priority="3012" stopIfTrue="1" operator="between">
      <formula>221142</formula>
      <formula>221144</formula>
    </cfRule>
    <cfRule type="cellIs" dxfId="3047" priority="3013" stopIfTrue="1" operator="between">
      <formula>220001</formula>
      <formula>221144</formula>
    </cfRule>
  </conditionalFormatting>
  <conditionalFormatting sqref="AJ42">
    <cfRule type="cellIs" dxfId="3046" priority="3008" stopIfTrue="1" operator="between">
      <formula>221101</formula>
      <formula>221118</formula>
    </cfRule>
    <cfRule type="cellIs" dxfId="3045" priority="3009" stopIfTrue="1" operator="between">
      <formula>221142</formula>
      <formula>221144</formula>
    </cfRule>
    <cfRule type="cellIs" dxfId="3044" priority="3010" stopIfTrue="1" operator="between">
      <formula>220001</formula>
      <formula>221144</formula>
    </cfRule>
  </conditionalFormatting>
  <conditionalFormatting sqref="AM42">
    <cfRule type="cellIs" dxfId="3043" priority="3005" stopIfTrue="1" operator="between">
      <formula>221101</formula>
      <formula>221118</formula>
    </cfRule>
    <cfRule type="cellIs" dxfId="3042" priority="3006" stopIfTrue="1" operator="between">
      <formula>221142</formula>
      <formula>221144</formula>
    </cfRule>
    <cfRule type="cellIs" dxfId="3041" priority="3007" stopIfTrue="1" operator="between">
      <formula>220001</formula>
      <formula>221144</formula>
    </cfRule>
  </conditionalFormatting>
  <conditionalFormatting sqref="AL42">
    <cfRule type="cellIs" dxfId="3040" priority="3002" stopIfTrue="1" operator="between">
      <formula>221101</formula>
      <formula>221118</formula>
    </cfRule>
    <cfRule type="cellIs" dxfId="3039" priority="3003" stopIfTrue="1" operator="between">
      <formula>221142</formula>
      <formula>221144</formula>
    </cfRule>
    <cfRule type="cellIs" dxfId="3038" priority="3004" stopIfTrue="1" operator="between">
      <formula>220001</formula>
      <formula>221144</formula>
    </cfRule>
  </conditionalFormatting>
  <conditionalFormatting sqref="AL42">
    <cfRule type="cellIs" dxfId="3037" priority="2999" stopIfTrue="1" operator="between">
      <formula>221101</formula>
      <formula>221118</formula>
    </cfRule>
    <cfRule type="cellIs" dxfId="3036" priority="3000" stopIfTrue="1" operator="between">
      <formula>221142</formula>
      <formula>221144</formula>
    </cfRule>
    <cfRule type="cellIs" dxfId="3035" priority="3001" stopIfTrue="1" operator="between">
      <formula>220001</formula>
      <formula>221144</formula>
    </cfRule>
  </conditionalFormatting>
  <conditionalFormatting sqref="AK42">
    <cfRule type="cellIs" dxfId="3034" priority="2996" stopIfTrue="1" operator="between">
      <formula>221101</formula>
      <formula>221118</formula>
    </cfRule>
    <cfRule type="cellIs" dxfId="3033" priority="2997" stopIfTrue="1" operator="between">
      <formula>221142</formula>
      <formula>221144</formula>
    </cfRule>
    <cfRule type="cellIs" dxfId="3032" priority="2998" stopIfTrue="1" operator="between">
      <formula>220001</formula>
      <formula>221144</formula>
    </cfRule>
  </conditionalFormatting>
  <conditionalFormatting sqref="AL42">
    <cfRule type="cellIs" dxfId="3031" priority="2993" stopIfTrue="1" operator="between">
      <formula>221101</formula>
      <formula>221118</formula>
    </cfRule>
    <cfRule type="cellIs" dxfId="3030" priority="2994" stopIfTrue="1" operator="between">
      <formula>221142</formula>
      <formula>221144</formula>
    </cfRule>
    <cfRule type="cellIs" dxfId="3029" priority="2995" stopIfTrue="1" operator="between">
      <formula>220001</formula>
      <formula>221144</formula>
    </cfRule>
  </conditionalFormatting>
  <conditionalFormatting sqref="AK42">
    <cfRule type="cellIs" dxfId="3028" priority="2990" stopIfTrue="1" operator="between">
      <formula>221101</formula>
      <formula>221118</formula>
    </cfRule>
    <cfRule type="cellIs" dxfId="3027" priority="2991" stopIfTrue="1" operator="between">
      <formula>221142</formula>
      <formula>221144</formula>
    </cfRule>
    <cfRule type="cellIs" dxfId="3026" priority="2992" stopIfTrue="1" operator="between">
      <formula>220001</formula>
      <formula>221144</formula>
    </cfRule>
  </conditionalFormatting>
  <conditionalFormatting sqref="AK42">
    <cfRule type="cellIs" dxfId="3025" priority="2987" stopIfTrue="1" operator="between">
      <formula>221101</formula>
      <formula>221118</formula>
    </cfRule>
    <cfRule type="cellIs" dxfId="3024" priority="2988" stopIfTrue="1" operator="between">
      <formula>221142</formula>
      <formula>221144</formula>
    </cfRule>
    <cfRule type="cellIs" dxfId="3023" priority="2989" stopIfTrue="1" operator="between">
      <formula>220001</formula>
      <formula>221144</formula>
    </cfRule>
  </conditionalFormatting>
  <conditionalFormatting sqref="AJ42">
    <cfRule type="cellIs" dxfId="3022" priority="2984" stopIfTrue="1" operator="between">
      <formula>221101</formula>
      <formula>221118</formula>
    </cfRule>
    <cfRule type="cellIs" dxfId="3021" priority="2985" stopIfTrue="1" operator="between">
      <formula>221142</formula>
      <formula>221144</formula>
    </cfRule>
    <cfRule type="cellIs" dxfId="3020" priority="2986" stopIfTrue="1" operator="between">
      <formula>220001</formula>
      <formula>221144</formula>
    </cfRule>
  </conditionalFormatting>
  <conditionalFormatting sqref="AL42">
    <cfRule type="cellIs" dxfId="3019" priority="2981" stopIfTrue="1" operator="between">
      <formula>221101</formula>
      <formula>221118</formula>
    </cfRule>
    <cfRule type="cellIs" dxfId="3018" priority="2982" stopIfTrue="1" operator="between">
      <formula>221142</formula>
      <formula>221144</formula>
    </cfRule>
    <cfRule type="cellIs" dxfId="3017" priority="2983" stopIfTrue="1" operator="between">
      <formula>220001</formula>
      <formula>221144</formula>
    </cfRule>
  </conditionalFormatting>
  <conditionalFormatting sqref="AK42">
    <cfRule type="cellIs" dxfId="3016" priority="2978" stopIfTrue="1" operator="between">
      <formula>221101</formula>
      <formula>221118</formula>
    </cfRule>
    <cfRule type="cellIs" dxfId="3015" priority="2979" stopIfTrue="1" operator="between">
      <formula>221142</formula>
      <formula>221144</formula>
    </cfRule>
    <cfRule type="cellIs" dxfId="3014" priority="2980" stopIfTrue="1" operator="between">
      <formula>220001</formula>
      <formula>221144</formula>
    </cfRule>
  </conditionalFormatting>
  <conditionalFormatting sqref="AK42">
    <cfRule type="cellIs" dxfId="3013" priority="2975" stopIfTrue="1" operator="between">
      <formula>221101</formula>
      <formula>221118</formula>
    </cfRule>
    <cfRule type="cellIs" dxfId="3012" priority="2976" stopIfTrue="1" operator="between">
      <formula>221142</formula>
      <formula>221144</formula>
    </cfRule>
    <cfRule type="cellIs" dxfId="3011" priority="2977" stopIfTrue="1" operator="between">
      <formula>220001</formula>
      <formula>221144</formula>
    </cfRule>
  </conditionalFormatting>
  <conditionalFormatting sqref="AJ42">
    <cfRule type="cellIs" dxfId="3010" priority="2972" stopIfTrue="1" operator="between">
      <formula>221101</formula>
      <formula>221118</formula>
    </cfRule>
    <cfRule type="cellIs" dxfId="3009" priority="2973" stopIfTrue="1" operator="between">
      <formula>221142</formula>
      <formula>221144</formula>
    </cfRule>
    <cfRule type="cellIs" dxfId="3008" priority="2974" stopIfTrue="1" operator="between">
      <formula>220001</formula>
      <formula>221144</formula>
    </cfRule>
  </conditionalFormatting>
  <conditionalFormatting sqref="AK42">
    <cfRule type="cellIs" dxfId="3007" priority="2969" stopIfTrue="1" operator="between">
      <formula>221101</formula>
      <formula>221118</formula>
    </cfRule>
    <cfRule type="cellIs" dxfId="3006" priority="2970" stopIfTrue="1" operator="between">
      <formula>221142</formula>
      <formula>221144</formula>
    </cfRule>
    <cfRule type="cellIs" dxfId="3005" priority="2971" stopIfTrue="1" operator="between">
      <formula>220001</formula>
      <formula>221144</formula>
    </cfRule>
  </conditionalFormatting>
  <conditionalFormatting sqref="AJ42">
    <cfRule type="cellIs" dxfId="3004" priority="2966" stopIfTrue="1" operator="between">
      <formula>221101</formula>
      <formula>221118</formula>
    </cfRule>
    <cfRule type="cellIs" dxfId="3003" priority="2967" stopIfTrue="1" operator="between">
      <formula>221142</formula>
      <formula>221144</formula>
    </cfRule>
    <cfRule type="cellIs" dxfId="3002" priority="2968" stopIfTrue="1" operator="between">
      <formula>220001</formula>
      <formula>221144</formula>
    </cfRule>
  </conditionalFormatting>
  <conditionalFormatting sqref="AJ42">
    <cfRule type="cellIs" dxfId="3001" priority="2963" stopIfTrue="1" operator="between">
      <formula>221101</formula>
      <formula>221118</formula>
    </cfRule>
    <cfRule type="cellIs" dxfId="3000" priority="2964" stopIfTrue="1" operator="between">
      <formula>221142</formula>
      <formula>221144</formula>
    </cfRule>
    <cfRule type="cellIs" dxfId="2999" priority="2965" stopIfTrue="1" operator="between">
      <formula>220001</formula>
      <formula>221144</formula>
    </cfRule>
  </conditionalFormatting>
  <conditionalFormatting sqref="AI42">
    <cfRule type="cellIs" dxfId="2998" priority="2960" stopIfTrue="1" operator="between">
      <formula>221101</formula>
      <formula>221118</formula>
    </cfRule>
    <cfRule type="cellIs" dxfId="2997" priority="2961" stopIfTrue="1" operator="between">
      <formula>221142</formula>
      <formula>221144</formula>
    </cfRule>
    <cfRule type="cellIs" dxfId="2996" priority="2962" stopIfTrue="1" operator="between">
      <formula>220001</formula>
      <formula>221144</formula>
    </cfRule>
  </conditionalFormatting>
  <conditionalFormatting sqref="AM42">
    <cfRule type="cellIs" dxfId="2995" priority="2957" stopIfTrue="1" operator="between">
      <formula>221101</formula>
      <formula>221118</formula>
    </cfRule>
    <cfRule type="cellIs" dxfId="2994" priority="2958" stopIfTrue="1" operator="between">
      <formula>221142</formula>
      <formula>221144</formula>
    </cfRule>
    <cfRule type="cellIs" dxfId="2993" priority="2959" stopIfTrue="1" operator="between">
      <formula>220001</formula>
      <formula>221144</formula>
    </cfRule>
  </conditionalFormatting>
  <conditionalFormatting sqref="AL42">
    <cfRule type="cellIs" dxfId="2992" priority="2954" stopIfTrue="1" operator="between">
      <formula>221101</formula>
      <formula>221118</formula>
    </cfRule>
    <cfRule type="cellIs" dxfId="2991" priority="2955" stopIfTrue="1" operator="between">
      <formula>221142</formula>
      <formula>221144</formula>
    </cfRule>
    <cfRule type="cellIs" dxfId="2990" priority="2956" stopIfTrue="1" operator="between">
      <formula>220001</formula>
      <formula>221144</formula>
    </cfRule>
  </conditionalFormatting>
  <conditionalFormatting sqref="AL42">
    <cfRule type="cellIs" dxfId="2989" priority="2951" stopIfTrue="1" operator="between">
      <formula>221101</formula>
      <formula>221118</formula>
    </cfRule>
    <cfRule type="cellIs" dxfId="2988" priority="2952" stopIfTrue="1" operator="between">
      <formula>221142</formula>
      <formula>221144</formula>
    </cfRule>
    <cfRule type="cellIs" dxfId="2987" priority="2953" stopIfTrue="1" operator="between">
      <formula>220001</formula>
      <formula>221144</formula>
    </cfRule>
  </conditionalFormatting>
  <conditionalFormatting sqref="AK42">
    <cfRule type="cellIs" dxfId="2986" priority="2948" stopIfTrue="1" operator="between">
      <formula>221101</formula>
      <formula>221118</formula>
    </cfRule>
    <cfRule type="cellIs" dxfId="2985" priority="2949" stopIfTrue="1" operator="between">
      <formula>221142</formula>
      <formula>221144</formula>
    </cfRule>
    <cfRule type="cellIs" dxfId="2984" priority="2950" stopIfTrue="1" operator="between">
      <formula>220001</formula>
      <formula>221144</formula>
    </cfRule>
  </conditionalFormatting>
  <conditionalFormatting sqref="AL42">
    <cfRule type="cellIs" dxfId="2983" priority="2945" stopIfTrue="1" operator="between">
      <formula>221101</formula>
      <formula>221118</formula>
    </cfRule>
    <cfRule type="cellIs" dxfId="2982" priority="2946" stopIfTrue="1" operator="between">
      <formula>221142</formula>
      <formula>221144</formula>
    </cfRule>
    <cfRule type="cellIs" dxfId="2981" priority="2947" stopIfTrue="1" operator="between">
      <formula>220001</formula>
      <formula>221144</formula>
    </cfRule>
  </conditionalFormatting>
  <conditionalFormatting sqref="AK42">
    <cfRule type="cellIs" dxfId="2980" priority="2942" stopIfTrue="1" operator="between">
      <formula>221101</formula>
      <formula>221118</formula>
    </cfRule>
    <cfRule type="cellIs" dxfId="2979" priority="2943" stopIfTrue="1" operator="between">
      <formula>221142</formula>
      <formula>221144</formula>
    </cfRule>
    <cfRule type="cellIs" dxfId="2978" priority="2944" stopIfTrue="1" operator="between">
      <formula>220001</formula>
      <formula>221144</formula>
    </cfRule>
  </conditionalFormatting>
  <conditionalFormatting sqref="AK42">
    <cfRule type="cellIs" dxfId="2977" priority="2939" stopIfTrue="1" operator="between">
      <formula>221101</formula>
      <formula>221118</formula>
    </cfRule>
    <cfRule type="cellIs" dxfId="2976" priority="2940" stopIfTrue="1" operator="between">
      <formula>221142</formula>
      <formula>221144</formula>
    </cfRule>
    <cfRule type="cellIs" dxfId="2975" priority="2941" stopIfTrue="1" operator="between">
      <formula>220001</formula>
      <formula>221144</formula>
    </cfRule>
  </conditionalFormatting>
  <conditionalFormatting sqref="AJ42">
    <cfRule type="cellIs" dxfId="2974" priority="2936" stopIfTrue="1" operator="between">
      <formula>221101</formula>
      <formula>221118</formula>
    </cfRule>
    <cfRule type="cellIs" dxfId="2973" priority="2937" stopIfTrue="1" operator="between">
      <formula>221142</formula>
      <formula>221144</formula>
    </cfRule>
    <cfRule type="cellIs" dxfId="2972" priority="2938" stopIfTrue="1" operator="between">
      <formula>220001</formula>
      <formula>221144</formula>
    </cfRule>
  </conditionalFormatting>
  <conditionalFormatting sqref="AL42">
    <cfRule type="cellIs" dxfId="2971" priority="2933" stopIfTrue="1" operator="between">
      <formula>221101</formula>
      <formula>221118</formula>
    </cfRule>
    <cfRule type="cellIs" dxfId="2970" priority="2934" stopIfTrue="1" operator="between">
      <formula>221142</formula>
      <formula>221144</formula>
    </cfRule>
    <cfRule type="cellIs" dxfId="2969" priority="2935" stopIfTrue="1" operator="between">
      <formula>220001</formula>
      <formula>221144</formula>
    </cfRule>
  </conditionalFormatting>
  <conditionalFormatting sqref="AK42">
    <cfRule type="cellIs" dxfId="2968" priority="2930" stopIfTrue="1" operator="between">
      <formula>221101</formula>
      <formula>221118</formula>
    </cfRule>
    <cfRule type="cellIs" dxfId="2967" priority="2931" stopIfTrue="1" operator="between">
      <formula>221142</formula>
      <formula>221144</formula>
    </cfRule>
    <cfRule type="cellIs" dxfId="2966" priority="2932" stopIfTrue="1" operator="between">
      <formula>220001</formula>
      <formula>221144</formula>
    </cfRule>
  </conditionalFormatting>
  <conditionalFormatting sqref="AK42">
    <cfRule type="cellIs" dxfId="2965" priority="2927" stopIfTrue="1" operator="between">
      <formula>221101</formula>
      <formula>221118</formula>
    </cfRule>
    <cfRule type="cellIs" dxfId="2964" priority="2928" stopIfTrue="1" operator="between">
      <formula>221142</formula>
      <formula>221144</formula>
    </cfRule>
    <cfRule type="cellIs" dxfId="2963" priority="2929" stopIfTrue="1" operator="between">
      <formula>220001</formula>
      <formula>221144</formula>
    </cfRule>
  </conditionalFormatting>
  <conditionalFormatting sqref="AJ42">
    <cfRule type="cellIs" dxfId="2962" priority="2924" stopIfTrue="1" operator="between">
      <formula>221101</formula>
      <formula>221118</formula>
    </cfRule>
    <cfRule type="cellIs" dxfId="2961" priority="2925" stopIfTrue="1" operator="between">
      <formula>221142</formula>
      <formula>221144</formula>
    </cfRule>
    <cfRule type="cellIs" dxfId="2960" priority="2926" stopIfTrue="1" operator="between">
      <formula>220001</formula>
      <formula>221144</formula>
    </cfRule>
  </conditionalFormatting>
  <conditionalFormatting sqref="AK42">
    <cfRule type="cellIs" dxfId="2959" priority="2921" stopIfTrue="1" operator="between">
      <formula>221101</formula>
      <formula>221118</formula>
    </cfRule>
    <cfRule type="cellIs" dxfId="2958" priority="2922" stopIfTrue="1" operator="between">
      <formula>221142</formula>
      <formula>221144</formula>
    </cfRule>
    <cfRule type="cellIs" dxfId="2957" priority="2923" stopIfTrue="1" operator="between">
      <formula>220001</formula>
      <formula>221144</formula>
    </cfRule>
  </conditionalFormatting>
  <conditionalFormatting sqref="AJ42">
    <cfRule type="cellIs" dxfId="2956" priority="2918" stopIfTrue="1" operator="between">
      <formula>221101</formula>
      <formula>221118</formula>
    </cfRule>
    <cfRule type="cellIs" dxfId="2955" priority="2919" stopIfTrue="1" operator="between">
      <formula>221142</formula>
      <formula>221144</formula>
    </cfRule>
    <cfRule type="cellIs" dxfId="2954" priority="2920" stopIfTrue="1" operator="between">
      <formula>220001</formula>
      <formula>221144</formula>
    </cfRule>
  </conditionalFormatting>
  <conditionalFormatting sqref="AJ42">
    <cfRule type="cellIs" dxfId="2953" priority="2915" stopIfTrue="1" operator="between">
      <formula>221101</formula>
      <formula>221118</formula>
    </cfRule>
    <cfRule type="cellIs" dxfId="2952" priority="2916" stopIfTrue="1" operator="between">
      <formula>221142</formula>
      <formula>221144</formula>
    </cfRule>
    <cfRule type="cellIs" dxfId="2951" priority="2917" stopIfTrue="1" operator="between">
      <formula>220001</formula>
      <formula>221144</formula>
    </cfRule>
  </conditionalFormatting>
  <conditionalFormatting sqref="AI42">
    <cfRule type="cellIs" dxfId="2950" priority="2912" stopIfTrue="1" operator="between">
      <formula>221101</formula>
      <formula>221118</formula>
    </cfRule>
    <cfRule type="cellIs" dxfId="2949" priority="2913" stopIfTrue="1" operator="between">
      <formula>221142</formula>
      <formula>221144</formula>
    </cfRule>
    <cfRule type="cellIs" dxfId="2948" priority="2914" stopIfTrue="1" operator="between">
      <formula>220001</formula>
      <formula>221144</formula>
    </cfRule>
  </conditionalFormatting>
  <conditionalFormatting sqref="AL42">
    <cfRule type="cellIs" dxfId="2947" priority="2909" stopIfTrue="1" operator="between">
      <formula>221101</formula>
      <formula>221118</formula>
    </cfRule>
    <cfRule type="cellIs" dxfId="2946" priority="2910" stopIfTrue="1" operator="between">
      <formula>221142</formula>
      <formula>221144</formula>
    </cfRule>
    <cfRule type="cellIs" dxfId="2945" priority="2911" stopIfTrue="1" operator="between">
      <formula>220001</formula>
      <formula>221144</formula>
    </cfRule>
  </conditionalFormatting>
  <conditionalFormatting sqref="AK42">
    <cfRule type="cellIs" dxfId="2944" priority="2906" stopIfTrue="1" operator="between">
      <formula>221101</formula>
      <formula>221118</formula>
    </cfRule>
    <cfRule type="cellIs" dxfId="2943" priority="2907" stopIfTrue="1" operator="between">
      <formula>221142</formula>
      <formula>221144</formula>
    </cfRule>
    <cfRule type="cellIs" dxfId="2942" priority="2908" stopIfTrue="1" operator="between">
      <formula>220001</formula>
      <formula>221144</formula>
    </cfRule>
  </conditionalFormatting>
  <conditionalFormatting sqref="AK42">
    <cfRule type="cellIs" dxfId="2941" priority="2903" stopIfTrue="1" operator="between">
      <formula>221101</formula>
      <formula>221118</formula>
    </cfRule>
    <cfRule type="cellIs" dxfId="2940" priority="2904" stopIfTrue="1" operator="between">
      <formula>221142</formula>
      <formula>221144</formula>
    </cfRule>
    <cfRule type="cellIs" dxfId="2939" priority="2905" stopIfTrue="1" operator="between">
      <formula>220001</formula>
      <formula>221144</formula>
    </cfRule>
  </conditionalFormatting>
  <conditionalFormatting sqref="AJ42">
    <cfRule type="cellIs" dxfId="2938" priority="2900" stopIfTrue="1" operator="between">
      <formula>221101</formula>
      <formula>221118</formula>
    </cfRule>
    <cfRule type="cellIs" dxfId="2937" priority="2901" stopIfTrue="1" operator="between">
      <formula>221142</formula>
      <formula>221144</formula>
    </cfRule>
    <cfRule type="cellIs" dxfId="2936" priority="2902" stopIfTrue="1" operator="between">
      <formula>220001</formula>
      <formula>221144</formula>
    </cfRule>
  </conditionalFormatting>
  <conditionalFormatting sqref="AK42">
    <cfRule type="cellIs" dxfId="2935" priority="2897" stopIfTrue="1" operator="between">
      <formula>221101</formula>
      <formula>221118</formula>
    </cfRule>
    <cfRule type="cellIs" dxfId="2934" priority="2898" stopIfTrue="1" operator="between">
      <formula>221142</formula>
      <formula>221144</formula>
    </cfRule>
    <cfRule type="cellIs" dxfId="2933" priority="2899" stopIfTrue="1" operator="between">
      <formula>220001</formula>
      <formula>221144</formula>
    </cfRule>
  </conditionalFormatting>
  <conditionalFormatting sqref="AJ42">
    <cfRule type="cellIs" dxfId="2932" priority="2894" stopIfTrue="1" operator="between">
      <formula>221101</formula>
      <formula>221118</formula>
    </cfRule>
    <cfRule type="cellIs" dxfId="2931" priority="2895" stopIfTrue="1" operator="between">
      <formula>221142</formula>
      <formula>221144</formula>
    </cfRule>
    <cfRule type="cellIs" dxfId="2930" priority="2896" stopIfTrue="1" operator="between">
      <formula>220001</formula>
      <formula>221144</formula>
    </cfRule>
  </conditionalFormatting>
  <conditionalFormatting sqref="AJ42">
    <cfRule type="cellIs" dxfId="2929" priority="2891" stopIfTrue="1" operator="between">
      <formula>221101</formula>
      <formula>221118</formula>
    </cfRule>
    <cfRule type="cellIs" dxfId="2928" priority="2892" stopIfTrue="1" operator="between">
      <formula>221142</formula>
      <formula>221144</formula>
    </cfRule>
    <cfRule type="cellIs" dxfId="2927" priority="2893" stopIfTrue="1" operator="between">
      <formula>220001</formula>
      <formula>221144</formula>
    </cfRule>
  </conditionalFormatting>
  <conditionalFormatting sqref="AI42">
    <cfRule type="cellIs" dxfId="2926" priority="2888" stopIfTrue="1" operator="between">
      <formula>221101</formula>
      <formula>221118</formula>
    </cfRule>
    <cfRule type="cellIs" dxfId="2925" priority="2889" stopIfTrue="1" operator="between">
      <formula>221142</formula>
      <formula>221144</formula>
    </cfRule>
    <cfRule type="cellIs" dxfId="2924" priority="2890" stopIfTrue="1" operator="between">
      <formula>220001</formula>
      <formula>221144</formula>
    </cfRule>
  </conditionalFormatting>
  <conditionalFormatting sqref="AK42">
    <cfRule type="cellIs" dxfId="2923" priority="2885" stopIfTrue="1" operator="between">
      <formula>221101</formula>
      <formula>221118</formula>
    </cfRule>
    <cfRule type="cellIs" dxfId="2922" priority="2886" stopIfTrue="1" operator="between">
      <formula>221142</formula>
      <formula>221144</formula>
    </cfRule>
    <cfRule type="cellIs" dxfId="2921" priority="2887" stopIfTrue="1" operator="between">
      <formula>220001</formula>
      <formula>221144</formula>
    </cfRule>
  </conditionalFormatting>
  <conditionalFormatting sqref="AJ42">
    <cfRule type="cellIs" dxfId="2920" priority="2882" stopIfTrue="1" operator="between">
      <formula>221101</formula>
      <formula>221118</formula>
    </cfRule>
    <cfRule type="cellIs" dxfId="2919" priority="2883" stopIfTrue="1" operator="between">
      <formula>221142</formula>
      <formula>221144</formula>
    </cfRule>
    <cfRule type="cellIs" dxfId="2918" priority="2884" stopIfTrue="1" operator="between">
      <formula>220001</formula>
      <formula>221144</formula>
    </cfRule>
  </conditionalFormatting>
  <conditionalFormatting sqref="AJ42">
    <cfRule type="cellIs" dxfId="2917" priority="2879" stopIfTrue="1" operator="between">
      <formula>221101</formula>
      <formula>221118</formula>
    </cfRule>
    <cfRule type="cellIs" dxfId="2916" priority="2880" stopIfTrue="1" operator="between">
      <formula>221142</formula>
      <formula>221144</formula>
    </cfRule>
    <cfRule type="cellIs" dxfId="2915" priority="2881" stopIfTrue="1" operator="between">
      <formula>220001</formula>
      <formula>221144</formula>
    </cfRule>
  </conditionalFormatting>
  <conditionalFormatting sqref="AI42">
    <cfRule type="cellIs" dxfId="2914" priority="2876" stopIfTrue="1" operator="between">
      <formula>221101</formula>
      <formula>221118</formula>
    </cfRule>
    <cfRule type="cellIs" dxfId="2913" priority="2877" stopIfTrue="1" operator="between">
      <formula>221142</formula>
      <formula>221144</formula>
    </cfRule>
    <cfRule type="cellIs" dxfId="2912" priority="2878" stopIfTrue="1" operator="between">
      <formula>220001</formula>
      <formula>221144</formula>
    </cfRule>
  </conditionalFormatting>
  <conditionalFormatting sqref="AJ42">
    <cfRule type="cellIs" dxfId="2911" priority="2873" stopIfTrue="1" operator="between">
      <formula>221101</formula>
      <formula>221118</formula>
    </cfRule>
    <cfRule type="cellIs" dxfId="2910" priority="2874" stopIfTrue="1" operator="between">
      <formula>221142</formula>
      <formula>221144</formula>
    </cfRule>
    <cfRule type="cellIs" dxfId="2909" priority="2875" stopIfTrue="1" operator="between">
      <formula>220001</formula>
      <formula>221144</formula>
    </cfRule>
  </conditionalFormatting>
  <conditionalFormatting sqref="AI42">
    <cfRule type="cellIs" dxfId="2908" priority="2870" stopIfTrue="1" operator="between">
      <formula>221101</formula>
      <formula>221118</formula>
    </cfRule>
    <cfRule type="cellIs" dxfId="2907" priority="2871" stopIfTrue="1" operator="between">
      <formula>221142</formula>
      <formula>221144</formula>
    </cfRule>
    <cfRule type="cellIs" dxfId="2906" priority="2872" stopIfTrue="1" operator="between">
      <formula>220001</formula>
      <formula>221144</formula>
    </cfRule>
  </conditionalFormatting>
  <conditionalFormatting sqref="AI42">
    <cfRule type="cellIs" dxfId="2905" priority="2867" stopIfTrue="1" operator="between">
      <formula>221101</formula>
      <formula>221118</formula>
    </cfRule>
    <cfRule type="cellIs" dxfId="2904" priority="2868" stopIfTrue="1" operator="between">
      <formula>221142</formula>
      <formula>221144</formula>
    </cfRule>
    <cfRule type="cellIs" dxfId="2903" priority="2869" stopIfTrue="1" operator="between">
      <formula>220001</formula>
      <formula>221144</formula>
    </cfRule>
  </conditionalFormatting>
  <conditionalFormatting sqref="AH42">
    <cfRule type="cellIs" dxfId="2902" priority="2864" stopIfTrue="1" operator="between">
      <formula>221101</formula>
      <formula>221118</formula>
    </cfRule>
    <cfRule type="cellIs" dxfId="2901" priority="2865" stopIfTrue="1" operator="between">
      <formula>221142</formula>
      <formula>221144</formula>
    </cfRule>
    <cfRule type="cellIs" dxfId="2900" priority="2866" stopIfTrue="1" operator="between">
      <formula>220001</formula>
      <formula>221144</formula>
    </cfRule>
  </conditionalFormatting>
  <conditionalFormatting sqref="C5">
    <cfRule type="cellIs" dxfId="2899" priority="2861" stopIfTrue="1" operator="between">
      <formula>221101</formula>
      <formula>221118</formula>
    </cfRule>
    <cfRule type="cellIs" dxfId="2898" priority="2862" stopIfTrue="1" operator="between">
      <formula>221142</formula>
      <formula>221144</formula>
    </cfRule>
    <cfRule type="cellIs" dxfId="2897" priority="2863" stopIfTrue="1" operator="between">
      <formula>220001</formula>
      <formula>221144</formula>
    </cfRule>
  </conditionalFormatting>
  <conditionalFormatting sqref="D5">
    <cfRule type="cellIs" dxfId="2896" priority="2858" stopIfTrue="1" operator="between">
      <formula>221101</formula>
      <formula>221118</formula>
    </cfRule>
    <cfRule type="cellIs" dxfId="2895" priority="2859" stopIfTrue="1" operator="between">
      <formula>221142</formula>
      <formula>221144</formula>
    </cfRule>
    <cfRule type="cellIs" dxfId="2894" priority="2860" stopIfTrue="1" operator="between">
      <formula>220001</formula>
      <formula>221144</formula>
    </cfRule>
  </conditionalFormatting>
  <conditionalFormatting sqref="C5">
    <cfRule type="cellIs" dxfId="2893" priority="2855" stopIfTrue="1" operator="between">
      <formula>221101</formula>
      <formula>221118</formula>
    </cfRule>
    <cfRule type="cellIs" dxfId="2892" priority="2856" stopIfTrue="1" operator="between">
      <formula>221142</formula>
      <formula>221144</formula>
    </cfRule>
    <cfRule type="cellIs" dxfId="2891" priority="2857" stopIfTrue="1" operator="between">
      <formula>220001</formula>
      <formula>221144</formula>
    </cfRule>
  </conditionalFormatting>
  <conditionalFormatting sqref="D5">
    <cfRule type="cellIs" dxfId="2890" priority="2852" stopIfTrue="1" operator="between">
      <formula>221101</formula>
      <formula>221118</formula>
    </cfRule>
    <cfRule type="cellIs" dxfId="2889" priority="2853" stopIfTrue="1" operator="between">
      <formula>221142</formula>
      <formula>221144</formula>
    </cfRule>
    <cfRule type="cellIs" dxfId="2888" priority="2854" stopIfTrue="1" operator="between">
      <formula>220001</formula>
      <formula>221144</formula>
    </cfRule>
  </conditionalFormatting>
  <conditionalFormatting sqref="D5">
    <cfRule type="cellIs" dxfId="2887" priority="2849" stopIfTrue="1" operator="between">
      <formula>221101</formula>
      <formula>221118</formula>
    </cfRule>
    <cfRule type="cellIs" dxfId="2886" priority="2850" stopIfTrue="1" operator="between">
      <formula>221142</formula>
      <formula>221144</formula>
    </cfRule>
    <cfRule type="cellIs" dxfId="2885" priority="2851" stopIfTrue="1" operator="between">
      <formula>220001</formula>
      <formula>221144</formula>
    </cfRule>
  </conditionalFormatting>
  <conditionalFormatting sqref="C5">
    <cfRule type="cellIs" dxfId="2884" priority="2846" stopIfTrue="1" operator="between">
      <formula>221101</formula>
      <formula>221118</formula>
    </cfRule>
    <cfRule type="cellIs" dxfId="2883" priority="2847" stopIfTrue="1" operator="between">
      <formula>221142</formula>
      <formula>221144</formula>
    </cfRule>
    <cfRule type="cellIs" dxfId="2882" priority="2848" stopIfTrue="1" operator="between">
      <formula>220001</formula>
      <formula>221144</formula>
    </cfRule>
  </conditionalFormatting>
  <conditionalFormatting sqref="C5">
    <cfRule type="cellIs" dxfId="2881" priority="2843" stopIfTrue="1" operator="between">
      <formula>221101</formula>
      <formula>221118</formula>
    </cfRule>
    <cfRule type="cellIs" dxfId="2880" priority="2844" stopIfTrue="1" operator="between">
      <formula>221142</formula>
      <formula>221144</formula>
    </cfRule>
    <cfRule type="cellIs" dxfId="2879" priority="2845" stopIfTrue="1" operator="between">
      <formula>220001</formula>
      <formula>221144</formula>
    </cfRule>
  </conditionalFormatting>
  <conditionalFormatting sqref="C5">
    <cfRule type="cellIs" dxfId="2878" priority="2840" stopIfTrue="1" operator="between">
      <formula>221101</formula>
      <formula>221118</formula>
    </cfRule>
    <cfRule type="cellIs" dxfId="2877" priority="2841" stopIfTrue="1" operator="between">
      <formula>221142</formula>
      <formula>221144</formula>
    </cfRule>
    <cfRule type="cellIs" dxfId="2876" priority="2842" stopIfTrue="1" operator="between">
      <formula>220001</formula>
      <formula>221144</formula>
    </cfRule>
  </conditionalFormatting>
  <conditionalFormatting sqref="C5">
    <cfRule type="cellIs" dxfId="2875" priority="2837" stopIfTrue="1" operator="between">
      <formula>221101</formula>
      <formula>221118</formula>
    </cfRule>
    <cfRule type="cellIs" dxfId="2874" priority="2838" stopIfTrue="1" operator="between">
      <formula>221142</formula>
      <formula>221144</formula>
    </cfRule>
    <cfRule type="cellIs" dxfId="2873" priority="2839" stopIfTrue="1" operator="between">
      <formula>220001</formula>
      <formula>221144</formula>
    </cfRule>
  </conditionalFormatting>
  <conditionalFormatting sqref="C5">
    <cfRule type="cellIs" dxfId="2872" priority="2834" stopIfTrue="1" operator="between">
      <formula>221101</formula>
      <formula>221118</formula>
    </cfRule>
    <cfRule type="cellIs" dxfId="2871" priority="2835" stopIfTrue="1" operator="between">
      <formula>221142</formula>
      <formula>221144</formula>
    </cfRule>
    <cfRule type="cellIs" dxfId="2870" priority="2836" stopIfTrue="1" operator="between">
      <formula>220001</formula>
      <formula>221144</formula>
    </cfRule>
  </conditionalFormatting>
  <conditionalFormatting sqref="C5">
    <cfRule type="cellIs" dxfId="2869" priority="2831" stopIfTrue="1" operator="between">
      <formula>221101</formula>
      <formula>221118</formula>
    </cfRule>
    <cfRule type="cellIs" dxfId="2868" priority="2832" stopIfTrue="1" operator="between">
      <formula>221142</formula>
      <formula>221144</formula>
    </cfRule>
    <cfRule type="cellIs" dxfId="2867" priority="2833" stopIfTrue="1" operator="between">
      <formula>220001</formula>
      <formula>221144</formula>
    </cfRule>
  </conditionalFormatting>
  <conditionalFormatting sqref="C5">
    <cfRule type="cellIs" dxfId="2866" priority="2828" stopIfTrue="1" operator="between">
      <formula>221101</formula>
      <formula>221118</formula>
    </cfRule>
    <cfRule type="cellIs" dxfId="2865" priority="2829" stopIfTrue="1" operator="between">
      <formula>221142</formula>
      <formula>221144</formula>
    </cfRule>
    <cfRule type="cellIs" dxfId="2864" priority="2830" stopIfTrue="1" operator="between">
      <formula>220001</formula>
      <formula>221144</formula>
    </cfRule>
  </conditionalFormatting>
  <conditionalFormatting sqref="C5">
    <cfRule type="cellIs" dxfId="2863" priority="2825" stopIfTrue="1" operator="between">
      <formula>221101</formula>
      <formula>221118</formula>
    </cfRule>
    <cfRule type="cellIs" dxfId="2862" priority="2826" stopIfTrue="1" operator="between">
      <formula>221142</formula>
      <formula>221144</formula>
    </cfRule>
    <cfRule type="cellIs" dxfId="2861" priority="2827" stopIfTrue="1" operator="between">
      <formula>220001</formula>
      <formula>221144</formula>
    </cfRule>
  </conditionalFormatting>
  <conditionalFormatting sqref="C5">
    <cfRule type="cellIs" dxfId="2860" priority="2822" stopIfTrue="1" operator="between">
      <formula>221101</formula>
      <formula>221118</formula>
    </cfRule>
    <cfRule type="cellIs" dxfId="2859" priority="2823" stopIfTrue="1" operator="between">
      <formula>221142</formula>
      <formula>221144</formula>
    </cfRule>
    <cfRule type="cellIs" dxfId="2858" priority="2824" stopIfTrue="1" operator="between">
      <formula>220001</formula>
      <formula>221144</formula>
    </cfRule>
  </conditionalFormatting>
  <conditionalFormatting sqref="C5">
    <cfRule type="cellIs" dxfId="2857" priority="2819" stopIfTrue="1" operator="between">
      <formula>221101</formula>
      <formula>221118</formula>
    </cfRule>
    <cfRule type="cellIs" dxfId="2856" priority="2820" stopIfTrue="1" operator="between">
      <formula>221142</formula>
      <formula>221144</formula>
    </cfRule>
    <cfRule type="cellIs" dxfId="2855" priority="2821" stopIfTrue="1" operator="between">
      <formula>220001</formula>
      <formula>221144</formula>
    </cfRule>
  </conditionalFormatting>
  <conditionalFormatting sqref="C5">
    <cfRule type="cellIs" dxfId="2854" priority="2816" stopIfTrue="1" operator="between">
      <formula>221101</formula>
      <formula>221118</formula>
    </cfRule>
    <cfRule type="cellIs" dxfId="2853" priority="2817" stopIfTrue="1" operator="between">
      <formula>221142</formula>
      <formula>221144</formula>
    </cfRule>
    <cfRule type="cellIs" dxfId="2852" priority="2818" stopIfTrue="1" operator="between">
      <formula>220001</formula>
      <formula>221144</formula>
    </cfRule>
  </conditionalFormatting>
  <conditionalFormatting sqref="C5">
    <cfRule type="cellIs" dxfId="2851" priority="2813" stopIfTrue="1" operator="between">
      <formula>221101</formula>
      <formula>221118</formula>
    </cfRule>
    <cfRule type="cellIs" dxfId="2850" priority="2814" stopIfTrue="1" operator="between">
      <formula>221142</formula>
      <formula>221144</formula>
    </cfRule>
    <cfRule type="cellIs" dxfId="2849" priority="2815" stopIfTrue="1" operator="between">
      <formula>220001</formula>
      <formula>221144</formula>
    </cfRule>
  </conditionalFormatting>
  <conditionalFormatting sqref="C5">
    <cfRule type="cellIs" dxfId="2848" priority="2810" stopIfTrue="1" operator="between">
      <formula>221101</formula>
      <formula>221118</formula>
    </cfRule>
    <cfRule type="cellIs" dxfId="2847" priority="2811" stopIfTrue="1" operator="between">
      <formula>221142</formula>
      <formula>221144</formula>
    </cfRule>
    <cfRule type="cellIs" dxfId="2846" priority="2812" stopIfTrue="1" operator="between">
      <formula>220001</formula>
      <formula>221144</formula>
    </cfRule>
  </conditionalFormatting>
  <conditionalFormatting sqref="C5">
    <cfRule type="cellIs" dxfId="2845" priority="2807" stopIfTrue="1" operator="between">
      <formula>221101</formula>
      <formula>221118</formula>
    </cfRule>
    <cfRule type="cellIs" dxfId="2844" priority="2808" stopIfTrue="1" operator="between">
      <formula>221142</formula>
      <formula>221144</formula>
    </cfRule>
    <cfRule type="cellIs" dxfId="2843" priority="2809" stopIfTrue="1" operator="between">
      <formula>220001</formula>
      <formula>221144</formula>
    </cfRule>
  </conditionalFormatting>
  <conditionalFormatting sqref="C5">
    <cfRule type="cellIs" dxfId="2842" priority="2804" stopIfTrue="1" operator="between">
      <formula>221101</formula>
      <formula>221118</formula>
    </cfRule>
    <cfRule type="cellIs" dxfId="2841" priority="2805" stopIfTrue="1" operator="between">
      <formula>221142</formula>
      <formula>221144</formula>
    </cfRule>
    <cfRule type="cellIs" dxfId="2840" priority="2806" stopIfTrue="1" operator="between">
      <formula>220001</formula>
      <formula>221144</formula>
    </cfRule>
  </conditionalFormatting>
  <conditionalFormatting sqref="C5">
    <cfRule type="cellIs" dxfId="2839" priority="2801" stopIfTrue="1" operator="between">
      <formula>221101</formula>
      <formula>221118</formula>
    </cfRule>
    <cfRule type="cellIs" dxfId="2838" priority="2802" stopIfTrue="1" operator="between">
      <formula>221142</formula>
      <formula>221144</formula>
    </cfRule>
    <cfRule type="cellIs" dxfId="2837" priority="2803" stopIfTrue="1" operator="between">
      <formula>220001</formula>
      <formula>221144</formula>
    </cfRule>
  </conditionalFormatting>
  <conditionalFormatting sqref="C5">
    <cfRule type="cellIs" dxfId="2836" priority="2798" stopIfTrue="1" operator="between">
      <formula>221101</formula>
      <formula>221118</formula>
    </cfRule>
    <cfRule type="cellIs" dxfId="2835" priority="2799" stopIfTrue="1" operator="between">
      <formula>221142</formula>
      <formula>221144</formula>
    </cfRule>
    <cfRule type="cellIs" dxfId="2834" priority="2800" stopIfTrue="1" operator="between">
      <formula>220001</formula>
      <formula>221144</formula>
    </cfRule>
  </conditionalFormatting>
  <conditionalFormatting sqref="C5">
    <cfRule type="cellIs" dxfId="2833" priority="2795" stopIfTrue="1" operator="between">
      <formula>221101</formula>
      <formula>221118</formula>
    </cfRule>
    <cfRule type="cellIs" dxfId="2832" priority="2796" stopIfTrue="1" operator="between">
      <formula>221142</formula>
      <formula>221144</formula>
    </cfRule>
    <cfRule type="cellIs" dxfId="2831" priority="2797" stopIfTrue="1" operator="between">
      <formula>220001</formula>
      <formula>221144</formula>
    </cfRule>
  </conditionalFormatting>
  <conditionalFormatting sqref="C29">
    <cfRule type="cellIs" dxfId="2830" priority="2792" stopIfTrue="1" operator="between">
      <formula>221101</formula>
      <formula>221118</formula>
    </cfRule>
    <cfRule type="cellIs" dxfId="2829" priority="2793" stopIfTrue="1" operator="between">
      <formula>221142</formula>
      <formula>221144</formula>
    </cfRule>
    <cfRule type="cellIs" dxfId="2828" priority="2794" stopIfTrue="1" operator="between">
      <formula>220001</formula>
      <formula>221144</formula>
    </cfRule>
  </conditionalFormatting>
  <conditionalFormatting sqref="AO29">
    <cfRule type="cellIs" dxfId="2827" priority="2789" stopIfTrue="1" operator="between">
      <formula>221101</formula>
      <formula>221118</formula>
    </cfRule>
    <cfRule type="cellIs" dxfId="2826" priority="2790" stopIfTrue="1" operator="between">
      <formula>221142</formula>
      <formula>221144</formula>
    </cfRule>
    <cfRule type="cellIs" dxfId="2825" priority="2791" stopIfTrue="1" operator="between">
      <formula>220001</formula>
      <formula>221144</formula>
    </cfRule>
  </conditionalFormatting>
  <conditionalFormatting sqref="AN29">
    <cfRule type="cellIs" dxfId="2824" priority="2786" stopIfTrue="1" operator="between">
      <formula>221101</formula>
      <formula>221118</formula>
    </cfRule>
    <cfRule type="cellIs" dxfId="2823" priority="2787" stopIfTrue="1" operator="between">
      <formula>221142</formula>
      <formula>221144</formula>
    </cfRule>
    <cfRule type="cellIs" dxfId="2822" priority="2788" stopIfTrue="1" operator="between">
      <formula>220001</formula>
      <formula>221144</formula>
    </cfRule>
  </conditionalFormatting>
  <conditionalFormatting sqref="AN29">
    <cfRule type="cellIs" dxfId="2821" priority="2783" stopIfTrue="1" operator="between">
      <formula>221101</formula>
      <formula>221118</formula>
    </cfRule>
    <cfRule type="cellIs" dxfId="2820" priority="2784" stopIfTrue="1" operator="between">
      <formula>221142</formula>
      <formula>221144</formula>
    </cfRule>
    <cfRule type="cellIs" dxfId="2819" priority="2785" stopIfTrue="1" operator="between">
      <formula>220001</formula>
      <formula>221144</formula>
    </cfRule>
  </conditionalFormatting>
  <conditionalFormatting sqref="AM29">
    <cfRule type="cellIs" dxfId="2818" priority="2780" stopIfTrue="1" operator="between">
      <formula>221101</formula>
      <formula>221118</formula>
    </cfRule>
    <cfRule type="cellIs" dxfId="2817" priority="2781" stopIfTrue="1" operator="between">
      <formula>221142</formula>
      <formula>221144</formula>
    </cfRule>
    <cfRule type="cellIs" dxfId="2816" priority="2782" stopIfTrue="1" operator="between">
      <formula>220001</formula>
      <formula>221144</formula>
    </cfRule>
  </conditionalFormatting>
  <conditionalFormatting sqref="D29">
    <cfRule type="cellIs" dxfId="2815" priority="2777" stopIfTrue="1" operator="between">
      <formula>221101</formula>
      <formula>221118</formula>
    </cfRule>
    <cfRule type="cellIs" dxfId="2814" priority="2778" stopIfTrue="1" operator="between">
      <formula>221142</formula>
      <formula>221144</formula>
    </cfRule>
    <cfRule type="cellIs" dxfId="2813" priority="2779" stopIfTrue="1" operator="between">
      <formula>220001</formula>
      <formula>221144</formula>
    </cfRule>
  </conditionalFormatting>
  <conditionalFormatting sqref="D29">
    <cfRule type="cellIs" dxfId="2812" priority="2774" stopIfTrue="1" operator="between">
      <formula>221101</formula>
      <formula>221118</formula>
    </cfRule>
    <cfRule type="cellIs" dxfId="2811" priority="2775" stopIfTrue="1" operator="between">
      <formula>221142</formula>
      <formula>221144</formula>
    </cfRule>
    <cfRule type="cellIs" dxfId="2810" priority="2776" stopIfTrue="1" operator="between">
      <formula>220001</formula>
      <formula>221144</formula>
    </cfRule>
  </conditionalFormatting>
  <conditionalFormatting sqref="D29">
    <cfRule type="cellIs" dxfId="2809" priority="2771" stopIfTrue="1" operator="between">
      <formula>221101</formula>
      <formula>221118</formula>
    </cfRule>
    <cfRule type="cellIs" dxfId="2808" priority="2772" stopIfTrue="1" operator="between">
      <formula>221142</formula>
      <formula>221144</formula>
    </cfRule>
    <cfRule type="cellIs" dxfId="2807" priority="2773" stopIfTrue="1" operator="between">
      <formula>220001</formula>
      <formula>221144</formula>
    </cfRule>
  </conditionalFormatting>
  <conditionalFormatting sqref="D29">
    <cfRule type="cellIs" dxfId="2806" priority="2768" stopIfTrue="1" operator="between">
      <formula>221101</formula>
      <formula>221118</formula>
    </cfRule>
    <cfRule type="cellIs" dxfId="2805" priority="2769" stopIfTrue="1" operator="between">
      <formula>221142</formula>
      <formula>221144</formula>
    </cfRule>
    <cfRule type="cellIs" dxfId="2804" priority="2770" stopIfTrue="1" operator="between">
      <formula>220001</formula>
      <formula>221144</formula>
    </cfRule>
  </conditionalFormatting>
  <conditionalFormatting sqref="AN29">
    <cfRule type="cellIs" dxfId="2803" priority="2765" stopIfTrue="1" operator="between">
      <formula>221101</formula>
      <formula>221118</formula>
    </cfRule>
    <cfRule type="cellIs" dxfId="2802" priority="2766" stopIfTrue="1" operator="between">
      <formula>221142</formula>
      <formula>221144</formula>
    </cfRule>
    <cfRule type="cellIs" dxfId="2801" priority="2767" stopIfTrue="1" operator="between">
      <formula>220001</formula>
      <formula>221144</formula>
    </cfRule>
  </conditionalFormatting>
  <conditionalFormatting sqref="AM29">
    <cfRule type="cellIs" dxfId="2800" priority="2762" stopIfTrue="1" operator="between">
      <formula>221101</formula>
      <formula>221118</formula>
    </cfRule>
    <cfRule type="cellIs" dxfId="2799" priority="2763" stopIfTrue="1" operator="between">
      <formula>221142</formula>
      <formula>221144</formula>
    </cfRule>
    <cfRule type="cellIs" dxfId="2798" priority="2764" stopIfTrue="1" operator="between">
      <formula>220001</formula>
      <formula>221144</formula>
    </cfRule>
  </conditionalFormatting>
  <conditionalFormatting sqref="AM29">
    <cfRule type="cellIs" dxfId="2797" priority="2759" stopIfTrue="1" operator="between">
      <formula>221101</formula>
      <formula>221118</formula>
    </cfRule>
    <cfRule type="cellIs" dxfId="2796" priority="2760" stopIfTrue="1" operator="between">
      <formula>221142</formula>
      <formula>221144</formula>
    </cfRule>
    <cfRule type="cellIs" dxfId="2795" priority="2761" stopIfTrue="1" operator="between">
      <formula>220001</formula>
      <formula>221144</formula>
    </cfRule>
  </conditionalFormatting>
  <conditionalFormatting sqref="AL29">
    <cfRule type="cellIs" dxfId="2794" priority="2756" stopIfTrue="1" operator="between">
      <formula>221101</formula>
      <formula>221118</formula>
    </cfRule>
    <cfRule type="cellIs" dxfId="2793" priority="2757" stopIfTrue="1" operator="between">
      <formula>221142</formula>
      <formula>221144</formula>
    </cfRule>
    <cfRule type="cellIs" dxfId="2792" priority="2758" stopIfTrue="1" operator="between">
      <formula>220001</formula>
      <formula>221144</formula>
    </cfRule>
  </conditionalFormatting>
  <conditionalFormatting sqref="C29">
    <cfRule type="cellIs" dxfId="2791" priority="2753" stopIfTrue="1" operator="between">
      <formula>221101</formula>
      <formula>221118</formula>
    </cfRule>
    <cfRule type="cellIs" dxfId="2790" priority="2754" stopIfTrue="1" operator="between">
      <formula>221142</formula>
      <formula>221144</formula>
    </cfRule>
    <cfRule type="cellIs" dxfId="2789" priority="2755" stopIfTrue="1" operator="between">
      <formula>220001</formula>
      <formula>221144</formula>
    </cfRule>
  </conditionalFormatting>
  <conditionalFormatting sqref="C29">
    <cfRule type="cellIs" dxfId="2788" priority="2750" stopIfTrue="1" operator="between">
      <formula>221101</formula>
      <formula>221118</formula>
    </cfRule>
    <cfRule type="cellIs" dxfId="2787" priority="2751" stopIfTrue="1" operator="between">
      <formula>221142</formula>
      <formula>221144</formula>
    </cfRule>
    <cfRule type="cellIs" dxfId="2786" priority="2752" stopIfTrue="1" operator="between">
      <formula>220001</formula>
      <formula>221144</formula>
    </cfRule>
  </conditionalFormatting>
  <conditionalFormatting sqref="C29">
    <cfRule type="cellIs" dxfId="2785" priority="2747" stopIfTrue="1" operator="between">
      <formula>221101</formula>
      <formula>221118</formula>
    </cfRule>
    <cfRule type="cellIs" dxfId="2784" priority="2748" stopIfTrue="1" operator="between">
      <formula>221142</formula>
      <formula>221144</formula>
    </cfRule>
    <cfRule type="cellIs" dxfId="2783" priority="2749" stopIfTrue="1" operator="between">
      <formula>220001</formula>
      <formula>221144</formula>
    </cfRule>
  </conditionalFormatting>
  <conditionalFormatting sqref="C29">
    <cfRule type="cellIs" dxfId="2782" priority="2744" stopIfTrue="1" operator="between">
      <formula>221101</formula>
      <formula>221118</formula>
    </cfRule>
    <cfRule type="cellIs" dxfId="2781" priority="2745" stopIfTrue="1" operator="between">
      <formula>221142</formula>
      <formula>221144</formula>
    </cfRule>
    <cfRule type="cellIs" dxfId="2780" priority="2746" stopIfTrue="1" operator="between">
      <formula>220001</formula>
      <formula>221144</formula>
    </cfRule>
  </conditionalFormatting>
  <conditionalFormatting sqref="AN29">
    <cfRule type="cellIs" dxfId="2779" priority="2741" stopIfTrue="1" operator="between">
      <formula>221101</formula>
      <formula>221118</formula>
    </cfRule>
    <cfRule type="cellIs" dxfId="2778" priority="2742" stopIfTrue="1" operator="between">
      <formula>221142</formula>
      <formula>221144</formula>
    </cfRule>
    <cfRule type="cellIs" dxfId="2777" priority="2743" stopIfTrue="1" operator="between">
      <formula>220001</formula>
      <formula>221144</formula>
    </cfRule>
  </conditionalFormatting>
  <conditionalFormatting sqref="AM29">
    <cfRule type="cellIs" dxfId="2776" priority="2738" stopIfTrue="1" operator="between">
      <formula>221101</formula>
      <formula>221118</formula>
    </cfRule>
    <cfRule type="cellIs" dxfId="2775" priority="2739" stopIfTrue="1" operator="between">
      <formula>221142</formula>
      <formula>221144</formula>
    </cfRule>
    <cfRule type="cellIs" dxfId="2774" priority="2740" stopIfTrue="1" operator="between">
      <formula>220001</formula>
      <formula>221144</formula>
    </cfRule>
  </conditionalFormatting>
  <conditionalFormatting sqref="AM29">
    <cfRule type="cellIs" dxfId="2773" priority="2735" stopIfTrue="1" operator="between">
      <formula>221101</formula>
      <formula>221118</formula>
    </cfRule>
    <cfRule type="cellIs" dxfId="2772" priority="2736" stopIfTrue="1" operator="between">
      <formula>221142</formula>
      <formula>221144</formula>
    </cfRule>
    <cfRule type="cellIs" dxfId="2771" priority="2737" stopIfTrue="1" operator="between">
      <formula>220001</formula>
      <formula>221144</formula>
    </cfRule>
  </conditionalFormatting>
  <conditionalFormatting sqref="AL29">
    <cfRule type="cellIs" dxfId="2770" priority="2732" stopIfTrue="1" operator="between">
      <formula>221101</formula>
      <formula>221118</formula>
    </cfRule>
    <cfRule type="cellIs" dxfId="2769" priority="2733" stopIfTrue="1" operator="between">
      <formula>221142</formula>
      <formula>221144</formula>
    </cfRule>
    <cfRule type="cellIs" dxfId="2768" priority="2734" stopIfTrue="1" operator="between">
      <formula>220001</formula>
      <formula>221144</formula>
    </cfRule>
  </conditionalFormatting>
  <conditionalFormatting sqref="C29">
    <cfRule type="cellIs" dxfId="2767" priority="2729" stopIfTrue="1" operator="between">
      <formula>221101</formula>
      <formula>221118</formula>
    </cfRule>
    <cfRule type="cellIs" dxfId="2766" priority="2730" stopIfTrue="1" operator="between">
      <formula>221142</formula>
      <formula>221144</formula>
    </cfRule>
    <cfRule type="cellIs" dxfId="2765" priority="2731" stopIfTrue="1" operator="between">
      <formula>220001</formula>
      <formula>221144</formula>
    </cfRule>
  </conditionalFormatting>
  <conditionalFormatting sqref="C29">
    <cfRule type="cellIs" dxfId="2764" priority="2726" stopIfTrue="1" operator="between">
      <formula>221101</formula>
      <formula>221118</formula>
    </cfRule>
    <cfRule type="cellIs" dxfId="2763" priority="2727" stopIfTrue="1" operator="between">
      <formula>221142</formula>
      <formula>221144</formula>
    </cfRule>
    <cfRule type="cellIs" dxfId="2762" priority="2728" stopIfTrue="1" operator="between">
      <formula>220001</formula>
      <formula>221144</formula>
    </cfRule>
  </conditionalFormatting>
  <conditionalFormatting sqref="C29">
    <cfRule type="cellIs" dxfId="2761" priority="2723" stopIfTrue="1" operator="between">
      <formula>221101</formula>
      <formula>221118</formula>
    </cfRule>
    <cfRule type="cellIs" dxfId="2760" priority="2724" stopIfTrue="1" operator="between">
      <formula>221142</formula>
      <formula>221144</formula>
    </cfRule>
    <cfRule type="cellIs" dxfId="2759" priority="2725" stopIfTrue="1" operator="between">
      <formula>220001</formula>
      <formula>221144</formula>
    </cfRule>
  </conditionalFormatting>
  <conditionalFormatting sqref="C29">
    <cfRule type="cellIs" dxfId="2758" priority="2720" stopIfTrue="1" operator="between">
      <formula>221101</formula>
      <formula>221118</formula>
    </cfRule>
    <cfRule type="cellIs" dxfId="2757" priority="2721" stopIfTrue="1" operator="between">
      <formula>221142</formula>
      <formula>221144</formula>
    </cfRule>
    <cfRule type="cellIs" dxfId="2756" priority="2722" stopIfTrue="1" operator="between">
      <formula>220001</formula>
      <formula>221144</formula>
    </cfRule>
  </conditionalFormatting>
  <conditionalFormatting sqref="AM29">
    <cfRule type="cellIs" dxfId="2755" priority="2717" stopIfTrue="1" operator="between">
      <formula>221101</formula>
      <formula>221118</formula>
    </cfRule>
    <cfRule type="cellIs" dxfId="2754" priority="2718" stopIfTrue="1" operator="between">
      <formula>221142</formula>
      <formula>221144</formula>
    </cfRule>
    <cfRule type="cellIs" dxfId="2753" priority="2719" stopIfTrue="1" operator="between">
      <formula>220001</formula>
      <formula>221144</formula>
    </cfRule>
  </conditionalFormatting>
  <conditionalFormatting sqref="AL29">
    <cfRule type="cellIs" dxfId="2752" priority="2714" stopIfTrue="1" operator="between">
      <formula>221101</formula>
      <formula>221118</formula>
    </cfRule>
    <cfRule type="cellIs" dxfId="2751" priority="2715" stopIfTrue="1" operator="between">
      <formula>221142</formula>
      <formula>221144</formula>
    </cfRule>
    <cfRule type="cellIs" dxfId="2750" priority="2716" stopIfTrue="1" operator="between">
      <formula>220001</formula>
      <formula>221144</formula>
    </cfRule>
  </conditionalFormatting>
  <conditionalFormatting sqref="AL29">
    <cfRule type="cellIs" dxfId="2749" priority="2711" stopIfTrue="1" operator="between">
      <formula>221101</formula>
      <formula>221118</formula>
    </cfRule>
    <cfRule type="cellIs" dxfId="2748" priority="2712" stopIfTrue="1" operator="between">
      <formula>221142</formula>
      <formula>221144</formula>
    </cfRule>
    <cfRule type="cellIs" dxfId="2747" priority="2713" stopIfTrue="1" operator="between">
      <formula>220001</formula>
      <formula>221144</formula>
    </cfRule>
  </conditionalFormatting>
  <conditionalFormatting sqref="AK29">
    <cfRule type="cellIs" dxfId="2746" priority="2708" stopIfTrue="1" operator="between">
      <formula>221101</formula>
      <formula>221118</formula>
    </cfRule>
    <cfRule type="cellIs" dxfId="2745" priority="2709" stopIfTrue="1" operator="between">
      <formula>221142</formula>
      <formula>221144</formula>
    </cfRule>
    <cfRule type="cellIs" dxfId="2744" priority="2710" stopIfTrue="1" operator="between">
      <formula>220001</formula>
      <formula>221144</formula>
    </cfRule>
  </conditionalFormatting>
  <conditionalFormatting sqref="AN29">
    <cfRule type="cellIs" dxfId="2743" priority="2705" stopIfTrue="1" operator="between">
      <formula>221101</formula>
      <formula>221118</formula>
    </cfRule>
    <cfRule type="cellIs" dxfId="2742" priority="2706" stopIfTrue="1" operator="between">
      <formula>221142</formula>
      <formula>221144</formula>
    </cfRule>
    <cfRule type="cellIs" dxfId="2741" priority="2707" stopIfTrue="1" operator="between">
      <formula>220001</formula>
      <formula>221144</formula>
    </cfRule>
  </conditionalFormatting>
  <conditionalFormatting sqref="AM29">
    <cfRule type="cellIs" dxfId="2740" priority="2702" stopIfTrue="1" operator="between">
      <formula>221101</formula>
      <formula>221118</formula>
    </cfRule>
    <cfRule type="cellIs" dxfId="2739" priority="2703" stopIfTrue="1" operator="between">
      <formula>221142</formula>
      <formula>221144</formula>
    </cfRule>
    <cfRule type="cellIs" dxfId="2738" priority="2704" stopIfTrue="1" operator="between">
      <formula>220001</formula>
      <formula>221144</formula>
    </cfRule>
  </conditionalFormatting>
  <conditionalFormatting sqref="AM29">
    <cfRule type="cellIs" dxfId="2737" priority="2699" stopIfTrue="1" operator="between">
      <formula>221101</formula>
      <formula>221118</formula>
    </cfRule>
    <cfRule type="cellIs" dxfId="2736" priority="2700" stopIfTrue="1" operator="between">
      <formula>221142</formula>
      <formula>221144</formula>
    </cfRule>
    <cfRule type="cellIs" dxfId="2735" priority="2701" stopIfTrue="1" operator="between">
      <formula>220001</formula>
      <formula>221144</formula>
    </cfRule>
  </conditionalFormatting>
  <conditionalFormatting sqref="AL29">
    <cfRule type="cellIs" dxfId="2734" priority="2696" stopIfTrue="1" operator="between">
      <formula>221101</formula>
      <formula>221118</formula>
    </cfRule>
    <cfRule type="cellIs" dxfId="2733" priority="2697" stopIfTrue="1" operator="between">
      <formula>221142</formula>
      <formula>221144</formula>
    </cfRule>
    <cfRule type="cellIs" dxfId="2732" priority="2698" stopIfTrue="1" operator="between">
      <formula>220001</formula>
      <formula>221144</formula>
    </cfRule>
  </conditionalFormatting>
  <conditionalFormatting sqref="C29">
    <cfRule type="cellIs" dxfId="2731" priority="2693" stopIfTrue="1" operator="between">
      <formula>221101</formula>
      <formula>221118</formula>
    </cfRule>
    <cfRule type="cellIs" dxfId="2730" priority="2694" stopIfTrue="1" operator="between">
      <formula>221142</formula>
      <formula>221144</formula>
    </cfRule>
    <cfRule type="cellIs" dxfId="2729" priority="2695" stopIfTrue="1" operator="between">
      <formula>220001</formula>
      <formula>221144</formula>
    </cfRule>
  </conditionalFormatting>
  <conditionalFormatting sqref="C29">
    <cfRule type="cellIs" dxfId="2728" priority="2690" stopIfTrue="1" operator="between">
      <formula>221101</formula>
      <formula>221118</formula>
    </cfRule>
    <cfRule type="cellIs" dxfId="2727" priority="2691" stopIfTrue="1" operator="between">
      <formula>221142</formula>
      <formula>221144</formula>
    </cfRule>
    <cfRule type="cellIs" dxfId="2726" priority="2692" stopIfTrue="1" operator="between">
      <formula>220001</formula>
      <formula>221144</formula>
    </cfRule>
  </conditionalFormatting>
  <conditionalFormatting sqref="C29">
    <cfRule type="cellIs" dxfId="2725" priority="2687" stopIfTrue="1" operator="between">
      <formula>221101</formula>
      <formula>221118</formula>
    </cfRule>
    <cfRule type="cellIs" dxfId="2724" priority="2688" stopIfTrue="1" operator="between">
      <formula>221142</formula>
      <formula>221144</formula>
    </cfRule>
    <cfRule type="cellIs" dxfId="2723" priority="2689" stopIfTrue="1" operator="between">
      <formula>220001</formula>
      <formula>221144</formula>
    </cfRule>
  </conditionalFormatting>
  <conditionalFormatting sqref="C29">
    <cfRule type="cellIs" dxfId="2722" priority="2684" stopIfTrue="1" operator="between">
      <formula>221101</formula>
      <formula>221118</formula>
    </cfRule>
    <cfRule type="cellIs" dxfId="2721" priority="2685" stopIfTrue="1" operator="between">
      <formula>221142</formula>
      <formula>221144</formula>
    </cfRule>
    <cfRule type="cellIs" dxfId="2720" priority="2686" stopIfTrue="1" operator="between">
      <formula>220001</formula>
      <formula>221144</formula>
    </cfRule>
  </conditionalFormatting>
  <conditionalFormatting sqref="AM29">
    <cfRule type="cellIs" dxfId="2719" priority="2681" stopIfTrue="1" operator="between">
      <formula>221101</formula>
      <formula>221118</formula>
    </cfRule>
    <cfRule type="cellIs" dxfId="2718" priority="2682" stopIfTrue="1" operator="between">
      <formula>221142</formula>
      <formula>221144</formula>
    </cfRule>
    <cfRule type="cellIs" dxfId="2717" priority="2683" stopIfTrue="1" operator="between">
      <formula>220001</formula>
      <formula>221144</formula>
    </cfRule>
  </conditionalFormatting>
  <conditionalFormatting sqref="AL29">
    <cfRule type="cellIs" dxfId="2716" priority="2678" stopIfTrue="1" operator="between">
      <formula>221101</formula>
      <formula>221118</formula>
    </cfRule>
    <cfRule type="cellIs" dxfId="2715" priority="2679" stopIfTrue="1" operator="between">
      <formula>221142</formula>
      <formula>221144</formula>
    </cfRule>
    <cfRule type="cellIs" dxfId="2714" priority="2680" stopIfTrue="1" operator="between">
      <formula>220001</formula>
      <formula>221144</formula>
    </cfRule>
  </conditionalFormatting>
  <conditionalFormatting sqref="AL29">
    <cfRule type="cellIs" dxfId="2713" priority="2675" stopIfTrue="1" operator="between">
      <formula>221101</formula>
      <formula>221118</formula>
    </cfRule>
    <cfRule type="cellIs" dxfId="2712" priority="2676" stopIfTrue="1" operator="between">
      <formula>221142</formula>
      <formula>221144</formula>
    </cfRule>
    <cfRule type="cellIs" dxfId="2711" priority="2677" stopIfTrue="1" operator="between">
      <formula>220001</formula>
      <formula>221144</formula>
    </cfRule>
  </conditionalFormatting>
  <conditionalFormatting sqref="AK29">
    <cfRule type="cellIs" dxfId="2710" priority="2672" stopIfTrue="1" operator="between">
      <formula>221101</formula>
      <formula>221118</formula>
    </cfRule>
    <cfRule type="cellIs" dxfId="2709" priority="2673" stopIfTrue="1" operator="between">
      <formula>221142</formula>
      <formula>221144</formula>
    </cfRule>
    <cfRule type="cellIs" dxfId="2708" priority="2674" stopIfTrue="1" operator="between">
      <formula>220001</formula>
      <formula>221144</formula>
    </cfRule>
  </conditionalFormatting>
  <conditionalFormatting sqref="AM29">
    <cfRule type="cellIs" dxfId="2707" priority="2669" stopIfTrue="1" operator="between">
      <formula>221101</formula>
      <formula>221118</formula>
    </cfRule>
    <cfRule type="cellIs" dxfId="2706" priority="2670" stopIfTrue="1" operator="between">
      <formula>221142</formula>
      <formula>221144</formula>
    </cfRule>
    <cfRule type="cellIs" dxfId="2705" priority="2671" stopIfTrue="1" operator="between">
      <formula>220001</formula>
      <formula>221144</formula>
    </cfRule>
  </conditionalFormatting>
  <conditionalFormatting sqref="AL29">
    <cfRule type="cellIs" dxfId="2704" priority="2666" stopIfTrue="1" operator="between">
      <formula>221101</formula>
      <formula>221118</formula>
    </cfRule>
    <cfRule type="cellIs" dxfId="2703" priority="2667" stopIfTrue="1" operator="between">
      <formula>221142</formula>
      <formula>221144</formula>
    </cfRule>
    <cfRule type="cellIs" dxfId="2702" priority="2668" stopIfTrue="1" operator="between">
      <formula>220001</formula>
      <formula>221144</formula>
    </cfRule>
  </conditionalFormatting>
  <conditionalFormatting sqref="AL29">
    <cfRule type="cellIs" dxfId="2701" priority="2663" stopIfTrue="1" operator="between">
      <formula>221101</formula>
      <formula>221118</formula>
    </cfRule>
    <cfRule type="cellIs" dxfId="2700" priority="2664" stopIfTrue="1" operator="between">
      <formula>221142</formula>
      <formula>221144</formula>
    </cfRule>
    <cfRule type="cellIs" dxfId="2699" priority="2665" stopIfTrue="1" operator="between">
      <formula>220001</formula>
      <formula>221144</formula>
    </cfRule>
  </conditionalFormatting>
  <conditionalFormatting sqref="AK29">
    <cfRule type="cellIs" dxfId="2698" priority="2660" stopIfTrue="1" operator="between">
      <formula>221101</formula>
      <formula>221118</formula>
    </cfRule>
    <cfRule type="cellIs" dxfId="2697" priority="2661" stopIfTrue="1" operator="between">
      <formula>221142</formula>
      <formula>221144</formula>
    </cfRule>
    <cfRule type="cellIs" dxfId="2696" priority="2662" stopIfTrue="1" operator="between">
      <formula>220001</formula>
      <formula>221144</formula>
    </cfRule>
  </conditionalFormatting>
  <conditionalFormatting sqref="AL29">
    <cfRule type="cellIs" dxfId="2695" priority="2657" stopIfTrue="1" operator="between">
      <formula>221101</formula>
      <formula>221118</formula>
    </cfRule>
    <cfRule type="cellIs" dxfId="2694" priority="2658" stopIfTrue="1" operator="between">
      <formula>221142</formula>
      <formula>221144</formula>
    </cfRule>
    <cfRule type="cellIs" dxfId="2693" priority="2659" stopIfTrue="1" operator="between">
      <formula>220001</formula>
      <formula>221144</formula>
    </cfRule>
  </conditionalFormatting>
  <conditionalFormatting sqref="AK29">
    <cfRule type="cellIs" dxfId="2692" priority="2654" stopIfTrue="1" operator="between">
      <formula>221101</formula>
      <formula>221118</formula>
    </cfRule>
    <cfRule type="cellIs" dxfId="2691" priority="2655" stopIfTrue="1" operator="between">
      <formula>221142</formula>
      <formula>221144</formula>
    </cfRule>
    <cfRule type="cellIs" dxfId="2690" priority="2656" stopIfTrue="1" operator="between">
      <formula>220001</formula>
      <formula>221144</formula>
    </cfRule>
  </conditionalFormatting>
  <conditionalFormatting sqref="AK29">
    <cfRule type="cellIs" dxfId="2689" priority="2651" stopIfTrue="1" operator="between">
      <formula>221101</formula>
      <formula>221118</formula>
    </cfRule>
    <cfRule type="cellIs" dxfId="2688" priority="2652" stopIfTrue="1" operator="between">
      <formula>221142</formula>
      <formula>221144</formula>
    </cfRule>
    <cfRule type="cellIs" dxfId="2687" priority="2653" stopIfTrue="1" operator="between">
      <formula>220001</formula>
      <formula>221144</formula>
    </cfRule>
  </conditionalFormatting>
  <conditionalFormatting sqref="AJ29">
    <cfRule type="cellIs" dxfId="2686" priority="2648" stopIfTrue="1" operator="between">
      <formula>221101</formula>
      <formula>221118</formula>
    </cfRule>
    <cfRule type="cellIs" dxfId="2685" priority="2649" stopIfTrue="1" operator="between">
      <formula>221142</formula>
      <formula>221144</formula>
    </cfRule>
    <cfRule type="cellIs" dxfId="2684" priority="2650" stopIfTrue="1" operator="between">
      <formula>220001</formula>
      <formula>221144</formula>
    </cfRule>
  </conditionalFormatting>
  <conditionalFormatting sqref="AN29">
    <cfRule type="cellIs" dxfId="2683" priority="2645" stopIfTrue="1" operator="between">
      <formula>221101</formula>
      <formula>221118</formula>
    </cfRule>
    <cfRule type="cellIs" dxfId="2682" priority="2646" stopIfTrue="1" operator="between">
      <formula>221142</formula>
      <formula>221144</formula>
    </cfRule>
    <cfRule type="cellIs" dxfId="2681" priority="2647" stopIfTrue="1" operator="between">
      <formula>220001</formula>
      <formula>221144</formula>
    </cfRule>
  </conditionalFormatting>
  <conditionalFormatting sqref="AM29">
    <cfRule type="cellIs" dxfId="2680" priority="2642" stopIfTrue="1" operator="between">
      <formula>221101</formula>
      <formula>221118</formula>
    </cfRule>
    <cfRule type="cellIs" dxfId="2679" priority="2643" stopIfTrue="1" operator="between">
      <formula>221142</formula>
      <formula>221144</formula>
    </cfRule>
    <cfRule type="cellIs" dxfId="2678" priority="2644" stopIfTrue="1" operator="between">
      <formula>220001</formula>
      <formula>221144</formula>
    </cfRule>
  </conditionalFormatting>
  <conditionalFormatting sqref="AM29">
    <cfRule type="cellIs" dxfId="2677" priority="2639" stopIfTrue="1" operator="between">
      <formula>221101</formula>
      <formula>221118</formula>
    </cfRule>
    <cfRule type="cellIs" dxfId="2676" priority="2640" stopIfTrue="1" operator="between">
      <formula>221142</formula>
      <formula>221144</formula>
    </cfRule>
    <cfRule type="cellIs" dxfId="2675" priority="2641" stopIfTrue="1" operator="between">
      <formula>220001</formula>
      <formula>221144</formula>
    </cfRule>
  </conditionalFormatting>
  <conditionalFormatting sqref="AL29">
    <cfRule type="cellIs" dxfId="2674" priority="2636" stopIfTrue="1" operator="between">
      <formula>221101</formula>
      <formula>221118</formula>
    </cfRule>
    <cfRule type="cellIs" dxfId="2673" priority="2637" stopIfTrue="1" operator="between">
      <formula>221142</formula>
      <formula>221144</formula>
    </cfRule>
    <cfRule type="cellIs" dxfId="2672" priority="2638" stopIfTrue="1" operator="between">
      <formula>220001</formula>
      <formula>221144</formula>
    </cfRule>
  </conditionalFormatting>
  <conditionalFormatting sqref="C29">
    <cfRule type="cellIs" dxfId="2671" priority="2633" stopIfTrue="1" operator="between">
      <formula>221101</formula>
      <formula>221118</formula>
    </cfRule>
    <cfRule type="cellIs" dxfId="2670" priority="2634" stopIfTrue="1" operator="between">
      <formula>221142</formula>
      <formula>221144</formula>
    </cfRule>
    <cfRule type="cellIs" dxfId="2669" priority="2635" stopIfTrue="1" operator="between">
      <formula>220001</formula>
      <formula>221144</formula>
    </cfRule>
  </conditionalFormatting>
  <conditionalFormatting sqref="C29">
    <cfRule type="cellIs" dxfId="2668" priority="2630" stopIfTrue="1" operator="between">
      <formula>221101</formula>
      <formula>221118</formula>
    </cfRule>
    <cfRule type="cellIs" dxfId="2667" priority="2631" stopIfTrue="1" operator="between">
      <formula>221142</formula>
      <formula>221144</formula>
    </cfRule>
    <cfRule type="cellIs" dxfId="2666" priority="2632" stopIfTrue="1" operator="between">
      <formula>220001</formula>
      <formula>221144</formula>
    </cfRule>
  </conditionalFormatting>
  <conditionalFormatting sqref="C29">
    <cfRule type="cellIs" dxfId="2665" priority="2627" stopIfTrue="1" operator="between">
      <formula>221101</formula>
      <formula>221118</formula>
    </cfRule>
    <cfRule type="cellIs" dxfId="2664" priority="2628" stopIfTrue="1" operator="between">
      <formula>221142</formula>
      <formula>221144</formula>
    </cfRule>
    <cfRule type="cellIs" dxfId="2663" priority="2629" stopIfTrue="1" operator="between">
      <formula>220001</formula>
      <formula>221144</formula>
    </cfRule>
  </conditionalFormatting>
  <conditionalFormatting sqref="C29">
    <cfRule type="cellIs" dxfId="2662" priority="2624" stopIfTrue="1" operator="between">
      <formula>221101</formula>
      <formula>221118</formula>
    </cfRule>
    <cfRule type="cellIs" dxfId="2661" priority="2625" stopIfTrue="1" operator="between">
      <formula>221142</formula>
      <formula>221144</formula>
    </cfRule>
    <cfRule type="cellIs" dxfId="2660" priority="2626" stopIfTrue="1" operator="between">
      <formula>220001</formula>
      <formula>221144</formula>
    </cfRule>
  </conditionalFormatting>
  <conditionalFormatting sqref="AM29">
    <cfRule type="cellIs" dxfId="2659" priority="2621" stopIfTrue="1" operator="between">
      <formula>221101</formula>
      <formula>221118</formula>
    </cfRule>
    <cfRule type="cellIs" dxfId="2658" priority="2622" stopIfTrue="1" operator="between">
      <formula>221142</formula>
      <formula>221144</formula>
    </cfRule>
    <cfRule type="cellIs" dxfId="2657" priority="2623" stopIfTrue="1" operator="between">
      <formula>220001</formula>
      <formula>221144</formula>
    </cfRule>
  </conditionalFormatting>
  <conditionalFormatting sqref="AL29">
    <cfRule type="cellIs" dxfId="2656" priority="2618" stopIfTrue="1" operator="between">
      <formula>221101</formula>
      <formula>221118</formula>
    </cfRule>
    <cfRule type="cellIs" dxfId="2655" priority="2619" stopIfTrue="1" operator="between">
      <formula>221142</formula>
      <formula>221144</formula>
    </cfRule>
    <cfRule type="cellIs" dxfId="2654" priority="2620" stopIfTrue="1" operator="between">
      <formula>220001</formula>
      <formula>221144</formula>
    </cfRule>
  </conditionalFormatting>
  <conditionalFormatting sqref="AL29">
    <cfRule type="cellIs" dxfId="2653" priority="2615" stopIfTrue="1" operator="between">
      <formula>221101</formula>
      <formula>221118</formula>
    </cfRule>
    <cfRule type="cellIs" dxfId="2652" priority="2616" stopIfTrue="1" operator="between">
      <formula>221142</formula>
      <formula>221144</formula>
    </cfRule>
    <cfRule type="cellIs" dxfId="2651" priority="2617" stopIfTrue="1" operator="between">
      <formula>220001</formula>
      <formula>221144</formula>
    </cfRule>
  </conditionalFormatting>
  <conditionalFormatting sqref="AK29">
    <cfRule type="cellIs" dxfId="2650" priority="2612" stopIfTrue="1" operator="between">
      <formula>221101</formula>
      <formula>221118</formula>
    </cfRule>
    <cfRule type="cellIs" dxfId="2649" priority="2613" stopIfTrue="1" operator="between">
      <formula>221142</formula>
      <formula>221144</formula>
    </cfRule>
    <cfRule type="cellIs" dxfId="2648" priority="2614" stopIfTrue="1" operator="between">
      <formula>220001</formula>
      <formula>221144</formula>
    </cfRule>
  </conditionalFormatting>
  <conditionalFormatting sqref="AM29">
    <cfRule type="cellIs" dxfId="2647" priority="2609" stopIfTrue="1" operator="between">
      <formula>221101</formula>
      <formula>221118</formula>
    </cfRule>
    <cfRule type="cellIs" dxfId="2646" priority="2610" stopIfTrue="1" operator="between">
      <formula>221142</formula>
      <formula>221144</formula>
    </cfRule>
    <cfRule type="cellIs" dxfId="2645" priority="2611" stopIfTrue="1" operator="between">
      <formula>220001</formula>
      <formula>221144</formula>
    </cfRule>
  </conditionalFormatting>
  <conditionalFormatting sqref="AL29">
    <cfRule type="cellIs" dxfId="2644" priority="2606" stopIfTrue="1" operator="between">
      <formula>221101</formula>
      <formula>221118</formula>
    </cfRule>
    <cfRule type="cellIs" dxfId="2643" priority="2607" stopIfTrue="1" operator="between">
      <formula>221142</formula>
      <formula>221144</formula>
    </cfRule>
    <cfRule type="cellIs" dxfId="2642" priority="2608" stopIfTrue="1" operator="between">
      <formula>220001</formula>
      <formula>221144</formula>
    </cfRule>
  </conditionalFormatting>
  <conditionalFormatting sqref="AL29">
    <cfRule type="cellIs" dxfId="2641" priority="2603" stopIfTrue="1" operator="between">
      <formula>221101</formula>
      <formula>221118</formula>
    </cfRule>
    <cfRule type="cellIs" dxfId="2640" priority="2604" stopIfTrue="1" operator="between">
      <formula>221142</formula>
      <formula>221144</formula>
    </cfRule>
    <cfRule type="cellIs" dxfId="2639" priority="2605" stopIfTrue="1" operator="between">
      <formula>220001</formula>
      <formula>221144</formula>
    </cfRule>
  </conditionalFormatting>
  <conditionalFormatting sqref="AK29">
    <cfRule type="cellIs" dxfId="2638" priority="2600" stopIfTrue="1" operator="between">
      <formula>221101</formula>
      <formula>221118</formula>
    </cfRule>
    <cfRule type="cellIs" dxfId="2637" priority="2601" stopIfTrue="1" operator="between">
      <formula>221142</formula>
      <formula>221144</formula>
    </cfRule>
    <cfRule type="cellIs" dxfId="2636" priority="2602" stopIfTrue="1" operator="between">
      <formula>220001</formula>
      <formula>221144</formula>
    </cfRule>
  </conditionalFormatting>
  <conditionalFormatting sqref="AL29">
    <cfRule type="cellIs" dxfId="2635" priority="2597" stopIfTrue="1" operator="between">
      <formula>221101</formula>
      <formula>221118</formula>
    </cfRule>
    <cfRule type="cellIs" dxfId="2634" priority="2598" stopIfTrue="1" operator="between">
      <formula>221142</formula>
      <formula>221144</formula>
    </cfRule>
    <cfRule type="cellIs" dxfId="2633" priority="2599" stopIfTrue="1" operator="between">
      <formula>220001</formula>
      <formula>221144</formula>
    </cfRule>
  </conditionalFormatting>
  <conditionalFormatting sqref="AK29">
    <cfRule type="cellIs" dxfId="2632" priority="2594" stopIfTrue="1" operator="between">
      <formula>221101</formula>
      <formula>221118</formula>
    </cfRule>
    <cfRule type="cellIs" dxfId="2631" priority="2595" stopIfTrue="1" operator="between">
      <formula>221142</formula>
      <formula>221144</formula>
    </cfRule>
    <cfRule type="cellIs" dxfId="2630" priority="2596" stopIfTrue="1" operator="between">
      <formula>220001</formula>
      <formula>221144</formula>
    </cfRule>
  </conditionalFormatting>
  <conditionalFormatting sqref="AK29">
    <cfRule type="cellIs" dxfId="2629" priority="2591" stopIfTrue="1" operator="between">
      <formula>221101</formula>
      <formula>221118</formula>
    </cfRule>
    <cfRule type="cellIs" dxfId="2628" priority="2592" stopIfTrue="1" operator="between">
      <formula>221142</formula>
      <formula>221144</formula>
    </cfRule>
    <cfRule type="cellIs" dxfId="2627" priority="2593" stopIfTrue="1" operator="between">
      <formula>220001</formula>
      <formula>221144</formula>
    </cfRule>
  </conditionalFormatting>
  <conditionalFormatting sqref="AJ29">
    <cfRule type="cellIs" dxfId="2626" priority="2588" stopIfTrue="1" operator="between">
      <formula>221101</formula>
      <formula>221118</formula>
    </cfRule>
    <cfRule type="cellIs" dxfId="2625" priority="2589" stopIfTrue="1" operator="between">
      <formula>221142</formula>
      <formula>221144</formula>
    </cfRule>
    <cfRule type="cellIs" dxfId="2624" priority="2590" stopIfTrue="1" operator="between">
      <formula>220001</formula>
      <formula>221144</formula>
    </cfRule>
  </conditionalFormatting>
  <conditionalFormatting sqref="AM29">
    <cfRule type="cellIs" dxfId="2623" priority="2585" stopIfTrue="1" operator="between">
      <formula>221101</formula>
      <formula>221118</formula>
    </cfRule>
    <cfRule type="cellIs" dxfId="2622" priority="2586" stopIfTrue="1" operator="between">
      <formula>221142</formula>
      <formula>221144</formula>
    </cfRule>
    <cfRule type="cellIs" dxfId="2621" priority="2587" stopIfTrue="1" operator="between">
      <formula>220001</formula>
      <formula>221144</formula>
    </cfRule>
  </conditionalFormatting>
  <conditionalFormatting sqref="AL29">
    <cfRule type="cellIs" dxfId="2620" priority="2582" stopIfTrue="1" operator="between">
      <formula>221101</formula>
      <formula>221118</formula>
    </cfRule>
    <cfRule type="cellIs" dxfId="2619" priority="2583" stopIfTrue="1" operator="between">
      <formula>221142</formula>
      <formula>221144</formula>
    </cfRule>
    <cfRule type="cellIs" dxfId="2618" priority="2584" stopIfTrue="1" operator="between">
      <formula>220001</formula>
      <formula>221144</formula>
    </cfRule>
  </conditionalFormatting>
  <conditionalFormatting sqref="AL29">
    <cfRule type="cellIs" dxfId="2617" priority="2579" stopIfTrue="1" operator="between">
      <formula>221101</formula>
      <formula>221118</formula>
    </cfRule>
    <cfRule type="cellIs" dxfId="2616" priority="2580" stopIfTrue="1" operator="between">
      <formula>221142</formula>
      <formula>221144</formula>
    </cfRule>
    <cfRule type="cellIs" dxfId="2615" priority="2581" stopIfTrue="1" operator="between">
      <formula>220001</formula>
      <formula>221144</formula>
    </cfRule>
  </conditionalFormatting>
  <conditionalFormatting sqref="AK29">
    <cfRule type="cellIs" dxfId="2614" priority="2576" stopIfTrue="1" operator="between">
      <formula>221101</formula>
      <formula>221118</formula>
    </cfRule>
    <cfRule type="cellIs" dxfId="2613" priority="2577" stopIfTrue="1" operator="between">
      <formula>221142</formula>
      <formula>221144</formula>
    </cfRule>
    <cfRule type="cellIs" dxfId="2612" priority="2578" stopIfTrue="1" operator="between">
      <formula>220001</formula>
      <formula>221144</formula>
    </cfRule>
  </conditionalFormatting>
  <conditionalFormatting sqref="AL29">
    <cfRule type="cellIs" dxfId="2611" priority="2573" stopIfTrue="1" operator="between">
      <formula>221101</formula>
      <formula>221118</formula>
    </cfRule>
    <cfRule type="cellIs" dxfId="2610" priority="2574" stopIfTrue="1" operator="between">
      <formula>221142</formula>
      <formula>221144</formula>
    </cfRule>
    <cfRule type="cellIs" dxfId="2609" priority="2575" stopIfTrue="1" operator="between">
      <formula>220001</formula>
      <formula>221144</formula>
    </cfRule>
  </conditionalFormatting>
  <conditionalFormatting sqref="AK29">
    <cfRule type="cellIs" dxfId="2608" priority="2570" stopIfTrue="1" operator="between">
      <formula>221101</formula>
      <formula>221118</formula>
    </cfRule>
    <cfRule type="cellIs" dxfId="2607" priority="2571" stopIfTrue="1" operator="between">
      <formula>221142</formula>
      <formula>221144</formula>
    </cfRule>
    <cfRule type="cellIs" dxfId="2606" priority="2572" stopIfTrue="1" operator="between">
      <formula>220001</formula>
      <formula>221144</formula>
    </cfRule>
  </conditionalFormatting>
  <conditionalFormatting sqref="AK29">
    <cfRule type="cellIs" dxfId="2605" priority="2567" stopIfTrue="1" operator="between">
      <formula>221101</formula>
      <formula>221118</formula>
    </cfRule>
    <cfRule type="cellIs" dxfId="2604" priority="2568" stopIfTrue="1" operator="between">
      <formula>221142</formula>
      <formula>221144</formula>
    </cfRule>
    <cfRule type="cellIs" dxfId="2603" priority="2569" stopIfTrue="1" operator="between">
      <formula>220001</formula>
      <formula>221144</formula>
    </cfRule>
  </conditionalFormatting>
  <conditionalFormatting sqref="AJ29">
    <cfRule type="cellIs" dxfId="2602" priority="2564" stopIfTrue="1" operator="between">
      <formula>221101</formula>
      <formula>221118</formula>
    </cfRule>
    <cfRule type="cellIs" dxfId="2601" priority="2565" stopIfTrue="1" operator="between">
      <formula>221142</formula>
      <formula>221144</formula>
    </cfRule>
    <cfRule type="cellIs" dxfId="2600" priority="2566" stopIfTrue="1" operator="between">
      <formula>220001</formula>
      <formula>221144</formula>
    </cfRule>
  </conditionalFormatting>
  <conditionalFormatting sqref="AL29">
    <cfRule type="cellIs" dxfId="2599" priority="2561" stopIfTrue="1" operator="between">
      <formula>221101</formula>
      <formula>221118</formula>
    </cfRule>
    <cfRule type="cellIs" dxfId="2598" priority="2562" stopIfTrue="1" operator="between">
      <formula>221142</formula>
      <formula>221144</formula>
    </cfRule>
    <cfRule type="cellIs" dxfId="2597" priority="2563" stopIfTrue="1" operator="between">
      <formula>220001</formula>
      <formula>221144</formula>
    </cfRule>
  </conditionalFormatting>
  <conditionalFormatting sqref="AK29">
    <cfRule type="cellIs" dxfId="2596" priority="2558" stopIfTrue="1" operator="between">
      <formula>221101</formula>
      <formula>221118</formula>
    </cfRule>
    <cfRule type="cellIs" dxfId="2595" priority="2559" stopIfTrue="1" operator="between">
      <formula>221142</formula>
      <formula>221144</formula>
    </cfRule>
    <cfRule type="cellIs" dxfId="2594" priority="2560" stopIfTrue="1" operator="between">
      <formula>220001</formula>
      <formula>221144</formula>
    </cfRule>
  </conditionalFormatting>
  <conditionalFormatting sqref="AK29">
    <cfRule type="cellIs" dxfId="2593" priority="2555" stopIfTrue="1" operator="between">
      <formula>221101</formula>
      <formula>221118</formula>
    </cfRule>
    <cfRule type="cellIs" dxfId="2592" priority="2556" stopIfTrue="1" operator="between">
      <formula>221142</formula>
      <formula>221144</formula>
    </cfRule>
    <cfRule type="cellIs" dxfId="2591" priority="2557" stopIfTrue="1" operator="between">
      <formula>220001</formula>
      <formula>221144</formula>
    </cfRule>
  </conditionalFormatting>
  <conditionalFormatting sqref="AJ29">
    <cfRule type="cellIs" dxfId="2590" priority="2552" stopIfTrue="1" operator="between">
      <formula>221101</formula>
      <formula>221118</formula>
    </cfRule>
    <cfRule type="cellIs" dxfId="2589" priority="2553" stopIfTrue="1" operator="between">
      <formula>221142</formula>
      <formula>221144</formula>
    </cfRule>
    <cfRule type="cellIs" dxfId="2588" priority="2554" stopIfTrue="1" operator="between">
      <formula>220001</formula>
      <formula>221144</formula>
    </cfRule>
  </conditionalFormatting>
  <conditionalFormatting sqref="AK29">
    <cfRule type="cellIs" dxfId="2587" priority="2549" stopIfTrue="1" operator="between">
      <formula>221101</formula>
      <formula>221118</formula>
    </cfRule>
    <cfRule type="cellIs" dxfId="2586" priority="2550" stopIfTrue="1" operator="between">
      <formula>221142</formula>
      <formula>221144</formula>
    </cfRule>
    <cfRule type="cellIs" dxfId="2585" priority="2551" stopIfTrue="1" operator="between">
      <formula>220001</formula>
      <formula>221144</formula>
    </cfRule>
  </conditionalFormatting>
  <conditionalFormatting sqref="AJ29">
    <cfRule type="cellIs" dxfId="2584" priority="2546" stopIfTrue="1" operator="between">
      <formula>221101</formula>
      <formula>221118</formula>
    </cfRule>
    <cfRule type="cellIs" dxfId="2583" priority="2547" stopIfTrue="1" operator="between">
      <formula>221142</formula>
      <formula>221144</formula>
    </cfRule>
    <cfRule type="cellIs" dxfId="2582" priority="2548" stopIfTrue="1" operator="between">
      <formula>220001</formula>
      <formula>221144</formula>
    </cfRule>
  </conditionalFormatting>
  <conditionalFormatting sqref="AJ29">
    <cfRule type="cellIs" dxfId="2581" priority="2543" stopIfTrue="1" operator="between">
      <formula>221101</formula>
      <formula>221118</formula>
    </cfRule>
    <cfRule type="cellIs" dxfId="2580" priority="2544" stopIfTrue="1" operator="between">
      <formula>221142</formula>
      <formula>221144</formula>
    </cfRule>
    <cfRule type="cellIs" dxfId="2579" priority="2545" stopIfTrue="1" operator="between">
      <formula>220001</formula>
      <formula>221144</formula>
    </cfRule>
  </conditionalFormatting>
  <conditionalFormatting sqref="AI29">
    <cfRule type="cellIs" dxfId="2578" priority="2540" stopIfTrue="1" operator="between">
      <formula>221101</formula>
      <formula>221118</formula>
    </cfRule>
    <cfRule type="cellIs" dxfId="2577" priority="2541" stopIfTrue="1" operator="between">
      <formula>221142</formula>
      <formula>221144</formula>
    </cfRule>
    <cfRule type="cellIs" dxfId="2576" priority="2542" stopIfTrue="1" operator="between">
      <formula>220001</formula>
      <formula>221144</formula>
    </cfRule>
  </conditionalFormatting>
  <conditionalFormatting sqref="AN29">
    <cfRule type="cellIs" dxfId="2575" priority="2537" stopIfTrue="1" operator="between">
      <formula>221101</formula>
      <formula>221118</formula>
    </cfRule>
    <cfRule type="cellIs" dxfId="2574" priority="2538" stopIfTrue="1" operator="between">
      <formula>221142</formula>
      <formula>221144</formula>
    </cfRule>
    <cfRule type="cellIs" dxfId="2573" priority="2539" stopIfTrue="1" operator="between">
      <formula>220001</formula>
      <formula>221144</formula>
    </cfRule>
  </conditionalFormatting>
  <conditionalFormatting sqref="AM29">
    <cfRule type="cellIs" dxfId="2572" priority="2534" stopIfTrue="1" operator="between">
      <formula>221101</formula>
      <formula>221118</formula>
    </cfRule>
    <cfRule type="cellIs" dxfId="2571" priority="2535" stopIfTrue="1" operator="between">
      <formula>221142</formula>
      <formula>221144</formula>
    </cfRule>
    <cfRule type="cellIs" dxfId="2570" priority="2536" stopIfTrue="1" operator="between">
      <formula>220001</formula>
      <formula>221144</formula>
    </cfRule>
  </conditionalFormatting>
  <conditionalFormatting sqref="AM29">
    <cfRule type="cellIs" dxfId="2569" priority="2531" stopIfTrue="1" operator="between">
      <formula>221101</formula>
      <formula>221118</formula>
    </cfRule>
    <cfRule type="cellIs" dxfId="2568" priority="2532" stopIfTrue="1" operator="between">
      <formula>221142</formula>
      <formula>221144</formula>
    </cfRule>
    <cfRule type="cellIs" dxfId="2567" priority="2533" stopIfTrue="1" operator="between">
      <formula>220001</formula>
      <formula>221144</formula>
    </cfRule>
  </conditionalFormatting>
  <conditionalFormatting sqref="AL29">
    <cfRule type="cellIs" dxfId="2566" priority="2528" stopIfTrue="1" operator="between">
      <formula>221101</formula>
      <formula>221118</formula>
    </cfRule>
    <cfRule type="cellIs" dxfId="2565" priority="2529" stopIfTrue="1" operator="between">
      <formula>221142</formula>
      <formula>221144</formula>
    </cfRule>
    <cfRule type="cellIs" dxfId="2564" priority="2530" stopIfTrue="1" operator="between">
      <formula>220001</formula>
      <formula>221144</formula>
    </cfRule>
  </conditionalFormatting>
  <conditionalFormatting sqref="C29">
    <cfRule type="cellIs" dxfId="2563" priority="2525" stopIfTrue="1" operator="between">
      <formula>221101</formula>
      <formula>221118</formula>
    </cfRule>
    <cfRule type="cellIs" dxfId="2562" priority="2526" stopIfTrue="1" operator="between">
      <formula>221142</formula>
      <formula>221144</formula>
    </cfRule>
    <cfRule type="cellIs" dxfId="2561" priority="2527" stopIfTrue="1" operator="between">
      <formula>220001</formula>
      <formula>221144</formula>
    </cfRule>
  </conditionalFormatting>
  <conditionalFormatting sqref="C29">
    <cfRule type="cellIs" dxfId="2560" priority="2522" stopIfTrue="1" operator="between">
      <formula>221101</formula>
      <formula>221118</formula>
    </cfRule>
    <cfRule type="cellIs" dxfId="2559" priority="2523" stopIfTrue="1" operator="between">
      <formula>221142</formula>
      <formula>221144</formula>
    </cfRule>
    <cfRule type="cellIs" dxfId="2558" priority="2524" stopIfTrue="1" operator="between">
      <formula>220001</formula>
      <formula>221144</formula>
    </cfRule>
  </conditionalFormatting>
  <conditionalFormatting sqref="C29">
    <cfRule type="cellIs" dxfId="2557" priority="2519" stopIfTrue="1" operator="between">
      <formula>221101</formula>
      <formula>221118</formula>
    </cfRule>
    <cfRule type="cellIs" dxfId="2556" priority="2520" stopIfTrue="1" operator="between">
      <formula>221142</formula>
      <formula>221144</formula>
    </cfRule>
    <cfRule type="cellIs" dxfId="2555" priority="2521" stopIfTrue="1" operator="between">
      <formula>220001</formula>
      <formula>221144</formula>
    </cfRule>
  </conditionalFormatting>
  <conditionalFormatting sqref="C29">
    <cfRule type="cellIs" dxfId="2554" priority="2516" stopIfTrue="1" operator="between">
      <formula>221101</formula>
      <formula>221118</formula>
    </cfRule>
    <cfRule type="cellIs" dxfId="2553" priority="2517" stopIfTrue="1" operator="between">
      <formula>221142</formula>
      <formula>221144</formula>
    </cfRule>
    <cfRule type="cellIs" dxfId="2552" priority="2518" stopIfTrue="1" operator="between">
      <formula>220001</formula>
      <formula>221144</formula>
    </cfRule>
  </conditionalFormatting>
  <conditionalFormatting sqref="AM29">
    <cfRule type="cellIs" dxfId="2551" priority="2513" stopIfTrue="1" operator="between">
      <formula>221101</formula>
      <formula>221118</formula>
    </cfRule>
    <cfRule type="cellIs" dxfId="2550" priority="2514" stopIfTrue="1" operator="between">
      <formula>221142</formula>
      <formula>221144</formula>
    </cfRule>
    <cfRule type="cellIs" dxfId="2549" priority="2515" stopIfTrue="1" operator="between">
      <formula>220001</formula>
      <formula>221144</formula>
    </cfRule>
  </conditionalFormatting>
  <conditionalFormatting sqref="AL29">
    <cfRule type="cellIs" dxfId="2548" priority="2510" stopIfTrue="1" operator="between">
      <formula>221101</formula>
      <formula>221118</formula>
    </cfRule>
    <cfRule type="cellIs" dxfId="2547" priority="2511" stopIfTrue="1" operator="between">
      <formula>221142</formula>
      <formula>221144</formula>
    </cfRule>
    <cfRule type="cellIs" dxfId="2546" priority="2512" stopIfTrue="1" operator="between">
      <formula>220001</formula>
      <formula>221144</formula>
    </cfRule>
  </conditionalFormatting>
  <conditionalFormatting sqref="AL29">
    <cfRule type="cellIs" dxfId="2545" priority="2507" stopIfTrue="1" operator="between">
      <formula>221101</formula>
      <formula>221118</formula>
    </cfRule>
    <cfRule type="cellIs" dxfId="2544" priority="2508" stopIfTrue="1" operator="between">
      <formula>221142</formula>
      <formula>221144</formula>
    </cfRule>
    <cfRule type="cellIs" dxfId="2543" priority="2509" stopIfTrue="1" operator="between">
      <formula>220001</formula>
      <formula>221144</formula>
    </cfRule>
  </conditionalFormatting>
  <conditionalFormatting sqref="AK29">
    <cfRule type="cellIs" dxfId="2542" priority="2504" stopIfTrue="1" operator="between">
      <formula>221101</formula>
      <formula>221118</formula>
    </cfRule>
    <cfRule type="cellIs" dxfId="2541" priority="2505" stopIfTrue="1" operator="between">
      <formula>221142</formula>
      <formula>221144</formula>
    </cfRule>
    <cfRule type="cellIs" dxfId="2540" priority="2506" stopIfTrue="1" operator="between">
      <formula>220001</formula>
      <formula>221144</formula>
    </cfRule>
  </conditionalFormatting>
  <conditionalFormatting sqref="AM29">
    <cfRule type="cellIs" dxfId="2539" priority="2501" stopIfTrue="1" operator="between">
      <formula>221101</formula>
      <formula>221118</formula>
    </cfRule>
    <cfRule type="cellIs" dxfId="2538" priority="2502" stopIfTrue="1" operator="between">
      <formula>221142</formula>
      <formula>221144</formula>
    </cfRule>
    <cfRule type="cellIs" dxfId="2537" priority="2503" stopIfTrue="1" operator="between">
      <formula>220001</formula>
      <formula>221144</formula>
    </cfRule>
  </conditionalFormatting>
  <conditionalFormatting sqref="AL29">
    <cfRule type="cellIs" dxfId="2536" priority="2498" stopIfTrue="1" operator="between">
      <formula>221101</formula>
      <formula>221118</formula>
    </cfRule>
    <cfRule type="cellIs" dxfId="2535" priority="2499" stopIfTrue="1" operator="between">
      <formula>221142</formula>
      <formula>221144</formula>
    </cfRule>
    <cfRule type="cellIs" dxfId="2534" priority="2500" stopIfTrue="1" operator="between">
      <formula>220001</formula>
      <formula>221144</formula>
    </cfRule>
  </conditionalFormatting>
  <conditionalFormatting sqref="AL29">
    <cfRule type="cellIs" dxfId="2533" priority="2495" stopIfTrue="1" operator="between">
      <formula>221101</formula>
      <formula>221118</formula>
    </cfRule>
    <cfRule type="cellIs" dxfId="2532" priority="2496" stopIfTrue="1" operator="between">
      <formula>221142</formula>
      <formula>221144</formula>
    </cfRule>
    <cfRule type="cellIs" dxfId="2531" priority="2497" stopIfTrue="1" operator="between">
      <formula>220001</formula>
      <formula>221144</formula>
    </cfRule>
  </conditionalFormatting>
  <conditionalFormatting sqref="AK29">
    <cfRule type="cellIs" dxfId="2530" priority="2492" stopIfTrue="1" operator="between">
      <formula>221101</formula>
      <formula>221118</formula>
    </cfRule>
    <cfRule type="cellIs" dxfId="2529" priority="2493" stopIfTrue="1" operator="between">
      <formula>221142</formula>
      <formula>221144</formula>
    </cfRule>
    <cfRule type="cellIs" dxfId="2528" priority="2494" stopIfTrue="1" operator="between">
      <formula>220001</formula>
      <formula>221144</formula>
    </cfRule>
  </conditionalFormatting>
  <conditionalFormatting sqref="AL29">
    <cfRule type="cellIs" dxfId="2527" priority="2489" stopIfTrue="1" operator="between">
      <formula>221101</formula>
      <formula>221118</formula>
    </cfRule>
    <cfRule type="cellIs" dxfId="2526" priority="2490" stopIfTrue="1" operator="between">
      <formula>221142</formula>
      <formula>221144</formula>
    </cfRule>
    <cfRule type="cellIs" dxfId="2525" priority="2491" stopIfTrue="1" operator="between">
      <formula>220001</formula>
      <formula>221144</formula>
    </cfRule>
  </conditionalFormatting>
  <conditionalFormatting sqref="AK29">
    <cfRule type="cellIs" dxfId="2524" priority="2486" stopIfTrue="1" operator="between">
      <formula>221101</formula>
      <formula>221118</formula>
    </cfRule>
    <cfRule type="cellIs" dxfId="2523" priority="2487" stopIfTrue="1" operator="between">
      <formula>221142</formula>
      <formula>221144</formula>
    </cfRule>
    <cfRule type="cellIs" dxfId="2522" priority="2488" stopIfTrue="1" operator="between">
      <formula>220001</formula>
      <formula>221144</formula>
    </cfRule>
  </conditionalFormatting>
  <conditionalFormatting sqref="AK29">
    <cfRule type="cellIs" dxfId="2521" priority="2483" stopIfTrue="1" operator="between">
      <formula>221101</formula>
      <formula>221118</formula>
    </cfRule>
    <cfRule type="cellIs" dxfId="2520" priority="2484" stopIfTrue="1" operator="between">
      <formula>221142</formula>
      <formula>221144</formula>
    </cfRule>
    <cfRule type="cellIs" dxfId="2519" priority="2485" stopIfTrue="1" operator="between">
      <formula>220001</formula>
      <formula>221144</formula>
    </cfRule>
  </conditionalFormatting>
  <conditionalFormatting sqref="AJ29">
    <cfRule type="cellIs" dxfId="2518" priority="2480" stopIfTrue="1" operator="between">
      <formula>221101</formula>
      <formula>221118</formula>
    </cfRule>
    <cfRule type="cellIs" dxfId="2517" priority="2481" stopIfTrue="1" operator="between">
      <formula>221142</formula>
      <formula>221144</formula>
    </cfRule>
    <cfRule type="cellIs" dxfId="2516" priority="2482" stopIfTrue="1" operator="between">
      <formula>220001</formula>
      <formula>221144</formula>
    </cfRule>
  </conditionalFormatting>
  <conditionalFormatting sqref="AM29">
    <cfRule type="cellIs" dxfId="2515" priority="2477" stopIfTrue="1" operator="between">
      <formula>221101</formula>
      <formula>221118</formula>
    </cfRule>
    <cfRule type="cellIs" dxfId="2514" priority="2478" stopIfTrue="1" operator="between">
      <formula>221142</formula>
      <formula>221144</formula>
    </cfRule>
    <cfRule type="cellIs" dxfId="2513" priority="2479" stopIfTrue="1" operator="between">
      <formula>220001</formula>
      <formula>221144</formula>
    </cfRule>
  </conditionalFormatting>
  <conditionalFormatting sqref="AL29">
    <cfRule type="cellIs" dxfId="2512" priority="2474" stopIfTrue="1" operator="between">
      <formula>221101</formula>
      <formula>221118</formula>
    </cfRule>
    <cfRule type="cellIs" dxfId="2511" priority="2475" stopIfTrue="1" operator="between">
      <formula>221142</formula>
      <formula>221144</formula>
    </cfRule>
    <cfRule type="cellIs" dxfId="2510" priority="2476" stopIfTrue="1" operator="between">
      <formula>220001</formula>
      <formula>221144</formula>
    </cfRule>
  </conditionalFormatting>
  <conditionalFormatting sqref="AL29">
    <cfRule type="cellIs" dxfId="2509" priority="2471" stopIfTrue="1" operator="between">
      <formula>221101</formula>
      <formula>221118</formula>
    </cfRule>
    <cfRule type="cellIs" dxfId="2508" priority="2472" stopIfTrue="1" operator="between">
      <formula>221142</formula>
      <formula>221144</formula>
    </cfRule>
    <cfRule type="cellIs" dxfId="2507" priority="2473" stopIfTrue="1" operator="between">
      <formula>220001</formula>
      <formula>221144</formula>
    </cfRule>
  </conditionalFormatting>
  <conditionalFormatting sqref="AK29">
    <cfRule type="cellIs" dxfId="2506" priority="2468" stopIfTrue="1" operator="between">
      <formula>221101</formula>
      <formula>221118</formula>
    </cfRule>
    <cfRule type="cellIs" dxfId="2505" priority="2469" stopIfTrue="1" operator="between">
      <formula>221142</formula>
      <formula>221144</formula>
    </cfRule>
    <cfRule type="cellIs" dxfId="2504" priority="2470" stopIfTrue="1" operator="between">
      <formula>220001</formula>
      <formula>221144</formula>
    </cfRule>
  </conditionalFormatting>
  <conditionalFormatting sqref="AL29">
    <cfRule type="cellIs" dxfId="2503" priority="2465" stopIfTrue="1" operator="between">
      <formula>221101</formula>
      <formula>221118</formula>
    </cfRule>
    <cfRule type="cellIs" dxfId="2502" priority="2466" stopIfTrue="1" operator="between">
      <formula>221142</formula>
      <formula>221144</formula>
    </cfRule>
    <cfRule type="cellIs" dxfId="2501" priority="2467" stopIfTrue="1" operator="between">
      <formula>220001</formula>
      <formula>221144</formula>
    </cfRule>
  </conditionalFormatting>
  <conditionalFormatting sqref="AK29">
    <cfRule type="cellIs" dxfId="2500" priority="2462" stopIfTrue="1" operator="between">
      <formula>221101</formula>
      <formula>221118</formula>
    </cfRule>
    <cfRule type="cellIs" dxfId="2499" priority="2463" stopIfTrue="1" operator="between">
      <formula>221142</formula>
      <formula>221144</formula>
    </cfRule>
    <cfRule type="cellIs" dxfId="2498" priority="2464" stopIfTrue="1" operator="between">
      <formula>220001</formula>
      <formula>221144</formula>
    </cfRule>
  </conditionalFormatting>
  <conditionalFormatting sqref="AK29">
    <cfRule type="cellIs" dxfId="2497" priority="2459" stopIfTrue="1" operator="between">
      <formula>221101</formula>
      <formula>221118</formula>
    </cfRule>
    <cfRule type="cellIs" dxfId="2496" priority="2460" stopIfTrue="1" operator="between">
      <formula>221142</formula>
      <formula>221144</formula>
    </cfRule>
    <cfRule type="cellIs" dxfId="2495" priority="2461" stopIfTrue="1" operator="between">
      <formula>220001</formula>
      <formula>221144</formula>
    </cfRule>
  </conditionalFormatting>
  <conditionalFormatting sqref="AJ29">
    <cfRule type="cellIs" dxfId="2494" priority="2456" stopIfTrue="1" operator="between">
      <formula>221101</formula>
      <formula>221118</formula>
    </cfRule>
    <cfRule type="cellIs" dxfId="2493" priority="2457" stopIfTrue="1" operator="between">
      <formula>221142</formula>
      <formula>221144</formula>
    </cfRule>
    <cfRule type="cellIs" dxfId="2492" priority="2458" stopIfTrue="1" operator="between">
      <formula>220001</formula>
      <formula>221144</formula>
    </cfRule>
  </conditionalFormatting>
  <conditionalFormatting sqref="AL29">
    <cfRule type="cellIs" dxfId="2491" priority="2453" stopIfTrue="1" operator="between">
      <formula>221101</formula>
      <formula>221118</formula>
    </cfRule>
    <cfRule type="cellIs" dxfId="2490" priority="2454" stopIfTrue="1" operator="between">
      <formula>221142</formula>
      <formula>221144</formula>
    </cfRule>
    <cfRule type="cellIs" dxfId="2489" priority="2455" stopIfTrue="1" operator="between">
      <formula>220001</formula>
      <formula>221144</formula>
    </cfRule>
  </conditionalFormatting>
  <conditionalFormatting sqref="AK29">
    <cfRule type="cellIs" dxfId="2488" priority="2450" stopIfTrue="1" operator="between">
      <formula>221101</formula>
      <formula>221118</formula>
    </cfRule>
    <cfRule type="cellIs" dxfId="2487" priority="2451" stopIfTrue="1" operator="between">
      <formula>221142</formula>
      <formula>221144</formula>
    </cfRule>
    <cfRule type="cellIs" dxfId="2486" priority="2452" stopIfTrue="1" operator="between">
      <formula>220001</formula>
      <formula>221144</formula>
    </cfRule>
  </conditionalFormatting>
  <conditionalFormatting sqref="AK29">
    <cfRule type="cellIs" dxfId="2485" priority="2447" stopIfTrue="1" operator="between">
      <formula>221101</formula>
      <formula>221118</formula>
    </cfRule>
    <cfRule type="cellIs" dxfId="2484" priority="2448" stopIfTrue="1" operator="between">
      <formula>221142</formula>
      <formula>221144</formula>
    </cfRule>
    <cfRule type="cellIs" dxfId="2483" priority="2449" stopIfTrue="1" operator="between">
      <formula>220001</formula>
      <formula>221144</formula>
    </cfRule>
  </conditionalFormatting>
  <conditionalFormatting sqref="AJ29">
    <cfRule type="cellIs" dxfId="2482" priority="2444" stopIfTrue="1" operator="between">
      <formula>221101</formula>
      <formula>221118</formula>
    </cfRule>
    <cfRule type="cellIs" dxfId="2481" priority="2445" stopIfTrue="1" operator="between">
      <formula>221142</formula>
      <formula>221144</formula>
    </cfRule>
    <cfRule type="cellIs" dxfId="2480" priority="2446" stopIfTrue="1" operator="between">
      <formula>220001</formula>
      <formula>221144</formula>
    </cfRule>
  </conditionalFormatting>
  <conditionalFormatting sqref="AK29">
    <cfRule type="cellIs" dxfId="2479" priority="2441" stopIfTrue="1" operator="between">
      <formula>221101</formula>
      <formula>221118</formula>
    </cfRule>
    <cfRule type="cellIs" dxfId="2478" priority="2442" stopIfTrue="1" operator="between">
      <formula>221142</formula>
      <formula>221144</formula>
    </cfRule>
    <cfRule type="cellIs" dxfId="2477" priority="2443" stopIfTrue="1" operator="between">
      <formula>220001</formula>
      <formula>221144</formula>
    </cfRule>
  </conditionalFormatting>
  <conditionalFormatting sqref="AJ29">
    <cfRule type="cellIs" dxfId="2476" priority="2438" stopIfTrue="1" operator="between">
      <formula>221101</formula>
      <formula>221118</formula>
    </cfRule>
    <cfRule type="cellIs" dxfId="2475" priority="2439" stopIfTrue="1" operator="between">
      <formula>221142</formula>
      <formula>221144</formula>
    </cfRule>
    <cfRule type="cellIs" dxfId="2474" priority="2440" stopIfTrue="1" operator="between">
      <formula>220001</formula>
      <formula>221144</formula>
    </cfRule>
  </conditionalFormatting>
  <conditionalFormatting sqref="AJ29">
    <cfRule type="cellIs" dxfId="2473" priority="2435" stopIfTrue="1" operator="between">
      <formula>221101</formula>
      <formula>221118</formula>
    </cfRule>
    <cfRule type="cellIs" dxfId="2472" priority="2436" stopIfTrue="1" operator="between">
      <formula>221142</formula>
      <formula>221144</formula>
    </cfRule>
    <cfRule type="cellIs" dxfId="2471" priority="2437" stopIfTrue="1" operator="between">
      <formula>220001</formula>
      <formula>221144</formula>
    </cfRule>
  </conditionalFormatting>
  <conditionalFormatting sqref="AI29">
    <cfRule type="cellIs" dxfId="2470" priority="2432" stopIfTrue="1" operator="between">
      <formula>221101</formula>
      <formula>221118</formula>
    </cfRule>
    <cfRule type="cellIs" dxfId="2469" priority="2433" stopIfTrue="1" operator="between">
      <formula>221142</formula>
      <formula>221144</formula>
    </cfRule>
    <cfRule type="cellIs" dxfId="2468" priority="2434" stopIfTrue="1" operator="between">
      <formula>220001</formula>
      <formula>221144</formula>
    </cfRule>
  </conditionalFormatting>
  <conditionalFormatting sqref="AM29">
    <cfRule type="cellIs" dxfId="2467" priority="2429" stopIfTrue="1" operator="between">
      <formula>221101</formula>
      <formula>221118</formula>
    </cfRule>
    <cfRule type="cellIs" dxfId="2466" priority="2430" stopIfTrue="1" operator="between">
      <formula>221142</formula>
      <formula>221144</formula>
    </cfRule>
    <cfRule type="cellIs" dxfId="2465" priority="2431" stopIfTrue="1" operator="between">
      <formula>220001</formula>
      <formula>221144</formula>
    </cfRule>
  </conditionalFormatting>
  <conditionalFormatting sqref="AL29">
    <cfRule type="cellIs" dxfId="2464" priority="2426" stopIfTrue="1" operator="between">
      <formula>221101</formula>
      <formula>221118</formula>
    </cfRule>
    <cfRule type="cellIs" dxfId="2463" priority="2427" stopIfTrue="1" operator="between">
      <formula>221142</formula>
      <formula>221144</formula>
    </cfRule>
    <cfRule type="cellIs" dxfId="2462" priority="2428" stopIfTrue="1" operator="between">
      <formula>220001</formula>
      <formula>221144</formula>
    </cfRule>
  </conditionalFormatting>
  <conditionalFormatting sqref="AL29">
    <cfRule type="cellIs" dxfId="2461" priority="2423" stopIfTrue="1" operator="between">
      <formula>221101</formula>
      <formula>221118</formula>
    </cfRule>
    <cfRule type="cellIs" dxfId="2460" priority="2424" stopIfTrue="1" operator="between">
      <formula>221142</formula>
      <formula>221144</formula>
    </cfRule>
    <cfRule type="cellIs" dxfId="2459" priority="2425" stopIfTrue="1" operator="between">
      <formula>220001</formula>
      <formula>221144</formula>
    </cfRule>
  </conditionalFormatting>
  <conditionalFormatting sqref="AK29">
    <cfRule type="cellIs" dxfId="2458" priority="2420" stopIfTrue="1" operator="between">
      <formula>221101</formula>
      <formula>221118</formula>
    </cfRule>
    <cfRule type="cellIs" dxfId="2457" priority="2421" stopIfTrue="1" operator="between">
      <formula>221142</formula>
      <formula>221144</formula>
    </cfRule>
    <cfRule type="cellIs" dxfId="2456" priority="2422" stopIfTrue="1" operator="between">
      <formula>220001</formula>
      <formula>221144</formula>
    </cfRule>
  </conditionalFormatting>
  <conditionalFormatting sqref="AL29">
    <cfRule type="cellIs" dxfId="2455" priority="2417" stopIfTrue="1" operator="between">
      <formula>221101</formula>
      <formula>221118</formula>
    </cfRule>
    <cfRule type="cellIs" dxfId="2454" priority="2418" stopIfTrue="1" operator="between">
      <formula>221142</formula>
      <formula>221144</formula>
    </cfRule>
    <cfRule type="cellIs" dxfId="2453" priority="2419" stopIfTrue="1" operator="between">
      <formula>220001</formula>
      <formula>221144</formula>
    </cfRule>
  </conditionalFormatting>
  <conditionalFormatting sqref="AK29">
    <cfRule type="cellIs" dxfId="2452" priority="2414" stopIfTrue="1" operator="between">
      <formula>221101</formula>
      <formula>221118</formula>
    </cfRule>
    <cfRule type="cellIs" dxfId="2451" priority="2415" stopIfTrue="1" operator="between">
      <formula>221142</formula>
      <formula>221144</formula>
    </cfRule>
    <cfRule type="cellIs" dxfId="2450" priority="2416" stopIfTrue="1" operator="between">
      <formula>220001</formula>
      <formula>221144</formula>
    </cfRule>
  </conditionalFormatting>
  <conditionalFormatting sqref="AK29">
    <cfRule type="cellIs" dxfId="2449" priority="2411" stopIfTrue="1" operator="between">
      <formula>221101</formula>
      <formula>221118</formula>
    </cfRule>
    <cfRule type="cellIs" dxfId="2448" priority="2412" stopIfTrue="1" operator="between">
      <formula>221142</formula>
      <formula>221144</formula>
    </cfRule>
    <cfRule type="cellIs" dxfId="2447" priority="2413" stopIfTrue="1" operator="between">
      <formula>220001</formula>
      <formula>221144</formula>
    </cfRule>
  </conditionalFormatting>
  <conditionalFormatting sqref="AJ29">
    <cfRule type="cellIs" dxfId="2446" priority="2408" stopIfTrue="1" operator="between">
      <formula>221101</formula>
      <formula>221118</formula>
    </cfRule>
    <cfRule type="cellIs" dxfId="2445" priority="2409" stopIfTrue="1" operator="between">
      <formula>221142</formula>
      <formula>221144</formula>
    </cfRule>
    <cfRule type="cellIs" dxfId="2444" priority="2410" stopIfTrue="1" operator="between">
      <formula>220001</formula>
      <formula>221144</formula>
    </cfRule>
  </conditionalFormatting>
  <conditionalFormatting sqref="AL29">
    <cfRule type="cellIs" dxfId="2443" priority="2405" stopIfTrue="1" operator="between">
      <formula>221101</formula>
      <formula>221118</formula>
    </cfRule>
    <cfRule type="cellIs" dxfId="2442" priority="2406" stopIfTrue="1" operator="between">
      <formula>221142</formula>
      <formula>221144</formula>
    </cfRule>
    <cfRule type="cellIs" dxfId="2441" priority="2407" stopIfTrue="1" operator="between">
      <formula>220001</formula>
      <formula>221144</formula>
    </cfRule>
  </conditionalFormatting>
  <conditionalFormatting sqref="AK29">
    <cfRule type="cellIs" dxfId="2440" priority="2402" stopIfTrue="1" operator="between">
      <formula>221101</formula>
      <formula>221118</formula>
    </cfRule>
    <cfRule type="cellIs" dxfId="2439" priority="2403" stopIfTrue="1" operator="between">
      <formula>221142</formula>
      <formula>221144</formula>
    </cfRule>
    <cfRule type="cellIs" dxfId="2438" priority="2404" stopIfTrue="1" operator="between">
      <formula>220001</formula>
      <formula>221144</formula>
    </cfRule>
  </conditionalFormatting>
  <conditionalFormatting sqref="AK29">
    <cfRule type="cellIs" dxfId="2437" priority="2399" stopIfTrue="1" operator="between">
      <formula>221101</formula>
      <formula>221118</formula>
    </cfRule>
    <cfRule type="cellIs" dxfId="2436" priority="2400" stopIfTrue="1" operator="between">
      <formula>221142</formula>
      <formula>221144</formula>
    </cfRule>
    <cfRule type="cellIs" dxfId="2435" priority="2401" stopIfTrue="1" operator="between">
      <formula>220001</formula>
      <formula>221144</formula>
    </cfRule>
  </conditionalFormatting>
  <conditionalFormatting sqref="AJ29">
    <cfRule type="cellIs" dxfId="2434" priority="2396" stopIfTrue="1" operator="between">
      <formula>221101</formula>
      <formula>221118</formula>
    </cfRule>
    <cfRule type="cellIs" dxfId="2433" priority="2397" stopIfTrue="1" operator="between">
      <formula>221142</formula>
      <formula>221144</formula>
    </cfRule>
    <cfRule type="cellIs" dxfId="2432" priority="2398" stopIfTrue="1" operator="between">
      <formula>220001</formula>
      <formula>221144</formula>
    </cfRule>
  </conditionalFormatting>
  <conditionalFormatting sqref="AK29">
    <cfRule type="cellIs" dxfId="2431" priority="2393" stopIfTrue="1" operator="between">
      <formula>221101</formula>
      <formula>221118</formula>
    </cfRule>
    <cfRule type="cellIs" dxfId="2430" priority="2394" stopIfTrue="1" operator="between">
      <formula>221142</formula>
      <formula>221144</formula>
    </cfRule>
    <cfRule type="cellIs" dxfId="2429" priority="2395" stopIfTrue="1" operator="between">
      <formula>220001</formula>
      <formula>221144</formula>
    </cfRule>
  </conditionalFormatting>
  <conditionalFormatting sqref="AJ29">
    <cfRule type="cellIs" dxfId="2428" priority="2390" stopIfTrue="1" operator="between">
      <formula>221101</formula>
      <formula>221118</formula>
    </cfRule>
    <cfRule type="cellIs" dxfId="2427" priority="2391" stopIfTrue="1" operator="between">
      <formula>221142</formula>
      <formula>221144</formula>
    </cfRule>
    <cfRule type="cellIs" dxfId="2426" priority="2392" stopIfTrue="1" operator="between">
      <formula>220001</formula>
      <formula>221144</formula>
    </cfRule>
  </conditionalFormatting>
  <conditionalFormatting sqref="AJ29">
    <cfRule type="cellIs" dxfId="2425" priority="2387" stopIfTrue="1" operator="between">
      <formula>221101</formula>
      <formula>221118</formula>
    </cfRule>
    <cfRule type="cellIs" dxfId="2424" priority="2388" stopIfTrue="1" operator="between">
      <formula>221142</formula>
      <formula>221144</formula>
    </cfRule>
    <cfRule type="cellIs" dxfId="2423" priority="2389" stopIfTrue="1" operator="between">
      <formula>220001</formula>
      <formula>221144</formula>
    </cfRule>
  </conditionalFormatting>
  <conditionalFormatting sqref="AI29">
    <cfRule type="cellIs" dxfId="2422" priority="2384" stopIfTrue="1" operator="between">
      <formula>221101</formula>
      <formula>221118</formula>
    </cfRule>
    <cfRule type="cellIs" dxfId="2421" priority="2385" stopIfTrue="1" operator="between">
      <formula>221142</formula>
      <formula>221144</formula>
    </cfRule>
    <cfRule type="cellIs" dxfId="2420" priority="2386" stopIfTrue="1" operator="between">
      <formula>220001</formula>
      <formula>221144</formula>
    </cfRule>
  </conditionalFormatting>
  <conditionalFormatting sqref="AL29">
    <cfRule type="cellIs" dxfId="2419" priority="2381" stopIfTrue="1" operator="between">
      <formula>221101</formula>
      <formula>221118</formula>
    </cfRule>
    <cfRule type="cellIs" dxfId="2418" priority="2382" stopIfTrue="1" operator="between">
      <formula>221142</formula>
      <formula>221144</formula>
    </cfRule>
    <cfRule type="cellIs" dxfId="2417" priority="2383" stopIfTrue="1" operator="between">
      <formula>220001</formula>
      <formula>221144</formula>
    </cfRule>
  </conditionalFormatting>
  <conditionalFormatting sqref="AK29">
    <cfRule type="cellIs" dxfId="2416" priority="2378" stopIfTrue="1" operator="between">
      <formula>221101</formula>
      <formula>221118</formula>
    </cfRule>
    <cfRule type="cellIs" dxfId="2415" priority="2379" stopIfTrue="1" operator="between">
      <formula>221142</formula>
      <formula>221144</formula>
    </cfRule>
    <cfRule type="cellIs" dxfId="2414" priority="2380" stopIfTrue="1" operator="between">
      <formula>220001</formula>
      <formula>221144</formula>
    </cfRule>
  </conditionalFormatting>
  <conditionalFormatting sqref="AK29">
    <cfRule type="cellIs" dxfId="2413" priority="2375" stopIfTrue="1" operator="between">
      <formula>221101</formula>
      <formula>221118</formula>
    </cfRule>
    <cfRule type="cellIs" dxfId="2412" priority="2376" stopIfTrue="1" operator="between">
      <formula>221142</formula>
      <formula>221144</formula>
    </cfRule>
    <cfRule type="cellIs" dxfId="2411" priority="2377" stopIfTrue="1" operator="between">
      <formula>220001</formula>
      <formula>221144</formula>
    </cfRule>
  </conditionalFormatting>
  <conditionalFormatting sqref="AJ29">
    <cfRule type="cellIs" dxfId="2410" priority="2372" stopIfTrue="1" operator="between">
      <formula>221101</formula>
      <formula>221118</formula>
    </cfRule>
    <cfRule type="cellIs" dxfId="2409" priority="2373" stopIfTrue="1" operator="between">
      <formula>221142</formula>
      <formula>221144</formula>
    </cfRule>
    <cfRule type="cellIs" dxfId="2408" priority="2374" stopIfTrue="1" operator="between">
      <formula>220001</formula>
      <formula>221144</formula>
    </cfRule>
  </conditionalFormatting>
  <conditionalFormatting sqref="AK29">
    <cfRule type="cellIs" dxfId="2407" priority="2369" stopIfTrue="1" operator="between">
      <formula>221101</formula>
      <formula>221118</formula>
    </cfRule>
    <cfRule type="cellIs" dxfId="2406" priority="2370" stopIfTrue="1" operator="between">
      <formula>221142</formula>
      <formula>221144</formula>
    </cfRule>
    <cfRule type="cellIs" dxfId="2405" priority="2371" stopIfTrue="1" operator="between">
      <formula>220001</formula>
      <formula>221144</formula>
    </cfRule>
  </conditionalFormatting>
  <conditionalFormatting sqref="AJ29">
    <cfRule type="cellIs" dxfId="2404" priority="2366" stopIfTrue="1" operator="between">
      <formula>221101</formula>
      <formula>221118</formula>
    </cfRule>
    <cfRule type="cellIs" dxfId="2403" priority="2367" stopIfTrue="1" operator="between">
      <formula>221142</formula>
      <formula>221144</formula>
    </cfRule>
    <cfRule type="cellIs" dxfId="2402" priority="2368" stopIfTrue="1" operator="between">
      <formula>220001</formula>
      <formula>221144</formula>
    </cfRule>
  </conditionalFormatting>
  <conditionalFormatting sqref="AJ29">
    <cfRule type="cellIs" dxfId="2401" priority="2363" stopIfTrue="1" operator="between">
      <formula>221101</formula>
      <formula>221118</formula>
    </cfRule>
    <cfRule type="cellIs" dxfId="2400" priority="2364" stopIfTrue="1" operator="between">
      <formula>221142</formula>
      <formula>221144</formula>
    </cfRule>
    <cfRule type="cellIs" dxfId="2399" priority="2365" stopIfTrue="1" operator="between">
      <formula>220001</formula>
      <formula>221144</formula>
    </cfRule>
  </conditionalFormatting>
  <conditionalFormatting sqref="AI29">
    <cfRule type="cellIs" dxfId="2398" priority="2360" stopIfTrue="1" operator="between">
      <formula>221101</formula>
      <formula>221118</formula>
    </cfRule>
    <cfRule type="cellIs" dxfId="2397" priority="2361" stopIfTrue="1" operator="between">
      <formula>221142</formula>
      <formula>221144</formula>
    </cfRule>
    <cfRule type="cellIs" dxfId="2396" priority="2362" stopIfTrue="1" operator="between">
      <formula>220001</formula>
      <formula>221144</formula>
    </cfRule>
  </conditionalFormatting>
  <conditionalFormatting sqref="AK29">
    <cfRule type="cellIs" dxfId="2395" priority="2357" stopIfTrue="1" operator="between">
      <formula>221101</formula>
      <formula>221118</formula>
    </cfRule>
    <cfRule type="cellIs" dxfId="2394" priority="2358" stopIfTrue="1" operator="between">
      <formula>221142</formula>
      <formula>221144</formula>
    </cfRule>
    <cfRule type="cellIs" dxfId="2393" priority="2359" stopIfTrue="1" operator="between">
      <formula>220001</formula>
      <formula>221144</formula>
    </cfRule>
  </conditionalFormatting>
  <conditionalFormatting sqref="AJ29">
    <cfRule type="cellIs" dxfId="2392" priority="2354" stopIfTrue="1" operator="between">
      <formula>221101</formula>
      <formula>221118</formula>
    </cfRule>
    <cfRule type="cellIs" dxfId="2391" priority="2355" stopIfTrue="1" operator="between">
      <formula>221142</formula>
      <formula>221144</formula>
    </cfRule>
    <cfRule type="cellIs" dxfId="2390" priority="2356" stopIfTrue="1" operator="between">
      <formula>220001</formula>
      <formula>221144</formula>
    </cfRule>
  </conditionalFormatting>
  <conditionalFormatting sqref="AJ29">
    <cfRule type="cellIs" dxfId="2389" priority="2351" stopIfTrue="1" operator="between">
      <formula>221101</formula>
      <formula>221118</formula>
    </cfRule>
    <cfRule type="cellIs" dxfId="2388" priority="2352" stopIfTrue="1" operator="between">
      <formula>221142</formula>
      <formula>221144</formula>
    </cfRule>
    <cfRule type="cellIs" dxfId="2387" priority="2353" stopIfTrue="1" operator="between">
      <formula>220001</formula>
      <formula>221144</formula>
    </cfRule>
  </conditionalFormatting>
  <conditionalFormatting sqref="AI29">
    <cfRule type="cellIs" dxfId="2386" priority="2348" stopIfTrue="1" operator="between">
      <formula>221101</formula>
      <formula>221118</formula>
    </cfRule>
    <cfRule type="cellIs" dxfId="2385" priority="2349" stopIfTrue="1" operator="between">
      <formula>221142</formula>
      <formula>221144</formula>
    </cfRule>
    <cfRule type="cellIs" dxfId="2384" priority="2350" stopIfTrue="1" operator="between">
      <formula>220001</formula>
      <formula>221144</formula>
    </cfRule>
  </conditionalFormatting>
  <conditionalFormatting sqref="AJ29">
    <cfRule type="cellIs" dxfId="2383" priority="2345" stopIfTrue="1" operator="between">
      <formula>221101</formula>
      <formula>221118</formula>
    </cfRule>
    <cfRule type="cellIs" dxfId="2382" priority="2346" stopIfTrue="1" operator="between">
      <formula>221142</formula>
      <formula>221144</formula>
    </cfRule>
    <cfRule type="cellIs" dxfId="2381" priority="2347" stopIfTrue="1" operator="between">
      <formula>220001</formula>
      <formula>221144</formula>
    </cfRule>
  </conditionalFormatting>
  <conditionalFormatting sqref="AI29">
    <cfRule type="cellIs" dxfId="2380" priority="2342" stopIfTrue="1" operator="between">
      <formula>221101</formula>
      <formula>221118</formula>
    </cfRule>
    <cfRule type="cellIs" dxfId="2379" priority="2343" stopIfTrue="1" operator="between">
      <formula>221142</formula>
      <formula>221144</formula>
    </cfRule>
    <cfRule type="cellIs" dxfId="2378" priority="2344" stopIfTrue="1" operator="between">
      <formula>220001</formula>
      <formula>221144</formula>
    </cfRule>
  </conditionalFormatting>
  <conditionalFormatting sqref="AI29">
    <cfRule type="cellIs" dxfId="2377" priority="2339" stopIfTrue="1" operator="between">
      <formula>221101</formula>
      <formula>221118</formula>
    </cfRule>
    <cfRule type="cellIs" dxfId="2376" priority="2340" stopIfTrue="1" operator="between">
      <formula>221142</formula>
      <formula>221144</formula>
    </cfRule>
    <cfRule type="cellIs" dxfId="2375" priority="2341" stopIfTrue="1" operator="between">
      <formula>220001</formula>
      <formula>221144</formula>
    </cfRule>
  </conditionalFormatting>
  <conditionalFormatting sqref="AH29">
    <cfRule type="cellIs" dxfId="2374" priority="2336" stopIfTrue="1" operator="between">
      <formula>221101</formula>
      <formula>221118</formula>
    </cfRule>
    <cfRule type="cellIs" dxfId="2373" priority="2337" stopIfTrue="1" operator="between">
      <formula>221142</formula>
      <formula>221144</formula>
    </cfRule>
    <cfRule type="cellIs" dxfId="2372" priority="2338" stopIfTrue="1" operator="between">
      <formula>220001</formula>
      <formula>221144</formula>
    </cfRule>
  </conditionalFormatting>
  <conditionalFormatting sqref="AN29">
    <cfRule type="cellIs" dxfId="2371" priority="2333" stopIfTrue="1" operator="between">
      <formula>221101</formula>
      <formula>221118</formula>
    </cfRule>
    <cfRule type="cellIs" dxfId="2370" priority="2334" stopIfTrue="1" operator="between">
      <formula>221142</formula>
      <formula>221144</formula>
    </cfRule>
    <cfRule type="cellIs" dxfId="2369" priority="2335" stopIfTrue="1" operator="between">
      <formula>220001</formula>
      <formula>221144</formula>
    </cfRule>
  </conditionalFormatting>
  <conditionalFormatting sqref="AM29">
    <cfRule type="cellIs" dxfId="2368" priority="2330" stopIfTrue="1" operator="between">
      <formula>221101</formula>
      <formula>221118</formula>
    </cfRule>
    <cfRule type="cellIs" dxfId="2367" priority="2331" stopIfTrue="1" operator="between">
      <formula>221142</formula>
      <formula>221144</formula>
    </cfRule>
    <cfRule type="cellIs" dxfId="2366" priority="2332" stopIfTrue="1" operator="between">
      <formula>220001</formula>
      <formula>221144</formula>
    </cfRule>
  </conditionalFormatting>
  <conditionalFormatting sqref="AM29">
    <cfRule type="cellIs" dxfId="2365" priority="2327" stopIfTrue="1" operator="between">
      <formula>221101</formula>
      <formula>221118</formula>
    </cfRule>
    <cfRule type="cellIs" dxfId="2364" priority="2328" stopIfTrue="1" operator="between">
      <formula>221142</formula>
      <formula>221144</formula>
    </cfRule>
    <cfRule type="cellIs" dxfId="2363" priority="2329" stopIfTrue="1" operator="between">
      <formula>220001</formula>
      <formula>221144</formula>
    </cfRule>
  </conditionalFormatting>
  <conditionalFormatting sqref="AL29">
    <cfRule type="cellIs" dxfId="2362" priority="2324" stopIfTrue="1" operator="between">
      <formula>221101</formula>
      <formula>221118</formula>
    </cfRule>
    <cfRule type="cellIs" dxfId="2361" priority="2325" stopIfTrue="1" operator="between">
      <formula>221142</formula>
      <formula>221144</formula>
    </cfRule>
    <cfRule type="cellIs" dxfId="2360" priority="2326" stopIfTrue="1" operator="between">
      <formula>220001</formula>
      <formula>221144</formula>
    </cfRule>
  </conditionalFormatting>
  <conditionalFormatting sqref="C29">
    <cfRule type="cellIs" dxfId="2359" priority="2321" stopIfTrue="1" operator="between">
      <formula>221101</formula>
      <formula>221118</formula>
    </cfRule>
    <cfRule type="cellIs" dxfId="2358" priority="2322" stopIfTrue="1" operator="between">
      <formula>221142</formula>
      <formula>221144</formula>
    </cfRule>
    <cfRule type="cellIs" dxfId="2357" priority="2323" stopIfTrue="1" operator="between">
      <formula>220001</formula>
      <formula>221144</formula>
    </cfRule>
  </conditionalFormatting>
  <conditionalFormatting sqref="C29">
    <cfRule type="cellIs" dxfId="2356" priority="2318" stopIfTrue="1" operator="between">
      <formula>221101</formula>
      <formula>221118</formula>
    </cfRule>
    <cfRule type="cellIs" dxfId="2355" priority="2319" stopIfTrue="1" operator="between">
      <formula>221142</formula>
      <formula>221144</formula>
    </cfRule>
    <cfRule type="cellIs" dxfId="2354" priority="2320" stopIfTrue="1" operator="between">
      <formula>220001</formula>
      <formula>221144</formula>
    </cfRule>
  </conditionalFormatting>
  <conditionalFormatting sqref="C29">
    <cfRule type="cellIs" dxfId="2353" priority="2315" stopIfTrue="1" operator="between">
      <formula>221101</formula>
      <formula>221118</formula>
    </cfRule>
    <cfRule type="cellIs" dxfId="2352" priority="2316" stopIfTrue="1" operator="between">
      <formula>221142</formula>
      <formula>221144</formula>
    </cfRule>
    <cfRule type="cellIs" dxfId="2351" priority="2317" stopIfTrue="1" operator="between">
      <formula>220001</formula>
      <formula>221144</formula>
    </cfRule>
  </conditionalFormatting>
  <conditionalFormatting sqref="C29">
    <cfRule type="cellIs" dxfId="2350" priority="2312" stopIfTrue="1" operator="between">
      <formula>221101</formula>
      <formula>221118</formula>
    </cfRule>
    <cfRule type="cellIs" dxfId="2349" priority="2313" stopIfTrue="1" operator="between">
      <formula>221142</formula>
      <formula>221144</formula>
    </cfRule>
    <cfRule type="cellIs" dxfId="2348" priority="2314" stopIfTrue="1" operator="between">
      <formula>220001</formula>
      <formula>221144</formula>
    </cfRule>
  </conditionalFormatting>
  <conditionalFormatting sqref="AM29">
    <cfRule type="cellIs" dxfId="2347" priority="2309" stopIfTrue="1" operator="between">
      <formula>221101</formula>
      <formula>221118</formula>
    </cfRule>
    <cfRule type="cellIs" dxfId="2346" priority="2310" stopIfTrue="1" operator="between">
      <formula>221142</formula>
      <formula>221144</formula>
    </cfRule>
    <cfRule type="cellIs" dxfId="2345" priority="2311" stopIfTrue="1" operator="between">
      <formula>220001</formula>
      <formula>221144</formula>
    </cfRule>
  </conditionalFormatting>
  <conditionalFormatting sqref="AL29">
    <cfRule type="cellIs" dxfId="2344" priority="2306" stopIfTrue="1" operator="between">
      <formula>221101</formula>
      <formula>221118</formula>
    </cfRule>
    <cfRule type="cellIs" dxfId="2343" priority="2307" stopIfTrue="1" operator="between">
      <formula>221142</formula>
      <formula>221144</formula>
    </cfRule>
    <cfRule type="cellIs" dxfId="2342" priority="2308" stopIfTrue="1" operator="between">
      <formula>220001</formula>
      <formula>221144</formula>
    </cfRule>
  </conditionalFormatting>
  <conditionalFormatting sqref="AL29">
    <cfRule type="cellIs" dxfId="2341" priority="2303" stopIfTrue="1" operator="between">
      <formula>221101</formula>
      <formula>221118</formula>
    </cfRule>
    <cfRule type="cellIs" dxfId="2340" priority="2304" stopIfTrue="1" operator="between">
      <formula>221142</formula>
      <formula>221144</formula>
    </cfRule>
    <cfRule type="cellIs" dxfId="2339" priority="2305" stopIfTrue="1" operator="between">
      <formula>220001</formula>
      <formula>221144</formula>
    </cfRule>
  </conditionalFormatting>
  <conditionalFormatting sqref="AK29">
    <cfRule type="cellIs" dxfId="2338" priority="2300" stopIfTrue="1" operator="between">
      <formula>221101</formula>
      <formula>221118</formula>
    </cfRule>
    <cfRule type="cellIs" dxfId="2337" priority="2301" stopIfTrue="1" operator="between">
      <formula>221142</formula>
      <formula>221144</formula>
    </cfRule>
    <cfRule type="cellIs" dxfId="2336" priority="2302" stopIfTrue="1" operator="between">
      <formula>220001</formula>
      <formula>221144</formula>
    </cfRule>
  </conditionalFormatting>
  <conditionalFormatting sqref="AM29">
    <cfRule type="cellIs" dxfId="2335" priority="2297" stopIfTrue="1" operator="between">
      <formula>221101</formula>
      <formula>221118</formula>
    </cfRule>
    <cfRule type="cellIs" dxfId="2334" priority="2298" stopIfTrue="1" operator="between">
      <formula>221142</formula>
      <formula>221144</formula>
    </cfRule>
    <cfRule type="cellIs" dxfId="2333" priority="2299" stopIfTrue="1" operator="between">
      <formula>220001</formula>
      <formula>221144</formula>
    </cfRule>
  </conditionalFormatting>
  <conditionalFormatting sqref="AL29">
    <cfRule type="cellIs" dxfId="2332" priority="2294" stopIfTrue="1" operator="between">
      <formula>221101</formula>
      <formula>221118</formula>
    </cfRule>
    <cfRule type="cellIs" dxfId="2331" priority="2295" stopIfTrue="1" operator="between">
      <formula>221142</formula>
      <formula>221144</formula>
    </cfRule>
    <cfRule type="cellIs" dxfId="2330" priority="2296" stopIfTrue="1" operator="between">
      <formula>220001</formula>
      <formula>221144</formula>
    </cfRule>
  </conditionalFormatting>
  <conditionalFormatting sqref="AL29">
    <cfRule type="cellIs" dxfId="2329" priority="2291" stopIfTrue="1" operator="between">
      <formula>221101</formula>
      <formula>221118</formula>
    </cfRule>
    <cfRule type="cellIs" dxfId="2328" priority="2292" stopIfTrue="1" operator="between">
      <formula>221142</formula>
      <formula>221144</formula>
    </cfRule>
    <cfRule type="cellIs" dxfId="2327" priority="2293" stopIfTrue="1" operator="between">
      <formula>220001</formula>
      <formula>221144</formula>
    </cfRule>
  </conditionalFormatting>
  <conditionalFormatting sqref="AK29">
    <cfRule type="cellIs" dxfId="2326" priority="2288" stopIfTrue="1" operator="between">
      <formula>221101</formula>
      <formula>221118</formula>
    </cfRule>
    <cfRule type="cellIs" dxfId="2325" priority="2289" stopIfTrue="1" operator="between">
      <formula>221142</formula>
      <formula>221144</formula>
    </cfRule>
    <cfRule type="cellIs" dxfId="2324" priority="2290" stopIfTrue="1" operator="between">
      <formula>220001</formula>
      <formula>221144</formula>
    </cfRule>
  </conditionalFormatting>
  <conditionalFormatting sqref="AL29">
    <cfRule type="cellIs" dxfId="2323" priority="2285" stopIfTrue="1" operator="between">
      <formula>221101</formula>
      <formula>221118</formula>
    </cfRule>
    <cfRule type="cellIs" dxfId="2322" priority="2286" stopIfTrue="1" operator="between">
      <formula>221142</formula>
      <formula>221144</formula>
    </cfRule>
    <cfRule type="cellIs" dxfId="2321" priority="2287" stopIfTrue="1" operator="between">
      <formula>220001</formula>
      <formula>221144</formula>
    </cfRule>
  </conditionalFormatting>
  <conditionalFormatting sqref="AK29">
    <cfRule type="cellIs" dxfId="2320" priority="2282" stopIfTrue="1" operator="between">
      <formula>221101</formula>
      <formula>221118</formula>
    </cfRule>
    <cfRule type="cellIs" dxfId="2319" priority="2283" stopIfTrue="1" operator="between">
      <formula>221142</formula>
      <formula>221144</formula>
    </cfRule>
    <cfRule type="cellIs" dxfId="2318" priority="2284" stopIfTrue="1" operator="between">
      <formula>220001</formula>
      <formula>221144</formula>
    </cfRule>
  </conditionalFormatting>
  <conditionalFormatting sqref="AK29">
    <cfRule type="cellIs" dxfId="2317" priority="2279" stopIfTrue="1" operator="between">
      <formula>221101</formula>
      <formula>221118</formula>
    </cfRule>
    <cfRule type="cellIs" dxfId="2316" priority="2280" stopIfTrue="1" operator="between">
      <formula>221142</formula>
      <formula>221144</formula>
    </cfRule>
    <cfRule type="cellIs" dxfId="2315" priority="2281" stopIfTrue="1" operator="between">
      <formula>220001</formula>
      <formula>221144</formula>
    </cfRule>
  </conditionalFormatting>
  <conditionalFormatting sqref="AJ29">
    <cfRule type="cellIs" dxfId="2314" priority="2276" stopIfTrue="1" operator="between">
      <formula>221101</formula>
      <formula>221118</formula>
    </cfRule>
    <cfRule type="cellIs" dxfId="2313" priority="2277" stopIfTrue="1" operator="between">
      <formula>221142</formula>
      <formula>221144</formula>
    </cfRule>
    <cfRule type="cellIs" dxfId="2312" priority="2278" stopIfTrue="1" operator="between">
      <formula>220001</formula>
      <formula>221144</formula>
    </cfRule>
  </conditionalFormatting>
  <conditionalFormatting sqref="AM29">
    <cfRule type="cellIs" dxfId="2311" priority="2273" stopIfTrue="1" operator="between">
      <formula>221101</formula>
      <formula>221118</formula>
    </cfRule>
    <cfRule type="cellIs" dxfId="2310" priority="2274" stopIfTrue="1" operator="between">
      <formula>221142</formula>
      <formula>221144</formula>
    </cfRule>
    <cfRule type="cellIs" dxfId="2309" priority="2275" stopIfTrue="1" operator="between">
      <formula>220001</formula>
      <formula>221144</formula>
    </cfRule>
  </conditionalFormatting>
  <conditionalFormatting sqref="AL29">
    <cfRule type="cellIs" dxfId="2308" priority="2270" stopIfTrue="1" operator="between">
      <formula>221101</formula>
      <formula>221118</formula>
    </cfRule>
    <cfRule type="cellIs" dxfId="2307" priority="2271" stopIfTrue="1" operator="between">
      <formula>221142</formula>
      <formula>221144</formula>
    </cfRule>
    <cfRule type="cellIs" dxfId="2306" priority="2272" stopIfTrue="1" operator="between">
      <formula>220001</formula>
      <formula>221144</formula>
    </cfRule>
  </conditionalFormatting>
  <conditionalFormatting sqref="AL29">
    <cfRule type="cellIs" dxfId="2305" priority="2267" stopIfTrue="1" operator="between">
      <formula>221101</formula>
      <formula>221118</formula>
    </cfRule>
    <cfRule type="cellIs" dxfId="2304" priority="2268" stopIfTrue="1" operator="between">
      <formula>221142</formula>
      <formula>221144</formula>
    </cfRule>
    <cfRule type="cellIs" dxfId="2303" priority="2269" stopIfTrue="1" operator="between">
      <formula>220001</formula>
      <formula>221144</formula>
    </cfRule>
  </conditionalFormatting>
  <conditionalFormatting sqref="AK29">
    <cfRule type="cellIs" dxfId="2302" priority="2264" stopIfTrue="1" operator="between">
      <formula>221101</formula>
      <formula>221118</formula>
    </cfRule>
    <cfRule type="cellIs" dxfId="2301" priority="2265" stopIfTrue="1" operator="between">
      <formula>221142</formula>
      <formula>221144</formula>
    </cfRule>
    <cfRule type="cellIs" dxfId="2300" priority="2266" stopIfTrue="1" operator="between">
      <formula>220001</formula>
      <formula>221144</formula>
    </cfRule>
  </conditionalFormatting>
  <conditionalFormatting sqref="AL29">
    <cfRule type="cellIs" dxfId="2299" priority="2261" stopIfTrue="1" operator="between">
      <formula>221101</formula>
      <formula>221118</formula>
    </cfRule>
    <cfRule type="cellIs" dxfId="2298" priority="2262" stopIfTrue="1" operator="between">
      <formula>221142</formula>
      <formula>221144</formula>
    </cfRule>
    <cfRule type="cellIs" dxfId="2297" priority="2263" stopIfTrue="1" operator="between">
      <formula>220001</formula>
      <formula>221144</formula>
    </cfRule>
  </conditionalFormatting>
  <conditionalFormatting sqref="AK29">
    <cfRule type="cellIs" dxfId="2296" priority="2258" stopIfTrue="1" operator="between">
      <formula>221101</formula>
      <formula>221118</formula>
    </cfRule>
    <cfRule type="cellIs" dxfId="2295" priority="2259" stopIfTrue="1" operator="between">
      <formula>221142</formula>
      <formula>221144</formula>
    </cfRule>
    <cfRule type="cellIs" dxfId="2294" priority="2260" stopIfTrue="1" operator="between">
      <formula>220001</formula>
      <formula>221144</formula>
    </cfRule>
  </conditionalFormatting>
  <conditionalFormatting sqref="AK29">
    <cfRule type="cellIs" dxfId="2293" priority="2255" stopIfTrue="1" operator="between">
      <formula>221101</formula>
      <formula>221118</formula>
    </cfRule>
    <cfRule type="cellIs" dxfId="2292" priority="2256" stopIfTrue="1" operator="between">
      <formula>221142</formula>
      <formula>221144</formula>
    </cfRule>
    <cfRule type="cellIs" dxfId="2291" priority="2257" stopIfTrue="1" operator="between">
      <formula>220001</formula>
      <formula>221144</formula>
    </cfRule>
  </conditionalFormatting>
  <conditionalFormatting sqref="AJ29">
    <cfRule type="cellIs" dxfId="2290" priority="2252" stopIfTrue="1" operator="between">
      <formula>221101</formula>
      <formula>221118</formula>
    </cfRule>
    <cfRule type="cellIs" dxfId="2289" priority="2253" stopIfTrue="1" operator="between">
      <formula>221142</formula>
      <formula>221144</formula>
    </cfRule>
    <cfRule type="cellIs" dxfId="2288" priority="2254" stopIfTrue="1" operator="between">
      <formula>220001</formula>
      <formula>221144</formula>
    </cfRule>
  </conditionalFormatting>
  <conditionalFormatting sqref="AL29">
    <cfRule type="cellIs" dxfId="2287" priority="2249" stopIfTrue="1" operator="between">
      <formula>221101</formula>
      <formula>221118</formula>
    </cfRule>
    <cfRule type="cellIs" dxfId="2286" priority="2250" stopIfTrue="1" operator="between">
      <formula>221142</formula>
      <formula>221144</formula>
    </cfRule>
    <cfRule type="cellIs" dxfId="2285" priority="2251" stopIfTrue="1" operator="between">
      <formula>220001</formula>
      <formula>221144</formula>
    </cfRule>
  </conditionalFormatting>
  <conditionalFormatting sqref="AK29">
    <cfRule type="cellIs" dxfId="2284" priority="2246" stopIfTrue="1" operator="between">
      <formula>221101</formula>
      <formula>221118</formula>
    </cfRule>
    <cfRule type="cellIs" dxfId="2283" priority="2247" stopIfTrue="1" operator="between">
      <formula>221142</formula>
      <formula>221144</formula>
    </cfRule>
    <cfRule type="cellIs" dxfId="2282" priority="2248" stopIfTrue="1" operator="between">
      <formula>220001</formula>
      <formula>221144</formula>
    </cfRule>
  </conditionalFormatting>
  <conditionalFormatting sqref="AK29">
    <cfRule type="cellIs" dxfId="2281" priority="2243" stopIfTrue="1" operator="between">
      <formula>221101</formula>
      <formula>221118</formula>
    </cfRule>
    <cfRule type="cellIs" dxfId="2280" priority="2244" stopIfTrue="1" operator="between">
      <formula>221142</formula>
      <formula>221144</formula>
    </cfRule>
    <cfRule type="cellIs" dxfId="2279" priority="2245" stopIfTrue="1" operator="between">
      <formula>220001</formula>
      <formula>221144</formula>
    </cfRule>
  </conditionalFormatting>
  <conditionalFormatting sqref="AJ29">
    <cfRule type="cellIs" dxfId="2278" priority="2240" stopIfTrue="1" operator="between">
      <formula>221101</formula>
      <formula>221118</formula>
    </cfRule>
    <cfRule type="cellIs" dxfId="2277" priority="2241" stopIfTrue="1" operator="between">
      <formula>221142</formula>
      <formula>221144</formula>
    </cfRule>
    <cfRule type="cellIs" dxfId="2276" priority="2242" stopIfTrue="1" operator="between">
      <formula>220001</formula>
      <formula>221144</formula>
    </cfRule>
  </conditionalFormatting>
  <conditionalFormatting sqref="AK29">
    <cfRule type="cellIs" dxfId="2275" priority="2237" stopIfTrue="1" operator="between">
      <formula>221101</formula>
      <formula>221118</formula>
    </cfRule>
    <cfRule type="cellIs" dxfId="2274" priority="2238" stopIfTrue="1" operator="between">
      <formula>221142</formula>
      <formula>221144</formula>
    </cfRule>
    <cfRule type="cellIs" dxfId="2273" priority="2239" stopIfTrue="1" operator="between">
      <formula>220001</formula>
      <formula>221144</formula>
    </cfRule>
  </conditionalFormatting>
  <conditionalFormatting sqref="AJ29">
    <cfRule type="cellIs" dxfId="2272" priority="2234" stopIfTrue="1" operator="between">
      <formula>221101</formula>
      <formula>221118</formula>
    </cfRule>
    <cfRule type="cellIs" dxfId="2271" priority="2235" stopIfTrue="1" operator="between">
      <formula>221142</formula>
      <formula>221144</formula>
    </cfRule>
    <cfRule type="cellIs" dxfId="2270" priority="2236" stopIfTrue="1" operator="between">
      <formula>220001</formula>
      <formula>221144</formula>
    </cfRule>
  </conditionalFormatting>
  <conditionalFormatting sqref="AJ29">
    <cfRule type="cellIs" dxfId="2269" priority="2231" stopIfTrue="1" operator="between">
      <formula>221101</formula>
      <formula>221118</formula>
    </cfRule>
    <cfRule type="cellIs" dxfId="2268" priority="2232" stopIfTrue="1" operator="between">
      <formula>221142</formula>
      <formula>221144</formula>
    </cfRule>
    <cfRule type="cellIs" dxfId="2267" priority="2233" stopIfTrue="1" operator="between">
      <formula>220001</formula>
      <formula>221144</formula>
    </cfRule>
  </conditionalFormatting>
  <conditionalFormatting sqref="AI29">
    <cfRule type="cellIs" dxfId="2266" priority="2228" stopIfTrue="1" operator="between">
      <formula>221101</formula>
      <formula>221118</formula>
    </cfRule>
    <cfRule type="cellIs" dxfId="2265" priority="2229" stopIfTrue="1" operator="between">
      <formula>221142</formula>
      <formula>221144</formula>
    </cfRule>
    <cfRule type="cellIs" dxfId="2264" priority="2230" stopIfTrue="1" operator="between">
      <formula>220001</formula>
      <formula>221144</formula>
    </cfRule>
  </conditionalFormatting>
  <conditionalFormatting sqref="AM29">
    <cfRule type="cellIs" dxfId="2263" priority="2225" stopIfTrue="1" operator="between">
      <formula>221101</formula>
      <formula>221118</formula>
    </cfRule>
    <cfRule type="cellIs" dxfId="2262" priority="2226" stopIfTrue="1" operator="between">
      <formula>221142</formula>
      <formula>221144</formula>
    </cfRule>
    <cfRule type="cellIs" dxfId="2261" priority="2227" stopIfTrue="1" operator="between">
      <formula>220001</formula>
      <formula>221144</formula>
    </cfRule>
  </conditionalFormatting>
  <conditionalFormatting sqref="AL29">
    <cfRule type="cellIs" dxfId="2260" priority="2222" stopIfTrue="1" operator="between">
      <formula>221101</formula>
      <formula>221118</formula>
    </cfRule>
    <cfRule type="cellIs" dxfId="2259" priority="2223" stopIfTrue="1" operator="between">
      <formula>221142</formula>
      <formula>221144</formula>
    </cfRule>
    <cfRule type="cellIs" dxfId="2258" priority="2224" stopIfTrue="1" operator="between">
      <formula>220001</formula>
      <formula>221144</formula>
    </cfRule>
  </conditionalFormatting>
  <conditionalFormatting sqref="AL29">
    <cfRule type="cellIs" dxfId="2257" priority="2219" stopIfTrue="1" operator="between">
      <formula>221101</formula>
      <formula>221118</formula>
    </cfRule>
    <cfRule type="cellIs" dxfId="2256" priority="2220" stopIfTrue="1" operator="between">
      <formula>221142</formula>
      <formula>221144</formula>
    </cfRule>
    <cfRule type="cellIs" dxfId="2255" priority="2221" stopIfTrue="1" operator="between">
      <formula>220001</formula>
      <formula>221144</formula>
    </cfRule>
  </conditionalFormatting>
  <conditionalFormatting sqref="AK29">
    <cfRule type="cellIs" dxfId="2254" priority="2216" stopIfTrue="1" operator="between">
      <formula>221101</formula>
      <formula>221118</formula>
    </cfRule>
    <cfRule type="cellIs" dxfId="2253" priority="2217" stopIfTrue="1" operator="between">
      <formula>221142</formula>
      <formula>221144</formula>
    </cfRule>
    <cfRule type="cellIs" dxfId="2252" priority="2218" stopIfTrue="1" operator="between">
      <formula>220001</formula>
      <formula>221144</formula>
    </cfRule>
  </conditionalFormatting>
  <conditionalFormatting sqref="AL29">
    <cfRule type="cellIs" dxfId="2251" priority="2213" stopIfTrue="1" operator="between">
      <formula>221101</formula>
      <formula>221118</formula>
    </cfRule>
    <cfRule type="cellIs" dxfId="2250" priority="2214" stopIfTrue="1" operator="between">
      <formula>221142</formula>
      <formula>221144</formula>
    </cfRule>
    <cfRule type="cellIs" dxfId="2249" priority="2215" stopIfTrue="1" operator="between">
      <formula>220001</formula>
      <formula>221144</formula>
    </cfRule>
  </conditionalFormatting>
  <conditionalFormatting sqref="AK29">
    <cfRule type="cellIs" dxfId="2248" priority="2210" stopIfTrue="1" operator="between">
      <formula>221101</formula>
      <formula>221118</formula>
    </cfRule>
    <cfRule type="cellIs" dxfId="2247" priority="2211" stopIfTrue="1" operator="between">
      <formula>221142</formula>
      <formula>221144</formula>
    </cfRule>
    <cfRule type="cellIs" dxfId="2246" priority="2212" stopIfTrue="1" operator="between">
      <formula>220001</formula>
      <formula>221144</formula>
    </cfRule>
  </conditionalFormatting>
  <conditionalFormatting sqref="AK29">
    <cfRule type="cellIs" dxfId="2245" priority="2207" stopIfTrue="1" operator="between">
      <formula>221101</formula>
      <formula>221118</formula>
    </cfRule>
    <cfRule type="cellIs" dxfId="2244" priority="2208" stopIfTrue="1" operator="between">
      <formula>221142</formula>
      <formula>221144</formula>
    </cfRule>
    <cfRule type="cellIs" dxfId="2243" priority="2209" stopIfTrue="1" operator="between">
      <formula>220001</formula>
      <formula>221144</formula>
    </cfRule>
  </conditionalFormatting>
  <conditionalFormatting sqref="AJ29">
    <cfRule type="cellIs" dxfId="2242" priority="2204" stopIfTrue="1" operator="between">
      <formula>221101</formula>
      <formula>221118</formula>
    </cfRule>
    <cfRule type="cellIs" dxfId="2241" priority="2205" stopIfTrue="1" operator="between">
      <formula>221142</formula>
      <formula>221144</formula>
    </cfRule>
    <cfRule type="cellIs" dxfId="2240" priority="2206" stopIfTrue="1" operator="between">
      <formula>220001</formula>
      <formula>221144</formula>
    </cfRule>
  </conditionalFormatting>
  <conditionalFormatting sqref="AL29">
    <cfRule type="cellIs" dxfId="2239" priority="2201" stopIfTrue="1" operator="between">
      <formula>221101</formula>
      <formula>221118</formula>
    </cfRule>
    <cfRule type="cellIs" dxfId="2238" priority="2202" stopIfTrue="1" operator="between">
      <formula>221142</formula>
      <formula>221144</formula>
    </cfRule>
    <cfRule type="cellIs" dxfId="2237" priority="2203" stopIfTrue="1" operator="between">
      <formula>220001</formula>
      <formula>221144</formula>
    </cfRule>
  </conditionalFormatting>
  <conditionalFormatting sqref="AK29">
    <cfRule type="cellIs" dxfId="2236" priority="2198" stopIfTrue="1" operator="between">
      <formula>221101</formula>
      <formula>221118</formula>
    </cfRule>
    <cfRule type="cellIs" dxfId="2235" priority="2199" stopIfTrue="1" operator="between">
      <formula>221142</formula>
      <formula>221144</formula>
    </cfRule>
    <cfRule type="cellIs" dxfId="2234" priority="2200" stopIfTrue="1" operator="between">
      <formula>220001</formula>
      <formula>221144</formula>
    </cfRule>
  </conditionalFormatting>
  <conditionalFormatting sqref="AK29">
    <cfRule type="cellIs" dxfId="2233" priority="2195" stopIfTrue="1" operator="between">
      <formula>221101</formula>
      <formula>221118</formula>
    </cfRule>
    <cfRule type="cellIs" dxfId="2232" priority="2196" stopIfTrue="1" operator="between">
      <formula>221142</formula>
      <formula>221144</formula>
    </cfRule>
    <cfRule type="cellIs" dxfId="2231" priority="2197" stopIfTrue="1" operator="between">
      <formula>220001</formula>
      <formula>221144</formula>
    </cfRule>
  </conditionalFormatting>
  <conditionalFormatting sqref="AJ29">
    <cfRule type="cellIs" dxfId="2230" priority="2192" stopIfTrue="1" operator="between">
      <formula>221101</formula>
      <formula>221118</formula>
    </cfRule>
    <cfRule type="cellIs" dxfId="2229" priority="2193" stopIfTrue="1" operator="between">
      <formula>221142</formula>
      <formula>221144</formula>
    </cfRule>
    <cfRule type="cellIs" dxfId="2228" priority="2194" stopIfTrue="1" operator="between">
      <formula>220001</formula>
      <formula>221144</formula>
    </cfRule>
  </conditionalFormatting>
  <conditionalFormatting sqref="AK29">
    <cfRule type="cellIs" dxfId="2227" priority="2189" stopIfTrue="1" operator="between">
      <formula>221101</formula>
      <formula>221118</formula>
    </cfRule>
    <cfRule type="cellIs" dxfId="2226" priority="2190" stopIfTrue="1" operator="between">
      <formula>221142</formula>
      <formula>221144</formula>
    </cfRule>
    <cfRule type="cellIs" dxfId="2225" priority="2191" stopIfTrue="1" operator="between">
      <formula>220001</formula>
      <formula>221144</formula>
    </cfRule>
  </conditionalFormatting>
  <conditionalFormatting sqref="AJ29">
    <cfRule type="cellIs" dxfId="2224" priority="2186" stopIfTrue="1" operator="between">
      <formula>221101</formula>
      <formula>221118</formula>
    </cfRule>
    <cfRule type="cellIs" dxfId="2223" priority="2187" stopIfTrue="1" operator="between">
      <formula>221142</formula>
      <formula>221144</formula>
    </cfRule>
    <cfRule type="cellIs" dxfId="2222" priority="2188" stopIfTrue="1" operator="between">
      <formula>220001</formula>
      <formula>221144</formula>
    </cfRule>
  </conditionalFormatting>
  <conditionalFormatting sqref="AJ29">
    <cfRule type="cellIs" dxfId="2221" priority="2183" stopIfTrue="1" operator="between">
      <formula>221101</formula>
      <formula>221118</formula>
    </cfRule>
    <cfRule type="cellIs" dxfId="2220" priority="2184" stopIfTrue="1" operator="between">
      <formula>221142</formula>
      <formula>221144</formula>
    </cfRule>
    <cfRule type="cellIs" dxfId="2219" priority="2185" stopIfTrue="1" operator="between">
      <formula>220001</formula>
      <formula>221144</formula>
    </cfRule>
  </conditionalFormatting>
  <conditionalFormatting sqref="AI29">
    <cfRule type="cellIs" dxfId="2218" priority="2180" stopIfTrue="1" operator="between">
      <formula>221101</formula>
      <formula>221118</formula>
    </cfRule>
    <cfRule type="cellIs" dxfId="2217" priority="2181" stopIfTrue="1" operator="between">
      <formula>221142</formula>
      <formula>221144</formula>
    </cfRule>
    <cfRule type="cellIs" dxfId="2216" priority="2182" stopIfTrue="1" operator="between">
      <formula>220001</formula>
      <formula>221144</formula>
    </cfRule>
  </conditionalFormatting>
  <conditionalFormatting sqref="AL29">
    <cfRule type="cellIs" dxfId="2215" priority="2177" stopIfTrue="1" operator="between">
      <formula>221101</formula>
      <formula>221118</formula>
    </cfRule>
    <cfRule type="cellIs" dxfId="2214" priority="2178" stopIfTrue="1" operator="between">
      <formula>221142</formula>
      <formula>221144</formula>
    </cfRule>
    <cfRule type="cellIs" dxfId="2213" priority="2179" stopIfTrue="1" operator="between">
      <formula>220001</formula>
      <formula>221144</formula>
    </cfRule>
  </conditionalFormatting>
  <conditionalFormatting sqref="AK29">
    <cfRule type="cellIs" dxfId="2212" priority="2174" stopIfTrue="1" operator="between">
      <formula>221101</formula>
      <formula>221118</formula>
    </cfRule>
    <cfRule type="cellIs" dxfId="2211" priority="2175" stopIfTrue="1" operator="between">
      <formula>221142</formula>
      <formula>221144</formula>
    </cfRule>
    <cfRule type="cellIs" dxfId="2210" priority="2176" stopIfTrue="1" operator="between">
      <formula>220001</formula>
      <formula>221144</formula>
    </cfRule>
  </conditionalFormatting>
  <conditionalFormatting sqref="AK29">
    <cfRule type="cellIs" dxfId="2209" priority="2171" stopIfTrue="1" operator="between">
      <formula>221101</formula>
      <formula>221118</formula>
    </cfRule>
    <cfRule type="cellIs" dxfId="2208" priority="2172" stopIfTrue="1" operator="between">
      <formula>221142</formula>
      <formula>221144</formula>
    </cfRule>
    <cfRule type="cellIs" dxfId="2207" priority="2173" stopIfTrue="1" operator="between">
      <formula>220001</formula>
      <formula>221144</formula>
    </cfRule>
  </conditionalFormatting>
  <conditionalFormatting sqref="AJ29">
    <cfRule type="cellIs" dxfId="2206" priority="2168" stopIfTrue="1" operator="between">
      <formula>221101</formula>
      <formula>221118</formula>
    </cfRule>
    <cfRule type="cellIs" dxfId="2205" priority="2169" stopIfTrue="1" operator="between">
      <formula>221142</formula>
      <formula>221144</formula>
    </cfRule>
    <cfRule type="cellIs" dxfId="2204" priority="2170" stopIfTrue="1" operator="between">
      <formula>220001</formula>
      <formula>221144</formula>
    </cfRule>
  </conditionalFormatting>
  <conditionalFormatting sqref="AK29">
    <cfRule type="cellIs" dxfId="2203" priority="2165" stopIfTrue="1" operator="between">
      <formula>221101</formula>
      <formula>221118</formula>
    </cfRule>
    <cfRule type="cellIs" dxfId="2202" priority="2166" stopIfTrue="1" operator="between">
      <formula>221142</formula>
      <formula>221144</formula>
    </cfRule>
    <cfRule type="cellIs" dxfId="2201" priority="2167" stopIfTrue="1" operator="between">
      <formula>220001</formula>
      <formula>221144</formula>
    </cfRule>
  </conditionalFormatting>
  <conditionalFormatting sqref="AJ29">
    <cfRule type="cellIs" dxfId="2200" priority="2162" stopIfTrue="1" operator="between">
      <formula>221101</formula>
      <formula>221118</formula>
    </cfRule>
    <cfRule type="cellIs" dxfId="2199" priority="2163" stopIfTrue="1" operator="between">
      <formula>221142</formula>
      <formula>221144</formula>
    </cfRule>
    <cfRule type="cellIs" dxfId="2198" priority="2164" stopIfTrue="1" operator="between">
      <formula>220001</formula>
      <formula>221144</formula>
    </cfRule>
  </conditionalFormatting>
  <conditionalFormatting sqref="AJ29">
    <cfRule type="cellIs" dxfId="2197" priority="2159" stopIfTrue="1" operator="between">
      <formula>221101</formula>
      <formula>221118</formula>
    </cfRule>
    <cfRule type="cellIs" dxfId="2196" priority="2160" stopIfTrue="1" operator="between">
      <formula>221142</formula>
      <formula>221144</formula>
    </cfRule>
    <cfRule type="cellIs" dxfId="2195" priority="2161" stopIfTrue="1" operator="between">
      <formula>220001</formula>
      <formula>221144</formula>
    </cfRule>
  </conditionalFormatting>
  <conditionalFormatting sqref="AI29">
    <cfRule type="cellIs" dxfId="2194" priority="2156" stopIfTrue="1" operator="between">
      <formula>221101</formula>
      <formula>221118</formula>
    </cfRule>
    <cfRule type="cellIs" dxfId="2193" priority="2157" stopIfTrue="1" operator="between">
      <formula>221142</formula>
      <formula>221144</formula>
    </cfRule>
    <cfRule type="cellIs" dxfId="2192" priority="2158" stopIfTrue="1" operator="between">
      <formula>220001</formula>
      <formula>221144</formula>
    </cfRule>
  </conditionalFormatting>
  <conditionalFormatting sqref="AK29">
    <cfRule type="cellIs" dxfId="2191" priority="2153" stopIfTrue="1" operator="between">
      <formula>221101</formula>
      <formula>221118</formula>
    </cfRule>
    <cfRule type="cellIs" dxfId="2190" priority="2154" stopIfTrue="1" operator="between">
      <formula>221142</formula>
      <formula>221144</formula>
    </cfRule>
    <cfRule type="cellIs" dxfId="2189" priority="2155" stopIfTrue="1" operator="between">
      <formula>220001</formula>
      <formula>221144</formula>
    </cfRule>
  </conditionalFormatting>
  <conditionalFormatting sqref="AJ29">
    <cfRule type="cellIs" dxfId="2188" priority="2150" stopIfTrue="1" operator="between">
      <formula>221101</formula>
      <formula>221118</formula>
    </cfRule>
    <cfRule type="cellIs" dxfId="2187" priority="2151" stopIfTrue="1" operator="between">
      <formula>221142</formula>
      <formula>221144</formula>
    </cfRule>
    <cfRule type="cellIs" dxfId="2186" priority="2152" stopIfTrue="1" operator="between">
      <formula>220001</formula>
      <formula>221144</formula>
    </cfRule>
  </conditionalFormatting>
  <conditionalFormatting sqref="AJ29">
    <cfRule type="cellIs" dxfId="2185" priority="2147" stopIfTrue="1" operator="between">
      <formula>221101</formula>
      <formula>221118</formula>
    </cfRule>
    <cfRule type="cellIs" dxfId="2184" priority="2148" stopIfTrue="1" operator="between">
      <formula>221142</formula>
      <formula>221144</formula>
    </cfRule>
    <cfRule type="cellIs" dxfId="2183" priority="2149" stopIfTrue="1" operator="between">
      <formula>220001</formula>
      <formula>221144</formula>
    </cfRule>
  </conditionalFormatting>
  <conditionalFormatting sqref="AI29">
    <cfRule type="cellIs" dxfId="2182" priority="2144" stopIfTrue="1" operator="between">
      <formula>221101</formula>
      <formula>221118</formula>
    </cfRule>
    <cfRule type="cellIs" dxfId="2181" priority="2145" stopIfTrue="1" operator="between">
      <formula>221142</formula>
      <formula>221144</formula>
    </cfRule>
    <cfRule type="cellIs" dxfId="2180" priority="2146" stopIfTrue="1" operator="between">
      <formula>220001</formula>
      <formula>221144</formula>
    </cfRule>
  </conditionalFormatting>
  <conditionalFormatting sqref="AJ29">
    <cfRule type="cellIs" dxfId="2179" priority="2141" stopIfTrue="1" operator="between">
      <formula>221101</formula>
      <formula>221118</formula>
    </cfRule>
    <cfRule type="cellIs" dxfId="2178" priority="2142" stopIfTrue="1" operator="between">
      <formula>221142</formula>
      <formula>221144</formula>
    </cfRule>
    <cfRule type="cellIs" dxfId="2177" priority="2143" stopIfTrue="1" operator="between">
      <formula>220001</formula>
      <formula>221144</formula>
    </cfRule>
  </conditionalFormatting>
  <conditionalFormatting sqref="AI29">
    <cfRule type="cellIs" dxfId="2176" priority="2138" stopIfTrue="1" operator="between">
      <formula>221101</formula>
      <formula>221118</formula>
    </cfRule>
    <cfRule type="cellIs" dxfId="2175" priority="2139" stopIfTrue="1" operator="between">
      <formula>221142</formula>
      <formula>221144</formula>
    </cfRule>
    <cfRule type="cellIs" dxfId="2174" priority="2140" stopIfTrue="1" operator="between">
      <formula>220001</formula>
      <formula>221144</formula>
    </cfRule>
  </conditionalFormatting>
  <conditionalFormatting sqref="AI29">
    <cfRule type="cellIs" dxfId="2173" priority="2135" stopIfTrue="1" operator="between">
      <formula>221101</formula>
      <formula>221118</formula>
    </cfRule>
    <cfRule type="cellIs" dxfId="2172" priority="2136" stopIfTrue="1" operator="between">
      <formula>221142</formula>
      <formula>221144</formula>
    </cfRule>
    <cfRule type="cellIs" dxfId="2171" priority="2137" stopIfTrue="1" operator="between">
      <formula>220001</formula>
      <formula>221144</formula>
    </cfRule>
  </conditionalFormatting>
  <conditionalFormatting sqref="AH29">
    <cfRule type="cellIs" dxfId="2170" priority="2132" stopIfTrue="1" operator="between">
      <formula>221101</formula>
      <formula>221118</formula>
    </cfRule>
    <cfRule type="cellIs" dxfId="2169" priority="2133" stopIfTrue="1" operator="between">
      <formula>221142</formula>
      <formula>221144</formula>
    </cfRule>
    <cfRule type="cellIs" dxfId="2168" priority="2134" stopIfTrue="1" operator="between">
      <formula>220001</formula>
      <formula>221144</formula>
    </cfRule>
  </conditionalFormatting>
  <conditionalFormatting sqref="AM29">
    <cfRule type="cellIs" dxfId="2167" priority="2129" stopIfTrue="1" operator="between">
      <formula>221101</formula>
      <formula>221118</formula>
    </cfRule>
    <cfRule type="cellIs" dxfId="2166" priority="2130" stopIfTrue="1" operator="between">
      <formula>221142</formula>
      <formula>221144</formula>
    </cfRule>
    <cfRule type="cellIs" dxfId="2165" priority="2131" stopIfTrue="1" operator="between">
      <formula>220001</formula>
      <formula>221144</formula>
    </cfRule>
  </conditionalFormatting>
  <conditionalFormatting sqref="AL29">
    <cfRule type="cellIs" dxfId="2164" priority="2126" stopIfTrue="1" operator="between">
      <formula>221101</formula>
      <formula>221118</formula>
    </cfRule>
    <cfRule type="cellIs" dxfId="2163" priority="2127" stopIfTrue="1" operator="between">
      <formula>221142</formula>
      <formula>221144</formula>
    </cfRule>
    <cfRule type="cellIs" dxfId="2162" priority="2128" stopIfTrue="1" operator="between">
      <formula>220001</formula>
      <formula>221144</formula>
    </cfRule>
  </conditionalFormatting>
  <conditionalFormatting sqref="AL29">
    <cfRule type="cellIs" dxfId="2161" priority="2123" stopIfTrue="1" operator="between">
      <formula>221101</formula>
      <formula>221118</formula>
    </cfRule>
    <cfRule type="cellIs" dxfId="2160" priority="2124" stopIfTrue="1" operator="between">
      <formula>221142</formula>
      <formula>221144</formula>
    </cfRule>
    <cfRule type="cellIs" dxfId="2159" priority="2125" stopIfTrue="1" operator="between">
      <formula>220001</formula>
      <formula>221144</formula>
    </cfRule>
  </conditionalFormatting>
  <conditionalFormatting sqref="AK29">
    <cfRule type="cellIs" dxfId="2158" priority="2120" stopIfTrue="1" operator="between">
      <formula>221101</formula>
      <formula>221118</formula>
    </cfRule>
    <cfRule type="cellIs" dxfId="2157" priority="2121" stopIfTrue="1" operator="between">
      <formula>221142</formula>
      <formula>221144</formula>
    </cfRule>
    <cfRule type="cellIs" dxfId="2156" priority="2122" stopIfTrue="1" operator="between">
      <formula>220001</formula>
      <formula>221144</formula>
    </cfRule>
  </conditionalFormatting>
  <conditionalFormatting sqref="AL29">
    <cfRule type="cellIs" dxfId="2155" priority="2117" stopIfTrue="1" operator="between">
      <formula>221101</formula>
      <formula>221118</formula>
    </cfRule>
    <cfRule type="cellIs" dxfId="2154" priority="2118" stopIfTrue="1" operator="between">
      <formula>221142</formula>
      <formula>221144</formula>
    </cfRule>
    <cfRule type="cellIs" dxfId="2153" priority="2119" stopIfTrue="1" operator="between">
      <formula>220001</formula>
      <formula>221144</formula>
    </cfRule>
  </conditionalFormatting>
  <conditionalFormatting sqref="AK29">
    <cfRule type="cellIs" dxfId="2152" priority="2114" stopIfTrue="1" operator="between">
      <formula>221101</formula>
      <formula>221118</formula>
    </cfRule>
    <cfRule type="cellIs" dxfId="2151" priority="2115" stopIfTrue="1" operator="between">
      <formula>221142</formula>
      <formula>221144</formula>
    </cfRule>
    <cfRule type="cellIs" dxfId="2150" priority="2116" stopIfTrue="1" operator="between">
      <formula>220001</formula>
      <formula>221144</formula>
    </cfRule>
  </conditionalFormatting>
  <conditionalFormatting sqref="AK29">
    <cfRule type="cellIs" dxfId="2149" priority="2111" stopIfTrue="1" operator="between">
      <formula>221101</formula>
      <formula>221118</formula>
    </cfRule>
    <cfRule type="cellIs" dxfId="2148" priority="2112" stopIfTrue="1" operator="between">
      <formula>221142</formula>
      <formula>221144</formula>
    </cfRule>
    <cfRule type="cellIs" dxfId="2147" priority="2113" stopIfTrue="1" operator="between">
      <formula>220001</formula>
      <formula>221144</formula>
    </cfRule>
  </conditionalFormatting>
  <conditionalFormatting sqref="AJ29">
    <cfRule type="cellIs" dxfId="2146" priority="2108" stopIfTrue="1" operator="between">
      <formula>221101</formula>
      <formula>221118</formula>
    </cfRule>
    <cfRule type="cellIs" dxfId="2145" priority="2109" stopIfTrue="1" operator="between">
      <formula>221142</formula>
      <formula>221144</formula>
    </cfRule>
    <cfRule type="cellIs" dxfId="2144" priority="2110" stopIfTrue="1" operator="between">
      <formula>220001</formula>
      <formula>221144</formula>
    </cfRule>
  </conditionalFormatting>
  <conditionalFormatting sqref="AL29">
    <cfRule type="cellIs" dxfId="2143" priority="2105" stopIfTrue="1" operator="between">
      <formula>221101</formula>
      <formula>221118</formula>
    </cfRule>
    <cfRule type="cellIs" dxfId="2142" priority="2106" stopIfTrue="1" operator="between">
      <formula>221142</formula>
      <formula>221144</formula>
    </cfRule>
    <cfRule type="cellIs" dxfId="2141" priority="2107" stopIfTrue="1" operator="between">
      <formula>220001</formula>
      <formula>221144</formula>
    </cfRule>
  </conditionalFormatting>
  <conditionalFormatting sqref="AK29">
    <cfRule type="cellIs" dxfId="2140" priority="2102" stopIfTrue="1" operator="between">
      <formula>221101</formula>
      <formula>221118</formula>
    </cfRule>
    <cfRule type="cellIs" dxfId="2139" priority="2103" stopIfTrue="1" operator="between">
      <formula>221142</formula>
      <formula>221144</formula>
    </cfRule>
    <cfRule type="cellIs" dxfId="2138" priority="2104" stopIfTrue="1" operator="between">
      <formula>220001</formula>
      <formula>221144</formula>
    </cfRule>
  </conditionalFormatting>
  <conditionalFormatting sqref="AK29">
    <cfRule type="cellIs" dxfId="2137" priority="2099" stopIfTrue="1" operator="between">
      <formula>221101</formula>
      <formula>221118</formula>
    </cfRule>
    <cfRule type="cellIs" dxfId="2136" priority="2100" stopIfTrue="1" operator="between">
      <formula>221142</formula>
      <formula>221144</formula>
    </cfRule>
    <cfRule type="cellIs" dxfId="2135" priority="2101" stopIfTrue="1" operator="between">
      <formula>220001</formula>
      <formula>221144</formula>
    </cfRule>
  </conditionalFormatting>
  <conditionalFormatting sqref="AJ29">
    <cfRule type="cellIs" dxfId="2134" priority="2096" stopIfTrue="1" operator="between">
      <formula>221101</formula>
      <formula>221118</formula>
    </cfRule>
    <cfRule type="cellIs" dxfId="2133" priority="2097" stopIfTrue="1" operator="between">
      <formula>221142</formula>
      <formula>221144</formula>
    </cfRule>
    <cfRule type="cellIs" dxfId="2132" priority="2098" stopIfTrue="1" operator="between">
      <formula>220001</formula>
      <formula>221144</formula>
    </cfRule>
  </conditionalFormatting>
  <conditionalFormatting sqref="AK29">
    <cfRule type="cellIs" dxfId="2131" priority="2093" stopIfTrue="1" operator="between">
      <formula>221101</formula>
      <formula>221118</formula>
    </cfRule>
    <cfRule type="cellIs" dxfId="2130" priority="2094" stopIfTrue="1" operator="between">
      <formula>221142</formula>
      <formula>221144</formula>
    </cfRule>
    <cfRule type="cellIs" dxfId="2129" priority="2095" stopIfTrue="1" operator="between">
      <formula>220001</formula>
      <formula>221144</formula>
    </cfRule>
  </conditionalFormatting>
  <conditionalFormatting sqref="AJ29">
    <cfRule type="cellIs" dxfId="2128" priority="2090" stopIfTrue="1" operator="between">
      <formula>221101</formula>
      <formula>221118</formula>
    </cfRule>
    <cfRule type="cellIs" dxfId="2127" priority="2091" stopIfTrue="1" operator="between">
      <formula>221142</formula>
      <formula>221144</formula>
    </cfRule>
    <cfRule type="cellIs" dxfId="2126" priority="2092" stopIfTrue="1" operator="between">
      <formula>220001</formula>
      <formula>221144</formula>
    </cfRule>
  </conditionalFormatting>
  <conditionalFormatting sqref="AJ29">
    <cfRule type="cellIs" dxfId="2125" priority="2087" stopIfTrue="1" operator="between">
      <formula>221101</formula>
      <formula>221118</formula>
    </cfRule>
    <cfRule type="cellIs" dxfId="2124" priority="2088" stopIfTrue="1" operator="between">
      <formula>221142</formula>
      <formula>221144</formula>
    </cfRule>
    <cfRule type="cellIs" dxfId="2123" priority="2089" stopIfTrue="1" operator="between">
      <formula>220001</formula>
      <formula>221144</formula>
    </cfRule>
  </conditionalFormatting>
  <conditionalFormatting sqref="AI29">
    <cfRule type="cellIs" dxfId="2122" priority="2084" stopIfTrue="1" operator="between">
      <formula>221101</formula>
      <formula>221118</formula>
    </cfRule>
    <cfRule type="cellIs" dxfId="2121" priority="2085" stopIfTrue="1" operator="between">
      <formula>221142</formula>
      <formula>221144</formula>
    </cfRule>
    <cfRule type="cellIs" dxfId="2120" priority="2086" stopIfTrue="1" operator="between">
      <formula>220001</formula>
      <formula>221144</formula>
    </cfRule>
  </conditionalFormatting>
  <conditionalFormatting sqref="AL29">
    <cfRule type="cellIs" dxfId="2119" priority="2081" stopIfTrue="1" operator="between">
      <formula>221101</formula>
      <formula>221118</formula>
    </cfRule>
    <cfRule type="cellIs" dxfId="2118" priority="2082" stopIfTrue="1" operator="between">
      <formula>221142</formula>
      <formula>221144</formula>
    </cfRule>
    <cfRule type="cellIs" dxfId="2117" priority="2083" stopIfTrue="1" operator="between">
      <formula>220001</formula>
      <formula>221144</formula>
    </cfRule>
  </conditionalFormatting>
  <conditionalFormatting sqref="AK29">
    <cfRule type="cellIs" dxfId="2116" priority="2078" stopIfTrue="1" operator="between">
      <formula>221101</formula>
      <formula>221118</formula>
    </cfRule>
    <cfRule type="cellIs" dxfId="2115" priority="2079" stopIfTrue="1" operator="between">
      <formula>221142</formula>
      <formula>221144</formula>
    </cfRule>
    <cfRule type="cellIs" dxfId="2114" priority="2080" stopIfTrue="1" operator="between">
      <formula>220001</formula>
      <formula>221144</formula>
    </cfRule>
  </conditionalFormatting>
  <conditionalFormatting sqref="AK29">
    <cfRule type="cellIs" dxfId="2113" priority="2075" stopIfTrue="1" operator="between">
      <formula>221101</formula>
      <formula>221118</formula>
    </cfRule>
    <cfRule type="cellIs" dxfId="2112" priority="2076" stopIfTrue="1" operator="between">
      <formula>221142</formula>
      <formula>221144</formula>
    </cfRule>
    <cfRule type="cellIs" dxfId="2111" priority="2077" stopIfTrue="1" operator="between">
      <formula>220001</formula>
      <formula>221144</formula>
    </cfRule>
  </conditionalFormatting>
  <conditionalFormatting sqref="AJ29">
    <cfRule type="cellIs" dxfId="2110" priority="2072" stopIfTrue="1" operator="between">
      <formula>221101</formula>
      <formula>221118</formula>
    </cfRule>
    <cfRule type="cellIs" dxfId="2109" priority="2073" stopIfTrue="1" operator="between">
      <formula>221142</formula>
      <formula>221144</formula>
    </cfRule>
    <cfRule type="cellIs" dxfId="2108" priority="2074" stopIfTrue="1" operator="between">
      <formula>220001</formula>
      <formula>221144</formula>
    </cfRule>
  </conditionalFormatting>
  <conditionalFormatting sqref="AK29">
    <cfRule type="cellIs" dxfId="2107" priority="2069" stopIfTrue="1" operator="between">
      <formula>221101</formula>
      <formula>221118</formula>
    </cfRule>
    <cfRule type="cellIs" dxfId="2106" priority="2070" stopIfTrue="1" operator="between">
      <formula>221142</formula>
      <formula>221144</formula>
    </cfRule>
    <cfRule type="cellIs" dxfId="2105" priority="2071" stopIfTrue="1" operator="between">
      <formula>220001</formula>
      <formula>221144</formula>
    </cfRule>
  </conditionalFormatting>
  <conditionalFormatting sqref="AJ29">
    <cfRule type="cellIs" dxfId="2104" priority="2066" stopIfTrue="1" operator="between">
      <formula>221101</formula>
      <formula>221118</formula>
    </cfRule>
    <cfRule type="cellIs" dxfId="2103" priority="2067" stopIfTrue="1" operator="between">
      <formula>221142</formula>
      <formula>221144</formula>
    </cfRule>
    <cfRule type="cellIs" dxfId="2102" priority="2068" stopIfTrue="1" operator="between">
      <formula>220001</formula>
      <formula>221144</formula>
    </cfRule>
  </conditionalFormatting>
  <conditionalFormatting sqref="AJ29">
    <cfRule type="cellIs" dxfId="2101" priority="2063" stopIfTrue="1" operator="between">
      <formula>221101</formula>
      <formula>221118</formula>
    </cfRule>
    <cfRule type="cellIs" dxfId="2100" priority="2064" stopIfTrue="1" operator="between">
      <formula>221142</formula>
      <formula>221144</formula>
    </cfRule>
    <cfRule type="cellIs" dxfId="2099" priority="2065" stopIfTrue="1" operator="between">
      <formula>220001</formula>
      <formula>221144</formula>
    </cfRule>
  </conditionalFormatting>
  <conditionalFormatting sqref="AI29">
    <cfRule type="cellIs" dxfId="2098" priority="2060" stopIfTrue="1" operator="between">
      <formula>221101</formula>
      <formula>221118</formula>
    </cfRule>
    <cfRule type="cellIs" dxfId="2097" priority="2061" stopIfTrue="1" operator="between">
      <formula>221142</formula>
      <formula>221144</formula>
    </cfRule>
    <cfRule type="cellIs" dxfId="2096" priority="2062" stopIfTrue="1" operator="between">
      <formula>220001</formula>
      <formula>221144</formula>
    </cfRule>
  </conditionalFormatting>
  <conditionalFormatting sqref="AK29">
    <cfRule type="cellIs" dxfId="2095" priority="2057" stopIfTrue="1" operator="between">
      <formula>221101</formula>
      <formula>221118</formula>
    </cfRule>
    <cfRule type="cellIs" dxfId="2094" priority="2058" stopIfTrue="1" operator="between">
      <formula>221142</formula>
      <formula>221144</formula>
    </cfRule>
    <cfRule type="cellIs" dxfId="2093" priority="2059" stopIfTrue="1" operator="between">
      <formula>220001</formula>
      <formula>221144</formula>
    </cfRule>
  </conditionalFormatting>
  <conditionalFormatting sqref="AJ29">
    <cfRule type="cellIs" dxfId="2092" priority="2054" stopIfTrue="1" operator="between">
      <formula>221101</formula>
      <formula>221118</formula>
    </cfRule>
    <cfRule type="cellIs" dxfId="2091" priority="2055" stopIfTrue="1" operator="between">
      <formula>221142</formula>
      <formula>221144</formula>
    </cfRule>
    <cfRule type="cellIs" dxfId="2090" priority="2056" stopIfTrue="1" operator="between">
      <formula>220001</formula>
      <formula>221144</formula>
    </cfRule>
  </conditionalFormatting>
  <conditionalFormatting sqref="AJ29">
    <cfRule type="cellIs" dxfId="2089" priority="2051" stopIfTrue="1" operator="between">
      <formula>221101</formula>
      <formula>221118</formula>
    </cfRule>
    <cfRule type="cellIs" dxfId="2088" priority="2052" stopIfTrue="1" operator="between">
      <formula>221142</formula>
      <formula>221144</formula>
    </cfRule>
    <cfRule type="cellIs" dxfId="2087" priority="2053" stopIfTrue="1" operator="between">
      <formula>220001</formula>
      <formula>221144</formula>
    </cfRule>
  </conditionalFormatting>
  <conditionalFormatting sqref="AI29">
    <cfRule type="cellIs" dxfId="2086" priority="2048" stopIfTrue="1" operator="between">
      <formula>221101</formula>
      <formula>221118</formula>
    </cfRule>
    <cfRule type="cellIs" dxfId="2085" priority="2049" stopIfTrue="1" operator="between">
      <formula>221142</formula>
      <formula>221144</formula>
    </cfRule>
    <cfRule type="cellIs" dxfId="2084" priority="2050" stopIfTrue="1" operator="between">
      <formula>220001</formula>
      <formula>221144</formula>
    </cfRule>
  </conditionalFormatting>
  <conditionalFormatting sqref="AJ29">
    <cfRule type="cellIs" dxfId="2083" priority="2045" stopIfTrue="1" operator="between">
      <formula>221101</formula>
      <formula>221118</formula>
    </cfRule>
    <cfRule type="cellIs" dxfId="2082" priority="2046" stopIfTrue="1" operator="between">
      <formula>221142</formula>
      <formula>221144</formula>
    </cfRule>
    <cfRule type="cellIs" dxfId="2081" priority="2047" stopIfTrue="1" operator="between">
      <formula>220001</formula>
      <formula>221144</formula>
    </cfRule>
  </conditionalFormatting>
  <conditionalFormatting sqref="AI29">
    <cfRule type="cellIs" dxfId="2080" priority="2042" stopIfTrue="1" operator="between">
      <formula>221101</formula>
      <formula>221118</formula>
    </cfRule>
    <cfRule type="cellIs" dxfId="2079" priority="2043" stopIfTrue="1" operator="between">
      <formula>221142</formula>
      <formula>221144</formula>
    </cfRule>
    <cfRule type="cellIs" dxfId="2078" priority="2044" stopIfTrue="1" operator="between">
      <formula>220001</formula>
      <formula>221144</formula>
    </cfRule>
  </conditionalFormatting>
  <conditionalFormatting sqref="AI29">
    <cfRule type="cellIs" dxfId="2077" priority="2039" stopIfTrue="1" operator="between">
      <formula>221101</formula>
      <formula>221118</formula>
    </cfRule>
    <cfRule type="cellIs" dxfId="2076" priority="2040" stopIfTrue="1" operator="between">
      <formula>221142</formula>
      <formula>221144</formula>
    </cfRule>
    <cfRule type="cellIs" dxfId="2075" priority="2041" stopIfTrue="1" operator="between">
      <formula>220001</formula>
      <formula>221144</formula>
    </cfRule>
  </conditionalFormatting>
  <conditionalFormatting sqref="AH29">
    <cfRule type="cellIs" dxfId="2074" priority="2036" stopIfTrue="1" operator="between">
      <formula>221101</formula>
      <formula>221118</formula>
    </cfRule>
    <cfRule type="cellIs" dxfId="2073" priority="2037" stopIfTrue="1" operator="between">
      <formula>221142</formula>
      <formula>221144</formula>
    </cfRule>
    <cfRule type="cellIs" dxfId="2072" priority="2038" stopIfTrue="1" operator="between">
      <formula>220001</formula>
      <formula>221144</formula>
    </cfRule>
  </conditionalFormatting>
  <conditionalFormatting sqref="AL29">
    <cfRule type="cellIs" dxfId="2071" priority="2033" stopIfTrue="1" operator="between">
      <formula>221101</formula>
      <formula>221118</formula>
    </cfRule>
    <cfRule type="cellIs" dxfId="2070" priority="2034" stopIfTrue="1" operator="between">
      <formula>221142</formula>
      <formula>221144</formula>
    </cfRule>
    <cfRule type="cellIs" dxfId="2069" priority="2035" stopIfTrue="1" operator="between">
      <formula>220001</formula>
      <formula>221144</formula>
    </cfRule>
  </conditionalFormatting>
  <conditionalFormatting sqref="AK29">
    <cfRule type="cellIs" dxfId="2068" priority="2030" stopIfTrue="1" operator="between">
      <formula>221101</formula>
      <formula>221118</formula>
    </cfRule>
    <cfRule type="cellIs" dxfId="2067" priority="2031" stopIfTrue="1" operator="between">
      <formula>221142</formula>
      <formula>221144</formula>
    </cfRule>
    <cfRule type="cellIs" dxfId="2066" priority="2032" stopIfTrue="1" operator="between">
      <formula>220001</formula>
      <formula>221144</formula>
    </cfRule>
  </conditionalFormatting>
  <conditionalFormatting sqref="AK29">
    <cfRule type="cellIs" dxfId="2065" priority="2027" stopIfTrue="1" operator="between">
      <formula>221101</formula>
      <formula>221118</formula>
    </cfRule>
    <cfRule type="cellIs" dxfId="2064" priority="2028" stopIfTrue="1" operator="between">
      <formula>221142</formula>
      <formula>221144</formula>
    </cfRule>
    <cfRule type="cellIs" dxfId="2063" priority="2029" stopIfTrue="1" operator="between">
      <formula>220001</formula>
      <formula>221144</formula>
    </cfRule>
  </conditionalFormatting>
  <conditionalFormatting sqref="AJ29">
    <cfRule type="cellIs" dxfId="2062" priority="2024" stopIfTrue="1" operator="between">
      <formula>221101</formula>
      <formula>221118</formula>
    </cfRule>
    <cfRule type="cellIs" dxfId="2061" priority="2025" stopIfTrue="1" operator="between">
      <formula>221142</formula>
      <formula>221144</formula>
    </cfRule>
    <cfRule type="cellIs" dxfId="2060" priority="2026" stopIfTrue="1" operator="between">
      <formula>220001</formula>
      <formula>221144</formula>
    </cfRule>
  </conditionalFormatting>
  <conditionalFormatting sqref="AK29">
    <cfRule type="cellIs" dxfId="2059" priority="2021" stopIfTrue="1" operator="between">
      <formula>221101</formula>
      <formula>221118</formula>
    </cfRule>
    <cfRule type="cellIs" dxfId="2058" priority="2022" stopIfTrue="1" operator="between">
      <formula>221142</formula>
      <formula>221144</formula>
    </cfRule>
    <cfRule type="cellIs" dxfId="2057" priority="2023" stopIfTrue="1" operator="between">
      <formula>220001</formula>
      <formula>221144</formula>
    </cfRule>
  </conditionalFormatting>
  <conditionalFormatting sqref="AJ29">
    <cfRule type="cellIs" dxfId="2056" priority="2018" stopIfTrue="1" operator="between">
      <formula>221101</formula>
      <formula>221118</formula>
    </cfRule>
    <cfRule type="cellIs" dxfId="2055" priority="2019" stopIfTrue="1" operator="between">
      <formula>221142</formula>
      <formula>221144</formula>
    </cfRule>
    <cfRule type="cellIs" dxfId="2054" priority="2020" stopIfTrue="1" operator="between">
      <formula>220001</formula>
      <formula>221144</formula>
    </cfRule>
  </conditionalFormatting>
  <conditionalFormatting sqref="AJ29">
    <cfRule type="cellIs" dxfId="2053" priority="2015" stopIfTrue="1" operator="between">
      <formula>221101</formula>
      <formula>221118</formula>
    </cfRule>
    <cfRule type="cellIs" dxfId="2052" priority="2016" stopIfTrue="1" operator="between">
      <formula>221142</formula>
      <formula>221144</formula>
    </cfRule>
    <cfRule type="cellIs" dxfId="2051" priority="2017" stopIfTrue="1" operator="between">
      <formula>220001</formula>
      <formula>221144</formula>
    </cfRule>
  </conditionalFormatting>
  <conditionalFormatting sqref="AI29">
    <cfRule type="cellIs" dxfId="2050" priority="2012" stopIfTrue="1" operator="between">
      <formula>221101</formula>
      <formula>221118</formula>
    </cfRule>
    <cfRule type="cellIs" dxfId="2049" priority="2013" stopIfTrue="1" operator="between">
      <formula>221142</formula>
      <formula>221144</formula>
    </cfRule>
    <cfRule type="cellIs" dxfId="2048" priority="2014" stopIfTrue="1" operator="between">
      <formula>220001</formula>
      <formula>221144</formula>
    </cfRule>
  </conditionalFormatting>
  <conditionalFormatting sqref="AK29">
    <cfRule type="cellIs" dxfId="2047" priority="2009" stopIfTrue="1" operator="between">
      <formula>221101</formula>
      <formula>221118</formula>
    </cfRule>
    <cfRule type="cellIs" dxfId="2046" priority="2010" stopIfTrue="1" operator="between">
      <formula>221142</formula>
      <formula>221144</formula>
    </cfRule>
    <cfRule type="cellIs" dxfId="2045" priority="2011" stopIfTrue="1" operator="between">
      <formula>220001</formula>
      <formula>221144</formula>
    </cfRule>
  </conditionalFormatting>
  <conditionalFormatting sqref="AJ29">
    <cfRule type="cellIs" dxfId="2044" priority="2006" stopIfTrue="1" operator="between">
      <formula>221101</formula>
      <formula>221118</formula>
    </cfRule>
    <cfRule type="cellIs" dxfId="2043" priority="2007" stopIfTrue="1" operator="between">
      <formula>221142</formula>
      <formula>221144</formula>
    </cfRule>
    <cfRule type="cellIs" dxfId="2042" priority="2008" stopIfTrue="1" operator="between">
      <formula>220001</formula>
      <formula>221144</formula>
    </cfRule>
  </conditionalFormatting>
  <conditionalFormatting sqref="AJ29">
    <cfRule type="cellIs" dxfId="2041" priority="2003" stopIfTrue="1" operator="between">
      <formula>221101</formula>
      <formula>221118</formula>
    </cfRule>
    <cfRule type="cellIs" dxfId="2040" priority="2004" stopIfTrue="1" operator="between">
      <formula>221142</formula>
      <formula>221144</formula>
    </cfRule>
    <cfRule type="cellIs" dxfId="2039" priority="2005" stopIfTrue="1" operator="between">
      <formula>220001</formula>
      <formula>221144</formula>
    </cfRule>
  </conditionalFormatting>
  <conditionalFormatting sqref="AI29">
    <cfRule type="cellIs" dxfId="2038" priority="2000" stopIfTrue="1" operator="between">
      <formula>221101</formula>
      <formula>221118</formula>
    </cfRule>
    <cfRule type="cellIs" dxfId="2037" priority="2001" stopIfTrue="1" operator="between">
      <formula>221142</formula>
      <formula>221144</formula>
    </cfRule>
    <cfRule type="cellIs" dxfId="2036" priority="2002" stopIfTrue="1" operator="between">
      <formula>220001</formula>
      <formula>221144</formula>
    </cfRule>
  </conditionalFormatting>
  <conditionalFormatting sqref="AJ29">
    <cfRule type="cellIs" dxfId="2035" priority="1997" stopIfTrue="1" operator="between">
      <formula>221101</formula>
      <formula>221118</formula>
    </cfRule>
    <cfRule type="cellIs" dxfId="2034" priority="1998" stopIfTrue="1" operator="between">
      <formula>221142</formula>
      <formula>221144</formula>
    </cfRule>
    <cfRule type="cellIs" dxfId="2033" priority="1999" stopIfTrue="1" operator="between">
      <formula>220001</formula>
      <formula>221144</formula>
    </cfRule>
  </conditionalFormatting>
  <conditionalFormatting sqref="AI29">
    <cfRule type="cellIs" dxfId="2032" priority="1994" stopIfTrue="1" operator="between">
      <formula>221101</formula>
      <formula>221118</formula>
    </cfRule>
    <cfRule type="cellIs" dxfId="2031" priority="1995" stopIfTrue="1" operator="between">
      <formula>221142</formula>
      <formula>221144</formula>
    </cfRule>
    <cfRule type="cellIs" dxfId="2030" priority="1996" stopIfTrue="1" operator="between">
      <formula>220001</formula>
      <formula>221144</formula>
    </cfRule>
  </conditionalFormatting>
  <conditionalFormatting sqref="AI29">
    <cfRule type="cellIs" dxfId="2029" priority="1991" stopIfTrue="1" operator="between">
      <formula>221101</formula>
      <formula>221118</formula>
    </cfRule>
    <cfRule type="cellIs" dxfId="2028" priority="1992" stopIfTrue="1" operator="between">
      <formula>221142</formula>
      <formula>221144</formula>
    </cfRule>
    <cfRule type="cellIs" dxfId="2027" priority="1993" stopIfTrue="1" operator="between">
      <formula>220001</formula>
      <formula>221144</formula>
    </cfRule>
  </conditionalFormatting>
  <conditionalFormatting sqref="AH29">
    <cfRule type="cellIs" dxfId="2026" priority="1988" stopIfTrue="1" operator="between">
      <formula>221101</formula>
      <formula>221118</formula>
    </cfRule>
    <cfRule type="cellIs" dxfId="2025" priority="1989" stopIfTrue="1" operator="between">
      <formula>221142</formula>
      <formula>221144</formula>
    </cfRule>
    <cfRule type="cellIs" dxfId="2024" priority="1990" stopIfTrue="1" operator="between">
      <formula>220001</formula>
      <formula>221144</formula>
    </cfRule>
  </conditionalFormatting>
  <conditionalFormatting sqref="AK29">
    <cfRule type="cellIs" dxfId="2023" priority="1985" stopIfTrue="1" operator="between">
      <formula>221101</formula>
      <formula>221118</formula>
    </cfRule>
    <cfRule type="cellIs" dxfId="2022" priority="1986" stopIfTrue="1" operator="between">
      <formula>221142</formula>
      <formula>221144</formula>
    </cfRule>
    <cfRule type="cellIs" dxfId="2021" priority="1987" stopIfTrue="1" operator="between">
      <formula>220001</formula>
      <formula>221144</formula>
    </cfRule>
  </conditionalFormatting>
  <conditionalFormatting sqref="AJ29">
    <cfRule type="cellIs" dxfId="2020" priority="1982" stopIfTrue="1" operator="between">
      <formula>221101</formula>
      <formula>221118</formula>
    </cfRule>
    <cfRule type="cellIs" dxfId="2019" priority="1983" stopIfTrue="1" operator="between">
      <formula>221142</formula>
      <formula>221144</formula>
    </cfRule>
    <cfRule type="cellIs" dxfId="2018" priority="1984" stopIfTrue="1" operator="between">
      <formula>220001</formula>
      <formula>221144</formula>
    </cfRule>
  </conditionalFormatting>
  <conditionalFormatting sqref="AJ29">
    <cfRule type="cellIs" dxfId="2017" priority="1979" stopIfTrue="1" operator="between">
      <formula>221101</formula>
      <formula>221118</formula>
    </cfRule>
    <cfRule type="cellIs" dxfId="2016" priority="1980" stopIfTrue="1" operator="between">
      <formula>221142</formula>
      <formula>221144</formula>
    </cfRule>
    <cfRule type="cellIs" dxfId="2015" priority="1981" stopIfTrue="1" operator="between">
      <formula>220001</formula>
      <formula>221144</formula>
    </cfRule>
  </conditionalFormatting>
  <conditionalFormatting sqref="AI29">
    <cfRule type="cellIs" dxfId="2014" priority="1976" stopIfTrue="1" operator="between">
      <formula>221101</formula>
      <formula>221118</formula>
    </cfRule>
    <cfRule type="cellIs" dxfId="2013" priority="1977" stopIfTrue="1" operator="between">
      <formula>221142</formula>
      <formula>221144</formula>
    </cfRule>
    <cfRule type="cellIs" dxfId="2012" priority="1978" stopIfTrue="1" operator="between">
      <formula>220001</formula>
      <formula>221144</formula>
    </cfRule>
  </conditionalFormatting>
  <conditionalFormatting sqref="AJ29">
    <cfRule type="cellIs" dxfId="2011" priority="1973" stopIfTrue="1" operator="between">
      <formula>221101</formula>
      <formula>221118</formula>
    </cfRule>
    <cfRule type="cellIs" dxfId="2010" priority="1974" stopIfTrue="1" operator="between">
      <formula>221142</formula>
      <formula>221144</formula>
    </cfRule>
    <cfRule type="cellIs" dxfId="2009" priority="1975" stopIfTrue="1" operator="between">
      <formula>220001</formula>
      <formula>221144</formula>
    </cfRule>
  </conditionalFormatting>
  <conditionalFormatting sqref="AI29">
    <cfRule type="cellIs" dxfId="2008" priority="1970" stopIfTrue="1" operator="between">
      <formula>221101</formula>
      <formula>221118</formula>
    </cfRule>
    <cfRule type="cellIs" dxfId="2007" priority="1971" stopIfTrue="1" operator="between">
      <formula>221142</formula>
      <formula>221144</formula>
    </cfRule>
    <cfRule type="cellIs" dxfId="2006" priority="1972" stopIfTrue="1" operator="between">
      <formula>220001</formula>
      <formula>221144</formula>
    </cfRule>
  </conditionalFormatting>
  <conditionalFormatting sqref="AI29">
    <cfRule type="cellIs" dxfId="2005" priority="1967" stopIfTrue="1" operator="between">
      <formula>221101</formula>
      <formula>221118</formula>
    </cfRule>
    <cfRule type="cellIs" dxfId="2004" priority="1968" stopIfTrue="1" operator="between">
      <formula>221142</formula>
      <formula>221144</formula>
    </cfRule>
    <cfRule type="cellIs" dxfId="2003" priority="1969" stopIfTrue="1" operator="between">
      <formula>220001</formula>
      <formula>221144</formula>
    </cfRule>
  </conditionalFormatting>
  <conditionalFormatting sqref="AH29">
    <cfRule type="cellIs" dxfId="2002" priority="1964" stopIfTrue="1" operator="between">
      <formula>221101</formula>
      <formula>221118</formula>
    </cfRule>
    <cfRule type="cellIs" dxfId="2001" priority="1965" stopIfTrue="1" operator="between">
      <formula>221142</formula>
      <formula>221144</formula>
    </cfRule>
    <cfRule type="cellIs" dxfId="2000" priority="1966" stopIfTrue="1" operator="between">
      <formula>220001</formula>
      <formula>221144</formula>
    </cfRule>
  </conditionalFormatting>
  <conditionalFormatting sqref="AJ29">
    <cfRule type="cellIs" dxfId="1999" priority="1961" stopIfTrue="1" operator="between">
      <formula>221101</formula>
      <formula>221118</formula>
    </cfRule>
    <cfRule type="cellIs" dxfId="1998" priority="1962" stopIfTrue="1" operator="between">
      <formula>221142</formula>
      <formula>221144</formula>
    </cfRule>
    <cfRule type="cellIs" dxfId="1997" priority="1963" stopIfTrue="1" operator="between">
      <formula>220001</formula>
      <formula>221144</formula>
    </cfRule>
  </conditionalFormatting>
  <conditionalFormatting sqref="AI29">
    <cfRule type="cellIs" dxfId="1996" priority="1958" stopIfTrue="1" operator="between">
      <formula>221101</formula>
      <formula>221118</formula>
    </cfRule>
    <cfRule type="cellIs" dxfId="1995" priority="1959" stopIfTrue="1" operator="between">
      <formula>221142</formula>
      <formula>221144</formula>
    </cfRule>
    <cfRule type="cellIs" dxfId="1994" priority="1960" stopIfTrue="1" operator="between">
      <formula>220001</formula>
      <formula>221144</formula>
    </cfRule>
  </conditionalFormatting>
  <conditionalFormatting sqref="AI29">
    <cfRule type="cellIs" dxfId="1993" priority="1955" stopIfTrue="1" operator="between">
      <formula>221101</formula>
      <formula>221118</formula>
    </cfRule>
    <cfRule type="cellIs" dxfId="1992" priority="1956" stopIfTrue="1" operator="between">
      <formula>221142</formula>
      <formula>221144</formula>
    </cfRule>
    <cfRule type="cellIs" dxfId="1991" priority="1957" stopIfTrue="1" operator="between">
      <formula>220001</formula>
      <formula>221144</formula>
    </cfRule>
  </conditionalFormatting>
  <conditionalFormatting sqref="AH29">
    <cfRule type="cellIs" dxfId="1990" priority="1952" stopIfTrue="1" operator="between">
      <formula>221101</formula>
      <formula>221118</formula>
    </cfRule>
    <cfRule type="cellIs" dxfId="1989" priority="1953" stopIfTrue="1" operator="between">
      <formula>221142</formula>
      <formula>221144</formula>
    </cfRule>
    <cfRule type="cellIs" dxfId="1988" priority="1954" stopIfTrue="1" operator="between">
      <formula>220001</formula>
      <formula>221144</formula>
    </cfRule>
  </conditionalFormatting>
  <conditionalFormatting sqref="AI29">
    <cfRule type="cellIs" dxfId="1987" priority="1949" stopIfTrue="1" operator="between">
      <formula>221101</formula>
      <formula>221118</formula>
    </cfRule>
    <cfRule type="cellIs" dxfId="1986" priority="1950" stopIfTrue="1" operator="between">
      <formula>221142</formula>
      <formula>221144</formula>
    </cfRule>
    <cfRule type="cellIs" dxfId="1985" priority="1951" stopIfTrue="1" operator="between">
      <formula>220001</formula>
      <formula>221144</formula>
    </cfRule>
  </conditionalFormatting>
  <conditionalFormatting sqref="AH29">
    <cfRule type="cellIs" dxfId="1984" priority="1946" stopIfTrue="1" operator="between">
      <formula>221101</formula>
      <formula>221118</formula>
    </cfRule>
    <cfRule type="cellIs" dxfId="1983" priority="1947" stopIfTrue="1" operator="between">
      <formula>221142</formula>
      <formula>221144</formula>
    </cfRule>
    <cfRule type="cellIs" dxfId="1982" priority="1948" stopIfTrue="1" operator="between">
      <formula>220001</formula>
      <formula>221144</formula>
    </cfRule>
  </conditionalFormatting>
  <conditionalFormatting sqref="AH29">
    <cfRule type="cellIs" dxfId="1981" priority="1943" stopIfTrue="1" operator="between">
      <formula>221101</formula>
      <formula>221118</formula>
    </cfRule>
    <cfRule type="cellIs" dxfId="1980" priority="1944" stopIfTrue="1" operator="between">
      <formula>221142</formula>
      <formula>221144</formula>
    </cfRule>
    <cfRule type="cellIs" dxfId="1979" priority="1945" stopIfTrue="1" operator="between">
      <formula>220001</formula>
      <formula>221144</formula>
    </cfRule>
  </conditionalFormatting>
  <conditionalFormatting sqref="AG29">
    <cfRule type="cellIs" dxfId="1978" priority="1940" stopIfTrue="1" operator="between">
      <formula>221101</formula>
      <formula>221118</formula>
    </cfRule>
    <cfRule type="cellIs" dxfId="1977" priority="1941" stopIfTrue="1" operator="between">
      <formula>221142</formula>
      <formula>221144</formula>
    </cfRule>
    <cfRule type="cellIs" dxfId="1976" priority="1942" stopIfTrue="1" operator="between">
      <formula>220001</formula>
      <formula>221144</formula>
    </cfRule>
  </conditionalFormatting>
  <conditionalFormatting sqref="C5">
    <cfRule type="cellIs" dxfId="1975" priority="1937" stopIfTrue="1" operator="between">
      <formula>221101</formula>
      <formula>221118</formula>
    </cfRule>
    <cfRule type="cellIs" dxfId="1974" priority="1938" stopIfTrue="1" operator="between">
      <formula>221142</formula>
      <formula>221144</formula>
    </cfRule>
    <cfRule type="cellIs" dxfId="1973" priority="1939" stopIfTrue="1" operator="between">
      <formula>220001</formula>
      <formula>221144</formula>
    </cfRule>
  </conditionalFormatting>
  <conditionalFormatting sqref="D5">
    <cfRule type="cellIs" dxfId="1972" priority="1934" stopIfTrue="1" operator="between">
      <formula>221101</formula>
      <formula>221118</formula>
    </cfRule>
    <cfRule type="cellIs" dxfId="1971" priority="1935" stopIfTrue="1" operator="between">
      <formula>221142</formula>
      <formula>221144</formula>
    </cfRule>
    <cfRule type="cellIs" dxfId="1970" priority="1936" stopIfTrue="1" operator="between">
      <formula>220001</formula>
      <formula>221144</formula>
    </cfRule>
  </conditionalFormatting>
  <conditionalFormatting sqref="C5">
    <cfRule type="cellIs" dxfId="1969" priority="1931" stopIfTrue="1" operator="between">
      <formula>221101</formula>
      <formula>221118</formula>
    </cfRule>
    <cfRule type="cellIs" dxfId="1968" priority="1932" stopIfTrue="1" operator="between">
      <formula>221142</formula>
      <formula>221144</formula>
    </cfRule>
    <cfRule type="cellIs" dxfId="1967" priority="1933" stopIfTrue="1" operator="between">
      <formula>220001</formula>
      <formula>221144</formula>
    </cfRule>
  </conditionalFormatting>
  <conditionalFormatting sqref="D5">
    <cfRule type="cellIs" dxfId="1966" priority="1928" stopIfTrue="1" operator="between">
      <formula>221101</formula>
      <formula>221118</formula>
    </cfRule>
    <cfRule type="cellIs" dxfId="1965" priority="1929" stopIfTrue="1" operator="between">
      <formula>221142</formula>
      <formula>221144</formula>
    </cfRule>
    <cfRule type="cellIs" dxfId="1964" priority="1930" stopIfTrue="1" operator="between">
      <formula>220001</formula>
      <formula>221144</formula>
    </cfRule>
  </conditionalFormatting>
  <conditionalFormatting sqref="D5">
    <cfRule type="cellIs" dxfId="1963" priority="1925" stopIfTrue="1" operator="between">
      <formula>221101</formula>
      <formula>221118</formula>
    </cfRule>
    <cfRule type="cellIs" dxfId="1962" priority="1926" stopIfTrue="1" operator="between">
      <formula>221142</formula>
      <formula>221144</formula>
    </cfRule>
    <cfRule type="cellIs" dxfId="1961" priority="1927" stopIfTrue="1" operator="between">
      <formula>220001</formula>
      <formula>221144</formula>
    </cfRule>
  </conditionalFormatting>
  <conditionalFormatting sqref="C5">
    <cfRule type="cellIs" dxfId="1960" priority="1922" stopIfTrue="1" operator="between">
      <formula>221101</formula>
      <formula>221118</formula>
    </cfRule>
    <cfRule type="cellIs" dxfId="1959" priority="1923" stopIfTrue="1" operator="between">
      <formula>221142</formula>
      <formula>221144</formula>
    </cfRule>
    <cfRule type="cellIs" dxfId="1958" priority="1924" stopIfTrue="1" operator="between">
      <formula>220001</formula>
      <formula>221144</formula>
    </cfRule>
  </conditionalFormatting>
  <conditionalFormatting sqref="C5">
    <cfRule type="cellIs" dxfId="1957" priority="1919" stopIfTrue="1" operator="between">
      <formula>221101</formula>
      <formula>221118</formula>
    </cfRule>
    <cfRule type="cellIs" dxfId="1956" priority="1920" stopIfTrue="1" operator="between">
      <formula>221142</formula>
      <formula>221144</formula>
    </cfRule>
    <cfRule type="cellIs" dxfId="1955" priority="1921" stopIfTrue="1" operator="between">
      <formula>220001</formula>
      <formula>221144</formula>
    </cfRule>
  </conditionalFormatting>
  <conditionalFormatting sqref="C5">
    <cfRule type="cellIs" dxfId="1954" priority="1916" stopIfTrue="1" operator="between">
      <formula>221101</formula>
      <formula>221118</formula>
    </cfRule>
    <cfRule type="cellIs" dxfId="1953" priority="1917" stopIfTrue="1" operator="between">
      <formula>221142</formula>
      <formula>221144</formula>
    </cfRule>
    <cfRule type="cellIs" dxfId="1952" priority="1918" stopIfTrue="1" operator="between">
      <formula>220001</formula>
      <formula>221144</formula>
    </cfRule>
  </conditionalFormatting>
  <conditionalFormatting sqref="C5">
    <cfRule type="cellIs" dxfId="1951" priority="1913" stopIfTrue="1" operator="between">
      <formula>221101</formula>
      <formula>221118</formula>
    </cfRule>
    <cfRule type="cellIs" dxfId="1950" priority="1914" stopIfTrue="1" operator="between">
      <formula>221142</formula>
      <formula>221144</formula>
    </cfRule>
    <cfRule type="cellIs" dxfId="1949" priority="1915" stopIfTrue="1" operator="between">
      <formula>220001</formula>
      <formula>221144</formula>
    </cfRule>
  </conditionalFormatting>
  <conditionalFormatting sqref="C5">
    <cfRule type="cellIs" dxfId="1948" priority="1910" stopIfTrue="1" operator="between">
      <formula>221101</formula>
      <formula>221118</formula>
    </cfRule>
    <cfRule type="cellIs" dxfId="1947" priority="1911" stopIfTrue="1" operator="between">
      <formula>221142</formula>
      <formula>221144</formula>
    </cfRule>
    <cfRule type="cellIs" dxfId="1946" priority="1912" stopIfTrue="1" operator="between">
      <formula>220001</formula>
      <formula>221144</formula>
    </cfRule>
  </conditionalFormatting>
  <conditionalFormatting sqref="C5">
    <cfRule type="cellIs" dxfId="1945" priority="1907" stopIfTrue="1" operator="between">
      <formula>221101</formula>
      <formula>221118</formula>
    </cfRule>
    <cfRule type="cellIs" dxfId="1944" priority="1908" stopIfTrue="1" operator="between">
      <formula>221142</formula>
      <formula>221144</formula>
    </cfRule>
    <cfRule type="cellIs" dxfId="1943" priority="1909" stopIfTrue="1" operator="between">
      <formula>220001</formula>
      <formula>221144</formula>
    </cfRule>
  </conditionalFormatting>
  <conditionalFormatting sqref="C5">
    <cfRule type="cellIs" dxfId="1942" priority="1904" stopIfTrue="1" operator="between">
      <formula>221101</formula>
      <formula>221118</formula>
    </cfRule>
    <cfRule type="cellIs" dxfId="1941" priority="1905" stopIfTrue="1" operator="between">
      <formula>221142</formula>
      <formula>221144</formula>
    </cfRule>
    <cfRule type="cellIs" dxfId="1940" priority="1906" stopIfTrue="1" operator="between">
      <formula>220001</formula>
      <formula>221144</formula>
    </cfRule>
  </conditionalFormatting>
  <conditionalFormatting sqref="C5">
    <cfRule type="cellIs" dxfId="1939" priority="1901" stopIfTrue="1" operator="between">
      <formula>221101</formula>
      <formula>221118</formula>
    </cfRule>
    <cfRule type="cellIs" dxfId="1938" priority="1902" stopIfTrue="1" operator="between">
      <formula>221142</formula>
      <formula>221144</formula>
    </cfRule>
    <cfRule type="cellIs" dxfId="1937" priority="1903" stopIfTrue="1" operator="between">
      <formula>220001</formula>
      <formula>221144</formula>
    </cfRule>
  </conditionalFormatting>
  <conditionalFormatting sqref="C5">
    <cfRule type="cellIs" dxfId="1936" priority="1898" stopIfTrue="1" operator="between">
      <formula>221101</formula>
      <formula>221118</formula>
    </cfRule>
    <cfRule type="cellIs" dxfId="1935" priority="1899" stopIfTrue="1" operator="between">
      <formula>221142</formula>
      <formula>221144</formula>
    </cfRule>
    <cfRule type="cellIs" dxfId="1934" priority="1900" stopIfTrue="1" operator="between">
      <formula>220001</formula>
      <formula>221144</formula>
    </cfRule>
  </conditionalFormatting>
  <conditionalFormatting sqref="C5">
    <cfRule type="cellIs" dxfId="1933" priority="1895" stopIfTrue="1" operator="between">
      <formula>221101</formula>
      <formula>221118</formula>
    </cfRule>
    <cfRule type="cellIs" dxfId="1932" priority="1896" stopIfTrue="1" operator="between">
      <formula>221142</formula>
      <formula>221144</formula>
    </cfRule>
    <cfRule type="cellIs" dxfId="1931" priority="1897" stopIfTrue="1" operator="between">
      <formula>220001</formula>
      <formula>221144</formula>
    </cfRule>
  </conditionalFormatting>
  <conditionalFormatting sqref="C5">
    <cfRule type="cellIs" dxfId="1930" priority="1892" stopIfTrue="1" operator="between">
      <formula>221101</formula>
      <formula>221118</formula>
    </cfRule>
    <cfRule type="cellIs" dxfId="1929" priority="1893" stopIfTrue="1" operator="between">
      <formula>221142</formula>
      <formula>221144</formula>
    </cfRule>
    <cfRule type="cellIs" dxfId="1928" priority="1894" stopIfTrue="1" operator="between">
      <formula>220001</formula>
      <formula>221144</formula>
    </cfRule>
  </conditionalFormatting>
  <conditionalFormatting sqref="C5">
    <cfRule type="cellIs" dxfId="1927" priority="1889" stopIfTrue="1" operator="between">
      <formula>221101</formula>
      <formula>221118</formula>
    </cfRule>
    <cfRule type="cellIs" dxfId="1926" priority="1890" stopIfTrue="1" operator="between">
      <formula>221142</formula>
      <formula>221144</formula>
    </cfRule>
    <cfRule type="cellIs" dxfId="1925" priority="1891" stopIfTrue="1" operator="between">
      <formula>220001</formula>
      <formula>221144</formula>
    </cfRule>
  </conditionalFormatting>
  <conditionalFormatting sqref="C5">
    <cfRule type="cellIs" dxfId="1924" priority="1886" stopIfTrue="1" operator="between">
      <formula>221101</formula>
      <formula>221118</formula>
    </cfRule>
    <cfRule type="cellIs" dxfId="1923" priority="1887" stopIfTrue="1" operator="between">
      <formula>221142</formula>
      <formula>221144</formula>
    </cfRule>
    <cfRule type="cellIs" dxfId="1922" priority="1888" stopIfTrue="1" operator="between">
      <formula>220001</formula>
      <formula>221144</formula>
    </cfRule>
  </conditionalFormatting>
  <conditionalFormatting sqref="C5">
    <cfRule type="cellIs" dxfId="1921" priority="1883" stopIfTrue="1" operator="between">
      <formula>221101</formula>
      <formula>221118</formula>
    </cfRule>
    <cfRule type="cellIs" dxfId="1920" priority="1884" stopIfTrue="1" operator="between">
      <formula>221142</formula>
      <formula>221144</formula>
    </cfRule>
    <cfRule type="cellIs" dxfId="1919" priority="1885" stopIfTrue="1" operator="between">
      <formula>220001</formula>
      <formula>221144</formula>
    </cfRule>
  </conditionalFormatting>
  <conditionalFormatting sqref="C5">
    <cfRule type="cellIs" dxfId="1918" priority="1880" stopIfTrue="1" operator="between">
      <formula>221101</formula>
      <formula>221118</formula>
    </cfRule>
    <cfRule type="cellIs" dxfId="1917" priority="1881" stopIfTrue="1" operator="between">
      <formula>221142</formula>
      <formula>221144</formula>
    </cfRule>
    <cfRule type="cellIs" dxfId="1916" priority="1882" stopIfTrue="1" operator="between">
      <formula>220001</formula>
      <formula>221144</formula>
    </cfRule>
  </conditionalFormatting>
  <conditionalFormatting sqref="C5">
    <cfRule type="cellIs" dxfId="1915" priority="1877" stopIfTrue="1" operator="between">
      <formula>221101</formula>
      <formula>221118</formula>
    </cfRule>
    <cfRule type="cellIs" dxfId="1914" priority="1878" stopIfTrue="1" operator="between">
      <formula>221142</formula>
      <formula>221144</formula>
    </cfRule>
    <cfRule type="cellIs" dxfId="1913" priority="1879" stopIfTrue="1" operator="between">
      <formula>220001</formula>
      <formula>221144</formula>
    </cfRule>
  </conditionalFormatting>
  <conditionalFormatting sqref="C5">
    <cfRule type="cellIs" dxfId="1912" priority="1874" stopIfTrue="1" operator="between">
      <formula>221101</formula>
      <formula>221118</formula>
    </cfRule>
    <cfRule type="cellIs" dxfId="1911" priority="1875" stopIfTrue="1" operator="between">
      <formula>221142</formula>
      <formula>221144</formula>
    </cfRule>
    <cfRule type="cellIs" dxfId="1910" priority="1876" stopIfTrue="1" operator="between">
      <formula>220001</formula>
      <formula>221144</formula>
    </cfRule>
  </conditionalFormatting>
  <conditionalFormatting sqref="C5">
    <cfRule type="cellIs" dxfId="1909" priority="1871" stopIfTrue="1" operator="between">
      <formula>221101</formula>
      <formula>221118</formula>
    </cfRule>
    <cfRule type="cellIs" dxfId="1908" priority="1872" stopIfTrue="1" operator="between">
      <formula>221142</formula>
      <formula>221144</formula>
    </cfRule>
    <cfRule type="cellIs" dxfId="1907" priority="1873" stopIfTrue="1" operator="between">
      <formula>220001</formula>
      <formula>221144</formula>
    </cfRule>
  </conditionalFormatting>
  <conditionalFormatting sqref="C5">
    <cfRule type="cellIs" dxfId="1906" priority="1868" stopIfTrue="1" operator="between">
      <formula>221101</formula>
      <formula>221118</formula>
    </cfRule>
    <cfRule type="cellIs" dxfId="1905" priority="1869" stopIfTrue="1" operator="between">
      <formula>221142</formula>
      <formula>221144</formula>
    </cfRule>
    <cfRule type="cellIs" dxfId="1904" priority="1870" stopIfTrue="1" operator="between">
      <formula>220001</formula>
      <formula>221144</formula>
    </cfRule>
  </conditionalFormatting>
  <conditionalFormatting sqref="C5">
    <cfRule type="cellIs" dxfId="1903" priority="1865" stopIfTrue="1" operator="between">
      <formula>221101</formula>
      <formula>221118</formula>
    </cfRule>
    <cfRule type="cellIs" dxfId="1902" priority="1866" stopIfTrue="1" operator="between">
      <formula>221142</formula>
      <formula>221144</formula>
    </cfRule>
    <cfRule type="cellIs" dxfId="1901" priority="1867" stopIfTrue="1" operator="between">
      <formula>220001</formula>
      <formula>221144</formula>
    </cfRule>
  </conditionalFormatting>
  <conditionalFormatting sqref="C5">
    <cfRule type="cellIs" dxfId="1900" priority="1862" stopIfTrue="1" operator="between">
      <formula>221101</formula>
      <formula>221118</formula>
    </cfRule>
    <cfRule type="cellIs" dxfId="1899" priority="1863" stopIfTrue="1" operator="between">
      <formula>221142</formula>
      <formula>221144</formula>
    </cfRule>
    <cfRule type="cellIs" dxfId="1898" priority="1864" stopIfTrue="1" operator="between">
      <formula>220001</formula>
      <formula>221144</formula>
    </cfRule>
  </conditionalFormatting>
  <conditionalFormatting sqref="E13">
    <cfRule type="cellIs" dxfId="1897" priority="1859" stopIfTrue="1" operator="between">
      <formula>221101</formula>
      <formula>221118</formula>
    </cfRule>
    <cfRule type="cellIs" dxfId="1896" priority="1860" stopIfTrue="1" operator="between">
      <formula>221142</formula>
      <formula>221144</formula>
    </cfRule>
    <cfRule type="cellIs" dxfId="1895" priority="1861" stopIfTrue="1" operator="between">
      <formula>220001</formula>
      <formula>221144</formula>
    </cfRule>
  </conditionalFormatting>
  <conditionalFormatting sqref="AE13">
    <cfRule type="cellIs" dxfId="1894" priority="1856" stopIfTrue="1" operator="between">
      <formula>221101</formula>
      <formula>221118</formula>
    </cfRule>
    <cfRule type="cellIs" dxfId="1893" priority="1857" stopIfTrue="1" operator="between">
      <formula>221142</formula>
      <formula>221144</formula>
    </cfRule>
    <cfRule type="cellIs" dxfId="1892" priority="1858" stopIfTrue="1" operator="between">
      <formula>220001</formula>
      <formula>221144</formula>
    </cfRule>
  </conditionalFormatting>
  <conditionalFormatting sqref="C13">
    <cfRule type="cellIs" dxfId="1891" priority="1853" stopIfTrue="1" operator="between">
      <formula>221101</formula>
      <formula>221118</formula>
    </cfRule>
    <cfRule type="cellIs" dxfId="1890" priority="1854" stopIfTrue="1" operator="between">
      <formula>221142</formula>
      <formula>221144</formula>
    </cfRule>
    <cfRule type="cellIs" dxfId="1889" priority="1855" stopIfTrue="1" operator="between">
      <formula>220001</formula>
      <formula>221144</formula>
    </cfRule>
  </conditionalFormatting>
  <conditionalFormatting sqref="AD13">
    <cfRule type="cellIs" dxfId="1888" priority="1850" stopIfTrue="1" operator="between">
      <formula>221101</formula>
      <formula>221118</formula>
    </cfRule>
    <cfRule type="cellIs" dxfId="1887" priority="1851" stopIfTrue="1" operator="between">
      <formula>221142</formula>
      <formula>221144</formula>
    </cfRule>
    <cfRule type="cellIs" dxfId="1886" priority="1852" stopIfTrue="1" operator="between">
      <formula>220001</formula>
      <formula>221144</formula>
    </cfRule>
  </conditionalFormatting>
  <conditionalFormatting sqref="C13">
    <cfRule type="cellIs" dxfId="1885" priority="1847" stopIfTrue="1" operator="between">
      <formula>221101</formula>
      <formula>221118</formula>
    </cfRule>
    <cfRule type="cellIs" dxfId="1884" priority="1848" stopIfTrue="1" operator="between">
      <formula>221142</formula>
      <formula>221144</formula>
    </cfRule>
    <cfRule type="cellIs" dxfId="1883" priority="1849" stopIfTrue="1" operator="between">
      <formula>220001</formula>
      <formula>221144</formula>
    </cfRule>
  </conditionalFormatting>
  <conditionalFormatting sqref="AN13">
    <cfRule type="cellIs" dxfId="1882" priority="1844" stopIfTrue="1" operator="between">
      <formula>221101</formula>
      <formula>221118</formula>
    </cfRule>
    <cfRule type="cellIs" dxfId="1881" priority="1845" stopIfTrue="1" operator="between">
      <formula>221142</formula>
      <formula>221144</formula>
    </cfRule>
    <cfRule type="cellIs" dxfId="1880" priority="1846" stopIfTrue="1" operator="between">
      <formula>220001</formula>
      <formula>221144</formula>
    </cfRule>
  </conditionalFormatting>
  <conditionalFormatting sqref="AO13">
    <cfRule type="cellIs" dxfId="1879" priority="1841" stopIfTrue="1" operator="between">
      <formula>221101</formula>
      <formula>221118</formula>
    </cfRule>
    <cfRule type="cellIs" dxfId="1878" priority="1842" stopIfTrue="1" operator="between">
      <formula>221142</formula>
      <formula>221144</formula>
    </cfRule>
    <cfRule type="cellIs" dxfId="1877" priority="1843" stopIfTrue="1" operator="between">
      <formula>220001</formula>
      <formula>221144</formula>
    </cfRule>
  </conditionalFormatting>
  <conditionalFormatting sqref="C13">
    <cfRule type="cellIs" dxfId="1876" priority="1838" stopIfTrue="1" operator="between">
      <formula>221101</formula>
      <formula>221118</formula>
    </cfRule>
    <cfRule type="cellIs" dxfId="1875" priority="1839" stopIfTrue="1" operator="between">
      <formula>221142</formula>
      <formula>221144</formula>
    </cfRule>
    <cfRule type="cellIs" dxfId="1874" priority="1840" stopIfTrue="1" operator="between">
      <formula>220001</formula>
      <formula>221144</formula>
    </cfRule>
  </conditionalFormatting>
  <conditionalFormatting sqref="AD13">
    <cfRule type="cellIs" dxfId="1873" priority="1835" stopIfTrue="1" operator="between">
      <formula>221101</formula>
      <formula>221118</formula>
    </cfRule>
    <cfRule type="cellIs" dxfId="1872" priority="1836" stopIfTrue="1" operator="between">
      <formula>221142</formula>
      <formula>221144</formula>
    </cfRule>
    <cfRule type="cellIs" dxfId="1871" priority="1837" stopIfTrue="1" operator="between">
      <formula>220001</formula>
      <formula>221144</formula>
    </cfRule>
  </conditionalFormatting>
  <conditionalFormatting sqref="C13">
    <cfRule type="cellIs" dxfId="1870" priority="1832" stopIfTrue="1" operator="between">
      <formula>221101</formula>
      <formula>221118</formula>
    </cfRule>
    <cfRule type="cellIs" dxfId="1869" priority="1833" stopIfTrue="1" operator="between">
      <formula>221142</formula>
      <formula>221144</formula>
    </cfRule>
    <cfRule type="cellIs" dxfId="1868" priority="1834" stopIfTrue="1" operator="between">
      <formula>220001</formula>
      <formula>221144</formula>
    </cfRule>
  </conditionalFormatting>
  <conditionalFormatting sqref="AC13">
    <cfRule type="cellIs" dxfId="1867" priority="1829" stopIfTrue="1" operator="between">
      <formula>221101</formula>
      <formula>221118</formula>
    </cfRule>
    <cfRule type="cellIs" dxfId="1866" priority="1830" stopIfTrue="1" operator="between">
      <formula>221142</formula>
      <formula>221144</formula>
    </cfRule>
    <cfRule type="cellIs" dxfId="1865" priority="1831" stopIfTrue="1" operator="between">
      <formula>220001</formula>
      <formula>221144</formula>
    </cfRule>
  </conditionalFormatting>
  <conditionalFormatting sqref="C13">
    <cfRule type="cellIs" dxfId="1864" priority="1826" stopIfTrue="1" operator="between">
      <formula>221101</formula>
      <formula>221118</formula>
    </cfRule>
    <cfRule type="cellIs" dxfId="1863" priority="1827" stopIfTrue="1" operator="between">
      <formula>221142</formula>
      <formula>221144</formula>
    </cfRule>
    <cfRule type="cellIs" dxfId="1862" priority="1828" stopIfTrue="1" operator="between">
      <formula>220001</formula>
      <formula>221144</formula>
    </cfRule>
  </conditionalFormatting>
  <conditionalFormatting sqref="C13">
    <cfRule type="cellIs" dxfId="1861" priority="1823" stopIfTrue="1" operator="between">
      <formula>221101</formula>
      <formula>221118</formula>
    </cfRule>
    <cfRule type="cellIs" dxfId="1860" priority="1824" stopIfTrue="1" operator="between">
      <formula>221142</formula>
      <formula>221144</formula>
    </cfRule>
    <cfRule type="cellIs" dxfId="1859" priority="1825" stopIfTrue="1" operator="between">
      <formula>220001</formula>
      <formula>221144</formula>
    </cfRule>
  </conditionalFormatting>
  <conditionalFormatting sqref="C13">
    <cfRule type="cellIs" dxfId="1858" priority="1820" stopIfTrue="1" operator="between">
      <formula>221101</formula>
      <formula>221118</formula>
    </cfRule>
    <cfRule type="cellIs" dxfId="1857" priority="1821" stopIfTrue="1" operator="between">
      <formula>221142</formula>
      <formula>221144</formula>
    </cfRule>
    <cfRule type="cellIs" dxfId="1856" priority="1822" stopIfTrue="1" operator="between">
      <formula>220001</formula>
      <formula>221144</formula>
    </cfRule>
  </conditionalFormatting>
  <conditionalFormatting sqref="AM13">
    <cfRule type="cellIs" dxfId="1855" priority="1817" stopIfTrue="1" operator="between">
      <formula>221101</formula>
      <formula>221118</formula>
    </cfRule>
    <cfRule type="cellIs" dxfId="1854" priority="1818" stopIfTrue="1" operator="between">
      <formula>221142</formula>
      <formula>221144</formula>
    </cfRule>
    <cfRule type="cellIs" dxfId="1853" priority="1819" stopIfTrue="1" operator="between">
      <formula>220001</formula>
      <formula>221144</formula>
    </cfRule>
  </conditionalFormatting>
  <conditionalFormatting sqref="AN13">
    <cfRule type="cellIs" dxfId="1852" priority="1814" stopIfTrue="1" operator="between">
      <formula>221101</formula>
      <formula>221118</formula>
    </cfRule>
    <cfRule type="cellIs" dxfId="1851" priority="1815" stopIfTrue="1" operator="between">
      <formula>221142</formula>
      <formula>221144</formula>
    </cfRule>
    <cfRule type="cellIs" dxfId="1850" priority="1816" stopIfTrue="1" operator="between">
      <formula>220001</formula>
      <formula>221144</formula>
    </cfRule>
  </conditionalFormatting>
  <conditionalFormatting sqref="D13">
    <cfRule type="cellIs" dxfId="1849" priority="1811" stopIfTrue="1" operator="between">
      <formula>221101</formula>
      <formula>221118</formula>
    </cfRule>
    <cfRule type="cellIs" dxfId="1848" priority="1812" stopIfTrue="1" operator="between">
      <formula>221142</formula>
      <formula>221144</formula>
    </cfRule>
    <cfRule type="cellIs" dxfId="1847" priority="1813" stopIfTrue="1" operator="between">
      <formula>220001</formula>
      <formula>221144</formula>
    </cfRule>
  </conditionalFormatting>
  <conditionalFormatting sqref="D13">
    <cfRule type="cellIs" dxfId="1846" priority="1808" stopIfTrue="1" operator="between">
      <formula>221101</formula>
      <formula>221118</formula>
    </cfRule>
    <cfRule type="cellIs" dxfId="1845" priority="1809" stopIfTrue="1" operator="between">
      <formula>221142</formula>
      <formula>221144</formula>
    </cfRule>
    <cfRule type="cellIs" dxfId="1844" priority="1810" stopIfTrue="1" operator="between">
      <formula>220001</formula>
      <formula>221144</formula>
    </cfRule>
  </conditionalFormatting>
  <conditionalFormatting sqref="D13">
    <cfRule type="cellIs" dxfId="1843" priority="1805" stopIfTrue="1" operator="between">
      <formula>221101</formula>
      <formula>221118</formula>
    </cfRule>
    <cfRule type="cellIs" dxfId="1842" priority="1806" stopIfTrue="1" operator="between">
      <formula>221142</formula>
      <formula>221144</formula>
    </cfRule>
    <cfRule type="cellIs" dxfId="1841" priority="1807" stopIfTrue="1" operator="between">
      <formula>220001</formula>
      <formula>221144</formula>
    </cfRule>
  </conditionalFormatting>
  <conditionalFormatting sqref="D13">
    <cfRule type="cellIs" dxfId="1840" priority="1802" stopIfTrue="1" operator="between">
      <formula>221101</formula>
      <formula>221118</formula>
    </cfRule>
    <cfRule type="cellIs" dxfId="1839" priority="1803" stopIfTrue="1" operator="between">
      <formula>221142</formula>
      <formula>221144</formula>
    </cfRule>
    <cfRule type="cellIs" dxfId="1838" priority="1804" stopIfTrue="1" operator="between">
      <formula>220001</formula>
      <formula>221144</formula>
    </cfRule>
  </conditionalFormatting>
  <conditionalFormatting sqref="D13">
    <cfRule type="cellIs" dxfId="1837" priority="1799" stopIfTrue="1" operator="between">
      <formula>221101</formula>
      <formula>221118</formula>
    </cfRule>
    <cfRule type="cellIs" dxfId="1836" priority="1800" stopIfTrue="1" operator="between">
      <formula>221142</formula>
      <formula>221144</formula>
    </cfRule>
    <cfRule type="cellIs" dxfId="1835" priority="1801" stopIfTrue="1" operator="between">
      <formula>220001</formula>
      <formula>221144</formula>
    </cfRule>
  </conditionalFormatting>
  <conditionalFormatting sqref="AD13">
    <cfRule type="cellIs" dxfId="1834" priority="1796" stopIfTrue="1" operator="between">
      <formula>221101</formula>
      <formula>221118</formula>
    </cfRule>
    <cfRule type="cellIs" dxfId="1833" priority="1797" stopIfTrue="1" operator="between">
      <formula>221142</formula>
      <formula>221144</formula>
    </cfRule>
    <cfRule type="cellIs" dxfId="1832" priority="1798" stopIfTrue="1" operator="between">
      <formula>220001</formula>
      <formula>221144</formula>
    </cfRule>
  </conditionalFormatting>
  <conditionalFormatting sqref="AC13">
    <cfRule type="cellIs" dxfId="1831" priority="1793" stopIfTrue="1" operator="between">
      <formula>221101</formula>
      <formula>221118</formula>
    </cfRule>
    <cfRule type="cellIs" dxfId="1830" priority="1794" stopIfTrue="1" operator="between">
      <formula>221142</formula>
      <formula>221144</formula>
    </cfRule>
    <cfRule type="cellIs" dxfId="1829" priority="1795" stopIfTrue="1" operator="between">
      <formula>220001</formula>
      <formula>221144</formula>
    </cfRule>
  </conditionalFormatting>
  <conditionalFormatting sqref="AM13">
    <cfRule type="cellIs" dxfId="1828" priority="1790" stopIfTrue="1" operator="between">
      <formula>221101</formula>
      <formula>221118</formula>
    </cfRule>
    <cfRule type="cellIs" dxfId="1827" priority="1791" stopIfTrue="1" operator="between">
      <formula>221142</formula>
      <formula>221144</formula>
    </cfRule>
    <cfRule type="cellIs" dxfId="1826" priority="1792" stopIfTrue="1" operator="between">
      <formula>220001</formula>
      <formula>221144</formula>
    </cfRule>
  </conditionalFormatting>
  <conditionalFormatting sqref="AN13">
    <cfRule type="cellIs" dxfId="1825" priority="1787" stopIfTrue="1" operator="between">
      <formula>221101</formula>
      <formula>221118</formula>
    </cfRule>
    <cfRule type="cellIs" dxfId="1824" priority="1788" stopIfTrue="1" operator="between">
      <formula>221142</formula>
      <formula>221144</formula>
    </cfRule>
    <cfRule type="cellIs" dxfId="1823" priority="1789" stopIfTrue="1" operator="between">
      <formula>220001</formula>
      <formula>221144</formula>
    </cfRule>
  </conditionalFormatting>
  <conditionalFormatting sqref="AC13">
    <cfRule type="cellIs" dxfId="1822" priority="1784" stopIfTrue="1" operator="between">
      <formula>221101</formula>
      <formula>221118</formula>
    </cfRule>
    <cfRule type="cellIs" dxfId="1821" priority="1785" stopIfTrue="1" operator="between">
      <formula>221142</formula>
      <formula>221144</formula>
    </cfRule>
    <cfRule type="cellIs" dxfId="1820" priority="1786" stopIfTrue="1" operator="between">
      <formula>220001</formula>
      <formula>221144</formula>
    </cfRule>
  </conditionalFormatting>
  <conditionalFormatting sqref="AB13">
    <cfRule type="cellIs" dxfId="1819" priority="1781" stopIfTrue="1" operator="between">
      <formula>221101</formula>
      <formula>221118</formula>
    </cfRule>
    <cfRule type="cellIs" dxfId="1818" priority="1782" stopIfTrue="1" operator="between">
      <formula>221142</formula>
      <formula>221144</formula>
    </cfRule>
    <cfRule type="cellIs" dxfId="1817" priority="1783" stopIfTrue="1" operator="between">
      <formula>220001</formula>
      <formula>221144</formula>
    </cfRule>
  </conditionalFormatting>
  <conditionalFormatting sqref="AL13">
    <cfRule type="cellIs" dxfId="1816" priority="1778" stopIfTrue="1" operator="between">
      <formula>221101</formula>
      <formula>221118</formula>
    </cfRule>
    <cfRule type="cellIs" dxfId="1815" priority="1779" stopIfTrue="1" operator="between">
      <formula>221142</formula>
      <formula>221144</formula>
    </cfRule>
    <cfRule type="cellIs" dxfId="1814" priority="1780" stopIfTrue="1" operator="between">
      <formula>220001</formula>
      <formula>221144</formula>
    </cfRule>
  </conditionalFormatting>
  <conditionalFormatting sqref="AM13">
    <cfRule type="cellIs" dxfId="1813" priority="1775" stopIfTrue="1" operator="between">
      <formula>221101</formula>
      <formula>221118</formula>
    </cfRule>
    <cfRule type="cellIs" dxfId="1812" priority="1776" stopIfTrue="1" operator="between">
      <formula>221142</formula>
      <formula>221144</formula>
    </cfRule>
    <cfRule type="cellIs" dxfId="1811" priority="1777" stopIfTrue="1" operator="between">
      <formula>220001</formula>
      <formula>221144</formula>
    </cfRule>
  </conditionalFormatting>
  <conditionalFormatting sqref="C13">
    <cfRule type="cellIs" dxfId="1810" priority="1772" stopIfTrue="1" operator="between">
      <formula>221101</formula>
      <formula>221118</formula>
    </cfRule>
    <cfRule type="cellIs" dxfId="1809" priority="1773" stopIfTrue="1" operator="between">
      <formula>221142</formula>
      <formula>221144</formula>
    </cfRule>
    <cfRule type="cellIs" dxfId="1808" priority="1774" stopIfTrue="1" operator="between">
      <formula>220001</formula>
      <formula>221144</formula>
    </cfRule>
  </conditionalFormatting>
  <conditionalFormatting sqref="C13">
    <cfRule type="cellIs" dxfId="1807" priority="1769" stopIfTrue="1" operator="between">
      <formula>221101</formula>
      <formula>221118</formula>
    </cfRule>
    <cfRule type="cellIs" dxfId="1806" priority="1770" stopIfTrue="1" operator="between">
      <formula>221142</formula>
      <formula>221144</formula>
    </cfRule>
    <cfRule type="cellIs" dxfId="1805" priority="1771" stopIfTrue="1" operator="between">
      <formula>220001</formula>
      <formula>221144</formula>
    </cfRule>
  </conditionalFormatting>
  <conditionalFormatting sqref="C13">
    <cfRule type="cellIs" dxfId="1804" priority="1766" stopIfTrue="1" operator="between">
      <formula>221101</formula>
      <formula>221118</formula>
    </cfRule>
    <cfRule type="cellIs" dxfId="1803" priority="1767" stopIfTrue="1" operator="between">
      <formula>221142</formula>
      <formula>221144</formula>
    </cfRule>
    <cfRule type="cellIs" dxfId="1802" priority="1768" stopIfTrue="1" operator="between">
      <formula>220001</formula>
      <formula>221144</formula>
    </cfRule>
  </conditionalFormatting>
  <conditionalFormatting sqref="C13">
    <cfRule type="cellIs" dxfId="1801" priority="1763" stopIfTrue="1" operator="between">
      <formula>221101</formula>
      <formula>221118</formula>
    </cfRule>
    <cfRule type="cellIs" dxfId="1800" priority="1764" stopIfTrue="1" operator="between">
      <formula>221142</formula>
      <formula>221144</formula>
    </cfRule>
    <cfRule type="cellIs" dxfId="1799" priority="1765" stopIfTrue="1" operator="between">
      <formula>220001</formula>
      <formula>221144</formula>
    </cfRule>
  </conditionalFormatting>
  <conditionalFormatting sqref="D13">
    <cfRule type="cellIs" dxfId="1798" priority="1760" stopIfTrue="1" operator="between">
      <formula>221101</formula>
      <formula>221118</formula>
    </cfRule>
    <cfRule type="cellIs" dxfId="1797" priority="1761" stopIfTrue="1" operator="between">
      <formula>221142</formula>
      <formula>221144</formula>
    </cfRule>
    <cfRule type="cellIs" dxfId="1796" priority="1762" stopIfTrue="1" operator="between">
      <formula>220001</formula>
      <formula>221144</formula>
    </cfRule>
  </conditionalFormatting>
  <conditionalFormatting sqref="AD13">
    <cfRule type="cellIs" dxfId="1795" priority="1757" stopIfTrue="1" operator="between">
      <formula>221101</formula>
      <formula>221118</formula>
    </cfRule>
    <cfRule type="cellIs" dxfId="1794" priority="1758" stopIfTrue="1" operator="between">
      <formula>221142</formula>
      <formula>221144</formula>
    </cfRule>
    <cfRule type="cellIs" dxfId="1793" priority="1759" stopIfTrue="1" operator="between">
      <formula>220001</formula>
      <formula>221144</formula>
    </cfRule>
  </conditionalFormatting>
  <conditionalFormatting sqref="AC13">
    <cfRule type="cellIs" dxfId="1792" priority="1754" stopIfTrue="1" operator="between">
      <formula>221101</formula>
      <formula>221118</formula>
    </cfRule>
    <cfRule type="cellIs" dxfId="1791" priority="1755" stopIfTrue="1" operator="between">
      <formula>221142</formula>
      <formula>221144</formula>
    </cfRule>
    <cfRule type="cellIs" dxfId="1790" priority="1756" stopIfTrue="1" operator="between">
      <formula>220001</formula>
      <formula>221144</formula>
    </cfRule>
  </conditionalFormatting>
  <conditionalFormatting sqref="AM13">
    <cfRule type="cellIs" dxfId="1789" priority="1751" stopIfTrue="1" operator="between">
      <formula>221101</formula>
      <formula>221118</formula>
    </cfRule>
    <cfRule type="cellIs" dxfId="1788" priority="1752" stopIfTrue="1" operator="between">
      <formula>221142</formula>
      <formula>221144</formula>
    </cfRule>
    <cfRule type="cellIs" dxfId="1787" priority="1753" stopIfTrue="1" operator="between">
      <formula>220001</formula>
      <formula>221144</formula>
    </cfRule>
  </conditionalFormatting>
  <conditionalFormatting sqref="AN13">
    <cfRule type="cellIs" dxfId="1786" priority="1748" stopIfTrue="1" operator="between">
      <formula>221101</formula>
      <formula>221118</formula>
    </cfRule>
    <cfRule type="cellIs" dxfId="1785" priority="1749" stopIfTrue="1" operator="between">
      <formula>221142</formula>
      <formula>221144</formula>
    </cfRule>
    <cfRule type="cellIs" dxfId="1784" priority="1750" stopIfTrue="1" operator="between">
      <formula>220001</formula>
      <formula>221144</formula>
    </cfRule>
  </conditionalFormatting>
  <conditionalFormatting sqref="AC13">
    <cfRule type="cellIs" dxfId="1783" priority="1745" stopIfTrue="1" operator="between">
      <formula>221101</formula>
      <formula>221118</formula>
    </cfRule>
    <cfRule type="cellIs" dxfId="1782" priority="1746" stopIfTrue="1" operator="between">
      <formula>221142</formula>
      <formula>221144</formula>
    </cfRule>
    <cfRule type="cellIs" dxfId="1781" priority="1747" stopIfTrue="1" operator="between">
      <formula>220001</formula>
      <formula>221144</formula>
    </cfRule>
  </conditionalFormatting>
  <conditionalFormatting sqref="AB13">
    <cfRule type="cellIs" dxfId="1780" priority="1742" stopIfTrue="1" operator="between">
      <formula>221101</formula>
      <formula>221118</formula>
    </cfRule>
    <cfRule type="cellIs" dxfId="1779" priority="1743" stopIfTrue="1" operator="between">
      <formula>221142</formula>
      <formula>221144</formula>
    </cfRule>
    <cfRule type="cellIs" dxfId="1778" priority="1744" stopIfTrue="1" operator="between">
      <formula>220001</formula>
      <formula>221144</formula>
    </cfRule>
  </conditionalFormatting>
  <conditionalFormatting sqref="AL13">
    <cfRule type="cellIs" dxfId="1777" priority="1739" stopIfTrue="1" operator="between">
      <formula>221101</formula>
      <formula>221118</formula>
    </cfRule>
    <cfRule type="cellIs" dxfId="1776" priority="1740" stopIfTrue="1" operator="between">
      <formula>221142</formula>
      <formula>221144</formula>
    </cfRule>
    <cfRule type="cellIs" dxfId="1775" priority="1741" stopIfTrue="1" operator="between">
      <formula>220001</formula>
      <formula>221144</formula>
    </cfRule>
  </conditionalFormatting>
  <conditionalFormatting sqref="AM13">
    <cfRule type="cellIs" dxfId="1774" priority="1736" stopIfTrue="1" operator="between">
      <formula>221101</formula>
      <formula>221118</formula>
    </cfRule>
    <cfRule type="cellIs" dxfId="1773" priority="1737" stopIfTrue="1" operator="between">
      <formula>221142</formula>
      <formula>221144</formula>
    </cfRule>
    <cfRule type="cellIs" dxfId="1772" priority="1738" stopIfTrue="1" operator="between">
      <formula>220001</formula>
      <formula>221144</formula>
    </cfRule>
  </conditionalFormatting>
  <conditionalFormatting sqref="C13">
    <cfRule type="cellIs" dxfId="1771" priority="1733" stopIfTrue="1" operator="between">
      <formula>221101</formula>
      <formula>221118</formula>
    </cfRule>
    <cfRule type="cellIs" dxfId="1770" priority="1734" stopIfTrue="1" operator="between">
      <formula>221142</formula>
      <formula>221144</formula>
    </cfRule>
    <cfRule type="cellIs" dxfId="1769" priority="1735" stopIfTrue="1" operator="between">
      <formula>220001</formula>
      <formula>221144</formula>
    </cfRule>
  </conditionalFormatting>
  <conditionalFormatting sqref="C13">
    <cfRule type="cellIs" dxfId="1768" priority="1730" stopIfTrue="1" operator="between">
      <formula>221101</formula>
      <formula>221118</formula>
    </cfRule>
    <cfRule type="cellIs" dxfId="1767" priority="1731" stopIfTrue="1" operator="between">
      <formula>221142</formula>
      <formula>221144</formula>
    </cfRule>
    <cfRule type="cellIs" dxfId="1766" priority="1732" stopIfTrue="1" operator="between">
      <formula>220001</formula>
      <formula>221144</formula>
    </cfRule>
  </conditionalFormatting>
  <conditionalFormatting sqref="C13">
    <cfRule type="cellIs" dxfId="1765" priority="1727" stopIfTrue="1" operator="between">
      <formula>221101</formula>
      <formula>221118</formula>
    </cfRule>
    <cfRule type="cellIs" dxfId="1764" priority="1728" stopIfTrue="1" operator="between">
      <formula>221142</formula>
      <formula>221144</formula>
    </cfRule>
    <cfRule type="cellIs" dxfId="1763" priority="1729" stopIfTrue="1" operator="between">
      <formula>220001</formula>
      <formula>221144</formula>
    </cfRule>
  </conditionalFormatting>
  <conditionalFormatting sqref="C13">
    <cfRule type="cellIs" dxfId="1762" priority="1724" stopIfTrue="1" operator="between">
      <formula>221101</formula>
      <formula>221118</formula>
    </cfRule>
    <cfRule type="cellIs" dxfId="1761" priority="1725" stopIfTrue="1" operator="between">
      <formula>221142</formula>
      <formula>221144</formula>
    </cfRule>
    <cfRule type="cellIs" dxfId="1760" priority="1726" stopIfTrue="1" operator="between">
      <formula>220001</formula>
      <formula>221144</formula>
    </cfRule>
  </conditionalFormatting>
  <conditionalFormatting sqref="C13">
    <cfRule type="cellIs" dxfId="1759" priority="1721" stopIfTrue="1" operator="between">
      <formula>221101</formula>
      <formula>221118</formula>
    </cfRule>
    <cfRule type="cellIs" dxfId="1758" priority="1722" stopIfTrue="1" operator="between">
      <formula>221142</formula>
      <formula>221144</formula>
    </cfRule>
    <cfRule type="cellIs" dxfId="1757" priority="1723" stopIfTrue="1" operator="between">
      <formula>220001</formula>
      <formula>221144</formula>
    </cfRule>
  </conditionalFormatting>
  <conditionalFormatting sqref="AC13">
    <cfRule type="cellIs" dxfId="1756" priority="1718" stopIfTrue="1" operator="between">
      <formula>221101</formula>
      <formula>221118</formula>
    </cfRule>
    <cfRule type="cellIs" dxfId="1755" priority="1719" stopIfTrue="1" operator="between">
      <formula>221142</formula>
      <formula>221144</formula>
    </cfRule>
    <cfRule type="cellIs" dxfId="1754" priority="1720" stopIfTrue="1" operator="between">
      <formula>220001</formula>
      <formula>221144</formula>
    </cfRule>
  </conditionalFormatting>
  <conditionalFormatting sqref="AB13">
    <cfRule type="cellIs" dxfId="1753" priority="1715" stopIfTrue="1" operator="between">
      <formula>221101</formula>
      <formula>221118</formula>
    </cfRule>
    <cfRule type="cellIs" dxfId="1752" priority="1716" stopIfTrue="1" operator="between">
      <formula>221142</formula>
      <formula>221144</formula>
    </cfRule>
    <cfRule type="cellIs" dxfId="1751" priority="1717" stopIfTrue="1" operator="between">
      <formula>220001</formula>
      <formula>221144</formula>
    </cfRule>
  </conditionalFormatting>
  <conditionalFormatting sqref="AL13">
    <cfRule type="cellIs" dxfId="1750" priority="1712" stopIfTrue="1" operator="between">
      <formula>221101</formula>
      <formula>221118</formula>
    </cfRule>
    <cfRule type="cellIs" dxfId="1749" priority="1713" stopIfTrue="1" operator="between">
      <formula>221142</formula>
      <formula>221144</formula>
    </cfRule>
    <cfRule type="cellIs" dxfId="1748" priority="1714" stopIfTrue="1" operator="between">
      <formula>220001</formula>
      <formula>221144</formula>
    </cfRule>
  </conditionalFormatting>
  <conditionalFormatting sqref="AM13">
    <cfRule type="cellIs" dxfId="1747" priority="1709" stopIfTrue="1" operator="between">
      <formula>221101</formula>
      <formula>221118</formula>
    </cfRule>
    <cfRule type="cellIs" dxfId="1746" priority="1710" stopIfTrue="1" operator="between">
      <formula>221142</formula>
      <formula>221144</formula>
    </cfRule>
    <cfRule type="cellIs" dxfId="1745" priority="1711" stopIfTrue="1" operator="between">
      <formula>220001</formula>
      <formula>221144</formula>
    </cfRule>
  </conditionalFormatting>
  <conditionalFormatting sqref="AB13">
    <cfRule type="cellIs" dxfId="1744" priority="1706" stopIfTrue="1" operator="between">
      <formula>221101</formula>
      <formula>221118</formula>
    </cfRule>
    <cfRule type="cellIs" dxfId="1743" priority="1707" stopIfTrue="1" operator="between">
      <formula>221142</formula>
      <formula>221144</formula>
    </cfRule>
    <cfRule type="cellIs" dxfId="1742" priority="1708" stopIfTrue="1" operator="between">
      <formula>220001</formula>
      <formula>221144</formula>
    </cfRule>
  </conditionalFormatting>
  <conditionalFormatting sqref="AA13">
    <cfRule type="cellIs" dxfId="1741" priority="1703" stopIfTrue="1" operator="between">
      <formula>221101</formula>
      <formula>221118</formula>
    </cfRule>
    <cfRule type="cellIs" dxfId="1740" priority="1704" stopIfTrue="1" operator="between">
      <formula>221142</formula>
      <formula>221144</formula>
    </cfRule>
    <cfRule type="cellIs" dxfId="1739" priority="1705" stopIfTrue="1" operator="between">
      <formula>220001</formula>
      <formula>221144</formula>
    </cfRule>
  </conditionalFormatting>
  <conditionalFormatting sqref="AK13">
    <cfRule type="cellIs" dxfId="1738" priority="1700" stopIfTrue="1" operator="between">
      <formula>221101</formula>
      <formula>221118</formula>
    </cfRule>
    <cfRule type="cellIs" dxfId="1737" priority="1701" stopIfTrue="1" operator="between">
      <formula>221142</formula>
      <formula>221144</formula>
    </cfRule>
    <cfRule type="cellIs" dxfId="1736" priority="1702" stopIfTrue="1" operator="between">
      <formula>220001</formula>
      <formula>221144</formula>
    </cfRule>
  </conditionalFormatting>
  <conditionalFormatting sqref="AL13">
    <cfRule type="cellIs" dxfId="1735" priority="1697" stopIfTrue="1" operator="between">
      <formula>221101</formula>
      <formula>221118</formula>
    </cfRule>
    <cfRule type="cellIs" dxfId="1734" priority="1698" stopIfTrue="1" operator="between">
      <formula>221142</formula>
      <formula>221144</formula>
    </cfRule>
    <cfRule type="cellIs" dxfId="1733" priority="1699" stopIfTrue="1" operator="between">
      <formula>220001</formula>
      <formula>221144</formula>
    </cfRule>
  </conditionalFormatting>
  <conditionalFormatting sqref="D13">
    <cfRule type="cellIs" dxfId="1732" priority="1694" stopIfTrue="1" operator="between">
      <formula>221101</formula>
      <formula>221118</formula>
    </cfRule>
    <cfRule type="cellIs" dxfId="1731" priority="1695" stopIfTrue="1" operator="between">
      <formula>221142</formula>
      <formula>221144</formula>
    </cfRule>
    <cfRule type="cellIs" dxfId="1730" priority="1696" stopIfTrue="1" operator="between">
      <formula>220001</formula>
      <formula>221144</formula>
    </cfRule>
  </conditionalFormatting>
  <conditionalFormatting sqref="AD13">
    <cfRule type="cellIs" dxfId="1729" priority="1691" stopIfTrue="1" operator="between">
      <formula>221101</formula>
      <formula>221118</formula>
    </cfRule>
    <cfRule type="cellIs" dxfId="1728" priority="1692" stopIfTrue="1" operator="between">
      <formula>221142</formula>
      <formula>221144</formula>
    </cfRule>
    <cfRule type="cellIs" dxfId="1727" priority="1693" stopIfTrue="1" operator="between">
      <formula>220001</formula>
      <formula>221144</formula>
    </cfRule>
  </conditionalFormatting>
  <conditionalFormatting sqref="AC13">
    <cfRule type="cellIs" dxfId="1726" priority="1688" stopIfTrue="1" operator="between">
      <formula>221101</formula>
      <formula>221118</formula>
    </cfRule>
    <cfRule type="cellIs" dxfId="1725" priority="1689" stopIfTrue="1" operator="between">
      <formula>221142</formula>
      <formula>221144</formula>
    </cfRule>
    <cfRule type="cellIs" dxfId="1724" priority="1690" stopIfTrue="1" operator="between">
      <formula>220001</formula>
      <formula>221144</formula>
    </cfRule>
  </conditionalFormatting>
  <conditionalFormatting sqref="AM13">
    <cfRule type="cellIs" dxfId="1723" priority="1685" stopIfTrue="1" operator="between">
      <formula>221101</formula>
      <formula>221118</formula>
    </cfRule>
    <cfRule type="cellIs" dxfId="1722" priority="1686" stopIfTrue="1" operator="between">
      <formula>221142</formula>
      <formula>221144</formula>
    </cfRule>
    <cfRule type="cellIs" dxfId="1721" priority="1687" stopIfTrue="1" operator="between">
      <formula>220001</formula>
      <formula>221144</formula>
    </cfRule>
  </conditionalFormatting>
  <conditionalFormatting sqref="AN13">
    <cfRule type="cellIs" dxfId="1720" priority="1682" stopIfTrue="1" operator="between">
      <formula>221101</formula>
      <formula>221118</formula>
    </cfRule>
    <cfRule type="cellIs" dxfId="1719" priority="1683" stopIfTrue="1" operator="between">
      <formula>221142</formula>
      <formula>221144</formula>
    </cfRule>
    <cfRule type="cellIs" dxfId="1718" priority="1684" stopIfTrue="1" operator="between">
      <formula>220001</formula>
      <formula>221144</formula>
    </cfRule>
  </conditionalFormatting>
  <conditionalFormatting sqref="AC13">
    <cfRule type="cellIs" dxfId="1717" priority="1679" stopIfTrue="1" operator="between">
      <formula>221101</formula>
      <formula>221118</formula>
    </cfRule>
    <cfRule type="cellIs" dxfId="1716" priority="1680" stopIfTrue="1" operator="between">
      <formula>221142</formula>
      <formula>221144</formula>
    </cfRule>
    <cfRule type="cellIs" dxfId="1715" priority="1681" stopIfTrue="1" operator="between">
      <formula>220001</formula>
      <formula>221144</formula>
    </cfRule>
  </conditionalFormatting>
  <conditionalFormatting sqref="AB13">
    <cfRule type="cellIs" dxfId="1714" priority="1676" stopIfTrue="1" operator="between">
      <formula>221101</formula>
      <formula>221118</formula>
    </cfRule>
    <cfRule type="cellIs" dxfId="1713" priority="1677" stopIfTrue="1" operator="between">
      <formula>221142</formula>
      <formula>221144</formula>
    </cfRule>
    <cfRule type="cellIs" dxfId="1712" priority="1678" stopIfTrue="1" operator="between">
      <formula>220001</formula>
      <formula>221144</formula>
    </cfRule>
  </conditionalFormatting>
  <conditionalFormatting sqref="AL13">
    <cfRule type="cellIs" dxfId="1711" priority="1673" stopIfTrue="1" operator="between">
      <formula>221101</formula>
      <formula>221118</formula>
    </cfRule>
    <cfRule type="cellIs" dxfId="1710" priority="1674" stopIfTrue="1" operator="between">
      <formula>221142</formula>
      <formula>221144</formula>
    </cfRule>
    <cfRule type="cellIs" dxfId="1709" priority="1675" stopIfTrue="1" operator="between">
      <formula>220001</formula>
      <formula>221144</formula>
    </cfRule>
  </conditionalFormatting>
  <conditionalFormatting sqref="AM13">
    <cfRule type="cellIs" dxfId="1708" priority="1670" stopIfTrue="1" operator="between">
      <formula>221101</formula>
      <formula>221118</formula>
    </cfRule>
    <cfRule type="cellIs" dxfId="1707" priority="1671" stopIfTrue="1" operator="between">
      <formula>221142</formula>
      <formula>221144</formula>
    </cfRule>
    <cfRule type="cellIs" dxfId="1706" priority="1672" stopIfTrue="1" operator="between">
      <formula>220001</formula>
      <formula>221144</formula>
    </cfRule>
  </conditionalFormatting>
  <conditionalFormatting sqref="C13">
    <cfRule type="cellIs" dxfId="1705" priority="1667" stopIfTrue="1" operator="between">
      <formula>221101</formula>
      <formula>221118</formula>
    </cfRule>
    <cfRule type="cellIs" dxfId="1704" priority="1668" stopIfTrue="1" operator="between">
      <formula>221142</formula>
      <formula>221144</formula>
    </cfRule>
    <cfRule type="cellIs" dxfId="1703" priority="1669" stopIfTrue="1" operator="between">
      <formula>220001</formula>
      <formula>221144</formula>
    </cfRule>
  </conditionalFormatting>
  <conditionalFormatting sqref="C13">
    <cfRule type="cellIs" dxfId="1702" priority="1664" stopIfTrue="1" operator="between">
      <formula>221101</formula>
      <formula>221118</formula>
    </cfRule>
    <cfRule type="cellIs" dxfId="1701" priority="1665" stopIfTrue="1" operator="between">
      <formula>221142</formula>
      <formula>221144</formula>
    </cfRule>
    <cfRule type="cellIs" dxfId="1700" priority="1666" stopIfTrue="1" operator="between">
      <formula>220001</formula>
      <formula>221144</formula>
    </cfRule>
  </conditionalFormatting>
  <conditionalFormatting sqref="C13">
    <cfRule type="cellIs" dxfId="1699" priority="1661" stopIfTrue="1" operator="between">
      <formula>221101</formula>
      <formula>221118</formula>
    </cfRule>
    <cfRule type="cellIs" dxfId="1698" priority="1662" stopIfTrue="1" operator="between">
      <formula>221142</formula>
      <formula>221144</formula>
    </cfRule>
    <cfRule type="cellIs" dxfId="1697" priority="1663" stopIfTrue="1" operator="between">
      <formula>220001</formula>
      <formula>221144</formula>
    </cfRule>
  </conditionalFormatting>
  <conditionalFormatting sqref="C13">
    <cfRule type="cellIs" dxfId="1696" priority="1658" stopIfTrue="1" operator="between">
      <formula>221101</formula>
      <formula>221118</formula>
    </cfRule>
    <cfRule type="cellIs" dxfId="1695" priority="1659" stopIfTrue="1" operator="between">
      <formula>221142</formula>
      <formula>221144</formula>
    </cfRule>
    <cfRule type="cellIs" dxfId="1694" priority="1660" stopIfTrue="1" operator="between">
      <formula>220001</formula>
      <formula>221144</formula>
    </cfRule>
  </conditionalFormatting>
  <conditionalFormatting sqref="C13">
    <cfRule type="cellIs" dxfId="1693" priority="1655" stopIfTrue="1" operator="between">
      <formula>221101</formula>
      <formula>221118</formula>
    </cfRule>
    <cfRule type="cellIs" dxfId="1692" priority="1656" stopIfTrue="1" operator="between">
      <formula>221142</formula>
      <formula>221144</formula>
    </cfRule>
    <cfRule type="cellIs" dxfId="1691" priority="1657" stopIfTrue="1" operator="between">
      <formula>220001</formula>
      <formula>221144</formula>
    </cfRule>
  </conditionalFormatting>
  <conditionalFormatting sqref="AC13">
    <cfRule type="cellIs" dxfId="1690" priority="1652" stopIfTrue="1" operator="between">
      <formula>221101</formula>
      <formula>221118</formula>
    </cfRule>
    <cfRule type="cellIs" dxfId="1689" priority="1653" stopIfTrue="1" operator="between">
      <formula>221142</formula>
      <formula>221144</formula>
    </cfRule>
    <cfRule type="cellIs" dxfId="1688" priority="1654" stopIfTrue="1" operator="between">
      <formula>220001</formula>
      <formula>221144</formula>
    </cfRule>
  </conditionalFormatting>
  <conditionalFormatting sqref="AB13">
    <cfRule type="cellIs" dxfId="1687" priority="1649" stopIfTrue="1" operator="between">
      <formula>221101</formula>
      <formula>221118</formula>
    </cfRule>
    <cfRule type="cellIs" dxfId="1686" priority="1650" stopIfTrue="1" operator="between">
      <formula>221142</formula>
      <formula>221144</formula>
    </cfRule>
    <cfRule type="cellIs" dxfId="1685" priority="1651" stopIfTrue="1" operator="between">
      <formula>220001</formula>
      <formula>221144</formula>
    </cfRule>
  </conditionalFormatting>
  <conditionalFormatting sqref="AL13">
    <cfRule type="cellIs" dxfId="1684" priority="1646" stopIfTrue="1" operator="between">
      <formula>221101</formula>
      <formula>221118</formula>
    </cfRule>
    <cfRule type="cellIs" dxfId="1683" priority="1647" stopIfTrue="1" operator="between">
      <formula>221142</formula>
      <formula>221144</formula>
    </cfRule>
    <cfRule type="cellIs" dxfId="1682" priority="1648" stopIfTrue="1" operator="between">
      <formula>220001</formula>
      <formula>221144</formula>
    </cfRule>
  </conditionalFormatting>
  <conditionalFormatting sqref="AM13">
    <cfRule type="cellIs" dxfId="1681" priority="1643" stopIfTrue="1" operator="between">
      <formula>221101</formula>
      <formula>221118</formula>
    </cfRule>
    <cfRule type="cellIs" dxfId="1680" priority="1644" stopIfTrue="1" operator="between">
      <formula>221142</formula>
      <formula>221144</formula>
    </cfRule>
    <cfRule type="cellIs" dxfId="1679" priority="1645" stopIfTrue="1" operator="between">
      <formula>220001</formula>
      <formula>221144</formula>
    </cfRule>
  </conditionalFormatting>
  <conditionalFormatting sqref="AB13">
    <cfRule type="cellIs" dxfId="1678" priority="1640" stopIfTrue="1" operator="between">
      <formula>221101</formula>
      <formula>221118</formula>
    </cfRule>
    <cfRule type="cellIs" dxfId="1677" priority="1641" stopIfTrue="1" operator="between">
      <formula>221142</formula>
      <formula>221144</formula>
    </cfRule>
    <cfRule type="cellIs" dxfId="1676" priority="1642" stopIfTrue="1" operator="between">
      <formula>220001</formula>
      <formula>221144</formula>
    </cfRule>
  </conditionalFormatting>
  <conditionalFormatting sqref="AA13">
    <cfRule type="cellIs" dxfId="1675" priority="1637" stopIfTrue="1" operator="between">
      <formula>221101</formula>
      <formula>221118</formula>
    </cfRule>
    <cfRule type="cellIs" dxfId="1674" priority="1638" stopIfTrue="1" operator="between">
      <formula>221142</formula>
      <formula>221144</formula>
    </cfRule>
    <cfRule type="cellIs" dxfId="1673" priority="1639" stopIfTrue="1" operator="between">
      <formula>220001</formula>
      <formula>221144</formula>
    </cfRule>
  </conditionalFormatting>
  <conditionalFormatting sqref="AK13">
    <cfRule type="cellIs" dxfId="1672" priority="1634" stopIfTrue="1" operator="between">
      <formula>221101</formula>
      <formula>221118</formula>
    </cfRule>
    <cfRule type="cellIs" dxfId="1671" priority="1635" stopIfTrue="1" operator="between">
      <formula>221142</formula>
      <formula>221144</formula>
    </cfRule>
    <cfRule type="cellIs" dxfId="1670" priority="1636" stopIfTrue="1" operator="between">
      <formula>220001</formula>
      <formula>221144</formula>
    </cfRule>
  </conditionalFormatting>
  <conditionalFormatting sqref="AL13">
    <cfRule type="cellIs" dxfId="1669" priority="1631" stopIfTrue="1" operator="between">
      <formula>221101</formula>
      <formula>221118</formula>
    </cfRule>
    <cfRule type="cellIs" dxfId="1668" priority="1632" stopIfTrue="1" operator="between">
      <formula>221142</formula>
      <formula>221144</formula>
    </cfRule>
    <cfRule type="cellIs" dxfId="1667" priority="1633" stopIfTrue="1" operator="between">
      <formula>220001</formula>
      <formula>221144</formula>
    </cfRule>
  </conditionalFormatting>
  <conditionalFormatting sqref="C13">
    <cfRule type="cellIs" dxfId="1666" priority="1628" stopIfTrue="1" operator="between">
      <formula>221101</formula>
      <formula>221118</formula>
    </cfRule>
    <cfRule type="cellIs" dxfId="1665" priority="1629" stopIfTrue="1" operator="between">
      <formula>221142</formula>
      <formula>221144</formula>
    </cfRule>
    <cfRule type="cellIs" dxfId="1664" priority="1630" stopIfTrue="1" operator="between">
      <formula>220001</formula>
      <formula>221144</formula>
    </cfRule>
  </conditionalFormatting>
  <conditionalFormatting sqref="AC13">
    <cfRule type="cellIs" dxfId="1663" priority="1625" stopIfTrue="1" operator="between">
      <formula>221101</formula>
      <formula>221118</formula>
    </cfRule>
    <cfRule type="cellIs" dxfId="1662" priority="1626" stopIfTrue="1" operator="between">
      <formula>221142</formula>
      <formula>221144</formula>
    </cfRule>
    <cfRule type="cellIs" dxfId="1661" priority="1627" stopIfTrue="1" operator="between">
      <formula>220001</formula>
      <formula>221144</formula>
    </cfRule>
  </conditionalFormatting>
  <conditionalFormatting sqref="AB13">
    <cfRule type="cellIs" dxfId="1660" priority="1622" stopIfTrue="1" operator="between">
      <formula>221101</formula>
      <formula>221118</formula>
    </cfRule>
    <cfRule type="cellIs" dxfId="1659" priority="1623" stopIfTrue="1" operator="between">
      <formula>221142</formula>
      <formula>221144</formula>
    </cfRule>
    <cfRule type="cellIs" dxfId="1658" priority="1624" stopIfTrue="1" operator="between">
      <formula>220001</formula>
      <formula>221144</formula>
    </cfRule>
  </conditionalFormatting>
  <conditionalFormatting sqref="AL13">
    <cfRule type="cellIs" dxfId="1657" priority="1619" stopIfTrue="1" operator="between">
      <formula>221101</formula>
      <formula>221118</formula>
    </cfRule>
    <cfRule type="cellIs" dxfId="1656" priority="1620" stopIfTrue="1" operator="between">
      <formula>221142</formula>
      <formula>221144</formula>
    </cfRule>
    <cfRule type="cellIs" dxfId="1655" priority="1621" stopIfTrue="1" operator="between">
      <formula>220001</formula>
      <formula>221144</formula>
    </cfRule>
  </conditionalFormatting>
  <conditionalFormatting sqref="AM13">
    <cfRule type="cellIs" dxfId="1654" priority="1616" stopIfTrue="1" operator="between">
      <formula>221101</formula>
      <formula>221118</formula>
    </cfRule>
    <cfRule type="cellIs" dxfId="1653" priority="1617" stopIfTrue="1" operator="between">
      <formula>221142</formula>
      <formula>221144</formula>
    </cfRule>
    <cfRule type="cellIs" dxfId="1652" priority="1618" stopIfTrue="1" operator="between">
      <formula>220001</formula>
      <formula>221144</formula>
    </cfRule>
  </conditionalFormatting>
  <conditionalFormatting sqref="AB13">
    <cfRule type="cellIs" dxfId="1651" priority="1613" stopIfTrue="1" operator="between">
      <formula>221101</formula>
      <formula>221118</formula>
    </cfRule>
    <cfRule type="cellIs" dxfId="1650" priority="1614" stopIfTrue="1" operator="between">
      <formula>221142</formula>
      <formula>221144</formula>
    </cfRule>
    <cfRule type="cellIs" dxfId="1649" priority="1615" stopIfTrue="1" operator="between">
      <formula>220001</formula>
      <formula>221144</formula>
    </cfRule>
  </conditionalFormatting>
  <conditionalFormatting sqref="AA13">
    <cfRule type="cellIs" dxfId="1648" priority="1610" stopIfTrue="1" operator="between">
      <formula>221101</formula>
      <formula>221118</formula>
    </cfRule>
    <cfRule type="cellIs" dxfId="1647" priority="1611" stopIfTrue="1" operator="between">
      <formula>221142</formula>
      <formula>221144</formula>
    </cfRule>
    <cfRule type="cellIs" dxfId="1646" priority="1612" stopIfTrue="1" operator="between">
      <formula>220001</formula>
      <formula>221144</formula>
    </cfRule>
  </conditionalFormatting>
  <conditionalFormatting sqref="AK13">
    <cfRule type="cellIs" dxfId="1645" priority="1607" stopIfTrue="1" operator="between">
      <formula>221101</formula>
      <formula>221118</formula>
    </cfRule>
    <cfRule type="cellIs" dxfId="1644" priority="1608" stopIfTrue="1" operator="between">
      <formula>221142</formula>
      <formula>221144</formula>
    </cfRule>
    <cfRule type="cellIs" dxfId="1643" priority="1609" stopIfTrue="1" operator="between">
      <formula>220001</formula>
      <formula>221144</formula>
    </cfRule>
  </conditionalFormatting>
  <conditionalFormatting sqref="AL13">
    <cfRule type="cellIs" dxfId="1642" priority="1604" stopIfTrue="1" operator="between">
      <formula>221101</formula>
      <formula>221118</formula>
    </cfRule>
    <cfRule type="cellIs" dxfId="1641" priority="1605" stopIfTrue="1" operator="between">
      <formula>221142</formula>
      <formula>221144</formula>
    </cfRule>
    <cfRule type="cellIs" dxfId="1640" priority="1606" stopIfTrue="1" operator="between">
      <formula>220001</formula>
      <formula>221144</formula>
    </cfRule>
  </conditionalFormatting>
  <conditionalFormatting sqref="AB13">
    <cfRule type="cellIs" dxfId="1639" priority="1601" stopIfTrue="1" operator="between">
      <formula>221101</formula>
      <formula>221118</formula>
    </cfRule>
    <cfRule type="cellIs" dxfId="1638" priority="1602" stopIfTrue="1" operator="between">
      <formula>221142</formula>
      <formula>221144</formula>
    </cfRule>
    <cfRule type="cellIs" dxfId="1637" priority="1603" stopIfTrue="1" operator="between">
      <formula>220001</formula>
      <formula>221144</formula>
    </cfRule>
  </conditionalFormatting>
  <conditionalFormatting sqref="AA13">
    <cfRule type="cellIs" dxfId="1636" priority="1598" stopIfTrue="1" operator="between">
      <formula>221101</formula>
      <formula>221118</formula>
    </cfRule>
    <cfRule type="cellIs" dxfId="1635" priority="1599" stopIfTrue="1" operator="between">
      <formula>221142</formula>
      <formula>221144</formula>
    </cfRule>
    <cfRule type="cellIs" dxfId="1634" priority="1600" stopIfTrue="1" operator="between">
      <formula>220001</formula>
      <formula>221144</formula>
    </cfRule>
  </conditionalFormatting>
  <conditionalFormatting sqref="AK13">
    <cfRule type="cellIs" dxfId="1633" priority="1595" stopIfTrue="1" operator="between">
      <formula>221101</formula>
      <formula>221118</formula>
    </cfRule>
    <cfRule type="cellIs" dxfId="1632" priority="1596" stopIfTrue="1" operator="between">
      <formula>221142</formula>
      <formula>221144</formula>
    </cfRule>
    <cfRule type="cellIs" dxfId="1631" priority="1597" stopIfTrue="1" operator="between">
      <formula>220001</formula>
      <formula>221144</formula>
    </cfRule>
  </conditionalFormatting>
  <conditionalFormatting sqref="AL13">
    <cfRule type="cellIs" dxfId="1630" priority="1592" stopIfTrue="1" operator="between">
      <formula>221101</formula>
      <formula>221118</formula>
    </cfRule>
    <cfRule type="cellIs" dxfId="1629" priority="1593" stopIfTrue="1" operator="between">
      <formula>221142</formula>
      <formula>221144</formula>
    </cfRule>
    <cfRule type="cellIs" dxfId="1628" priority="1594" stopIfTrue="1" operator="between">
      <formula>220001</formula>
      <formula>221144</formula>
    </cfRule>
  </conditionalFormatting>
  <conditionalFormatting sqref="AA13">
    <cfRule type="cellIs" dxfId="1627" priority="1589" stopIfTrue="1" operator="between">
      <formula>221101</formula>
      <formula>221118</formula>
    </cfRule>
    <cfRule type="cellIs" dxfId="1626" priority="1590" stopIfTrue="1" operator="between">
      <formula>221142</formula>
      <formula>221144</formula>
    </cfRule>
    <cfRule type="cellIs" dxfId="1625" priority="1591" stopIfTrue="1" operator="between">
      <formula>220001</formula>
      <formula>221144</formula>
    </cfRule>
  </conditionalFormatting>
  <conditionalFormatting sqref="Z13">
    <cfRule type="cellIs" dxfId="1624" priority="1586" stopIfTrue="1" operator="between">
      <formula>221101</formula>
      <formula>221118</formula>
    </cfRule>
    <cfRule type="cellIs" dxfId="1623" priority="1587" stopIfTrue="1" operator="between">
      <formula>221142</formula>
      <formula>221144</formula>
    </cfRule>
    <cfRule type="cellIs" dxfId="1622" priority="1588" stopIfTrue="1" operator="between">
      <formula>220001</formula>
      <formula>221144</formula>
    </cfRule>
  </conditionalFormatting>
  <conditionalFormatting sqref="AJ13">
    <cfRule type="cellIs" dxfId="1621" priority="1583" stopIfTrue="1" operator="between">
      <formula>221101</formula>
      <formula>221118</formula>
    </cfRule>
    <cfRule type="cellIs" dxfId="1620" priority="1584" stopIfTrue="1" operator="between">
      <formula>221142</formula>
      <formula>221144</formula>
    </cfRule>
    <cfRule type="cellIs" dxfId="1619" priority="1585" stopIfTrue="1" operator="between">
      <formula>220001</formula>
      <formula>221144</formula>
    </cfRule>
  </conditionalFormatting>
  <conditionalFormatting sqref="AK13">
    <cfRule type="cellIs" dxfId="1618" priority="1580" stopIfTrue="1" operator="between">
      <formula>221101</formula>
      <formula>221118</formula>
    </cfRule>
    <cfRule type="cellIs" dxfId="1617" priority="1581" stopIfTrue="1" operator="between">
      <formula>221142</formula>
      <formula>221144</formula>
    </cfRule>
    <cfRule type="cellIs" dxfId="1616" priority="1582" stopIfTrue="1" operator="between">
      <formula>220001</formula>
      <formula>221144</formula>
    </cfRule>
  </conditionalFormatting>
  <conditionalFormatting sqref="D13">
    <cfRule type="cellIs" dxfId="1615" priority="1577" stopIfTrue="1" operator="between">
      <formula>221101</formula>
      <formula>221118</formula>
    </cfRule>
    <cfRule type="cellIs" dxfId="1614" priority="1578" stopIfTrue="1" operator="between">
      <formula>221142</formula>
      <formula>221144</formula>
    </cfRule>
    <cfRule type="cellIs" dxfId="1613" priority="1579" stopIfTrue="1" operator="between">
      <formula>220001</formula>
      <formula>221144</formula>
    </cfRule>
  </conditionalFormatting>
  <conditionalFormatting sqref="AD13">
    <cfRule type="cellIs" dxfId="1612" priority="1574" stopIfTrue="1" operator="between">
      <formula>221101</formula>
      <formula>221118</formula>
    </cfRule>
    <cfRule type="cellIs" dxfId="1611" priority="1575" stopIfTrue="1" operator="between">
      <formula>221142</formula>
      <formula>221144</formula>
    </cfRule>
    <cfRule type="cellIs" dxfId="1610" priority="1576" stopIfTrue="1" operator="between">
      <formula>220001</formula>
      <formula>221144</formula>
    </cfRule>
  </conditionalFormatting>
  <conditionalFormatting sqref="AC13">
    <cfRule type="cellIs" dxfId="1609" priority="1571" stopIfTrue="1" operator="between">
      <formula>221101</formula>
      <formula>221118</formula>
    </cfRule>
    <cfRule type="cellIs" dxfId="1608" priority="1572" stopIfTrue="1" operator="between">
      <formula>221142</formula>
      <formula>221144</formula>
    </cfRule>
    <cfRule type="cellIs" dxfId="1607" priority="1573" stopIfTrue="1" operator="between">
      <formula>220001</formula>
      <formula>221144</formula>
    </cfRule>
  </conditionalFormatting>
  <conditionalFormatting sqref="AM13">
    <cfRule type="cellIs" dxfId="1606" priority="1568" stopIfTrue="1" operator="between">
      <formula>221101</formula>
      <formula>221118</formula>
    </cfRule>
    <cfRule type="cellIs" dxfId="1605" priority="1569" stopIfTrue="1" operator="between">
      <formula>221142</formula>
      <formula>221144</formula>
    </cfRule>
    <cfRule type="cellIs" dxfId="1604" priority="1570" stopIfTrue="1" operator="between">
      <formula>220001</formula>
      <formula>221144</formula>
    </cfRule>
  </conditionalFormatting>
  <conditionalFormatting sqref="AN13">
    <cfRule type="cellIs" dxfId="1603" priority="1565" stopIfTrue="1" operator="between">
      <formula>221101</formula>
      <formula>221118</formula>
    </cfRule>
    <cfRule type="cellIs" dxfId="1602" priority="1566" stopIfTrue="1" operator="between">
      <formula>221142</formula>
      <formula>221144</formula>
    </cfRule>
    <cfRule type="cellIs" dxfId="1601" priority="1567" stopIfTrue="1" operator="between">
      <formula>220001</formula>
      <formula>221144</formula>
    </cfRule>
  </conditionalFormatting>
  <conditionalFormatting sqref="AC13">
    <cfRule type="cellIs" dxfId="1600" priority="1562" stopIfTrue="1" operator="between">
      <formula>221101</formula>
      <formula>221118</formula>
    </cfRule>
    <cfRule type="cellIs" dxfId="1599" priority="1563" stopIfTrue="1" operator="between">
      <formula>221142</formula>
      <formula>221144</formula>
    </cfRule>
    <cfRule type="cellIs" dxfId="1598" priority="1564" stopIfTrue="1" operator="between">
      <formula>220001</formula>
      <formula>221144</formula>
    </cfRule>
  </conditionalFormatting>
  <conditionalFormatting sqref="AB13">
    <cfRule type="cellIs" dxfId="1597" priority="1559" stopIfTrue="1" operator="between">
      <formula>221101</formula>
      <formula>221118</formula>
    </cfRule>
    <cfRule type="cellIs" dxfId="1596" priority="1560" stopIfTrue="1" operator="between">
      <formula>221142</formula>
      <formula>221144</formula>
    </cfRule>
    <cfRule type="cellIs" dxfId="1595" priority="1561" stopIfTrue="1" operator="between">
      <formula>220001</formula>
      <formula>221144</formula>
    </cfRule>
  </conditionalFormatting>
  <conditionalFormatting sqref="AL13">
    <cfRule type="cellIs" dxfId="1594" priority="1556" stopIfTrue="1" operator="between">
      <formula>221101</formula>
      <formula>221118</formula>
    </cfRule>
    <cfRule type="cellIs" dxfId="1593" priority="1557" stopIfTrue="1" operator="between">
      <formula>221142</formula>
      <formula>221144</formula>
    </cfRule>
    <cfRule type="cellIs" dxfId="1592" priority="1558" stopIfTrue="1" operator="between">
      <formula>220001</formula>
      <formula>221144</formula>
    </cfRule>
  </conditionalFormatting>
  <conditionalFormatting sqref="AM13">
    <cfRule type="cellIs" dxfId="1591" priority="1553" stopIfTrue="1" operator="between">
      <formula>221101</formula>
      <formula>221118</formula>
    </cfRule>
    <cfRule type="cellIs" dxfId="1590" priority="1554" stopIfTrue="1" operator="between">
      <formula>221142</formula>
      <formula>221144</formula>
    </cfRule>
    <cfRule type="cellIs" dxfId="1589" priority="1555" stopIfTrue="1" operator="between">
      <formula>220001</formula>
      <formula>221144</formula>
    </cfRule>
  </conditionalFormatting>
  <conditionalFormatting sqref="C13">
    <cfRule type="cellIs" dxfId="1588" priority="1550" stopIfTrue="1" operator="between">
      <formula>221101</formula>
      <formula>221118</formula>
    </cfRule>
    <cfRule type="cellIs" dxfId="1587" priority="1551" stopIfTrue="1" operator="between">
      <formula>221142</formula>
      <formula>221144</formula>
    </cfRule>
    <cfRule type="cellIs" dxfId="1586" priority="1552" stopIfTrue="1" operator="between">
      <formula>220001</formula>
      <formula>221144</formula>
    </cfRule>
  </conditionalFormatting>
  <conditionalFormatting sqref="C13">
    <cfRule type="cellIs" dxfId="1585" priority="1547" stopIfTrue="1" operator="between">
      <formula>221101</formula>
      <formula>221118</formula>
    </cfRule>
    <cfRule type="cellIs" dxfId="1584" priority="1548" stopIfTrue="1" operator="between">
      <formula>221142</formula>
      <formula>221144</formula>
    </cfRule>
    <cfRule type="cellIs" dxfId="1583" priority="1549" stopIfTrue="1" operator="between">
      <formula>220001</formula>
      <formula>221144</formula>
    </cfRule>
  </conditionalFormatting>
  <conditionalFormatting sqref="C13">
    <cfRule type="cellIs" dxfId="1582" priority="1544" stopIfTrue="1" operator="between">
      <formula>221101</formula>
      <formula>221118</formula>
    </cfRule>
    <cfRule type="cellIs" dxfId="1581" priority="1545" stopIfTrue="1" operator="between">
      <formula>221142</formula>
      <formula>221144</formula>
    </cfRule>
    <cfRule type="cellIs" dxfId="1580" priority="1546" stopIfTrue="1" operator="between">
      <formula>220001</formula>
      <formula>221144</formula>
    </cfRule>
  </conditionalFormatting>
  <conditionalFormatting sqref="C13">
    <cfRule type="cellIs" dxfId="1579" priority="1541" stopIfTrue="1" operator="between">
      <formula>221101</formula>
      <formula>221118</formula>
    </cfRule>
    <cfRule type="cellIs" dxfId="1578" priority="1542" stopIfTrue="1" operator="between">
      <formula>221142</formula>
      <formula>221144</formula>
    </cfRule>
    <cfRule type="cellIs" dxfId="1577" priority="1543" stopIfTrue="1" operator="between">
      <formula>220001</formula>
      <formula>221144</formula>
    </cfRule>
  </conditionalFormatting>
  <conditionalFormatting sqref="C13">
    <cfRule type="cellIs" dxfId="1576" priority="1538" stopIfTrue="1" operator="between">
      <formula>221101</formula>
      <formula>221118</formula>
    </cfRule>
    <cfRule type="cellIs" dxfId="1575" priority="1539" stopIfTrue="1" operator="between">
      <formula>221142</formula>
      <formula>221144</formula>
    </cfRule>
    <cfRule type="cellIs" dxfId="1574" priority="1540" stopIfTrue="1" operator="between">
      <formula>220001</formula>
      <formula>221144</formula>
    </cfRule>
  </conditionalFormatting>
  <conditionalFormatting sqref="AC13">
    <cfRule type="cellIs" dxfId="1573" priority="1535" stopIfTrue="1" operator="between">
      <formula>221101</formula>
      <formula>221118</formula>
    </cfRule>
    <cfRule type="cellIs" dxfId="1572" priority="1536" stopIfTrue="1" operator="between">
      <formula>221142</formula>
      <formula>221144</formula>
    </cfRule>
    <cfRule type="cellIs" dxfId="1571" priority="1537" stopIfTrue="1" operator="between">
      <formula>220001</formula>
      <formula>221144</formula>
    </cfRule>
  </conditionalFormatting>
  <conditionalFormatting sqref="AB13">
    <cfRule type="cellIs" dxfId="1570" priority="1532" stopIfTrue="1" operator="between">
      <formula>221101</formula>
      <formula>221118</formula>
    </cfRule>
    <cfRule type="cellIs" dxfId="1569" priority="1533" stopIfTrue="1" operator="between">
      <formula>221142</formula>
      <formula>221144</formula>
    </cfRule>
    <cfRule type="cellIs" dxfId="1568" priority="1534" stopIfTrue="1" operator="between">
      <formula>220001</formula>
      <formula>221144</formula>
    </cfRule>
  </conditionalFormatting>
  <conditionalFormatting sqref="AL13">
    <cfRule type="cellIs" dxfId="1567" priority="1529" stopIfTrue="1" operator="between">
      <formula>221101</formula>
      <formula>221118</formula>
    </cfRule>
    <cfRule type="cellIs" dxfId="1566" priority="1530" stopIfTrue="1" operator="between">
      <formula>221142</formula>
      <formula>221144</formula>
    </cfRule>
    <cfRule type="cellIs" dxfId="1565" priority="1531" stopIfTrue="1" operator="between">
      <formula>220001</formula>
      <formula>221144</formula>
    </cfRule>
  </conditionalFormatting>
  <conditionalFormatting sqref="AM13">
    <cfRule type="cellIs" dxfId="1564" priority="1526" stopIfTrue="1" operator="between">
      <formula>221101</formula>
      <formula>221118</formula>
    </cfRule>
    <cfRule type="cellIs" dxfId="1563" priority="1527" stopIfTrue="1" operator="between">
      <formula>221142</formula>
      <formula>221144</formula>
    </cfRule>
    <cfRule type="cellIs" dxfId="1562" priority="1528" stopIfTrue="1" operator="between">
      <formula>220001</formula>
      <formula>221144</formula>
    </cfRule>
  </conditionalFormatting>
  <conditionalFormatting sqref="AB13">
    <cfRule type="cellIs" dxfId="1561" priority="1523" stopIfTrue="1" operator="between">
      <formula>221101</formula>
      <formula>221118</formula>
    </cfRule>
    <cfRule type="cellIs" dxfId="1560" priority="1524" stopIfTrue="1" operator="between">
      <formula>221142</formula>
      <formula>221144</formula>
    </cfRule>
    <cfRule type="cellIs" dxfId="1559" priority="1525" stopIfTrue="1" operator="between">
      <formula>220001</formula>
      <formula>221144</formula>
    </cfRule>
  </conditionalFormatting>
  <conditionalFormatting sqref="AA13">
    <cfRule type="cellIs" dxfId="1558" priority="1520" stopIfTrue="1" operator="between">
      <formula>221101</formula>
      <formula>221118</formula>
    </cfRule>
    <cfRule type="cellIs" dxfId="1557" priority="1521" stopIfTrue="1" operator="between">
      <formula>221142</formula>
      <formula>221144</formula>
    </cfRule>
    <cfRule type="cellIs" dxfId="1556" priority="1522" stopIfTrue="1" operator="between">
      <formula>220001</formula>
      <formula>221144</formula>
    </cfRule>
  </conditionalFormatting>
  <conditionalFormatting sqref="AK13">
    <cfRule type="cellIs" dxfId="1555" priority="1517" stopIfTrue="1" operator="between">
      <formula>221101</formula>
      <formula>221118</formula>
    </cfRule>
    <cfRule type="cellIs" dxfId="1554" priority="1518" stopIfTrue="1" operator="between">
      <formula>221142</formula>
      <formula>221144</formula>
    </cfRule>
    <cfRule type="cellIs" dxfId="1553" priority="1519" stopIfTrue="1" operator="between">
      <formula>220001</formula>
      <formula>221144</formula>
    </cfRule>
  </conditionalFormatting>
  <conditionalFormatting sqref="AL13">
    <cfRule type="cellIs" dxfId="1552" priority="1514" stopIfTrue="1" operator="between">
      <formula>221101</formula>
      <formula>221118</formula>
    </cfRule>
    <cfRule type="cellIs" dxfId="1551" priority="1515" stopIfTrue="1" operator="between">
      <formula>221142</formula>
      <formula>221144</formula>
    </cfRule>
    <cfRule type="cellIs" dxfId="1550" priority="1516" stopIfTrue="1" operator="between">
      <formula>220001</formula>
      <formula>221144</formula>
    </cfRule>
  </conditionalFormatting>
  <conditionalFormatting sqref="C13">
    <cfRule type="cellIs" dxfId="1549" priority="1511" stopIfTrue="1" operator="between">
      <formula>221101</formula>
      <formula>221118</formula>
    </cfRule>
    <cfRule type="cellIs" dxfId="1548" priority="1512" stopIfTrue="1" operator="between">
      <formula>221142</formula>
      <formula>221144</formula>
    </cfRule>
    <cfRule type="cellIs" dxfId="1547" priority="1513" stopIfTrue="1" operator="between">
      <formula>220001</formula>
      <formula>221144</formula>
    </cfRule>
  </conditionalFormatting>
  <conditionalFormatting sqref="AC13">
    <cfRule type="cellIs" dxfId="1546" priority="1508" stopIfTrue="1" operator="between">
      <formula>221101</formula>
      <formula>221118</formula>
    </cfRule>
    <cfRule type="cellIs" dxfId="1545" priority="1509" stopIfTrue="1" operator="between">
      <formula>221142</formula>
      <formula>221144</formula>
    </cfRule>
    <cfRule type="cellIs" dxfId="1544" priority="1510" stopIfTrue="1" operator="between">
      <formula>220001</formula>
      <formula>221144</formula>
    </cfRule>
  </conditionalFormatting>
  <conditionalFormatting sqref="AB13">
    <cfRule type="cellIs" dxfId="1543" priority="1505" stopIfTrue="1" operator="between">
      <formula>221101</formula>
      <formula>221118</formula>
    </cfRule>
    <cfRule type="cellIs" dxfId="1542" priority="1506" stopIfTrue="1" operator="between">
      <formula>221142</formula>
      <formula>221144</formula>
    </cfRule>
    <cfRule type="cellIs" dxfId="1541" priority="1507" stopIfTrue="1" operator="between">
      <formula>220001</formula>
      <formula>221144</formula>
    </cfRule>
  </conditionalFormatting>
  <conditionalFormatting sqref="AL13">
    <cfRule type="cellIs" dxfId="1540" priority="1502" stopIfTrue="1" operator="between">
      <formula>221101</formula>
      <formula>221118</formula>
    </cfRule>
    <cfRule type="cellIs" dxfId="1539" priority="1503" stopIfTrue="1" operator="between">
      <formula>221142</formula>
      <formula>221144</formula>
    </cfRule>
    <cfRule type="cellIs" dxfId="1538" priority="1504" stopIfTrue="1" operator="between">
      <formula>220001</formula>
      <formula>221144</formula>
    </cfRule>
  </conditionalFormatting>
  <conditionalFormatting sqref="AM13">
    <cfRule type="cellIs" dxfId="1537" priority="1499" stopIfTrue="1" operator="between">
      <formula>221101</formula>
      <formula>221118</formula>
    </cfRule>
    <cfRule type="cellIs" dxfId="1536" priority="1500" stopIfTrue="1" operator="between">
      <formula>221142</formula>
      <formula>221144</formula>
    </cfRule>
    <cfRule type="cellIs" dxfId="1535" priority="1501" stopIfTrue="1" operator="between">
      <formula>220001</formula>
      <formula>221144</formula>
    </cfRule>
  </conditionalFormatting>
  <conditionalFormatting sqref="AB13">
    <cfRule type="cellIs" dxfId="1534" priority="1496" stopIfTrue="1" operator="between">
      <formula>221101</formula>
      <formula>221118</formula>
    </cfRule>
    <cfRule type="cellIs" dxfId="1533" priority="1497" stopIfTrue="1" operator="between">
      <formula>221142</formula>
      <formula>221144</formula>
    </cfRule>
    <cfRule type="cellIs" dxfId="1532" priority="1498" stopIfTrue="1" operator="between">
      <formula>220001</formula>
      <formula>221144</formula>
    </cfRule>
  </conditionalFormatting>
  <conditionalFormatting sqref="AA13">
    <cfRule type="cellIs" dxfId="1531" priority="1493" stopIfTrue="1" operator="between">
      <formula>221101</formula>
      <formula>221118</formula>
    </cfRule>
    <cfRule type="cellIs" dxfId="1530" priority="1494" stopIfTrue="1" operator="between">
      <formula>221142</formula>
      <formula>221144</formula>
    </cfRule>
    <cfRule type="cellIs" dxfId="1529" priority="1495" stopIfTrue="1" operator="between">
      <formula>220001</formula>
      <formula>221144</formula>
    </cfRule>
  </conditionalFormatting>
  <conditionalFormatting sqref="AK13">
    <cfRule type="cellIs" dxfId="1528" priority="1490" stopIfTrue="1" operator="between">
      <formula>221101</formula>
      <formula>221118</formula>
    </cfRule>
    <cfRule type="cellIs" dxfId="1527" priority="1491" stopIfTrue="1" operator="between">
      <formula>221142</formula>
      <formula>221144</formula>
    </cfRule>
    <cfRule type="cellIs" dxfId="1526" priority="1492" stopIfTrue="1" operator="between">
      <formula>220001</formula>
      <formula>221144</formula>
    </cfRule>
  </conditionalFormatting>
  <conditionalFormatting sqref="AL13">
    <cfRule type="cellIs" dxfId="1525" priority="1487" stopIfTrue="1" operator="between">
      <formula>221101</formula>
      <formula>221118</formula>
    </cfRule>
    <cfRule type="cellIs" dxfId="1524" priority="1488" stopIfTrue="1" operator="between">
      <formula>221142</formula>
      <formula>221144</formula>
    </cfRule>
    <cfRule type="cellIs" dxfId="1523" priority="1489" stopIfTrue="1" operator="between">
      <formula>220001</formula>
      <formula>221144</formula>
    </cfRule>
  </conditionalFormatting>
  <conditionalFormatting sqref="AB13">
    <cfRule type="cellIs" dxfId="1522" priority="1484" stopIfTrue="1" operator="between">
      <formula>221101</formula>
      <formula>221118</formula>
    </cfRule>
    <cfRule type="cellIs" dxfId="1521" priority="1485" stopIfTrue="1" operator="between">
      <formula>221142</formula>
      <formula>221144</formula>
    </cfRule>
    <cfRule type="cellIs" dxfId="1520" priority="1486" stopIfTrue="1" operator="between">
      <formula>220001</formula>
      <formula>221144</formula>
    </cfRule>
  </conditionalFormatting>
  <conditionalFormatting sqref="AA13">
    <cfRule type="cellIs" dxfId="1519" priority="1481" stopIfTrue="1" operator="between">
      <formula>221101</formula>
      <formula>221118</formula>
    </cfRule>
    <cfRule type="cellIs" dxfId="1518" priority="1482" stopIfTrue="1" operator="between">
      <formula>221142</formula>
      <formula>221144</formula>
    </cfRule>
    <cfRule type="cellIs" dxfId="1517" priority="1483" stopIfTrue="1" operator="between">
      <formula>220001</formula>
      <formula>221144</formula>
    </cfRule>
  </conditionalFormatting>
  <conditionalFormatting sqref="AK13">
    <cfRule type="cellIs" dxfId="1516" priority="1478" stopIfTrue="1" operator="between">
      <formula>221101</formula>
      <formula>221118</formula>
    </cfRule>
    <cfRule type="cellIs" dxfId="1515" priority="1479" stopIfTrue="1" operator="between">
      <formula>221142</formula>
      <formula>221144</formula>
    </cfRule>
    <cfRule type="cellIs" dxfId="1514" priority="1480" stopIfTrue="1" operator="between">
      <formula>220001</formula>
      <formula>221144</formula>
    </cfRule>
  </conditionalFormatting>
  <conditionalFormatting sqref="AL13">
    <cfRule type="cellIs" dxfId="1513" priority="1475" stopIfTrue="1" operator="between">
      <formula>221101</formula>
      <formula>221118</formula>
    </cfRule>
    <cfRule type="cellIs" dxfId="1512" priority="1476" stopIfTrue="1" operator="between">
      <formula>221142</formula>
      <formula>221144</formula>
    </cfRule>
    <cfRule type="cellIs" dxfId="1511" priority="1477" stopIfTrue="1" operator="between">
      <formula>220001</formula>
      <formula>221144</formula>
    </cfRule>
  </conditionalFormatting>
  <conditionalFormatting sqref="AA13">
    <cfRule type="cellIs" dxfId="1510" priority="1472" stopIfTrue="1" operator="between">
      <formula>221101</formula>
      <formula>221118</formula>
    </cfRule>
    <cfRule type="cellIs" dxfId="1509" priority="1473" stopIfTrue="1" operator="between">
      <formula>221142</formula>
      <formula>221144</formula>
    </cfRule>
    <cfRule type="cellIs" dxfId="1508" priority="1474" stopIfTrue="1" operator="between">
      <formula>220001</formula>
      <formula>221144</formula>
    </cfRule>
  </conditionalFormatting>
  <conditionalFormatting sqref="Z13">
    <cfRule type="cellIs" dxfId="1507" priority="1469" stopIfTrue="1" operator="between">
      <formula>221101</formula>
      <formula>221118</formula>
    </cfRule>
    <cfRule type="cellIs" dxfId="1506" priority="1470" stopIfTrue="1" operator="between">
      <formula>221142</formula>
      <formula>221144</formula>
    </cfRule>
    <cfRule type="cellIs" dxfId="1505" priority="1471" stopIfTrue="1" operator="between">
      <formula>220001</formula>
      <formula>221144</formula>
    </cfRule>
  </conditionalFormatting>
  <conditionalFormatting sqref="AJ13">
    <cfRule type="cellIs" dxfId="1504" priority="1466" stopIfTrue="1" operator="between">
      <formula>221101</formula>
      <formula>221118</formula>
    </cfRule>
    <cfRule type="cellIs" dxfId="1503" priority="1467" stopIfTrue="1" operator="between">
      <formula>221142</formula>
      <formula>221144</formula>
    </cfRule>
    <cfRule type="cellIs" dxfId="1502" priority="1468" stopIfTrue="1" operator="between">
      <formula>220001</formula>
      <formula>221144</formula>
    </cfRule>
  </conditionalFormatting>
  <conditionalFormatting sqref="AK13">
    <cfRule type="cellIs" dxfId="1501" priority="1463" stopIfTrue="1" operator="between">
      <formula>221101</formula>
      <formula>221118</formula>
    </cfRule>
    <cfRule type="cellIs" dxfId="1500" priority="1464" stopIfTrue="1" operator="between">
      <formula>221142</formula>
      <formula>221144</formula>
    </cfRule>
    <cfRule type="cellIs" dxfId="1499" priority="1465" stopIfTrue="1" operator="between">
      <formula>220001</formula>
      <formula>221144</formula>
    </cfRule>
  </conditionalFormatting>
  <conditionalFormatting sqref="C13">
    <cfRule type="cellIs" dxfId="1498" priority="1460" stopIfTrue="1" operator="between">
      <formula>221101</formula>
      <formula>221118</formula>
    </cfRule>
    <cfRule type="cellIs" dxfId="1497" priority="1461" stopIfTrue="1" operator="between">
      <formula>221142</formula>
      <formula>221144</formula>
    </cfRule>
    <cfRule type="cellIs" dxfId="1496" priority="1462" stopIfTrue="1" operator="between">
      <formula>220001</formula>
      <formula>221144</formula>
    </cfRule>
  </conditionalFormatting>
  <conditionalFormatting sqref="AC13">
    <cfRule type="cellIs" dxfId="1495" priority="1457" stopIfTrue="1" operator="between">
      <formula>221101</formula>
      <formula>221118</formula>
    </cfRule>
    <cfRule type="cellIs" dxfId="1494" priority="1458" stopIfTrue="1" operator="between">
      <formula>221142</formula>
      <formula>221144</formula>
    </cfRule>
    <cfRule type="cellIs" dxfId="1493" priority="1459" stopIfTrue="1" operator="between">
      <formula>220001</formula>
      <formula>221144</formula>
    </cfRule>
  </conditionalFormatting>
  <conditionalFormatting sqref="AB13">
    <cfRule type="cellIs" dxfId="1492" priority="1454" stopIfTrue="1" operator="between">
      <formula>221101</formula>
      <formula>221118</formula>
    </cfRule>
    <cfRule type="cellIs" dxfId="1491" priority="1455" stopIfTrue="1" operator="between">
      <formula>221142</formula>
      <formula>221144</formula>
    </cfRule>
    <cfRule type="cellIs" dxfId="1490" priority="1456" stopIfTrue="1" operator="between">
      <formula>220001</formula>
      <formula>221144</formula>
    </cfRule>
  </conditionalFormatting>
  <conditionalFormatting sqref="AL13">
    <cfRule type="cellIs" dxfId="1489" priority="1451" stopIfTrue="1" operator="between">
      <formula>221101</formula>
      <formula>221118</formula>
    </cfRule>
    <cfRule type="cellIs" dxfId="1488" priority="1452" stopIfTrue="1" operator="between">
      <formula>221142</formula>
      <formula>221144</formula>
    </cfRule>
    <cfRule type="cellIs" dxfId="1487" priority="1453" stopIfTrue="1" operator="between">
      <formula>220001</formula>
      <formula>221144</formula>
    </cfRule>
  </conditionalFormatting>
  <conditionalFormatting sqref="AM13">
    <cfRule type="cellIs" dxfId="1486" priority="1448" stopIfTrue="1" operator="between">
      <formula>221101</formula>
      <formula>221118</formula>
    </cfRule>
    <cfRule type="cellIs" dxfId="1485" priority="1449" stopIfTrue="1" operator="between">
      <formula>221142</formula>
      <formula>221144</formula>
    </cfRule>
    <cfRule type="cellIs" dxfId="1484" priority="1450" stopIfTrue="1" operator="between">
      <formula>220001</formula>
      <formula>221144</formula>
    </cfRule>
  </conditionalFormatting>
  <conditionalFormatting sqref="AB13">
    <cfRule type="cellIs" dxfId="1483" priority="1445" stopIfTrue="1" operator="between">
      <formula>221101</formula>
      <formula>221118</formula>
    </cfRule>
    <cfRule type="cellIs" dxfId="1482" priority="1446" stopIfTrue="1" operator="between">
      <formula>221142</formula>
      <formula>221144</formula>
    </cfRule>
    <cfRule type="cellIs" dxfId="1481" priority="1447" stopIfTrue="1" operator="between">
      <formula>220001</formula>
      <formula>221144</formula>
    </cfRule>
  </conditionalFormatting>
  <conditionalFormatting sqref="AA13">
    <cfRule type="cellIs" dxfId="1480" priority="1442" stopIfTrue="1" operator="between">
      <formula>221101</formula>
      <formula>221118</formula>
    </cfRule>
    <cfRule type="cellIs" dxfId="1479" priority="1443" stopIfTrue="1" operator="between">
      <formula>221142</formula>
      <formula>221144</formula>
    </cfRule>
    <cfRule type="cellIs" dxfId="1478" priority="1444" stopIfTrue="1" operator="between">
      <formula>220001</formula>
      <formula>221144</formula>
    </cfRule>
  </conditionalFormatting>
  <conditionalFormatting sqref="AK13">
    <cfRule type="cellIs" dxfId="1477" priority="1439" stopIfTrue="1" operator="between">
      <formula>221101</formula>
      <formula>221118</formula>
    </cfRule>
    <cfRule type="cellIs" dxfId="1476" priority="1440" stopIfTrue="1" operator="between">
      <formula>221142</formula>
      <formula>221144</formula>
    </cfRule>
    <cfRule type="cellIs" dxfId="1475" priority="1441" stopIfTrue="1" operator="between">
      <formula>220001</formula>
      <formula>221144</formula>
    </cfRule>
  </conditionalFormatting>
  <conditionalFormatting sqref="AL13">
    <cfRule type="cellIs" dxfId="1474" priority="1436" stopIfTrue="1" operator="between">
      <formula>221101</formula>
      <formula>221118</formula>
    </cfRule>
    <cfRule type="cellIs" dxfId="1473" priority="1437" stopIfTrue="1" operator="between">
      <formula>221142</formula>
      <formula>221144</formula>
    </cfRule>
    <cfRule type="cellIs" dxfId="1472" priority="1438" stopIfTrue="1" operator="between">
      <formula>220001</formula>
      <formula>221144</formula>
    </cfRule>
  </conditionalFormatting>
  <conditionalFormatting sqref="AB13">
    <cfRule type="cellIs" dxfId="1471" priority="1433" stopIfTrue="1" operator="between">
      <formula>221101</formula>
      <formula>221118</formula>
    </cfRule>
    <cfRule type="cellIs" dxfId="1470" priority="1434" stopIfTrue="1" operator="between">
      <formula>221142</formula>
      <formula>221144</formula>
    </cfRule>
    <cfRule type="cellIs" dxfId="1469" priority="1435" stopIfTrue="1" operator="between">
      <formula>220001</formula>
      <formula>221144</formula>
    </cfRule>
  </conditionalFormatting>
  <conditionalFormatting sqref="AA13">
    <cfRule type="cellIs" dxfId="1468" priority="1430" stopIfTrue="1" operator="between">
      <formula>221101</formula>
      <formula>221118</formula>
    </cfRule>
    <cfRule type="cellIs" dxfId="1467" priority="1431" stopIfTrue="1" operator="between">
      <formula>221142</formula>
      <formula>221144</formula>
    </cfRule>
    <cfRule type="cellIs" dxfId="1466" priority="1432" stopIfTrue="1" operator="between">
      <formula>220001</formula>
      <formula>221144</formula>
    </cfRule>
  </conditionalFormatting>
  <conditionalFormatting sqref="AK13">
    <cfRule type="cellIs" dxfId="1465" priority="1427" stopIfTrue="1" operator="between">
      <formula>221101</formula>
      <formula>221118</formula>
    </cfRule>
    <cfRule type="cellIs" dxfId="1464" priority="1428" stopIfTrue="1" operator="between">
      <formula>221142</formula>
      <formula>221144</formula>
    </cfRule>
    <cfRule type="cellIs" dxfId="1463" priority="1429" stopIfTrue="1" operator="between">
      <formula>220001</formula>
      <formula>221144</formula>
    </cfRule>
  </conditionalFormatting>
  <conditionalFormatting sqref="AL13">
    <cfRule type="cellIs" dxfId="1462" priority="1424" stopIfTrue="1" operator="between">
      <formula>221101</formula>
      <formula>221118</formula>
    </cfRule>
    <cfRule type="cellIs" dxfId="1461" priority="1425" stopIfTrue="1" operator="between">
      <formula>221142</formula>
      <formula>221144</formula>
    </cfRule>
    <cfRule type="cellIs" dxfId="1460" priority="1426" stopIfTrue="1" operator="between">
      <formula>220001</formula>
      <formula>221144</formula>
    </cfRule>
  </conditionalFormatting>
  <conditionalFormatting sqref="AA13">
    <cfRule type="cellIs" dxfId="1459" priority="1421" stopIfTrue="1" operator="between">
      <formula>221101</formula>
      <formula>221118</formula>
    </cfRule>
    <cfRule type="cellIs" dxfId="1458" priority="1422" stopIfTrue="1" operator="between">
      <formula>221142</formula>
      <formula>221144</formula>
    </cfRule>
    <cfRule type="cellIs" dxfId="1457" priority="1423" stopIfTrue="1" operator="between">
      <formula>220001</formula>
      <formula>221144</formula>
    </cfRule>
  </conditionalFormatting>
  <conditionalFormatting sqref="Z13">
    <cfRule type="cellIs" dxfId="1456" priority="1418" stopIfTrue="1" operator="between">
      <formula>221101</formula>
      <formula>221118</formula>
    </cfRule>
    <cfRule type="cellIs" dxfId="1455" priority="1419" stopIfTrue="1" operator="between">
      <formula>221142</formula>
      <formula>221144</formula>
    </cfRule>
    <cfRule type="cellIs" dxfId="1454" priority="1420" stopIfTrue="1" operator="between">
      <formula>220001</formula>
      <formula>221144</formula>
    </cfRule>
  </conditionalFormatting>
  <conditionalFormatting sqref="AJ13">
    <cfRule type="cellIs" dxfId="1453" priority="1415" stopIfTrue="1" operator="between">
      <formula>221101</formula>
      <formula>221118</formula>
    </cfRule>
    <cfRule type="cellIs" dxfId="1452" priority="1416" stopIfTrue="1" operator="between">
      <formula>221142</formula>
      <formula>221144</formula>
    </cfRule>
    <cfRule type="cellIs" dxfId="1451" priority="1417" stopIfTrue="1" operator="between">
      <formula>220001</formula>
      <formula>221144</formula>
    </cfRule>
  </conditionalFormatting>
  <conditionalFormatting sqref="AK13">
    <cfRule type="cellIs" dxfId="1450" priority="1412" stopIfTrue="1" operator="between">
      <formula>221101</formula>
      <formula>221118</formula>
    </cfRule>
    <cfRule type="cellIs" dxfId="1449" priority="1413" stopIfTrue="1" operator="between">
      <formula>221142</formula>
      <formula>221144</formula>
    </cfRule>
    <cfRule type="cellIs" dxfId="1448" priority="1414" stopIfTrue="1" operator="between">
      <formula>220001</formula>
      <formula>221144</formula>
    </cfRule>
  </conditionalFormatting>
  <conditionalFormatting sqref="AB13">
    <cfRule type="cellIs" dxfId="1447" priority="1409" stopIfTrue="1" operator="between">
      <formula>221101</formula>
      <formula>221118</formula>
    </cfRule>
    <cfRule type="cellIs" dxfId="1446" priority="1410" stopIfTrue="1" operator="between">
      <formula>221142</formula>
      <formula>221144</formula>
    </cfRule>
    <cfRule type="cellIs" dxfId="1445" priority="1411" stopIfTrue="1" operator="between">
      <formula>220001</formula>
      <formula>221144</formula>
    </cfRule>
  </conditionalFormatting>
  <conditionalFormatting sqref="AA13">
    <cfRule type="cellIs" dxfId="1444" priority="1406" stopIfTrue="1" operator="between">
      <formula>221101</formula>
      <formula>221118</formula>
    </cfRule>
    <cfRule type="cellIs" dxfId="1443" priority="1407" stopIfTrue="1" operator="between">
      <formula>221142</formula>
      <formula>221144</formula>
    </cfRule>
    <cfRule type="cellIs" dxfId="1442" priority="1408" stopIfTrue="1" operator="between">
      <formula>220001</formula>
      <formula>221144</formula>
    </cfRule>
  </conditionalFormatting>
  <conditionalFormatting sqref="AK13">
    <cfRule type="cellIs" dxfId="1441" priority="1403" stopIfTrue="1" operator="between">
      <formula>221101</formula>
      <formula>221118</formula>
    </cfRule>
    <cfRule type="cellIs" dxfId="1440" priority="1404" stopIfTrue="1" operator="between">
      <formula>221142</formula>
      <formula>221144</formula>
    </cfRule>
    <cfRule type="cellIs" dxfId="1439" priority="1405" stopIfTrue="1" operator="between">
      <formula>220001</formula>
      <formula>221144</formula>
    </cfRule>
  </conditionalFormatting>
  <conditionalFormatting sqref="AL13">
    <cfRule type="cellIs" dxfId="1438" priority="1400" stopIfTrue="1" operator="between">
      <formula>221101</formula>
      <formula>221118</formula>
    </cfRule>
    <cfRule type="cellIs" dxfId="1437" priority="1401" stopIfTrue="1" operator="between">
      <formula>221142</formula>
      <formula>221144</formula>
    </cfRule>
    <cfRule type="cellIs" dxfId="1436" priority="1402" stopIfTrue="1" operator="between">
      <formula>220001</formula>
      <formula>221144</formula>
    </cfRule>
  </conditionalFormatting>
  <conditionalFormatting sqref="AA13">
    <cfRule type="cellIs" dxfId="1435" priority="1397" stopIfTrue="1" operator="between">
      <formula>221101</formula>
      <formula>221118</formula>
    </cfRule>
    <cfRule type="cellIs" dxfId="1434" priority="1398" stopIfTrue="1" operator="between">
      <formula>221142</formula>
      <formula>221144</formula>
    </cfRule>
    <cfRule type="cellIs" dxfId="1433" priority="1399" stopIfTrue="1" operator="between">
      <formula>220001</formula>
      <formula>221144</formula>
    </cfRule>
  </conditionalFormatting>
  <conditionalFormatting sqref="Z13">
    <cfRule type="cellIs" dxfId="1432" priority="1394" stopIfTrue="1" operator="between">
      <formula>221101</formula>
      <formula>221118</formula>
    </cfRule>
    <cfRule type="cellIs" dxfId="1431" priority="1395" stopIfTrue="1" operator="between">
      <formula>221142</formula>
      <formula>221144</formula>
    </cfRule>
    <cfRule type="cellIs" dxfId="1430" priority="1396" stopIfTrue="1" operator="between">
      <formula>220001</formula>
      <formula>221144</formula>
    </cfRule>
  </conditionalFormatting>
  <conditionalFormatting sqref="AJ13">
    <cfRule type="cellIs" dxfId="1429" priority="1391" stopIfTrue="1" operator="between">
      <formula>221101</formula>
      <formula>221118</formula>
    </cfRule>
    <cfRule type="cellIs" dxfId="1428" priority="1392" stopIfTrue="1" operator="between">
      <formula>221142</formula>
      <formula>221144</formula>
    </cfRule>
    <cfRule type="cellIs" dxfId="1427" priority="1393" stopIfTrue="1" operator="between">
      <formula>220001</formula>
      <formula>221144</formula>
    </cfRule>
  </conditionalFormatting>
  <conditionalFormatting sqref="AK13">
    <cfRule type="cellIs" dxfId="1426" priority="1388" stopIfTrue="1" operator="between">
      <formula>221101</formula>
      <formula>221118</formula>
    </cfRule>
    <cfRule type="cellIs" dxfId="1425" priority="1389" stopIfTrue="1" operator="between">
      <formula>221142</formula>
      <formula>221144</formula>
    </cfRule>
    <cfRule type="cellIs" dxfId="1424" priority="1390" stopIfTrue="1" operator="between">
      <formula>220001</formula>
      <formula>221144</formula>
    </cfRule>
  </conditionalFormatting>
  <conditionalFormatting sqref="AA13">
    <cfRule type="cellIs" dxfId="1423" priority="1385" stopIfTrue="1" operator="between">
      <formula>221101</formula>
      <formula>221118</formula>
    </cfRule>
    <cfRule type="cellIs" dxfId="1422" priority="1386" stopIfTrue="1" operator="between">
      <formula>221142</formula>
      <formula>221144</formula>
    </cfRule>
    <cfRule type="cellIs" dxfId="1421" priority="1387" stopIfTrue="1" operator="between">
      <formula>220001</formula>
      <formula>221144</formula>
    </cfRule>
  </conditionalFormatting>
  <conditionalFormatting sqref="Z13">
    <cfRule type="cellIs" dxfId="1420" priority="1382" stopIfTrue="1" operator="between">
      <formula>221101</formula>
      <formula>221118</formula>
    </cfRule>
    <cfRule type="cellIs" dxfId="1419" priority="1383" stopIfTrue="1" operator="between">
      <formula>221142</formula>
      <formula>221144</formula>
    </cfRule>
    <cfRule type="cellIs" dxfId="1418" priority="1384" stopIfTrue="1" operator="between">
      <formula>220001</formula>
      <formula>221144</formula>
    </cfRule>
  </conditionalFormatting>
  <conditionalFormatting sqref="AJ13">
    <cfRule type="cellIs" dxfId="1417" priority="1379" stopIfTrue="1" operator="between">
      <formula>221101</formula>
      <formula>221118</formula>
    </cfRule>
    <cfRule type="cellIs" dxfId="1416" priority="1380" stopIfTrue="1" operator="between">
      <formula>221142</formula>
      <formula>221144</formula>
    </cfRule>
    <cfRule type="cellIs" dxfId="1415" priority="1381" stopIfTrue="1" operator="between">
      <formula>220001</formula>
      <formula>221144</formula>
    </cfRule>
  </conditionalFormatting>
  <conditionalFormatting sqref="AK13">
    <cfRule type="cellIs" dxfId="1414" priority="1376" stopIfTrue="1" operator="between">
      <formula>221101</formula>
      <formula>221118</formula>
    </cfRule>
    <cfRule type="cellIs" dxfId="1413" priority="1377" stopIfTrue="1" operator="between">
      <formula>221142</formula>
      <formula>221144</formula>
    </cfRule>
    <cfRule type="cellIs" dxfId="1412" priority="1378" stopIfTrue="1" operator="between">
      <formula>220001</formula>
      <formula>221144</formula>
    </cfRule>
  </conditionalFormatting>
  <conditionalFormatting sqref="Z13">
    <cfRule type="cellIs" dxfId="1411" priority="1373" stopIfTrue="1" operator="between">
      <formula>221101</formula>
      <formula>221118</formula>
    </cfRule>
    <cfRule type="cellIs" dxfId="1410" priority="1374" stopIfTrue="1" operator="between">
      <formula>221142</formula>
      <formula>221144</formula>
    </cfRule>
    <cfRule type="cellIs" dxfId="1409" priority="1375" stopIfTrue="1" operator="between">
      <formula>220001</formula>
      <formula>221144</formula>
    </cfRule>
  </conditionalFormatting>
  <conditionalFormatting sqref="Y13">
    <cfRule type="cellIs" dxfId="1408" priority="1370" stopIfTrue="1" operator="between">
      <formula>221101</formula>
      <formula>221118</formula>
    </cfRule>
    <cfRule type="cellIs" dxfId="1407" priority="1371" stopIfTrue="1" operator="between">
      <formula>221142</formula>
      <formula>221144</formula>
    </cfRule>
    <cfRule type="cellIs" dxfId="1406" priority="1372" stopIfTrue="1" operator="between">
      <formula>220001</formula>
      <formula>221144</formula>
    </cfRule>
  </conditionalFormatting>
  <conditionalFormatting sqref="AI13">
    <cfRule type="cellIs" dxfId="1405" priority="1367" stopIfTrue="1" operator="between">
      <formula>221101</formula>
      <formula>221118</formula>
    </cfRule>
    <cfRule type="cellIs" dxfId="1404" priority="1368" stopIfTrue="1" operator="between">
      <formula>221142</formula>
      <formula>221144</formula>
    </cfRule>
    <cfRule type="cellIs" dxfId="1403" priority="1369" stopIfTrue="1" operator="between">
      <formula>220001</formula>
      <formula>221144</formula>
    </cfRule>
  </conditionalFormatting>
  <conditionalFormatting sqref="AJ13">
    <cfRule type="cellIs" dxfId="1402" priority="1364" stopIfTrue="1" operator="between">
      <formula>221101</formula>
      <formula>221118</formula>
    </cfRule>
    <cfRule type="cellIs" dxfId="1401" priority="1365" stopIfTrue="1" operator="between">
      <formula>221142</formula>
      <formula>221144</formula>
    </cfRule>
    <cfRule type="cellIs" dxfId="1400" priority="1366" stopIfTrue="1" operator="between">
      <formula>220001</formula>
      <formula>221144</formula>
    </cfRule>
  </conditionalFormatting>
  <conditionalFormatting sqref="D13">
    <cfRule type="cellIs" dxfId="1399" priority="1361" stopIfTrue="1" operator="between">
      <formula>221101</formula>
      <formula>221118</formula>
    </cfRule>
    <cfRule type="cellIs" dxfId="1398" priority="1362" stopIfTrue="1" operator="between">
      <formula>221142</formula>
      <formula>221144</formula>
    </cfRule>
    <cfRule type="cellIs" dxfId="1397" priority="1363" stopIfTrue="1" operator="between">
      <formula>220001</formula>
      <formula>221144</formula>
    </cfRule>
  </conditionalFormatting>
  <conditionalFormatting sqref="AD13">
    <cfRule type="cellIs" dxfId="1396" priority="1358" stopIfTrue="1" operator="between">
      <formula>221101</formula>
      <formula>221118</formula>
    </cfRule>
    <cfRule type="cellIs" dxfId="1395" priority="1359" stopIfTrue="1" operator="between">
      <formula>221142</formula>
      <formula>221144</formula>
    </cfRule>
    <cfRule type="cellIs" dxfId="1394" priority="1360" stopIfTrue="1" operator="between">
      <formula>220001</formula>
      <formula>221144</formula>
    </cfRule>
  </conditionalFormatting>
  <conditionalFormatting sqref="AC13">
    <cfRule type="cellIs" dxfId="1393" priority="1355" stopIfTrue="1" operator="between">
      <formula>221101</formula>
      <formula>221118</formula>
    </cfRule>
    <cfRule type="cellIs" dxfId="1392" priority="1356" stopIfTrue="1" operator="between">
      <formula>221142</formula>
      <formula>221144</formula>
    </cfRule>
    <cfRule type="cellIs" dxfId="1391" priority="1357" stopIfTrue="1" operator="between">
      <formula>220001</formula>
      <formula>221144</formula>
    </cfRule>
  </conditionalFormatting>
  <conditionalFormatting sqref="AM13">
    <cfRule type="cellIs" dxfId="1390" priority="1352" stopIfTrue="1" operator="between">
      <formula>221101</formula>
      <formula>221118</formula>
    </cfRule>
    <cfRule type="cellIs" dxfId="1389" priority="1353" stopIfTrue="1" operator="between">
      <formula>221142</formula>
      <formula>221144</formula>
    </cfRule>
    <cfRule type="cellIs" dxfId="1388" priority="1354" stopIfTrue="1" operator="between">
      <formula>220001</formula>
      <formula>221144</formula>
    </cfRule>
  </conditionalFormatting>
  <conditionalFormatting sqref="AN13">
    <cfRule type="cellIs" dxfId="1387" priority="1349" stopIfTrue="1" operator="between">
      <formula>221101</formula>
      <formula>221118</formula>
    </cfRule>
    <cfRule type="cellIs" dxfId="1386" priority="1350" stopIfTrue="1" operator="between">
      <formula>221142</formula>
      <formula>221144</formula>
    </cfRule>
    <cfRule type="cellIs" dxfId="1385" priority="1351" stopIfTrue="1" operator="between">
      <formula>220001</formula>
      <formula>221144</formula>
    </cfRule>
  </conditionalFormatting>
  <conditionalFormatting sqref="AC13">
    <cfRule type="cellIs" dxfId="1384" priority="1346" stopIfTrue="1" operator="between">
      <formula>221101</formula>
      <formula>221118</formula>
    </cfRule>
    <cfRule type="cellIs" dxfId="1383" priority="1347" stopIfTrue="1" operator="between">
      <formula>221142</formula>
      <formula>221144</formula>
    </cfRule>
    <cfRule type="cellIs" dxfId="1382" priority="1348" stopIfTrue="1" operator="between">
      <formula>220001</formula>
      <formula>221144</formula>
    </cfRule>
  </conditionalFormatting>
  <conditionalFormatting sqref="AB13">
    <cfRule type="cellIs" dxfId="1381" priority="1343" stopIfTrue="1" operator="between">
      <formula>221101</formula>
      <formula>221118</formula>
    </cfRule>
    <cfRule type="cellIs" dxfId="1380" priority="1344" stopIfTrue="1" operator="between">
      <formula>221142</formula>
      <formula>221144</formula>
    </cfRule>
    <cfRule type="cellIs" dxfId="1379" priority="1345" stopIfTrue="1" operator="between">
      <formula>220001</formula>
      <formula>221144</formula>
    </cfRule>
  </conditionalFormatting>
  <conditionalFormatting sqref="AL13">
    <cfRule type="cellIs" dxfId="1378" priority="1340" stopIfTrue="1" operator="between">
      <formula>221101</formula>
      <formula>221118</formula>
    </cfRule>
    <cfRule type="cellIs" dxfId="1377" priority="1341" stopIfTrue="1" operator="between">
      <formula>221142</formula>
      <formula>221144</formula>
    </cfRule>
    <cfRule type="cellIs" dxfId="1376" priority="1342" stopIfTrue="1" operator="between">
      <formula>220001</formula>
      <formula>221144</formula>
    </cfRule>
  </conditionalFormatting>
  <conditionalFormatting sqref="AM13">
    <cfRule type="cellIs" dxfId="1375" priority="1337" stopIfTrue="1" operator="between">
      <formula>221101</formula>
      <formula>221118</formula>
    </cfRule>
    <cfRule type="cellIs" dxfId="1374" priority="1338" stopIfTrue="1" operator="between">
      <formula>221142</formula>
      <formula>221144</formula>
    </cfRule>
    <cfRule type="cellIs" dxfId="1373" priority="1339" stopIfTrue="1" operator="between">
      <formula>220001</formula>
      <formula>221144</formula>
    </cfRule>
  </conditionalFormatting>
  <conditionalFormatting sqref="C13">
    <cfRule type="cellIs" dxfId="1372" priority="1334" stopIfTrue="1" operator="between">
      <formula>221101</formula>
      <formula>221118</formula>
    </cfRule>
    <cfRule type="cellIs" dxfId="1371" priority="1335" stopIfTrue="1" operator="between">
      <formula>221142</formula>
      <formula>221144</formula>
    </cfRule>
    <cfRule type="cellIs" dxfId="1370" priority="1336" stopIfTrue="1" operator="between">
      <formula>220001</formula>
      <formula>221144</formula>
    </cfRule>
  </conditionalFormatting>
  <conditionalFormatting sqref="C13">
    <cfRule type="cellIs" dxfId="1369" priority="1331" stopIfTrue="1" operator="between">
      <formula>221101</formula>
      <formula>221118</formula>
    </cfRule>
    <cfRule type="cellIs" dxfId="1368" priority="1332" stopIfTrue="1" operator="between">
      <formula>221142</formula>
      <formula>221144</formula>
    </cfRule>
    <cfRule type="cellIs" dxfId="1367" priority="1333" stopIfTrue="1" operator="between">
      <formula>220001</formula>
      <formula>221144</formula>
    </cfRule>
  </conditionalFormatting>
  <conditionalFormatting sqref="C13">
    <cfRule type="cellIs" dxfId="1366" priority="1328" stopIfTrue="1" operator="between">
      <formula>221101</formula>
      <formula>221118</formula>
    </cfRule>
    <cfRule type="cellIs" dxfId="1365" priority="1329" stopIfTrue="1" operator="between">
      <formula>221142</formula>
      <formula>221144</formula>
    </cfRule>
    <cfRule type="cellIs" dxfId="1364" priority="1330" stopIfTrue="1" operator="between">
      <formula>220001</formula>
      <formula>221144</formula>
    </cfRule>
  </conditionalFormatting>
  <conditionalFormatting sqref="C13">
    <cfRule type="cellIs" dxfId="1363" priority="1325" stopIfTrue="1" operator="between">
      <formula>221101</formula>
      <formula>221118</formula>
    </cfRule>
    <cfRule type="cellIs" dxfId="1362" priority="1326" stopIfTrue="1" operator="between">
      <formula>221142</formula>
      <formula>221144</formula>
    </cfRule>
    <cfRule type="cellIs" dxfId="1361" priority="1327" stopIfTrue="1" operator="between">
      <formula>220001</formula>
      <formula>221144</formula>
    </cfRule>
  </conditionalFormatting>
  <conditionalFormatting sqref="C13">
    <cfRule type="cellIs" dxfId="1360" priority="1322" stopIfTrue="1" operator="between">
      <formula>221101</formula>
      <formula>221118</formula>
    </cfRule>
    <cfRule type="cellIs" dxfId="1359" priority="1323" stopIfTrue="1" operator="between">
      <formula>221142</formula>
      <formula>221144</formula>
    </cfRule>
    <cfRule type="cellIs" dxfId="1358" priority="1324" stopIfTrue="1" operator="between">
      <formula>220001</formula>
      <formula>221144</formula>
    </cfRule>
  </conditionalFormatting>
  <conditionalFormatting sqref="AC13">
    <cfRule type="cellIs" dxfId="1357" priority="1319" stopIfTrue="1" operator="between">
      <formula>221101</formula>
      <formula>221118</formula>
    </cfRule>
    <cfRule type="cellIs" dxfId="1356" priority="1320" stopIfTrue="1" operator="between">
      <formula>221142</formula>
      <formula>221144</formula>
    </cfRule>
    <cfRule type="cellIs" dxfId="1355" priority="1321" stopIfTrue="1" operator="between">
      <formula>220001</formula>
      <formula>221144</formula>
    </cfRule>
  </conditionalFormatting>
  <conditionalFormatting sqref="AB13">
    <cfRule type="cellIs" dxfId="1354" priority="1316" stopIfTrue="1" operator="between">
      <formula>221101</formula>
      <formula>221118</formula>
    </cfRule>
    <cfRule type="cellIs" dxfId="1353" priority="1317" stopIfTrue="1" operator="between">
      <formula>221142</formula>
      <formula>221144</formula>
    </cfRule>
    <cfRule type="cellIs" dxfId="1352" priority="1318" stopIfTrue="1" operator="between">
      <formula>220001</formula>
      <formula>221144</formula>
    </cfRule>
  </conditionalFormatting>
  <conditionalFormatting sqref="AL13">
    <cfRule type="cellIs" dxfId="1351" priority="1313" stopIfTrue="1" operator="between">
      <formula>221101</formula>
      <formula>221118</formula>
    </cfRule>
    <cfRule type="cellIs" dxfId="1350" priority="1314" stopIfTrue="1" operator="between">
      <formula>221142</formula>
      <formula>221144</formula>
    </cfRule>
    <cfRule type="cellIs" dxfId="1349" priority="1315" stopIfTrue="1" operator="between">
      <formula>220001</formula>
      <formula>221144</formula>
    </cfRule>
  </conditionalFormatting>
  <conditionalFormatting sqref="AM13">
    <cfRule type="cellIs" dxfId="1348" priority="1310" stopIfTrue="1" operator="between">
      <formula>221101</formula>
      <formula>221118</formula>
    </cfRule>
    <cfRule type="cellIs" dxfId="1347" priority="1311" stopIfTrue="1" operator="between">
      <formula>221142</formula>
      <formula>221144</formula>
    </cfRule>
    <cfRule type="cellIs" dxfId="1346" priority="1312" stopIfTrue="1" operator="between">
      <formula>220001</formula>
      <formula>221144</formula>
    </cfRule>
  </conditionalFormatting>
  <conditionalFormatting sqref="AB13">
    <cfRule type="cellIs" dxfId="1345" priority="1307" stopIfTrue="1" operator="between">
      <formula>221101</formula>
      <formula>221118</formula>
    </cfRule>
    <cfRule type="cellIs" dxfId="1344" priority="1308" stopIfTrue="1" operator="between">
      <formula>221142</formula>
      <formula>221144</formula>
    </cfRule>
    <cfRule type="cellIs" dxfId="1343" priority="1309" stopIfTrue="1" operator="between">
      <formula>220001</formula>
      <formula>221144</formula>
    </cfRule>
  </conditionalFormatting>
  <conditionalFormatting sqref="AA13">
    <cfRule type="cellIs" dxfId="1342" priority="1304" stopIfTrue="1" operator="between">
      <formula>221101</formula>
      <formula>221118</formula>
    </cfRule>
    <cfRule type="cellIs" dxfId="1341" priority="1305" stopIfTrue="1" operator="between">
      <formula>221142</formula>
      <formula>221144</formula>
    </cfRule>
    <cfRule type="cellIs" dxfId="1340" priority="1306" stopIfTrue="1" operator="between">
      <formula>220001</formula>
      <formula>221144</formula>
    </cfRule>
  </conditionalFormatting>
  <conditionalFormatting sqref="AK13">
    <cfRule type="cellIs" dxfId="1339" priority="1301" stopIfTrue="1" operator="between">
      <formula>221101</formula>
      <formula>221118</formula>
    </cfRule>
    <cfRule type="cellIs" dxfId="1338" priority="1302" stopIfTrue="1" operator="between">
      <formula>221142</formula>
      <formula>221144</formula>
    </cfRule>
    <cfRule type="cellIs" dxfId="1337" priority="1303" stopIfTrue="1" operator="between">
      <formula>220001</formula>
      <formula>221144</formula>
    </cfRule>
  </conditionalFormatting>
  <conditionalFormatting sqref="AL13">
    <cfRule type="cellIs" dxfId="1336" priority="1298" stopIfTrue="1" operator="between">
      <formula>221101</formula>
      <formula>221118</formula>
    </cfRule>
    <cfRule type="cellIs" dxfId="1335" priority="1299" stopIfTrue="1" operator="between">
      <formula>221142</formula>
      <formula>221144</formula>
    </cfRule>
    <cfRule type="cellIs" dxfId="1334" priority="1300" stopIfTrue="1" operator="between">
      <formula>220001</formula>
      <formula>221144</formula>
    </cfRule>
  </conditionalFormatting>
  <conditionalFormatting sqref="C13">
    <cfRule type="cellIs" dxfId="1333" priority="1295" stopIfTrue="1" operator="between">
      <formula>221101</formula>
      <formula>221118</formula>
    </cfRule>
    <cfRule type="cellIs" dxfId="1332" priority="1296" stopIfTrue="1" operator="between">
      <formula>221142</formula>
      <formula>221144</formula>
    </cfRule>
    <cfRule type="cellIs" dxfId="1331" priority="1297" stopIfTrue="1" operator="between">
      <formula>220001</formula>
      <formula>221144</formula>
    </cfRule>
  </conditionalFormatting>
  <conditionalFormatting sqref="AC13">
    <cfRule type="cellIs" dxfId="1330" priority="1292" stopIfTrue="1" operator="between">
      <formula>221101</formula>
      <formula>221118</formula>
    </cfRule>
    <cfRule type="cellIs" dxfId="1329" priority="1293" stopIfTrue="1" operator="between">
      <formula>221142</formula>
      <formula>221144</formula>
    </cfRule>
    <cfRule type="cellIs" dxfId="1328" priority="1294" stopIfTrue="1" operator="between">
      <formula>220001</formula>
      <formula>221144</formula>
    </cfRule>
  </conditionalFormatting>
  <conditionalFormatting sqref="AB13">
    <cfRule type="cellIs" dxfId="1327" priority="1289" stopIfTrue="1" operator="between">
      <formula>221101</formula>
      <formula>221118</formula>
    </cfRule>
    <cfRule type="cellIs" dxfId="1326" priority="1290" stopIfTrue="1" operator="between">
      <formula>221142</formula>
      <formula>221144</formula>
    </cfRule>
    <cfRule type="cellIs" dxfId="1325" priority="1291" stopIfTrue="1" operator="between">
      <formula>220001</formula>
      <formula>221144</formula>
    </cfRule>
  </conditionalFormatting>
  <conditionalFormatting sqref="AL13">
    <cfRule type="cellIs" dxfId="1324" priority="1286" stopIfTrue="1" operator="between">
      <formula>221101</formula>
      <formula>221118</formula>
    </cfRule>
    <cfRule type="cellIs" dxfId="1323" priority="1287" stopIfTrue="1" operator="between">
      <formula>221142</formula>
      <formula>221144</formula>
    </cfRule>
    <cfRule type="cellIs" dxfId="1322" priority="1288" stopIfTrue="1" operator="between">
      <formula>220001</formula>
      <formula>221144</formula>
    </cfRule>
  </conditionalFormatting>
  <conditionalFormatting sqref="AM13">
    <cfRule type="cellIs" dxfId="1321" priority="1283" stopIfTrue="1" operator="between">
      <formula>221101</formula>
      <formula>221118</formula>
    </cfRule>
    <cfRule type="cellIs" dxfId="1320" priority="1284" stopIfTrue="1" operator="between">
      <formula>221142</formula>
      <formula>221144</formula>
    </cfRule>
    <cfRule type="cellIs" dxfId="1319" priority="1285" stopIfTrue="1" operator="between">
      <formula>220001</formula>
      <formula>221144</formula>
    </cfRule>
  </conditionalFormatting>
  <conditionalFormatting sqref="AB13">
    <cfRule type="cellIs" dxfId="1318" priority="1280" stopIfTrue="1" operator="between">
      <formula>221101</formula>
      <formula>221118</formula>
    </cfRule>
    <cfRule type="cellIs" dxfId="1317" priority="1281" stopIfTrue="1" operator="between">
      <formula>221142</formula>
      <formula>221144</formula>
    </cfRule>
    <cfRule type="cellIs" dxfId="1316" priority="1282" stopIfTrue="1" operator="between">
      <formula>220001</formula>
      <formula>221144</formula>
    </cfRule>
  </conditionalFormatting>
  <conditionalFormatting sqref="AA13">
    <cfRule type="cellIs" dxfId="1315" priority="1277" stopIfTrue="1" operator="between">
      <formula>221101</formula>
      <formula>221118</formula>
    </cfRule>
    <cfRule type="cellIs" dxfId="1314" priority="1278" stopIfTrue="1" operator="between">
      <formula>221142</formula>
      <formula>221144</formula>
    </cfRule>
    <cfRule type="cellIs" dxfId="1313" priority="1279" stopIfTrue="1" operator="between">
      <formula>220001</formula>
      <formula>221144</formula>
    </cfRule>
  </conditionalFormatting>
  <conditionalFormatting sqref="AK13">
    <cfRule type="cellIs" dxfId="1312" priority="1274" stopIfTrue="1" operator="between">
      <formula>221101</formula>
      <formula>221118</formula>
    </cfRule>
    <cfRule type="cellIs" dxfId="1311" priority="1275" stopIfTrue="1" operator="between">
      <formula>221142</formula>
      <formula>221144</formula>
    </cfRule>
    <cfRule type="cellIs" dxfId="1310" priority="1276" stopIfTrue="1" operator="between">
      <formula>220001</formula>
      <formula>221144</formula>
    </cfRule>
  </conditionalFormatting>
  <conditionalFormatting sqref="AL13">
    <cfRule type="cellIs" dxfId="1309" priority="1271" stopIfTrue="1" operator="between">
      <formula>221101</formula>
      <formula>221118</formula>
    </cfRule>
    <cfRule type="cellIs" dxfId="1308" priority="1272" stopIfTrue="1" operator="between">
      <formula>221142</formula>
      <formula>221144</formula>
    </cfRule>
    <cfRule type="cellIs" dxfId="1307" priority="1273" stopIfTrue="1" operator="between">
      <formula>220001</formula>
      <formula>221144</formula>
    </cfRule>
  </conditionalFormatting>
  <conditionalFormatting sqref="AB13">
    <cfRule type="cellIs" dxfId="1306" priority="1268" stopIfTrue="1" operator="between">
      <formula>221101</formula>
      <formula>221118</formula>
    </cfRule>
    <cfRule type="cellIs" dxfId="1305" priority="1269" stopIfTrue="1" operator="between">
      <formula>221142</formula>
      <formula>221144</formula>
    </cfRule>
    <cfRule type="cellIs" dxfId="1304" priority="1270" stopIfTrue="1" operator="between">
      <formula>220001</formula>
      <formula>221144</formula>
    </cfRule>
  </conditionalFormatting>
  <conditionalFormatting sqref="AA13">
    <cfRule type="cellIs" dxfId="1303" priority="1265" stopIfTrue="1" operator="between">
      <formula>221101</formula>
      <formula>221118</formula>
    </cfRule>
    <cfRule type="cellIs" dxfId="1302" priority="1266" stopIfTrue="1" operator="between">
      <formula>221142</formula>
      <formula>221144</formula>
    </cfRule>
    <cfRule type="cellIs" dxfId="1301" priority="1267" stopIfTrue="1" operator="between">
      <formula>220001</formula>
      <formula>221144</formula>
    </cfRule>
  </conditionalFormatting>
  <conditionalFormatting sqref="AK13">
    <cfRule type="cellIs" dxfId="1300" priority="1262" stopIfTrue="1" operator="between">
      <formula>221101</formula>
      <formula>221118</formula>
    </cfRule>
    <cfRule type="cellIs" dxfId="1299" priority="1263" stopIfTrue="1" operator="between">
      <formula>221142</formula>
      <formula>221144</formula>
    </cfRule>
    <cfRule type="cellIs" dxfId="1298" priority="1264" stopIfTrue="1" operator="between">
      <formula>220001</formula>
      <formula>221144</formula>
    </cfRule>
  </conditionalFormatting>
  <conditionalFormatting sqref="AL13">
    <cfRule type="cellIs" dxfId="1297" priority="1259" stopIfTrue="1" operator="between">
      <formula>221101</formula>
      <formula>221118</formula>
    </cfRule>
    <cfRule type="cellIs" dxfId="1296" priority="1260" stopIfTrue="1" operator="between">
      <formula>221142</formula>
      <formula>221144</formula>
    </cfRule>
    <cfRule type="cellIs" dxfId="1295" priority="1261" stopIfTrue="1" operator="between">
      <formula>220001</formula>
      <formula>221144</formula>
    </cfRule>
  </conditionalFormatting>
  <conditionalFormatting sqref="AA13">
    <cfRule type="cellIs" dxfId="1294" priority="1256" stopIfTrue="1" operator="between">
      <formula>221101</formula>
      <formula>221118</formula>
    </cfRule>
    <cfRule type="cellIs" dxfId="1293" priority="1257" stopIfTrue="1" operator="between">
      <formula>221142</formula>
      <formula>221144</formula>
    </cfRule>
    <cfRule type="cellIs" dxfId="1292" priority="1258" stopIfTrue="1" operator="between">
      <formula>220001</formula>
      <formula>221144</formula>
    </cfRule>
  </conditionalFormatting>
  <conditionalFormatting sqref="Z13">
    <cfRule type="cellIs" dxfId="1291" priority="1253" stopIfTrue="1" operator="between">
      <formula>221101</formula>
      <formula>221118</formula>
    </cfRule>
    <cfRule type="cellIs" dxfId="1290" priority="1254" stopIfTrue="1" operator="between">
      <formula>221142</formula>
      <formula>221144</formula>
    </cfRule>
    <cfRule type="cellIs" dxfId="1289" priority="1255" stopIfTrue="1" operator="between">
      <formula>220001</formula>
      <formula>221144</formula>
    </cfRule>
  </conditionalFormatting>
  <conditionalFormatting sqref="AJ13">
    <cfRule type="cellIs" dxfId="1288" priority="1250" stopIfTrue="1" operator="between">
      <formula>221101</formula>
      <formula>221118</formula>
    </cfRule>
    <cfRule type="cellIs" dxfId="1287" priority="1251" stopIfTrue="1" operator="between">
      <formula>221142</formula>
      <formula>221144</formula>
    </cfRule>
    <cfRule type="cellIs" dxfId="1286" priority="1252" stopIfTrue="1" operator="between">
      <formula>220001</formula>
      <formula>221144</formula>
    </cfRule>
  </conditionalFormatting>
  <conditionalFormatting sqref="AK13">
    <cfRule type="cellIs" dxfId="1285" priority="1247" stopIfTrue="1" operator="between">
      <formula>221101</formula>
      <formula>221118</formula>
    </cfRule>
    <cfRule type="cellIs" dxfId="1284" priority="1248" stopIfTrue="1" operator="between">
      <formula>221142</formula>
      <formula>221144</formula>
    </cfRule>
    <cfRule type="cellIs" dxfId="1283" priority="1249" stopIfTrue="1" operator="between">
      <formula>220001</formula>
      <formula>221144</formula>
    </cfRule>
  </conditionalFormatting>
  <conditionalFormatting sqref="C13">
    <cfRule type="cellIs" dxfId="1282" priority="1244" stopIfTrue="1" operator="between">
      <formula>221101</formula>
      <formula>221118</formula>
    </cfRule>
    <cfRule type="cellIs" dxfId="1281" priority="1245" stopIfTrue="1" operator="between">
      <formula>221142</formula>
      <formula>221144</formula>
    </cfRule>
    <cfRule type="cellIs" dxfId="1280" priority="1246" stopIfTrue="1" operator="between">
      <formula>220001</formula>
      <formula>221144</formula>
    </cfRule>
  </conditionalFormatting>
  <conditionalFormatting sqref="AC13">
    <cfRule type="cellIs" dxfId="1279" priority="1241" stopIfTrue="1" operator="between">
      <formula>221101</formula>
      <formula>221118</formula>
    </cfRule>
    <cfRule type="cellIs" dxfId="1278" priority="1242" stopIfTrue="1" operator="between">
      <formula>221142</formula>
      <formula>221144</formula>
    </cfRule>
    <cfRule type="cellIs" dxfId="1277" priority="1243" stopIfTrue="1" operator="between">
      <formula>220001</formula>
      <formula>221144</formula>
    </cfRule>
  </conditionalFormatting>
  <conditionalFormatting sqref="AB13">
    <cfRule type="cellIs" dxfId="1276" priority="1238" stopIfTrue="1" operator="between">
      <formula>221101</formula>
      <formula>221118</formula>
    </cfRule>
    <cfRule type="cellIs" dxfId="1275" priority="1239" stopIfTrue="1" operator="between">
      <formula>221142</formula>
      <formula>221144</formula>
    </cfRule>
    <cfRule type="cellIs" dxfId="1274" priority="1240" stopIfTrue="1" operator="between">
      <formula>220001</formula>
      <formula>221144</formula>
    </cfRule>
  </conditionalFormatting>
  <conditionalFormatting sqref="AL13">
    <cfRule type="cellIs" dxfId="1273" priority="1235" stopIfTrue="1" operator="between">
      <formula>221101</formula>
      <formula>221118</formula>
    </cfRule>
    <cfRule type="cellIs" dxfId="1272" priority="1236" stopIfTrue="1" operator="between">
      <formula>221142</formula>
      <formula>221144</formula>
    </cfRule>
    <cfRule type="cellIs" dxfId="1271" priority="1237" stopIfTrue="1" operator="between">
      <formula>220001</formula>
      <formula>221144</formula>
    </cfRule>
  </conditionalFormatting>
  <conditionalFormatting sqref="AM13">
    <cfRule type="cellIs" dxfId="1270" priority="1232" stopIfTrue="1" operator="between">
      <formula>221101</formula>
      <formula>221118</formula>
    </cfRule>
    <cfRule type="cellIs" dxfId="1269" priority="1233" stopIfTrue="1" operator="between">
      <formula>221142</formula>
      <formula>221144</formula>
    </cfRule>
    <cfRule type="cellIs" dxfId="1268" priority="1234" stopIfTrue="1" operator="between">
      <formula>220001</formula>
      <formula>221144</formula>
    </cfRule>
  </conditionalFormatting>
  <conditionalFormatting sqref="AB13">
    <cfRule type="cellIs" dxfId="1267" priority="1229" stopIfTrue="1" operator="between">
      <formula>221101</formula>
      <formula>221118</formula>
    </cfRule>
    <cfRule type="cellIs" dxfId="1266" priority="1230" stopIfTrue="1" operator="between">
      <formula>221142</formula>
      <formula>221144</formula>
    </cfRule>
    <cfRule type="cellIs" dxfId="1265" priority="1231" stopIfTrue="1" operator="between">
      <formula>220001</formula>
      <formula>221144</formula>
    </cfRule>
  </conditionalFormatting>
  <conditionalFormatting sqref="AA13">
    <cfRule type="cellIs" dxfId="1264" priority="1226" stopIfTrue="1" operator="between">
      <formula>221101</formula>
      <formula>221118</formula>
    </cfRule>
    <cfRule type="cellIs" dxfId="1263" priority="1227" stopIfTrue="1" operator="between">
      <formula>221142</formula>
      <formula>221144</formula>
    </cfRule>
    <cfRule type="cellIs" dxfId="1262" priority="1228" stopIfTrue="1" operator="between">
      <formula>220001</formula>
      <formula>221144</formula>
    </cfRule>
  </conditionalFormatting>
  <conditionalFormatting sqref="AK13">
    <cfRule type="cellIs" dxfId="1261" priority="1223" stopIfTrue="1" operator="between">
      <formula>221101</formula>
      <formula>221118</formula>
    </cfRule>
    <cfRule type="cellIs" dxfId="1260" priority="1224" stopIfTrue="1" operator="between">
      <formula>221142</formula>
      <formula>221144</formula>
    </cfRule>
    <cfRule type="cellIs" dxfId="1259" priority="1225" stopIfTrue="1" operator="between">
      <formula>220001</formula>
      <formula>221144</formula>
    </cfRule>
  </conditionalFormatting>
  <conditionalFormatting sqref="AL13">
    <cfRule type="cellIs" dxfId="1258" priority="1220" stopIfTrue="1" operator="between">
      <formula>221101</formula>
      <formula>221118</formula>
    </cfRule>
    <cfRule type="cellIs" dxfId="1257" priority="1221" stopIfTrue="1" operator="between">
      <formula>221142</formula>
      <formula>221144</formula>
    </cfRule>
    <cfRule type="cellIs" dxfId="1256" priority="1222" stopIfTrue="1" operator="between">
      <formula>220001</formula>
      <formula>221144</formula>
    </cfRule>
  </conditionalFormatting>
  <conditionalFormatting sqref="AB13">
    <cfRule type="cellIs" dxfId="1255" priority="1217" stopIfTrue="1" operator="between">
      <formula>221101</formula>
      <formula>221118</formula>
    </cfRule>
    <cfRule type="cellIs" dxfId="1254" priority="1218" stopIfTrue="1" operator="between">
      <formula>221142</formula>
      <formula>221144</formula>
    </cfRule>
    <cfRule type="cellIs" dxfId="1253" priority="1219" stopIfTrue="1" operator="between">
      <formula>220001</formula>
      <formula>221144</formula>
    </cfRule>
  </conditionalFormatting>
  <conditionalFormatting sqref="AA13">
    <cfRule type="cellIs" dxfId="1252" priority="1214" stopIfTrue="1" operator="between">
      <formula>221101</formula>
      <formula>221118</formula>
    </cfRule>
    <cfRule type="cellIs" dxfId="1251" priority="1215" stopIfTrue="1" operator="between">
      <formula>221142</formula>
      <formula>221144</formula>
    </cfRule>
    <cfRule type="cellIs" dxfId="1250" priority="1216" stopIfTrue="1" operator="between">
      <formula>220001</formula>
      <formula>221144</formula>
    </cfRule>
  </conditionalFormatting>
  <conditionalFormatting sqref="AK13">
    <cfRule type="cellIs" dxfId="1249" priority="1211" stopIfTrue="1" operator="between">
      <formula>221101</formula>
      <formula>221118</formula>
    </cfRule>
    <cfRule type="cellIs" dxfId="1248" priority="1212" stopIfTrue="1" operator="between">
      <formula>221142</formula>
      <formula>221144</formula>
    </cfRule>
    <cfRule type="cellIs" dxfId="1247" priority="1213" stopIfTrue="1" operator="between">
      <formula>220001</formula>
      <formula>221144</formula>
    </cfRule>
  </conditionalFormatting>
  <conditionalFormatting sqref="AL13">
    <cfRule type="cellIs" dxfId="1246" priority="1208" stopIfTrue="1" operator="between">
      <formula>221101</formula>
      <formula>221118</formula>
    </cfRule>
    <cfRule type="cellIs" dxfId="1245" priority="1209" stopIfTrue="1" operator="between">
      <formula>221142</formula>
      <formula>221144</formula>
    </cfRule>
    <cfRule type="cellIs" dxfId="1244" priority="1210" stopIfTrue="1" operator="between">
      <formula>220001</formula>
      <formula>221144</formula>
    </cfRule>
  </conditionalFormatting>
  <conditionalFormatting sqref="AA13">
    <cfRule type="cellIs" dxfId="1243" priority="1205" stopIfTrue="1" operator="between">
      <formula>221101</formula>
      <formula>221118</formula>
    </cfRule>
    <cfRule type="cellIs" dxfId="1242" priority="1206" stopIfTrue="1" operator="between">
      <formula>221142</formula>
      <formula>221144</formula>
    </cfRule>
    <cfRule type="cellIs" dxfId="1241" priority="1207" stopIfTrue="1" operator="between">
      <formula>220001</formula>
      <formula>221144</formula>
    </cfRule>
  </conditionalFormatting>
  <conditionalFormatting sqref="Z13">
    <cfRule type="cellIs" dxfId="1240" priority="1202" stopIfTrue="1" operator="between">
      <formula>221101</formula>
      <formula>221118</formula>
    </cfRule>
    <cfRule type="cellIs" dxfId="1239" priority="1203" stopIfTrue="1" operator="between">
      <formula>221142</formula>
      <formula>221144</formula>
    </cfRule>
    <cfRule type="cellIs" dxfId="1238" priority="1204" stopIfTrue="1" operator="between">
      <formula>220001</formula>
      <formula>221144</formula>
    </cfRule>
  </conditionalFormatting>
  <conditionalFormatting sqref="AJ13">
    <cfRule type="cellIs" dxfId="1237" priority="1199" stopIfTrue="1" operator="between">
      <formula>221101</formula>
      <formula>221118</formula>
    </cfRule>
    <cfRule type="cellIs" dxfId="1236" priority="1200" stopIfTrue="1" operator="between">
      <formula>221142</formula>
      <formula>221144</formula>
    </cfRule>
    <cfRule type="cellIs" dxfId="1235" priority="1201" stopIfTrue="1" operator="between">
      <formula>220001</formula>
      <formula>221144</formula>
    </cfRule>
  </conditionalFormatting>
  <conditionalFormatting sqref="AK13">
    <cfRule type="cellIs" dxfId="1234" priority="1196" stopIfTrue="1" operator="between">
      <formula>221101</formula>
      <formula>221118</formula>
    </cfRule>
    <cfRule type="cellIs" dxfId="1233" priority="1197" stopIfTrue="1" operator="between">
      <formula>221142</formula>
      <formula>221144</formula>
    </cfRule>
    <cfRule type="cellIs" dxfId="1232" priority="1198" stopIfTrue="1" operator="between">
      <formula>220001</formula>
      <formula>221144</formula>
    </cfRule>
  </conditionalFormatting>
  <conditionalFormatting sqref="AB13">
    <cfRule type="cellIs" dxfId="1231" priority="1193" stopIfTrue="1" operator="between">
      <formula>221101</formula>
      <formula>221118</formula>
    </cfRule>
    <cfRule type="cellIs" dxfId="1230" priority="1194" stopIfTrue="1" operator="between">
      <formula>221142</formula>
      <formula>221144</formula>
    </cfRule>
    <cfRule type="cellIs" dxfId="1229" priority="1195" stopIfTrue="1" operator="between">
      <formula>220001</formula>
      <formula>221144</formula>
    </cfRule>
  </conditionalFormatting>
  <conditionalFormatting sqref="AA13">
    <cfRule type="cellIs" dxfId="1228" priority="1190" stopIfTrue="1" operator="between">
      <formula>221101</formula>
      <formula>221118</formula>
    </cfRule>
    <cfRule type="cellIs" dxfId="1227" priority="1191" stopIfTrue="1" operator="between">
      <formula>221142</formula>
      <formula>221144</formula>
    </cfRule>
    <cfRule type="cellIs" dxfId="1226" priority="1192" stopIfTrue="1" operator="between">
      <formula>220001</formula>
      <formula>221144</formula>
    </cfRule>
  </conditionalFormatting>
  <conditionalFormatting sqref="AK13">
    <cfRule type="cellIs" dxfId="1225" priority="1187" stopIfTrue="1" operator="between">
      <formula>221101</formula>
      <formula>221118</formula>
    </cfRule>
    <cfRule type="cellIs" dxfId="1224" priority="1188" stopIfTrue="1" operator="between">
      <formula>221142</formula>
      <formula>221144</formula>
    </cfRule>
    <cfRule type="cellIs" dxfId="1223" priority="1189" stopIfTrue="1" operator="between">
      <formula>220001</formula>
      <formula>221144</formula>
    </cfRule>
  </conditionalFormatting>
  <conditionalFormatting sqref="AL13">
    <cfRule type="cellIs" dxfId="1222" priority="1184" stopIfTrue="1" operator="between">
      <formula>221101</formula>
      <formula>221118</formula>
    </cfRule>
    <cfRule type="cellIs" dxfId="1221" priority="1185" stopIfTrue="1" operator="between">
      <formula>221142</formula>
      <formula>221144</formula>
    </cfRule>
    <cfRule type="cellIs" dxfId="1220" priority="1186" stopIfTrue="1" operator="between">
      <formula>220001</formula>
      <formula>221144</formula>
    </cfRule>
  </conditionalFormatting>
  <conditionalFormatting sqref="AA13">
    <cfRule type="cellIs" dxfId="1219" priority="1181" stopIfTrue="1" operator="between">
      <formula>221101</formula>
      <formula>221118</formula>
    </cfRule>
    <cfRule type="cellIs" dxfId="1218" priority="1182" stopIfTrue="1" operator="between">
      <formula>221142</formula>
      <formula>221144</formula>
    </cfRule>
    <cfRule type="cellIs" dxfId="1217" priority="1183" stopIfTrue="1" operator="between">
      <formula>220001</formula>
      <formula>221144</formula>
    </cfRule>
  </conditionalFormatting>
  <conditionalFormatting sqref="Z13">
    <cfRule type="cellIs" dxfId="1216" priority="1178" stopIfTrue="1" operator="between">
      <formula>221101</formula>
      <formula>221118</formula>
    </cfRule>
    <cfRule type="cellIs" dxfId="1215" priority="1179" stopIfTrue="1" operator="between">
      <formula>221142</formula>
      <formula>221144</formula>
    </cfRule>
    <cfRule type="cellIs" dxfId="1214" priority="1180" stopIfTrue="1" operator="between">
      <formula>220001</formula>
      <formula>221144</formula>
    </cfRule>
  </conditionalFormatting>
  <conditionalFormatting sqref="AJ13">
    <cfRule type="cellIs" dxfId="1213" priority="1175" stopIfTrue="1" operator="between">
      <formula>221101</formula>
      <formula>221118</formula>
    </cfRule>
    <cfRule type="cellIs" dxfId="1212" priority="1176" stopIfTrue="1" operator="between">
      <formula>221142</formula>
      <formula>221144</formula>
    </cfRule>
    <cfRule type="cellIs" dxfId="1211" priority="1177" stopIfTrue="1" operator="between">
      <formula>220001</formula>
      <formula>221144</formula>
    </cfRule>
  </conditionalFormatting>
  <conditionalFormatting sqref="AK13">
    <cfRule type="cellIs" dxfId="1210" priority="1172" stopIfTrue="1" operator="between">
      <formula>221101</formula>
      <formula>221118</formula>
    </cfRule>
    <cfRule type="cellIs" dxfId="1209" priority="1173" stopIfTrue="1" operator="between">
      <formula>221142</formula>
      <formula>221144</formula>
    </cfRule>
    <cfRule type="cellIs" dxfId="1208" priority="1174" stopIfTrue="1" operator="between">
      <formula>220001</formula>
      <formula>221144</formula>
    </cfRule>
  </conditionalFormatting>
  <conditionalFormatting sqref="AA13">
    <cfRule type="cellIs" dxfId="1207" priority="1169" stopIfTrue="1" operator="between">
      <formula>221101</formula>
      <formula>221118</formula>
    </cfRule>
    <cfRule type="cellIs" dxfId="1206" priority="1170" stopIfTrue="1" operator="between">
      <formula>221142</formula>
      <formula>221144</formula>
    </cfRule>
    <cfRule type="cellIs" dxfId="1205" priority="1171" stopIfTrue="1" operator="between">
      <formula>220001</formula>
      <formula>221144</formula>
    </cfRule>
  </conditionalFormatting>
  <conditionalFormatting sqref="Z13">
    <cfRule type="cellIs" dxfId="1204" priority="1166" stopIfTrue="1" operator="between">
      <formula>221101</formula>
      <formula>221118</formula>
    </cfRule>
    <cfRule type="cellIs" dxfId="1203" priority="1167" stopIfTrue="1" operator="between">
      <formula>221142</formula>
      <formula>221144</formula>
    </cfRule>
    <cfRule type="cellIs" dxfId="1202" priority="1168" stopIfTrue="1" operator="between">
      <formula>220001</formula>
      <formula>221144</formula>
    </cfRule>
  </conditionalFormatting>
  <conditionalFormatting sqref="AJ13">
    <cfRule type="cellIs" dxfId="1201" priority="1163" stopIfTrue="1" operator="between">
      <formula>221101</formula>
      <formula>221118</formula>
    </cfRule>
    <cfRule type="cellIs" dxfId="1200" priority="1164" stopIfTrue="1" operator="between">
      <formula>221142</formula>
      <formula>221144</formula>
    </cfRule>
    <cfRule type="cellIs" dxfId="1199" priority="1165" stopIfTrue="1" operator="between">
      <formula>220001</formula>
      <formula>221144</formula>
    </cfRule>
  </conditionalFormatting>
  <conditionalFormatting sqref="AK13">
    <cfRule type="cellIs" dxfId="1198" priority="1160" stopIfTrue="1" operator="between">
      <formula>221101</formula>
      <formula>221118</formula>
    </cfRule>
    <cfRule type="cellIs" dxfId="1197" priority="1161" stopIfTrue="1" operator="between">
      <formula>221142</formula>
      <formula>221144</formula>
    </cfRule>
    <cfRule type="cellIs" dxfId="1196" priority="1162" stopIfTrue="1" operator="between">
      <formula>220001</formula>
      <formula>221144</formula>
    </cfRule>
  </conditionalFormatting>
  <conditionalFormatting sqref="Z13">
    <cfRule type="cellIs" dxfId="1195" priority="1157" stopIfTrue="1" operator="between">
      <formula>221101</formula>
      <formula>221118</formula>
    </cfRule>
    <cfRule type="cellIs" dxfId="1194" priority="1158" stopIfTrue="1" operator="between">
      <formula>221142</formula>
      <formula>221144</formula>
    </cfRule>
    <cfRule type="cellIs" dxfId="1193" priority="1159" stopIfTrue="1" operator="between">
      <formula>220001</formula>
      <formula>221144</formula>
    </cfRule>
  </conditionalFormatting>
  <conditionalFormatting sqref="Y13">
    <cfRule type="cellIs" dxfId="1192" priority="1154" stopIfTrue="1" operator="between">
      <formula>221101</formula>
      <formula>221118</formula>
    </cfRule>
    <cfRule type="cellIs" dxfId="1191" priority="1155" stopIfTrue="1" operator="between">
      <formula>221142</formula>
      <formula>221144</formula>
    </cfRule>
    <cfRule type="cellIs" dxfId="1190" priority="1156" stopIfTrue="1" operator="between">
      <formula>220001</formula>
      <formula>221144</formula>
    </cfRule>
  </conditionalFormatting>
  <conditionalFormatting sqref="AI13">
    <cfRule type="cellIs" dxfId="1189" priority="1151" stopIfTrue="1" operator="between">
      <formula>221101</formula>
      <formula>221118</formula>
    </cfRule>
    <cfRule type="cellIs" dxfId="1188" priority="1152" stopIfTrue="1" operator="between">
      <formula>221142</formula>
      <formula>221144</formula>
    </cfRule>
    <cfRule type="cellIs" dxfId="1187" priority="1153" stopIfTrue="1" operator="between">
      <formula>220001</formula>
      <formula>221144</formula>
    </cfRule>
  </conditionalFormatting>
  <conditionalFormatting sqref="AJ13">
    <cfRule type="cellIs" dxfId="1186" priority="1148" stopIfTrue="1" operator="between">
      <formula>221101</formula>
      <formula>221118</formula>
    </cfRule>
    <cfRule type="cellIs" dxfId="1185" priority="1149" stopIfTrue="1" operator="between">
      <formula>221142</formula>
      <formula>221144</formula>
    </cfRule>
    <cfRule type="cellIs" dxfId="1184" priority="1150" stopIfTrue="1" operator="between">
      <formula>220001</formula>
      <formula>221144</formula>
    </cfRule>
  </conditionalFormatting>
  <conditionalFormatting sqref="C13">
    <cfRule type="cellIs" dxfId="1183" priority="1145" stopIfTrue="1" operator="between">
      <formula>221101</formula>
      <formula>221118</formula>
    </cfRule>
    <cfRule type="cellIs" dxfId="1182" priority="1146" stopIfTrue="1" operator="between">
      <formula>221142</formula>
      <formula>221144</formula>
    </cfRule>
    <cfRule type="cellIs" dxfId="1181" priority="1147" stopIfTrue="1" operator="between">
      <formula>220001</formula>
      <formula>221144</formula>
    </cfRule>
  </conditionalFormatting>
  <conditionalFormatting sqref="AC13">
    <cfRule type="cellIs" dxfId="1180" priority="1142" stopIfTrue="1" operator="between">
      <formula>221101</formula>
      <formula>221118</formula>
    </cfRule>
    <cfRule type="cellIs" dxfId="1179" priority="1143" stopIfTrue="1" operator="between">
      <formula>221142</formula>
      <formula>221144</formula>
    </cfRule>
    <cfRule type="cellIs" dxfId="1178" priority="1144" stopIfTrue="1" operator="between">
      <formula>220001</formula>
      <formula>221144</formula>
    </cfRule>
  </conditionalFormatting>
  <conditionalFormatting sqref="AB13">
    <cfRule type="cellIs" dxfId="1177" priority="1139" stopIfTrue="1" operator="between">
      <formula>221101</formula>
      <formula>221118</formula>
    </cfRule>
    <cfRule type="cellIs" dxfId="1176" priority="1140" stopIfTrue="1" operator="between">
      <formula>221142</formula>
      <formula>221144</formula>
    </cfRule>
    <cfRule type="cellIs" dxfId="1175" priority="1141" stopIfTrue="1" operator="between">
      <formula>220001</formula>
      <formula>221144</formula>
    </cfRule>
  </conditionalFormatting>
  <conditionalFormatting sqref="AL13">
    <cfRule type="cellIs" dxfId="1174" priority="1136" stopIfTrue="1" operator="between">
      <formula>221101</formula>
      <formula>221118</formula>
    </cfRule>
    <cfRule type="cellIs" dxfId="1173" priority="1137" stopIfTrue="1" operator="between">
      <formula>221142</formula>
      <formula>221144</formula>
    </cfRule>
    <cfRule type="cellIs" dxfId="1172" priority="1138" stopIfTrue="1" operator="between">
      <formula>220001</formula>
      <formula>221144</formula>
    </cfRule>
  </conditionalFormatting>
  <conditionalFormatting sqref="AM13">
    <cfRule type="cellIs" dxfId="1171" priority="1133" stopIfTrue="1" operator="between">
      <formula>221101</formula>
      <formula>221118</formula>
    </cfRule>
    <cfRule type="cellIs" dxfId="1170" priority="1134" stopIfTrue="1" operator="between">
      <formula>221142</formula>
      <formula>221144</formula>
    </cfRule>
    <cfRule type="cellIs" dxfId="1169" priority="1135" stopIfTrue="1" operator="between">
      <formula>220001</formula>
      <formula>221144</formula>
    </cfRule>
  </conditionalFormatting>
  <conditionalFormatting sqref="AB13">
    <cfRule type="cellIs" dxfId="1168" priority="1130" stopIfTrue="1" operator="between">
      <formula>221101</formula>
      <formula>221118</formula>
    </cfRule>
    <cfRule type="cellIs" dxfId="1167" priority="1131" stopIfTrue="1" operator="between">
      <formula>221142</formula>
      <formula>221144</formula>
    </cfRule>
    <cfRule type="cellIs" dxfId="1166" priority="1132" stopIfTrue="1" operator="between">
      <formula>220001</formula>
      <formula>221144</formula>
    </cfRule>
  </conditionalFormatting>
  <conditionalFormatting sqref="AA13">
    <cfRule type="cellIs" dxfId="1165" priority="1127" stopIfTrue="1" operator="between">
      <formula>221101</formula>
      <formula>221118</formula>
    </cfRule>
    <cfRule type="cellIs" dxfId="1164" priority="1128" stopIfTrue="1" operator="between">
      <formula>221142</formula>
      <formula>221144</formula>
    </cfRule>
    <cfRule type="cellIs" dxfId="1163" priority="1129" stopIfTrue="1" operator="between">
      <formula>220001</formula>
      <formula>221144</formula>
    </cfRule>
  </conditionalFormatting>
  <conditionalFormatting sqref="AK13">
    <cfRule type="cellIs" dxfId="1162" priority="1124" stopIfTrue="1" operator="between">
      <formula>221101</formula>
      <formula>221118</formula>
    </cfRule>
    <cfRule type="cellIs" dxfId="1161" priority="1125" stopIfTrue="1" operator="between">
      <formula>221142</formula>
      <formula>221144</formula>
    </cfRule>
    <cfRule type="cellIs" dxfId="1160" priority="1126" stopIfTrue="1" operator="between">
      <formula>220001</formula>
      <formula>221144</formula>
    </cfRule>
  </conditionalFormatting>
  <conditionalFormatting sqref="AL13">
    <cfRule type="cellIs" dxfId="1159" priority="1121" stopIfTrue="1" operator="between">
      <formula>221101</formula>
      <formula>221118</formula>
    </cfRule>
    <cfRule type="cellIs" dxfId="1158" priority="1122" stopIfTrue="1" operator="between">
      <formula>221142</formula>
      <formula>221144</formula>
    </cfRule>
    <cfRule type="cellIs" dxfId="1157" priority="1123" stopIfTrue="1" operator="between">
      <formula>220001</formula>
      <formula>221144</formula>
    </cfRule>
  </conditionalFormatting>
  <conditionalFormatting sqref="AB13">
    <cfRule type="cellIs" dxfId="1156" priority="1118" stopIfTrue="1" operator="between">
      <formula>221101</formula>
      <formula>221118</formula>
    </cfRule>
    <cfRule type="cellIs" dxfId="1155" priority="1119" stopIfTrue="1" operator="between">
      <formula>221142</formula>
      <formula>221144</formula>
    </cfRule>
    <cfRule type="cellIs" dxfId="1154" priority="1120" stopIfTrue="1" operator="between">
      <formula>220001</formula>
      <formula>221144</formula>
    </cfRule>
  </conditionalFormatting>
  <conditionalFormatting sqref="AA13">
    <cfRule type="cellIs" dxfId="1153" priority="1115" stopIfTrue="1" operator="between">
      <formula>221101</formula>
      <formula>221118</formula>
    </cfRule>
    <cfRule type="cellIs" dxfId="1152" priority="1116" stopIfTrue="1" operator="between">
      <formula>221142</formula>
      <formula>221144</formula>
    </cfRule>
    <cfRule type="cellIs" dxfId="1151" priority="1117" stopIfTrue="1" operator="between">
      <formula>220001</formula>
      <formula>221144</formula>
    </cfRule>
  </conditionalFormatting>
  <conditionalFormatting sqref="AK13">
    <cfRule type="cellIs" dxfId="1150" priority="1112" stopIfTrue="1" operator="between">
      <formula>221101</formula>
      <formula>221118</formula>
    </cfRule>
    <cfRule type="cellIs" dxfId="1149" priority="1113" stopIfTrue="1" operator="between">
      <formula>221142</formula>
      <formula>221144</formula>
    </cfRule>
    <cfRule type="cellIs" dxfId="1148" priority="1114" stopIfTrue="1" operator="between">
      <formula>220001</formula>
      <formula>221144</formula>
    </cfRule>
  </conditionalFormatting>
  <conditionalFormatting sqref="AL13">
    <cfRule type="cellIs" dxfId="1147" priority="1109" stopIfTrue="1" operator="between">
      <formula>221101</formula>
      <formula>221118</formula>
    </cfRule>
    <cfRule type="cellIs" dxfId="1146" priority="1110" stopIfTrue="1" operator="between">
      <formula>221142</formula>
      <formula>221144</formula>
    </cfRule>
    <cfRule type="cellIs" dxfId="1145" priority="1111" stopIfTrue="1" operator="between">
      <formula>220001</formula>
      <formula>221144</formula>
    </cfRule>
  </conditionalFormatting>
  <conditionalFormatting sqref="AA13">
    <cfRule type="cellIs" dxfId="1144" priority="1106" stopIfTrue="1" operator="between">
      <formula>221101</formula>
      <formula>221118</formula>
    </cfRule>
    <cfRule type="cellIs" dxfId="1143" priority="1107" stopIfTrue="1" operator="between">
      <formula>221142</formula>
      <formula>221144</formula>
    </cfRule>
    <cfRule type="cellIs" dxfId="1142" priority="1108" stopIfTrue="1" operator="between">
      <formula>220001</formula>
      <formula>221144</formula>
    </cfRule>
  </conditionalFormatting>
  <conditionalFormatting sqref="Z13">
    <cfRule type="cellIs" dxfId="1141" priority="1103" stopIfTrue="1" operator="between">
      <formula>221101</formula>
      <formula>221118</formula>
    </cfRule>
    <cfRule type="cellIs" dxfId="1140" priority="1104" stopIfTrue="1" operator="between">
      <formula>221142</formula>
      <formula>221144</formula>
    </cfRule>
    <cfRule type="cellIs" dxfId="1139" priority="1105" stopIfTrue="1" operator="between">
      <formula>220001</formula>
      <formula>221144</formula>
    </cfRule>
  </conditionalFormatting>
  <conditionalFormatting sqref="AJ13">
    <cfRule type="cellIs" dxfId="1138" priority="1100" stopIfTrue="1" operator="between">
      <formula>221101</formula>
      <formula>221118</formula>
    </cfRule>
    <cfRule type="cellIs" dxfId="1137" priority="1101" stopIfTrue="1" operator="between">
      <formula>221142</formula>
      <formula>221144</formula>
    </cfRule>
    <cfRule type="cellIs" dxfId="1136" priority="1102" stopIfTrue="1" operator="between">
      <formula>220001</formula>
      <formula>221144</formula>
    </cfRule>
  </conditionalFormatting>
  <conditionalFormatting sqref="AK13">
    <cfRule type="cellIs" dxfId="1135" priority="1097" stopIfTrue="1" operator="between">
      <formula>221101</formula>
      <formula>221118</formula>
    </cfRule>
    <cfRule type="cellIs" dxfId="1134" priority="1098" stopIfTrue="1" operator="between">
      <formula>221142</formula>
      <formula>221144</formula>
    </cfRule>
    <cfRule type="cellIs" dxfId="1133" priority="1099" stopIfTrue="1" operator="between">
      <formula>220001</formula>
      <formula>221144</formula>
    </cfRule>
  </conditionalFormatting>
  <conditionalFormatting sqref="AB13">
    <cfRule type="cellIs" dxfId="1132" priority="1094" stopIfTrue="1" operator="between">
      <formula>221101</formula>
      <formula>221118</formula>
    </cfRule>
    <cfRule type="cellIs" dxfId="1131" priority="1095" stopIfTrue="1" operator="between">
      <formula>221142</formula>
      <formula>221144</formula>
    </cfRule>
    <cfRule type="cellIs" dxfId="1130" priority="1096" stopIfTrue="1" operator="between">
      <formula>220001</formula>
      <formula>221144</formula>
    </cfRule>
  </conditionalFormatting>
  <conditionalFormatting sqref="AA13">
    <cfRule type="cellIs" dxfId="1129" priority="1091" stopIfTrue="1" operator="between">
      <formula>221101</formula>
      <formula>221118</formula>
    </cfRule>
    <cfRule type="cellIs" dxfId="1128" priority="1092" stopIfTrue="1" operator="between">
      <formula>221142</formula>
      <formula>221144</formula>
    </cfRule>
    <cfRule type="cellIs" dxfId="1127" priority="1093" stopIfTrue="1" operator="between">
      <formula>220001</formula>
      <formula>221144</formula>
    </cfRule>
  </conditionalFormatting>
  <conditionalFormatting sqref="AK13">
    <cfRule type="cellIs" dxfId="1126" priority="1088" stopIfTrue="1" operator="between">
      <formula>221101</formula>
      <formula>221118</formula>
    </cfRule>
    <cfRule type="cellIs" dxfId="1125" priority="1089" stopIfTrue="1" operator="between">
      <formula>221142</formula>
      <formula>221144</formula>
    </cfRule>
    <cfRule type="cellIs" dxfId="1124" priority="1090" stopIfTrue="1" operator="between">
      <formula>220001</formula>
      <formula>221144</formula>
    </cfRule>
  </conditionalFormatting>
  <conditionalFormatting sqref="AL13">
    <cfRule type="cellIs" dxfId="1123" priority="1085" stopIfTrue="1" operator="between">
      <formula>221101</formula>
      <formula>221118</formula>
    </cfRule>
    <cfRule type="cellIs" dxfId="1122" priority="1086" stopIfTrue="1" operator="between">
      <formula>221142</formula>
      <formula>221144</formula>
    </cfRule>
    <cfRule type="cellIs" dxfId="1121" priority="1087" stopIfTrue="1" operator="between">
      <formula>220001</formula>
      <formula>221144</formula>
    </cfRule>
  </conditionalFormatting>
  <conditionalFormatting sqref="AA13">
    <cfRule type="cellIs" dxfId="1120" priority="1082" stopIfTrue="1" operator="between">
      <formula>221101</formula>
      <formula>221118</formula>
    </cfRule>
    <cfRule type="cellIs" dxfId="1119" priority="1083" stopIfTrue="1" operator="between">
      <formula>221142</formula>
      <formula>221144</formula>
    </cfRule>
    <cfRule type="cellIs" dxfId="1118" priority="1084" stopIfTrue="1" operator="between">
      <formula>220001</formula>
      <formula>221144</formula>
    </cfRule>
  </conditionalFormatting>
  <conditionalFormatting sqref="Z13">
    <cfRule type="cellIs" dxfId="1117" priority="1079" stopIfTrue="1" operator="between">
      <formula>221101</formula>
      <formula>221118</formula>
    </cfRule>
    <cfRule type="cellIs" dxfId="1116" priority="1080" stopIfTrue="1" operator="between">
      <formula>221142</formula>
      <formula>221144</formula>
    </cfRule>
    <cfRule type="cellIs" dxfId="1115" priority="1081" stopIfTrue="1" operator="between">
      <formula>220001</formula>
      <formula>221144</formula>
    </cfRule>
  </conditionalFormatting>
  <conditionalFormatting sqref="AJ13">
    <cfRule type="cellIs" dxfId="1114" priority="1076" stopIfTrue="1" operator="between">
      <formula>221101</formula>
      <formula>221118</formula>
    </cfRule>
    <cfRule type="cellIs" dxfId="1113" priority="1077" stopIfTrue="1" operator="between">
      <formula>221142</formula>
      <formula>221144</formula>
    </cfRule>
    <cfRule type="cellIs" dxfId="1112" priority="1078" stopIfTrue="1" operator="between">
      <formula>220001</formula>
      <formula>221144</formula>
    </cfRule>
  </conditionalFormatting>
  <conditionalFormatting sqref="AK13">
    <cfRule type="cellIs" dxfId="1111" priority="1073" stopIfTrue="1" operator="between">
      <formula>221101</formula>
      <formula>221118</formula>
    </cfRule>
    <cfRule type="cellIs" dxfId="1110" priority="1074" stopIfTrue="1" operator="between">
      <formula>221142</formula>
      <formula>221144</formula>
    </cfRule>
    <cfRule type="cellIs" dxfId="1109" priority="1075" stopIfTrue="1" operator="between">
      <formula>220001</formula>
      <formula>221144</formula>
    </cfRule>
  </conditionalFormatting>
  <conditionalFormatting sqref="AA13">
    <cfRule type="cellIs" dxfId="1108" priority="1070" stopIfTrue="1" operator="between">
      <formula>221101</formula>
      <formula>221118</formula>
    </cfRule>
    <cfRule type="cellIs" dxfId="1107" priority="1071" stopIfTrue="1" operator="between">
      <formula>221142</formula>
      <formula>221144</formula>
    </cfRule>
    <cfRule type="cellIs" dxfId="1106" priority="1072" stopIfTrue="1" operator="between">
      <formula>220001</formula>
      <formula>221144</formula>
    </cfRule>
  </conditionalFormatting>
  <conditionalFormatting sqref="Z13">
    <cfRule type="cellIs" dxfId="1105" priority="1067" stopIfTrue="1" operator="between">
      <formula>221101</formula>
      <formula>221118</formula>
    </cfRule>
    <cfRule type="cellIs" dxfId="1104" priority="1068" stopIfTrue="1" operator="between">
      <formula>221142</formula>
      <formula>221144</formula>
    </cfRule>
    <cfRule type="cellIs" dxfId="1103" priority="1069" stopIfTrue="1" operator="between">
      <formula>220001</formula>
      <formula>221144</formula>
    </cfRule>
  </conditionalFormatting>
  <conditionalFormatting sqref="AJ13">
    <cfRule type="cellIs" dxfId="1102" priority="1064" stopIfTrue="1" operator="between">
      <formula>221101</formula>
      <formula>221118</formula>
    </cfRule>
    <cfRule type="cellIs" dxfId="1101" priority="1065" stopIfTrue="1" operator="between">
      <formula>221142</formula>
      <formula>221144</formula>
    </cfRule>
    <cfRule type="cellIs" dxfId="1100" priority="1066" stopIfTrue="1" operator="between">
      <formula>220001</formula>
      <formula>221144</formula>
    </cfRule>
  </conditionalFormatting>
  <conditionalFormatting sqref="AK13">
    <cfRule type="cellIs" dxfId="1099" priority="1061" stopIfTrue="1" operator="between">
      <formula>221101</formula>
      <formula>221118</formula>
    </cfRule>
    <cfRule type="cellIs" dxfId="1098" priority="1062" stopIfTrue="1" operator="between">
      <formula>221142</formula>
      <formula>221144</formula>
    </cfRule>
    <cfRule type="cellIs" dxfId="1097" priority="1063" stopIfTrue="1" operator="between">
      <formula>220001</formula>
      <formula>221144</formula>
    </cfRule>
  </conditionalFormatting>
  <conditionalFormatting sqref="Z13">
    <cfRule type="cellIs" dxfId="1096" priority="1058" stopIfTrue="1" operator="between">
      <formula>221101</formula>
      <formula>221118</formula>
    </cfRule>
    <cfRule type="cellIs" dxfId="1095" priority="1059" stopIfTrue="1" operator="between">
      <formula>221142</formula>
      <formula>221144</formula>
    </cfRule>
    <cfRule type="cellIs" dxfId="1094" priority="1060" stopIfTrue="1" operator="between">
      <formula>220001</formula>
      <formula>221144</formula>
    </cfRule>
  </conditionalFormatting>
  <conditionalFormatting sqref="Y13">
    <cfRule type="cellIs" dxfId="1093" priority="1055" stopIfTrue="1" operator="between">
      <formula>221101</formula>
      <formula>221118</formula>
    </cfRule>
    <cfRule type="cellIs" dxfId="1092" priority="1056" stopIfTrue="1" operator="between">
      <formula>221142</formula>
      <formula>221144</formula>
    </cfRule>
    <cfRule type="cellIs" dxfId="1091" priority="1057" stopIfTrue="1" operator="between">
      <formula>220001</formula>
      <formula>221144</formula>
    </cfRule>
  </conditionalFormatting>
  <conditionalFormatting sqref="AI13">
    <cfRule type="cellIs" dxfId="1090" priority="1052" stopIfTrue="1" operator="between">
      <formula>221101</formula>
      <formula>221118</formula>
    </cfRule>
    <cfRule type="cellIs" dxfId="1089" priority="1053" stopIfTrue="1" operator="between">
      <formula>221142</formula>
      <formula>221144</formula>
    </cfRule>
    <cfRule type="cellIs" dxfId="1088" priority="1054" stopIfTrue="1" operator="between">
      <formula>220001</formula>
      <formula>221144</formula>
    </cfRule>
  </conditionalFormatting>
  <conditionalFormatting sqref="AJ13">
    <cfRule type="cellIs" dxfId="1087" priority="1049" stopIfTrue="1" operator="between">
      <formula>221101</formula>
      <formula>221118</formula>
    </cfRule>
    <cfRule type="cellIs" dxfId="1086" priority="1050" stopIfTrue="1" operator="between">
      <formula>221142</formula>
      <formula>221144</formula>
    </cfRule>
    <cfRule type="cellIs" dxfId="1085" priority="1051" stopIfTrue="1" operator="between">
      <formula>220001</formula>
      <formula>221144</formula>
    </cfRule>
  </conditionalFormatting>
  <conditionalFormatting sqref="AB13">
    <cfRule type="cellIs" dxfId="1084" priority="1046" stopIfTrue="1" operator="between">
      <formula>221101</formula>
      <formula>221118</formula>
    </cfRule>
    <cfRule type="cellIs" dxfId="1083" priority="1047" stopIfTrue="1" operator="between">
      <formula>221142</formula>
      <formula>221144</formula>
    </cfRule>
    <cfRule type="cellIs" dxfId="1082" priority="1048" stopIfTrue="1" operator="between">
      <formula>220001</formula>
      <formula>221144</formula>
    </cfRule>
  </conditionalFormatting>
  <conditionalFormatting sqref="AA13">
    <cfRule type="cellIs" dxfId="1081" priority="1043" stopIfTrue="1" operator="between">
      <formula>221101</formula>
      <formula>221118</formula>
    </cfRule>
    <cfRule type="cellIs" dxfId="1080" priority="1044" stopIfTrue="1" operator="between">
      <formula>221142</formula>
      <formula>221144</formula>
    </cfRule>
    <cfRule type="cellIs" dxfId="1079" priority="1045" stopIfTrue="1" operator="between">
      <formula>220001</formula>
      <formula>221144</formula>
    </cfRule>
  </conditionalFormatting>
  <conditionalFormatting sqref="AK13">
    <cfRule type="cellIs" dxfId="1078" priority="1040" stopIfTrue="1" operator="between">
      <formula>221101</formula>
      <formula>221118</formula>
    </cfRule>
    <cfRule type="cellIs" dxfId="1077" priority="1041" stopIfTrue="1" operator="between">
      <formula>221142</formula>
      <formula>221144</formula>
    </cfRule>
    <cfRule type="cellIs" dxfId="1076" priority="1042" stopIfTrue="1" operator="between">
      <formula>220001</formula>
      <formula>221144</formula>
    </cfRule>
  </conditionalFormatting>
  <conditionalFormatting sqref="AL13">
    <cfRule type="cellIs" dxfId="1075" priority="1037" stopIfTrue="1" operator="between">
      <formula>221101</formula>
      <formula>221118</formula>
    </cfRule>
    <cfRule type="cellIs" dxfId="1074" priority="1038" stopIfTrue="1" operator="between">
      <formula>221142</formula>
      <formula>221144</formula>
    </cfRule>
    <cfRule type="cellIs" dxfId="1073" priority="1039" stopIfTrue="1" operator="between">
      <formula>220001</formula>
      <formula>221144</formula>
    </cfRule>
  </conditionalFormatting>
  <conditionalFormatting sqref="AA13">
    <cfRule type="cellIs" dxfId="1072" priority="1034" stopIfTrue="1" operator="between">
      <formula>221101</formula>
      <formula>221118</formula>
    </cfRule>
    <cfRule type="cellIs" dxfId="1071" priority="1035" stopIfTrue="1" operator="between">
      <formula>221142</formula>
      <formula>221144</formula>
    </cfRule>
    <cfRule type="cellIs" dxfId="1070" priority="1036" stopIfTrue="1" operator="between">
      <formula>220001</formula>
      <formula>221144</formula>
    </cfRule>
  </conditionalFormatting>
  <conditionalFormatting sqref="Z13">
    <cfRule type="cellIs" dxfId="1069" priority="1031" stopIfTrue="1" operator="between">
      <formula>221101</formula>
      <formula>221118</formula>
    </cfRule>
    <cfRule type="cellIs" dxfId="1068" priority="1032" stopIfTrue="1" operator="between">
      <formula>221142</formula>
      <formula>221144</formula>
    </cfRule>
    <cfRule type="cellIs" dxfId="1067" priority="1033" stopIfTrue="1" operator="between">
      <formula>220001</formula>
      <formula>221144</formula>
    </cfRule>
  </conditionalFormatting>
  <conditionalFormatting sqref="AJ13">
    <cfRule type="cellIs" dxfId="1066" priority="1028" stopIfTrue="1" operator="between">
      <formula>221101</formula>
      <formula>221118</formula>
    </cfRule>
    <cfRule type="cellIs" dxfId="1065" priority="1029" stopIfTrue="1" operator="between">
      <formula>221142</formula>
      <formula>221144</formula>
    </cfRule>
    <cfRule type="cellIs" dxfId="1064" priority="1030" stopIfTrue="1" operator="between">
      <formula>220001</formula>
      <formula>221144</formula>
    </cfRule>
  </conditionalFormatting>
  <conditionalFormatting sqref="AK13">
    <cfRule type="cellIs" dxfId="1063" priority="1025" stopIfTrue="1" operator="between">
      <formula>221101</formula>
      <formula>221118</formula>
    </cfRule>
    <cfRule type="cellIs" dxfId="1062" priority="1026" stopIfTrue="1" operator="between">
      <formula>221142</formula>
      <formula>221144</formula>
    </cfRule>
    <cfRule type="cellIs" dxfId="1061" priority="1027" stopIfTrue="1" operator="between">
      <formula>220001</formula>
      <formula>221144</formula>
    </cfRule>
  </conditionalFormatting>
  <conditionalFormatting sqref="AA13">
    <cfRule type="cellIs" dxfId="1060" priority="1022" stopIfTrue="1" operator="between">
      <formula>221101</formula>
      <formula>221118</formula>
    </cfRule>
    <cfRule type="cellIs" dxfId="1059" priority="1023" stopIfTrue="1" operator="between">
      <formula>221142</formula>
      <formula>221144</formula>
    </cfRule>
    <cfRule type="cellIs" dxfId="1058" priority="1024" stopIfTrue="1" operator="between">
      <formula>220001</formula>
      <formula>221144</formula>
    </cfRule>
  </conditionalFormatting>
  <conditionalFormatting sqref="Z13">
    <cfRule type="cellIs" dxfId="1057" priority="1019" stopIfTrue="1" operator="between">
      <formula>221101</formula>
      <formula>221118</formula>
    </cfRule>
    <cfRule type="cellIs" dxfId="1056" priority="1020" stopIfTrue="1" operator="between">
      <formula>221142</formula>
      <formula>221144</formula>
    </cfRule>
    <cfRule type="cellIs" dxfId="1055" priority="1021" stopIfTrue="1" operator="between">
      <formula>220001</formula>
      <formula>221144</formula>
    </cfRule>
  </conditionalFormatting>
  <conditionalFormatting sqref="AJ13">
    <cfRule type="cellIs" dxfId="1054" priority="1016" stopIfTrue="1" operator="between">
      <formula>221101</formula>
      <formula>221118</formula>
    </cfRule>
    <cfRule type="cellIs" dxfId="1053" priority="1017" stopIfTrue="1" operator="between">
      <formula>221142</formula>
      <formula>221144</formula>
    </cfRule>
    <cfRule type="cellIs" dxfId="1052" priority="1018" stopIfTrue="1" operator="between">
      <formula>220001</formula>
      <formula>221144</formula>
    </cfRule>
  </conditionalFormatting>
  <conditionalFormatting sqref="AK13">
    <cfRule type="cellIs" dxfId="1051" priority="1013" stopIfTrue="1" operator="between">
      <formula>221101</formula>
      <formula>221118</formula>
    </cfRule>
    <cfRule type="cellIs" dxfId="1050" priority="1014" stopIfTrue="1" operator="between">
      <formula>221142</formula>
      <formula>221144</formula>
    </cfRule>
    <cfRule type="cellIs" dxfId="1049" priority="1015" stopIfTrue="1" operator="between">
      <formula>220001</formula>
      <formula>221144</formula>
    </cfRule>
  </conditionalFormatting>
  <conditionalFormatting sqref="Z13">
    <cfRule type="cellIs" dxfId="1048" priority="1010" stopIfTrue="1" operator="between">
      <formula>221101</formula>
      <formula>221118</formula>
    </cfRule>
    <cfRule type="cellIs" dxfId="1047" priority="1011" stopIfTrue="1" operator="between">
      <formula>221142</formula>
      <formula>221144</formula>
    </cfRule>
    <cfRule type="cellIs" dxfId="1046" priority="1012" stopIfTrue="1" operator="between">
      <formula>220001</formula>
      <formula>221144</formula>
    </cfRule>
  </conditionalFormatting>
  <conditionalFormatting sqref="Y13">
    <cfRule type="cellIs" dxfId="1045" priority="1007" stopIfTrue="1" operator="between">
      <formula>221101</formula>
      <formula>221118</formula>
    </cfRule>
    <cfRule type="cellIs" dxfId="1044" priority="1008" stopIfTrue="1" operator="between">
      <formula>221142</formula>
      <formula>221144</formula>
    </cfRule>
    <cfRule type="cellIs" dxfId="1043" priority="1009" stopIfTrue="1" operator="between">
      <formula>220001</formula>
      <formula>221144</formula>
    </cfRule>
  </conditionalFormatting>
  <conditionalFormatting sqref="AI13">
    <cfRule type="cellIs" dxfId="1042" priority="1004" stopIfTrue="1" operator="between">
      <formula>221101</formula>
      <formula>221118</formula>
    </cfRule>
    <cfRule type="cellIs" dxfId="1041" priority="1005" stopIfTrue="1" operator="between">
      <formula>221142</formula>
      <formula>221144</formula>
    </cfRule>
    <cfRule type="cellIs" dxfId="1040" priority="1006" stopIfTrue="1" operator="between">
      <formula>220001</formula>
      <formula>221144</formula>
    </cfRule>
  </conditionalFormatting>
  <conditionalFormatting sqref="AJ13">
    <cfRule type="cellIs" dxfId="1039" priority="1001" stopIfTrue="1" operator="between">
      <formula>221101</formula>
      <formula>221118</formula>
    </cfRule>
    <cfRule type="cellIs" dxfId="1038" priority="1002" stopIfTrue="1" operator="between">
      <formula>221142</formula>
      <formula>221144</formula>
    </cfRule>
    <cfRule type="cellIs" dxfId="1037" priority="1003" stopIfTrue="1" operator="between">
      <formula>220001</formula>
      <formula>221144</formula>
    </cfRule>
  </conditionalFormatting>
  <conditionalFormatting sqref="AA13">
    <cfRule type="cellIs" dxfId="1036" priority="998" stopIfTrue="1" operator="between">
      <formula>221101</formula>
      <formula>221118</formula>
    </cfRule>
    <cfRule type="cellIs" dxfId="1035" priority="999" stopIfTrue="1" operator="between">
      <formula>221142</formula>
      <formula>221144</formula>
    </cfRule>
    <cfRule type="cellIs" dxfId="1034" priority="1000" stopIfTrue="1" operator="between">
      <formula>220001</formula>
      <formula>221144</formula>
    </cfRule>
  </conditionalFormatting>
  <conditionalFormatting sqref="Z13">
    <cfRule type="cellIs" dxfId="1033" priority="995" stopIfTrue="1" operator="between">
      <formula>221101</formula>
      <formula>221118</formula>
    </cfRule>
    <cfRule type="cellIs" dxfId="1032" priority="996" stopIfTrue="1" operator="between">
      <formula>221142</formula>
      <formula>221144</formula>
    </cfRule>
    <cfRule type="cellIs" dxfId="1031" priority="997" stopIfTrue="1" operator="between">
      <formula>220001</formula>
      <formula>221144</formula>
    </cfRule>
  </conditionalFormatting>
  <conditionalFormatting sqref="AJ13">
    <cfRule type="cellIs" dxfId="1030" priority="992" stopIfTrue="1" operator="between">
      <formula>221101</formula>
      <formula>221118</formula>
    </cfRule>
    <cfRule type="cellIs" dxfId="1029" priority="993" stopIfTrue="1" operator="between">
      <formula>221142</formula>
      <formula>221144</formula>
    </cfRule>
    <cfRule type="cellIs" dxfId="1028" priority="994" stopIfTrue="1" operator="between">
      <formula>220001</formula>
      <formula>221144</formula>
    </cfRule>
  </conditionalFormatting>
  <conditionalFormatting sqref="AK13">
    <cfRule type="cellIs" dxfId="1027" priority="989" stopIfTrue="1" operator="between">
      <formula>221101</formula>
      <formula>221118</formula>
    </cfRule>
    <cfRule type="cellIs" dxfId="1026" priority="990" stopIfTrue="1" operator="between">
      <formula>221142</formula>
      <formula>221144</formula>
    </cfRule>
    <cfRule type="cellIs" dxfId="1025" priority="991" stopIfTrue="1" operator="between">
      <formula>220001</formula>
      <formula>221144</formula>
    </cfRule>
  </conditionalFormatting>
  <conditionalFormatting sqref="Z13">
    <cfRule type="cellIs" dxfId="1024" priority="986" stopIfTrue="1" operator="between">
      <formula>221101</formula>
      <formula>221118</formula>
    </cfRule>
    <cfRule type="cellIs" dxfId="1023" priority="987" stopIfTrue="1" operator="between">
      <formula>221142</formula>
      <formula>221144</formula>
    </cfRule>
    <cfRule type="cellIs" dxfId="1022" priority="988" stopIfTrue="1" operator="between">
      <formula>220001</formula>
      <formula>221144</formula>
    </cfRule>
  </conditionalFormatting>
  <conditionalFormatting sqref="Y13">
    <cfRule type="cellIs" dxfId="1021" priority="983" stopIfTrue="1" operator="between">
      <formula>221101</formula>
      <formula>221118</formula>
    </cfRule>
    <cfRule type="cellIs" dxfId="1020" priority="984" stopIfTrue="1" operator="between">
      <formula>221142</formula>
      <formula>221144</formula>
    </cfRule>
    <cfRule type="cellIs" dxfId="1019" priority="985" stopIfTrue="1" operator="between">
      <formula>220001</formula>
      <formula>221144</formula>
    </cfRule>
  </conditionalFormatting>
  <conditionalFormatting sqref="AI13">
    <cfRule type="cellIs" dxfId="1018" priority="980" stopIfTrue="1" operator="between">
      <formula>221101</formula>
      <formula>221118</formula>
    </cfRule>
    <cfRule type="cellIs" dxfId="1017" priority="981" stopIfTrue="1" operator="between">
      <formula>221142</formula>
      <formula>221144</formula>
    </cfRule>
    <cfRule type="cellIs" dxfId="1016" priority="982" stopIfTrue="1" operator="between">
      <formula>220001</formula>
      <formula>221144</formula>
    </cfRule>
  </conditionalFormatting>
  <conditionalFormatting sqref="AJ13">
    <cfRule type="cellIs" dxfId="1015" priority="977" stopIfTrue="1" operator="between">
      <formula>221101</formula>
      <formula>221118</formula>
    </cfRule>
    <cfRule type="cellIs" dxfId="1014" priority="978" stopIfTrue="1" operator="between">
      <formula>221142</formula>
      <formula>221144</formula>
    </cfRule>
    <cfRule type="cellIs" dxfId="1013" priority="979" stopIfTrue="1" operator="between">
      <formula>220001</formula>
      <formula>221144</formula>
    </cfRule>
  </conditionalFormatting>
  <conditionalFormatting sqref="Z13">
    <cfRule type="cellIs" dxfId="1012" priority="974" stopIfTrue="1" operator="between">
      <formula>221101</formula>
      <formula>221118</formula>
    </cfRule>
    <cfRule type="cellIs" dxfId="1011" priority="975" stopIfTrue="1" operator="between">
      <formula>221142</formula>
      <formula>221144</formula>
    </cfRule>
    <cfRule type="cellIs" dxfId="1010" priority="976" stopIfTrue="1" operator="between">
      <formula>220001</formula>
      <formula>221144</formula>
    </cfRule>
  </conditionalFormatting>
  <conditionalFormatting sqref="Y13">
    <cfRule type="cellIs" dxfId="1009" priority="971" stopIfTrue="1" operator="between">
      <formula>221101</formula>
      <formula>221118</formula>
    </cfRule>
    <cfRule type="cellIs" dxfId="1008" priority="972" stopIfTrue="1" operator="between">
      <formula>221142</formula>
      <formula>221144</formula>
    </cfRule>
    <cfRule type="cellIs" dxfId="1007" priority="973" stopIfTrue="1" operator="between">
      <formula>220001</formula>
      <formula>221144</formula>
    </cfRule>
  </conditionalFormatting>
  <conditionalFormatting sqref="AI13">
    <cfRule type="cellIs" dxfId="1006" priority="968" stopIfTrue="1" operator="between">
      <formula>221101</formula>
      <formula>221118</formula>
    </cfRule>
    <cfRule type="cellIs" dxfId="1005" priority="969" stopIfTrue="1" operator="between">
      <formula>221142</formula>
      <formula>221144</formula>
    </cfRule>
    <cfRule type="cellIs" dxfId="1004" priority="970" stopIfTrue="1" operator="between">
      <formula>220001</formula>
      <formula>221144</formula>
    </cfRule>
  </conditionalFormatting>
  <conditionalFormatting sqref="AJ13">
    <cfRule type="cellIs" dxfId="1003" priority="965" stopIfTrue="1" operator="between">
      <formula>221101</formula>
      <formula>221118</formula>
    </cfRule>
    <cfRule type="cellIs" dxfId="1002" priority="966" stopIfTrue="1" operator="between">
      <formula>221142</formula>
      <formula>221144</formula>
    </cfRule>
    <cfRule type="cellIs" dxfId="1001" priority="967" stopIfTrue="1" operator="between">
      <formula>220001</formula>
      <formula>221144</formula>
    </cfRule>
  </conditionalFormatting>
  <conditionalFormatting sqref="Y13">
    <cfRule type="cellIs" dxfId="1000" priority="962" stopIfTrue="1" operator="between">
      <formula>221101</formula>
      <formula>221118</formula>
    </cfRule>
    <cfRule type="cellIs" dxfId="999" priority="963" stopIfTrue="1" operator="between">
      <formula>221142</formula>
      <formula>221144</formula>
    </cfRule>
    <cfRule type="cellIs" dxfId="998" priority="964" stopIfTrue="1" operator="between">
      <formula>220001</formula>
      <formula>221144</formula>
    </cfRule>
  </conditionalFormatting>
  <conditionalFormatting sqref="X13">
    <cfRule type="cellIs" dxfId="997" priority="959" stopIfTrue="1" operator="between">
      <formula>221101</formula>
      <formula>221118</formula>
    </cfRule>
    <cfRule type="cellIs" dxfId="996" priority="960" stopIfTrue="1" operator="between">
      <formula>221142</formula>
      <formula>221144</formula>
    </cfRule>
    <cfRule type="cellIs" dxfId="995" priority="961" stopIfTrue="1" operator="between">
      <formula>220001</formula>
      <formula>221144</formula>
    </cfRule>
  </conditionalFormatting>
  <conditionalFormatting sqref="AH13">
    <cfRule type="cellIs" dxfId="994" priority="956" stopIfTrue="1" operator="between">
      <formula>221101</formula>
      <formula>221118</formula>
    </cfRule>
    <cfRule type="cellIs" dxfId="993" priority="957" stopIfTrue="1" operator="between">
      <formula>221142</formula>
      <formula>221144</formula>
    </cfRule>
    <cfRule type="cellIs" dxfId="992" priority="958" stopIfTrue="1" operator="between">
      <formula>220001</formula>
      <formula>221144</formula>
    </cfRule>
  </conditionalFormatting>
  <conditionalFormatting sqref="AI13">
    <cfRule type="cellIs" dxfId="991" priority="953" stopIfTrue="1" operator="between">
      <formula>221101</formula>
      <formula>221118</formula>
    </cfRule>
    <cfRule type="cellIs" dxfId="990" priority="954" stopIfTrue="1" operator="between">
      <formula>221142</formula>
      <formula>221144</formula>
    </cfRule>
    <cfRule type="cellIs" dxfId="989" priority="955" stopIfTrue="1" operator="between">
      <formula>220001</formula>
      <formula>221144</formula>
    </cfRule>
  </conditionalFormatting>
  <conditionalFormatting sqref="D13">
    <cfRule type="cellIs" dxfId="988" priority="950" stopIfTrue="1" operator="between">
      <formula>221101</formula>
      <formula>221118</formula>
    </cfRule>
    <cfRule type="cellIs" dxfId="987" priority="951" stopIfTrue="1" operator="between">
      <formula>221142</formula>
      <formula>221144</formula>
    </cfRule>
    <cfRule type="cellIs" dxfId="986" priority="952" stopIfTrue="1" operator="between">
      <formula>220001</formula>
      <formula>221144</formula>
    </cfRule>
  </conditionalFormatting>
  <conditionalFormatting sqref="AD13">
    <cfRule type="cellIs" dxfId="985" priority="947" stopIfTrue="1" operator="between">
      <formula>221101</formula>
      <formula>221118</formula>
    </cfRule>
    <cfRule type="cellIs" dxfId="984" priority="948" stopIfTrue="1" operator="between">
      <formula>221142</formula>
      <formula>221144</formula>
    </cfRule>
    <cfRule type="cellIs" dxfId="983" priority="949" stopIfTrue="1" operator="between">
      <formula>220001</formula>
      <formula>221144</formula>
    </cfRule>
  </conditionalFormatting>
  <conditionalFormatting sqref="AC13">
    <cfRule type="cellIs" dxfId="982" priority="944" stopIfTrue="1" operator="between">
      <formula>221101</formula>
      <formula>221118</formula>
    </cfRule>
    <cfRule type="cellIs" dxfId="981" priority="945" stopIfTrue="1" operator="between">
      <formula>221142</formula>
      <formula>221144</formula>
    </cfRule>
    <cfRule type="cellIs" dxfId="980" priority="946" stopIfTrue="1" operator="between">
      <formula>220001</formula>
      <formula>221144</formula>
    </cfRule>
  </conditionalFormatting>
  <conditionalFormatting sqref="AM13">
    <cfRule type="cellIs" dxfId="979" priority="941" stopIfTrue="1" operator="between">
      <formula>221101</formula>
      <formula>221118</formula>
    </cfRule>
    <cfRule type="cellIs" dxfId="978" priority="942" stopIfTrue="1" operator="between">
      <formula>221142</formula>
      <formula>221144</formula>
    </cfRule>
    <cfRule type="cellIs" dxfId="977" priority="943" stopIfTrue="1" operator="between">
      <formula>220001</formula>
      <formula>221144</formula>
    </cfRule>
  </conditionalFormatting>
  <conditionalFormatting sqref="AN13">
    <cfRule type="cellIs" dxfId="976" priority="938" stopIfTrue="1" operator="between">
      <formula>221101</formula>
      <formula>221118</formula>
    </cfRule>
    <cfRule type="cellIs" dxfId="975" priority="939" stopIfTrue="1" operator="between">
      <formula>221142</formula>
      <formula>221144</formula>
    </cfRule>
    <cfRule type="cellIs" dxfId="974" priority="940" stopIfTrue="1" operator="between">
      <formula>220001</formula>
      <formula>221144</formula>
    </cfRule>
  </conditionalFormatting>
  <conditionalFormatting sqref="AC13">
    <cfRule type="cellIs" dxfId="973" priority="935" stopIfTrue="1" operator="between">
      <formula>221101</formula>
      <formula>221118</formula>
    </cfRule>
    <cfRule type="cellIs" dxfId="972" priority="936" stopIfTrue="1" operator="between">
      <formula>221142</formula>
      <formula>221144</formula>
    </cfRule>
    <cfRule type="cellIs" dxfId="971" priority="937" stopIfTrue="1" operator="between">
      <formula>220001</formula>
      <formula>221144</formula>
    </cfRule>
  </conditionalFormatting>
  <conditionalFormatting sqref="AB13">
    <cfRule type="cellIs" dxfId="970" priority="932" stopIfTrue="1" operator="between">
      <formula>221101</formula>
      <formula>221118</formula>
    </cfRule>
    <cfRule type="cellIs" dxfId="969" priority="933" stopIfTrue="1" operator="between">
      <formula>221142</formula>
      <formula>221144</formula>
    </cfRule>
    <cfRule type="cellIs" dxfId="968" priority="934" stopIfTrue="1" operator="between">
      <formula>220001</formula>
      <formula>221144</formula>
    </cfRule>
  </conditionalFormatting>
  <conditionalFormatting sqref="AL13">
    <cfRule type="cellIs" dxfId="967" priority="929" stopIfTrue="1" operator="between">
      <formula>221101</formula>
      <formula>221118</formula>
    </cfRule>
    <cfRule type="cellIs" dxfId="966" priority="930" stopIfTrue="1" operator="between">
      <formula>221142</formula>
      <formula>221144</formula>
    </cfRule>
    <cfRule type="cellIs" dxfId="965" priority="931" stopIfTrue="1" operator="between">
      <formula>220001</formula>
      <formula>221144</formula>
    </cfRule>
  </conditionalFormatting>
  <conditionalFormatting sqref="AM13">
    <cfRule type="cellIs" dxfId="964" priority="926" stopIfTrue="1" operator="between">
      <formula>221101</formula>
      <formula>221118</formula>
    </cfRule>
    <cfRule type="cellIs" dxfId="963" priority="927" stopIfTrue="1" operator="between">
      <formula>221142</formula>
      <formula>221144</formula>
    </cfRule>
    <cfRule type="cellIs" dxfId="962" priority="928" stopIfTrue="1" operator="between">
      <formula>220001</formula>
      <formula>221144</formula>
    </cfRule>
  </conditionalFormatting>
  <conditionalFormatting sqref="C13">
    <cfRule type="cellIs" dxfId="961" priority="923" stopIfTrue="1" operator="between">
      <formula>221101</formula>
      <formula>221118</formula>
    </cfRule>
    <cfRule type="cellIs" dxfId="960" priority="924" stopIfTrue="1" operator="between">
      <formula>221142</formula>
      <formula>221144</formula>
    </cfRule>
    <cfRule type="cellIs" dxfId="959" priority="925" stopIfTrue="1" operator="between">
      <formula>220001</formula>
      <formula>221144</formula>
    </cfRule>
  </conditionalFormatting>
  <conditionalFormatting sqref="C13">
    <cfRule type="cellIs" dxfId="958" priority="920" stopIfTrue="1" operator="between">
      <formula>221101</formula>
      <formula>221118</formula>
    </cfRule>
    <cfRule type="cellIs" dxfId="957" priority="921" stopIfTrue="1" operator="between">
      <formula>221142</formula>
      <formula>221144</formula>
    </cfRule>
    <cfRule type="cellIs" dxfId="956" priority="922" stopIfTrue="1" operator="between">
      <formula>220001</formula>
      <formula>221144</formula>
    </cfRule>
  </conditionalFormatting>
  <conditionalFormatting sqref="C13">
    <cfRule type="cellIs" dxfId="955" priority="917" stopIfTrue="1" operator="between">
      <formula>221101</formula>
      <formula>221118</formula>
    </cfRule>
    <cfRule type="cellIs" dxfId="954" priority="918" stopIfTrue="1" operator="between">
      <formula>221142</formula>
      <formula>221144</formula>
    </cfRule>
    <cfRule type="cellIs" dxfId="953" priority="919" stopIfTrue="1" operator="between">
      <formula>220001</formula>
      <formula>221144</formula>
    </cfRule>
  </conditionalFormatting>
  <conditionalFormatting sqref="C13">
    <cfRule type="cellIs" dxfId="952" priority="914" stopIfTrue="1" operator="between">
      <formula>221101</formula>
      <formula>221118</formula>
    </cfRule>
    <cfRule type="cellIs" dxfId="951" priority="915" stopIfTrue="1" operator="between">
      <formula>221142</formula>
      <formula>221144</formula>
    </cfRule>
    <cfRule type="cellIs" dxfId="950" priority="916" stopIfTrue="1" operator="between">
      <formula>220001</formula>
      <formula>221144</formula>
    </cfRule>
  </conditionalFormatting>
  <conditionalFormatting sqref="C13">
    <cfRule type="cellIs" dxfId="949" priority="911" stopIfTrue="1" operator="between">
      <formula>221101</formula>
      <formula>221118</formula>
    </cfRule>
    <cfRule type="cellIs" dxfId="948" priority="912" stopIfTrue="1" operator="between">
      <formula>221142</formula>
      <formula>221144</formula>
    </cfRule>
    <cfRule type="cellIs" dxfId="947" priority="913" stopIfTrue="1" operator="between">
      <formula>220001</formula>
      <formula>221144</formula>
    </cfRule>
  </conditionalFormatting>
  <conditionalFormatting sqref="AC13">
    <cfRule type="cellIs" dxfId="946" priority="908" stopIfTrue="1" operator="between">
      <formula>221101</formula>
      <formula>221118</formula>
    </cfRule>
    <cfRule type="cellIs" dxfId="945" priority="909" stopIfTrue="1" operator="between">
      <formula>221142</formula>
      <formula>221144</formula>
    </cfRule>
    <cfRule type="cellIs" dxfId="944" priority="910" stopIfTrue="1" operator="between">
      <formula>220001</formula>
      <formula>221144</formula>
    </cfRule>
  </conditionalFormatting>
  <conditionalFormatting sqref="AB13">
    <cfRule type="cellIs" dxfId="943" priority="905" stopIfTrue="1" operator="between">
      <formula>221101</formula>
      <formula>221118</formula>
    </cfRule>
    <cfRule type="cellIs" dxfId="942" priority="906" stopIfTrue="1" operator="between">
      <formula>221142</formula>
      <formula>221144</formula>
    </cfRule>
    <cfRule type="cellIs" dxfId="941" priority="907" stopIfTrue="1" operator="between">
      <formula>220001</formula>
      <formula>221144</formula>
    </cfRule>
  </conditionalFormatting>
  <conditionalFormatting sqref="AL13">
    <cfRule type="cellIs" dxfId="940" priority="902" stopIfTrue="1" operator="between">
      <formula>221101</formula>
      <formula>221118</formula>
    </cfRule>
    <cfRule type="cellIs" dxfId="939" priority="903" stopIfTrue="1" operator="between">
      <formula>221142</formula>
      <formula>221144</formula>
    </cfRule>
    <cfRule type="cellIs" dxfId="938" priority="904" stopIfTrue="1" operator="between">
      <formula>220001</formula>
      <formula>221144</formula>
    </cfRule>
  </conditionalFormatting>
  <conditionalFormatting sqref="AM13">
    <cfRule type="cellIs" dxfId="937" priority="899" stopIfTrue="1" operator="between">
      <formula>221101</formula>
      <formula>221118</formula>
    </cfRule>
    <cfRule type="cellIs" dxfId="936" priority="900" stopIfTrue="1" operator="between">
      <formula>221142</formula>
      <formula>221144</formula>
    </cfRule>
    <cfRule type="cellIs" dxfId="935" priority="901" stopIfTrue="1" operator="between">
      <formula>220001</formula>
      <formula>221144</formula>
    </cfRule>
  </conditionalFormatting>
  <conditionalFormatting sqref="AB13">
    <cfRule type="cellIs" dxfId="934" priority="896" stopIfTrue="1" operator="between">
      <formula>221101</formula>
      <formula>221118</formula>
    </cfRule>
    <cfRule type="cellIs" dxfId="933" priority="897" stopIfTrue="1" operator="between">
      <formula>221142</formula>
      <formula>221144</formula>
    </cfRule>
    <cfRule type="cellIs" dxfId="932" priority="898" stopIfTrue="1" operator="between">
      <formula>220001</formula>
      <formula>221144</formula>
    </cfRule>
  </conditionalFormatting>
  <conditionalFormatting sqref="AA13">
    <cfRule type="cellIs" dxfId="931" priority="893" stopIfTrue="1" operator="between">
      <formula>221101</formula>
      <formula>221118</formula>
    </cfRule>
    <cfRule type="cellIs" dxfId="930" priority="894" stopIfTrue="1" operator="between">
      <formula>221142</formula>
      <formula>221144</formula>
    </cfRule>
    <cfRule type="cellIs" dxfId="929" priority="895" stopIfTrue="1" operator="between">
      <formula>220001</formula>
      <formula>221144</formula>
    </cfRule>
  </conditionalFormatting>
  <conditionalFormatting sqref="AK13">
    <cfRule type="cellIs" dxfId="928" priority="890" stopIfTrue="1" operator="between">
      <formula>221101</formula>
      <formula>221118</formula>
    </cfRule>
    <cfRule type="cellIs" dxfId="927" priority="891" stopIfTrue="1" operator="between">
      <formula>221142</formula>
      <formula>221144</formula>
    </cfRule>
    <cfRule type="cellIs" dxfId="926" priority="892" stopIfTrue="1" operator="between">
      <formula>220001</formula>
      <formula>221144</formula>
    </cfRule>
  </conditionalFormatting>
  <conditionalFormatting sqref="AL13">
    <cfRule type="cellIs" dxfId="925" priority="887" stopIfTrue="1" operator="between">
      <formula>221101</formula>
      <formula>221118</formula>
    </cfRule>
    <cfRule type="cellIs" dxfId="924" priority="888" stopIfTrue="1" operator="between">
      <formula>221142</formula>
      <formula>221144</formula>
    </cfRule>
    <cfRule type="cellIs" dxfId="923" priority="889" stopIfTrue="1" operator="between">
      <formula>220001</formula>
      <formula>221144</formula>
    </cfRule>
  </conditionalFormatting>
  <conditionalFormatting sqref="C13">
    <cfRule type="cellIs" dxfId="922" priority="884" stopIfTrue="1" operator="between">
      <formula>221101</formula>
      <formula>221118</formula>
    </cfRule>
    <cfRule type="cellIs" dxfId="921" priority="885" stopIfTrue="1" operator="between">
      <formula>221142</formula>
      <formula>221144</formula>
    </cfRule>
    <cfRule type="cellIs" dxfId="920" priority="886" stopIfTrue="1" operator="between">
      <formula>220001</formula>
      <formula>221144</formula>
    </cfRule>
  </conditionalFormatting>
  <conditionalFormatting sqref="AC13">
    <cfRule type="cellIs" dxfId="919" priority="881" stopIfTrue="1" operator="between">
      <formula>221101</formula>
      <formula>221118</formula>
    </cfRule>
    <cfRule type="cellIs" dxfId="918" priority="882" stopIfTrue="1" operator="between">
      <formula>221142</formula>
      <formula>221144</formula>
    </cfRule>
    <cfRule type="cellIs" dxfId="917" priority="883" stopIfTrue="1" operator="between">
      <formula>220001</formula>
      <formula>221144</formula>
    </cfRule>
  </conditionalFormatting>
  <conditionalFormatting sqref="AB13">
    <cfRule type="cellIs" dxfId="916" priority="878" stopIfTrue="1" operator="between">
      <formula>221101</formula>
      <formula>221118</formula>
    </cfRule>
    <cfRule type="cellIs" dxfId="915" priority="879" stopIfTrue="1" operator="between">
      <formula>221142</formula>
      <formula>221144</formula>
    </cfRule>
    <cfRule type="cellIs" dxfId="914" priority="880" stopIfTrue="1" operator="between">
      <formula>220001</formula>
      <formula>221144</formula>
    </cfRule>
  </conditionalFormatting>
  <conditionalFormatting sqref="AL13">
    <cfRule type="cellIs" dxfId="913" priority="875" stopIfTrue="1" operator="between">
      <formula>221101</formula>
      <formula>221118</formula>
    </cfRule>
    <cfRule type="cellIs" dxfId="912" priority="876" stopIfTrue="1" operator="between">
      <formula>221142</formula>
      <formula>221144</formula>
    </cfRule>
    <cfRule type="cellIs" dxfId="911" priority="877" stopIfTrue="1" operator="between">
      <formula>220001</formula>
      <formula>221144</formula>
    </cfRule>
  </conditionalFormatting>
  <conditionalFormatting sqref="AM13">
    <cfRule type="cellIs" dxfId="910" priority="872" stopIfTrue="1" operator="between">
      <formula>221101</formula>
      <formula>221118</formula>
    </cfRule>
    <cfRule type="cellIs" dxfId="909" priority="873" stopIfTrue="1" operator="between">
      <formula>221142</formula>
      <formula>221144</formula>
    </cfRule>
    <cfRule type="cellIs" dxfId="908" priority="874" stopIfTrue="1" operator="between">
      <formula>220001</formula>
      <formula>221144</formula>
    </cfRule>
  </conditionalFormatting>
  <conditionalFormatting sqref="AB13">
    <cfRule type="cellIs" dxfId="907" priority="869" stopIfTrue="1" operator="between">
      <formula>221101</formula>
      <formula>221118</formula>
    </cfRule>
    <cfRule type="cellIs" dxfId="906" priority="870" stopIfTrue="1" operator="between">
      <formula>221142</formula>
      <formula>221144</formula>
    </cfRule>
    <cfRule type="cellIs" dxfId="905" priority="871" stopIfTrue="1" operator="between">
      <formula>220001</formula>
      <formula>221144</formula>
    </cfRule>
  </conditionalFormatting>
  <conditionalFormatting sqref="AA13">
    <cfRule type="cellIs" dxfId="904" priority="866" stopIfTrue="1" operator="between">
      <formula>221101</formula>
      <formula>221118</formula>
    </cfRule>
    <cfRule type="cellIs" dxfId="903" priority="867" stopIfTrue="1" operator="between">
      <formula>221142</formula>
      <formula>221144</formula>
    </cfRule>
    <cfRule type="cellIs" dxfId="902" priority="868" stopIfTrue="1" operator="between">
      <formula>220001</formula>
      <formula>221144</formula>
    </cfRule>
  </conditionalFormatting>
  <conditionalFormatting sqref="AK13">
    <cfRule type="cellIs" dxfId="901" priority="863" stopIfTrue="1" operator="between">
      <formula>221101</formula>
      <formula>221118</formula>
    </cfRule>
    <cfRule type="cellIs" dxfId="900" priority="864" stopIfTrue="1" operator="between">
      <formula>221142</formula>
      <formula>221144</formula>
    </cfRule>
    <cfRule type="cellIs" dxfId="899" priority="865" stopIfTrue="1" operator="between">
      <formula>220001</formula>
      <formula>221144</formula>
    </cfRule>
  </conditionalFormatting>
  <conditionalFormatting sqref="AL13">
    <cfRule type="cellIs" dxfId="898" priority="860" stopIfTrue="1" operator="between">
      <formula>221101</formula>
      <formula>221118</formula>
    </cfRule>
    <cfRule type="cellIs" dxfId="897" priority="861" stopIfTrue="1" operator="between">
      <formula>221142</formula>
      <formula>221144</formula>
    </cfRule>
    <cfRule type="cellIs" dxfId="896" priority="862" stopIfTrue="1" operator="between">
      <formula>220001</formula>
      <formula>221144</formula>
    </cfRule>
  </conditionalFormatting>
  <conditionalFormatting sqref="AB13">
    <cfRule type="cellIs" dxfId="895" priority="857" stopIfTrue="1" operator="between">
      <formula>221101</formula>
      <formula>221118</formula>
    </cfRule>
    <cfRule type="cellIs" dxfId="894" priority="858" stopIfTrue="1" operator="between">
      <formula>221142</formula>
      <formula>221144</formula>
    </cfRule>
    <cfRule type="cellIs" dxfId="893" priority="859" stopIfTrue="1" operator="between">
      <formula>220001</formula>
      <formula>221144</formula>
    </cfRule>
  </conditionalFormatting>
  <conditionalFormatting sqref="AA13">
    <cfRule type="cellIs" dxfId="892" priority="854" stopIfTrue="1" operator="between">
      <formula>221101</formula>
      <formula>221118</formula>
    </cfRule>
    <cfRule type="cellIs" dxfId="891" priority="855" stopIfTrue="1" operator="between">
      <formula>221142</formula>
      <formula>221144</formula>
    </cfRule>
    <cfRule type="cellIs" dxfId="890" priority="856" stopIfTrue="1" operator="between">
      <formula>220001</formula>
      <formula>221144</formula>
    </cfRule>
  </conditionalFormatting>
  <conditionalFormatting sqref="AK13">
    <cfRule type="cellIs" dxfId="889" priority="851" stopIfTrue="1" operator="between">
      <formula>221101</formula>
      <formula>221118</formula>
    </cfRule>
    <cfRule type="cellIs" dxfId="888" priority="852" stopIfTrue="1" operator="between">
      <formula>221142</formula>
      <formula>221144</formula>
    </cfRule>
    <cfRule type="cellIs" dxfId="887" priority="853" stopIfTrue="1" operator="between">
      <formula>220001</formula>
      <formula>221144</formula>
    </cfRule>
  </conditionalFormatting>
  <conditionalFormatting sqref="AL13">
    <cfRule type="cellIs" dxfId="886" priority="848" stopIfTrue="1" operator="between">
      <formula>221101</formula>
      <formula>221118</formula>
    </cfRule>
    <cfRule type="cellIs" dxfId="885" priority="849" stopIfTrue="1" operator="between">
      <formula>221142</formula>
      <formula>221144</formula>
    </cfRule>
    <cfRule type="cellIs" dxfId="884" priority="850" stopIfTrue="1" operator="between">
      <formula>220001</formula>
      <formula>221144</formula>
    </cfRule>
  </conditionalFormatting>
  <conditionalFormatting sqref="AA13">
    <cfRule type="cellIs" dxfId="883" priority="845" stopIfTrue="1" operator="between">
      <formula>221101</formula>
      <formula>221118</formula>
    </cfRule>
    <cfRule type="cellIs" dxfId="882" priority="846" stopIfTrue="1" operator="between">
      <formula>221142</formula>
      <formula>221144</formula>
    </cfRule>
    <cfRule type="cellIs" dxfId="881" priority="847" stopIfTrue="1" operator="between">
      <formula>220001</formula>
      <formula>221144</formula>
    </cfRule>
  </conditionalFormatting>
  <conditionalFormatting sqref="Z13">
    <cfRule type="cellIs" dxfId="880" priority="842" stopIfTrue="1" operator="between">
      <formula>221101</formula>
      <formula>221118</formula>
    </cfRule>
    <cfRule type="cellIs" dxfId="879" priority="843" stopIfTrue="1" operator="between">
      <formula>221142</formula>
      <formula>221144</formula>
    </cfRule>
    <cfRule type="cellIs" dxfId="878" priority="844" stopIfTrue="1" operator="between">
      <formula>220001</formula>
      <formula>221144</formula>
    </cfRule>
  </conditionalFormatting>
  <conditionalFormatting sqref="AJ13">
    <cfRule type="cellIs" dxfId="877" priority="839" stopIfTrue="1" operator="between">
      <formula>221101</formula>
      <formula>221118</formula>
    </cfRule>
    <cfRule type="cellIs" dxfId="876" priority="840" stopIfTrue="1" operator="between">
      <formula>221142</formula>
      <formula>221144</formula>
    </cfRule>
    <cfRule type="cellIs" dxfId="875" priority="841" stopIfTrue="1" operator="between">
      <formula>220001</formula>
      <formula>221144</formula>
    </cfRule>
  </conditionalFormatting>
  <conditionalFormatting sqref="AK13">
    <cfRule type="cellIs" dxfId="874" priority="836" stopIfTrue="1" operator="between">
      <formula>221101</formula>
      <formula>221118</formula>
    </cfRule>
    <cfRule type="cellIs" dxfId="873" priority="837" stopIfTrue="1" operator="between">
      <formula>221142</formula>
      <formula>221144</formula>
    </cfRule>
    <cfRule type="cellIs" dxfId="872" priority="838" stopIfTrue="1" operator="between">
      <formula>220001</formula>
      <formula>221144</formula>
    </cfRule>
  </conditionalFormatting>
  <conditionalFormatting sqref="C13">
    <cfRule type="cellIs" dxfId="871" priority="833" stopIfTrue="1" operator="between">
      <formula>221101</formula>
      <formula>221118</formula>
    </cfRule>
    <cfRule type="cellIs" dxfId="870" priority="834" stopIfTrue="1" operator="between">
      <formula>221142</formula>
      <formula>221144</formula>
    </cfRule>
    <cfRule type="cellIs" dxfId="869" priority="835" stopIfTrue="1" operator="between">
      <formula>220001</formula>
      <formula>221144</formula>
    </cfRule>
  </conditionalFormatting>
  <conditionalFormatting sqref="AC13">
    <cfRule type="cellIs" dxfId="868" priority="830" stopIfTrue="1" operator="between">
      <formula>221101</formula>
      <formula>221118</formula>
    </cfRule>
    <cfRule type="cellIs" dxfId="867" priority="831" stopIfTrue="1" operator="between">
      <formula>221142</formula>
      <formula>221144</formula>
    </cfRule>
    <cfRule type="cellIs" dxfId="866" priority="832" stopIfTrue="1" operator="between">
      <formula>220001</formula>
      <formula>221144</formula>
    </cfRule>
  </conditionalFormatting>
  <conditionalFormatting sqref="AB13">
    <cfRule type="cellIs" dxfId="865" priority="827" stopIfTrue="1" operator="between">
      <formula>221101</formula>
      <formula>221118</formula>
    </cfRule>
    <cfRule type="cellIs" dxfId="864" priority="828" stopIfTrue="1" operator="between">
      <formula>221142</formula>
      <formula>221144</formula>
    </cfRule>
    <cfRule type="cellIs" dxfId="863" priority="829" stopIfTrue="1" operator="between">
      <formula>220001</formula>
      <formula>221144</formula>
    </cfRule>
  </conditionalFormatting>
  <conditionalFormatting sqref="AL13">
    <cfRule type="cellIs" dxfId="862" priority="824" stopIfTrue="1" operator="between">
      <formula>221101</formula>
      <formula>221118</formula>
    </cfRule>
    <cfRule type="cellIs" dxfId="861" priority="825" stopIfTrue="1" operator="between">
      <formula>221142</formula>
      <formula>221144</formula>
    </cfRule>
    <cfRule type="cellIs" dxfId="860" priority="826" stopIfTrue="1" operator="between">
      <formula>220001</formula>
      <formula>221144</formula>
    </cfRule>
  </conditionalFormatting>
  <conditionalFormatting sqref="AM13">
    <cfRule type="cellIs" dxfId="859" priority="821" stopIfTrue="1" operator="between">
      <formula>221101</formula>
      <formula>221118</formula>
    </cfRule>
    <cfRule type="cellIs" dxfId="858" priority="822" stopIfTrue="1" operator="between">
      <formula>221142</formula>
      <formula>221144</formula>
    </cfRule>
    <cfRule type="cellIs" dxfId="857" priority="823" stopIfTrue="1" operator="between">
      <formula>220001</formula>
      <formula>221144</formula>
    </cfRule>
  </conditionalFormatting>
  <conditionalFormatting sqref="AB13">
    <cfRule type="cellIs" dxfId="856" priority="818" stopIfTrue="1" operator="between">
      <formula>221101</formula>
      <formula>221118</formula>
    </cfRule>
    <cfRule type="cellIs" dxfId="855" priority="819" stopIfTrue="1" operator="between">
      <formula>221142</formula>
      <formula>221144</formula>
    </cfRule>
    <cfRule type="cellIs" dxfId="854" priority="820" stopIfTrue="1" operator="between">
      <formula>220001</formula>
      <formula>221144</formula>
    </cfRule>
  </conditionalFormatting>
  <conditionalFormatting sqref="AA13">
    <cfRule type="cellIs" dxfId="853" priority="815" stopIfTrue="1" operator="between">
      <formula>221101</formula>
      <formula>221118</formula>
    </cfRule>
    <cfRule type="cellIs" dxfId="852" priority="816" stopIfTrue="1" operator="between">
      <formula>221142</formula>
      <formula>221144</formula>
    </cfRule>
    <cfRule type="cellIs" dxfId="851" priority="817" stopIfTrue="1" operator="between">
      <formula>220001</formula>
      <formula>221144</formula>
    </cfRule>
  </conditionalFormatting>
  <conditionalFormatting sqref="AK13">
    <cfRule type="cellIs" dxfId="850" priority="812" stopIfTrue="1" operator="between">
      <formula>221101</formula>
      <formula>221118</formula>
    </cfRule>
    <cfRule type="cellIs" dxfId="849" priority="813" stopIfTrue="1" operator="between">
      <formula>221142</formula>
      <formula>221144</formula>
    </cfRule>
    <cfRule type="cellIs" dxfId="848" priority="814" stopIfTrue="1" operator="between">
      <formula>220001</formula>
      <formula>221144</formula>
    </cfRule>
  </conditionalFormatting>
  <conditionalFormatting sqref="AL13">
    <cfRule type="cellIs" dxfId="847" priority="809" stopIfTrue="1" operator="between">
      <formula>221101</formula>
      <formula>221118</formula>
    </cfRule>
    <cfRule type="cellIs" dxfId="846" priority="810" stopIfTrue="1" operator="between">
      <formula>221142</formula>
      <formula>221144</formula>
    </cfRule>
    <cfRule type="cellIs" dxfId="845" priority="811" stopIfTrue="1" operator="between">
      <formula>220001</formula>
      <formula>221144</formula>
    </cfRule>
  </conditionalFormatting>
  <conditionalFormatting sqref="AB13">
    <cfRule type="cellIs" dxfId="844" priority="806" stopIfTrue="1" operator="between">
      <formula>221101</formula>
      <formula>221118</formula>
    </cfRule>
    <cfRule type="cellIs" dxfId="843" priority="807" stopIfTrue="1" operator="between">
      <formula>221142</formula>
      <formula>221144</formula>
    </cfRule>
    <cfRule type="cellIs" dxfId="842" priority="808" stopIfTrue="1" operator="between">
      <formula>220001</formula>
      <formula>221144</formula>
    </cfRule>
  </conditionalFormatting>
  <conditionalFormatting sqref="AA13">
    <cfRule type="cellIs" dxfId="841" priority="803" stopIfTrue="1" operator="between">
      <formula>221101</formula>
      <formula>221118</formula>
    </cfRule>
    <cfRule type="cellIs" dxfId="840" priority="804" stopIfTrue="1" operator="between">
      <formula>221142</formula>
      <formula>221144</formula>
    </cfRule>
    <cfRule type="cellIs" dxfId="839" priority="805" stopIfTrue="1" operator="between">
      <formula>220001</formula>
      <formula>221144</formula>
    </cfRule>
  </conditionalFormatting>
  <conditionalFormatting sqref="AK13">
    <cfRule type="cellIs" dxfId="838" priority="800" stopIfTrue="1" operator="between">
      <formula>221101</formula>
      <formula>221118</formula>
    </cfRule>
    <cfRule type="cellIs" dxfId="837" priority="801" stopIfTrue="1" operator="between">
      <formula>221142</formula>
      <formula>221144</formula>
    </cfRule>
    <cfRule type="cellIs" dxfId="836" priority="802" stopIfTrue="1" operator="between">
      <formula>220001</formula>
      <formula>221144</formula>
    </cfRule>
  </conditionalFormatting>
  <conditionalFormatting sqref="AL13">
    <cfRule type="cellIs" dxfId="835" priority="797" stopIfTrue="1" operator="between">
      <formula>221101</formula>
      <formula>221118</formula>
    </cfRule>
    <cfRule type="cellIs" dxfId="834" priority="798" stopIfTrue="1" operator="between">
      <formula>221142</formula>
      <formula>221144</formula>
    </cfRule>
    <cfRule type="cellIs" dxfId="833" priority="799" stopIfTrue="1" operator="between">
      <formula>220001</formula>
      <formula>221144</formula>
    </cfRule>
  </conditionalFormatting>
  <conditionalFormatting sqref="AA13">
    <cfRule type="cellIs" dxfId="832" priority="794" stopIfTrue="1" operator="between">
      <formula>221101</formula>
      <formula>221118</formula>
    </cfRule>
    <cfRule type="cellIs" dxfId="831" priority="795" stopIfTrue="1" operator="between">
      <formula>221142</formula>
      <formula>221144</formula>
    </cfRule>
    <cfRule type="cellIs" dxfId="830" priority="796" stopIfTrue="1" operator="between">
      <formula>220001</formula>
      <formula>221144</formula>
    </cfRule>
  </conditionalFormatting>
  <conditionalFormatting sqref="Z13">
    <cfRule type="cellIs" dxfId="829" priority="791" stopIfTrue="1" operator="between">
      <formula>221101</formula>
      <formula>221118</formula>
    </cfRule>
    <cfRule type="cellIs" dxfId="828" priority="792" stopIfTrue="1" operator="between">
      <formula>221142</formula>
      <formula>221144</formula>
    </cfRule>
    <cfRule type="cellIs" dxfId="827" priority="793" stopIfTrue="1" operator="between">
      <formula>220001</formula>
      <formula>221144</formula>
    </cfRule>
  </conditionalFormatting>
  <conditionalFormatting sqref="AJ13">
    <cfRule type="cellIs" dxfId="826" priority="788" stopIfTrue="1" operator="between">
      <formula>221101</formula>
      <formula>221118</formula>
    </cfRule>
    <cfRule type="cellIs" dxfId="825" priority="789" stopIfTrue="1" operator="between">
      <formula>221142</formula>
      <formula>221144</formula>
    </cfRule>
    <cfRule type="cellIs" dxfId="824" priority="790" stopIfTrue="1" operator="between">
      <formula>220001</formula>
      <formula>221144</formula>
    </cfRule>
  </conditionalFormatting>
  <conditionalFormatting sqref="AK13">
    <cfRule type="cellIs" dxfId="823" priority="785" stopIfTrue="1" operator="between">
      <formula>221101</formula>
      <formula>221118</formula>
    </cfRule>
    <cfRule type="cellIs" dxfId="822" priority="786" stopIfTrue="1" operator="between">
      <formula>221142</formula>
      <formula>221144</formula>
    </cfRule>
    <cfRule type="cellIs" dxfId="821" priority="787" stopIfTrue="1" operator="between">
      <formula>220001</formula>
      <formula>221144</formula>
    </cfRule>
  </conditionalFormatting>
  <conditionalFormatting sqref="AB13">
    <cfRule type="cellIs" dxfId="820" priority="782" stopIfTrue="1" operator="between">
      <formula>221101</formula>
      <formula>221118</formula>
    </cfRule>
    <cfRule type="cellIs" dxfId="819" priority="783" stopIfTrue="1" operator="between">
      <formula>221142</formula>
      <formula>221144</formula>
    </cfRule>
    <cfRule type="cellIs" dxfId="818" priority="784" stopIfTrue="1" operator="between">
      <formula>220001</formula>
      <formula>221144</formula>
    </cfRule>
  </conditionalFormatting>
  <conditionalFormatting sqref="AA13">
    <cfRule type="cellIs" dxfId="817" priority="779" stopIfTrue="1" operator="between">
      <formula>221101</formula>
      <formula>221118</formula>
    </cfRule>
    <cfRule type="cellIs" dxfId="816" priority="780" stopIfTrue="1" operator="between">
      <formula>221142</formula>
      <formula>221144</formula>
    </cfRule>
    <cfRule type="cellIs" dxfId="815" priority="781" stopIfTrue="1" operator="between">
      <formula>220001</formula>
      <formula>221144</formula>
    </cfRule>
  </conditionalFormatting>
  <conditionalFormatting sqref="AK13">
    <cfRule type="cellIs" dxfId="814" priority="776" stopIfTrue="1" operator="between">
      <formula>221101</formula>
      <formula>221118</formula>
    </cfRule>
    <cfRule type="cellIs" dxfId="813" priority="777" stopIfTrue="1" operator="between">
      <formula>221142</formula>
      <formula>221144</formula>
    </cfRule>
    <cfRule type="cellIs" dxfId="812" priority="778" stopIfTrue="1" operator="between">
      <formula>220001</formula>
      <formula>221144</formula>
    </cfRule>
  </conditionalFormatting>
  <conditionalFormatting sqref="AL13">
    <cfRule type="cellIs" dxfId="811" priority="773" stopIfTrue="1" operator="between">
      <formula>221101</formula>
      <formula>221118</formula>
    </cfRule>
    <cfRule type="cellIs" dxfId="810" priority="774" stopIfTrue="1" operator="between">
      <formula>221142</formula>
      <formula>221144</formula>
    </cfRule>
    <cfRule type="cellIs" dxfId="809" priority="775" stopIfTrue="1" operator="between">
      <formula>220001</formula>
      <formula>221144</formula>
    </cfRule>
  </conditionalFormatting>
  <conditionalFormatting sqref="AA13">
    <cfRule type="cellIs" dxfId="808" priority="770" stopIfTrue="1" operator="between">
      <formula>221101</formula>
      <formula>221118</formula>
    </cfRule>
    <cfRule type="cellIs" dxfId="807" priority="771" stopIfTrue="1" operator="between">
      <formula>221142</formula>
      <formula>221144</formula>
    </cfRule>
    <cfRule type="cellIs" dxfId="806" priority="772" stopIfTrue="1" operator="between">
      <formula>220001</formula>
      <formula>221144</formula>
    </cfRule>
  </conditionalFormatting>
  <conditionalFormatting sqref="Z13">
    <cfRule type="cellIs" dxfId="805" priority="767" stopIfTrue="1" operator="between">
      <formula>221101</formula>
      <formula>221118</formula>
    </cfRule>
    <cfRule type="cellIs" dxfId="804" priority="768" stopIfTrue="1" operator="between">
      <formula>221142</formula>
      <formula>221144</formula>
    </cfRule>
    <cfRule type="cellIs" dxfId="803" priority="769" stopIfTrue="1" operator="between">
      <formula>220001</formula>
      <formula>221144</formula>
    </cfRule>
  </conditionalFormatting>
  <conditionalFormatting sqref="AJ13">
    <cfRule type="cellIs" dxfId="802" priority="764" stopIfTrue="1" operator="between">
      <formula>221101</formula>
      <formula>221118</formula>
    </cfRule>
    <cfRule type="cellIs" dxfId="801" priority="765" stopIfTrue="1" operator="between">
      <formula>221142</formula>
      <formula>221144</formula>
    </cfRule>
    <cfRule type="cellIs" dxfId="800" priority="766" stopIfTrue="1" operator="between">
      <formula>220001</formula>
      <formula>221144</formula>
    </cfRule>
  </conditionalFormatting>
  <conditionalFormatting sqref="AK13">
    <cfRule type="cellIs" dxfId="799" priority="761" stopIfTrue="1" operator="between">
      <formula>221101</formula>
      <formula>221118</formula>
    </cfRule>
    <cfRule type="cellIs" dxfId="798" priority="762" stopIfTrue="1" operator="between">
      <formula>221142</formula>
      <formula>221144</formula>
    </cfRule>
    <cfRule type="cellIs" dxfId="797" priority="763" stopIfTrue="1" operator="between">
      <formula>220001</formula>
      <formula>221144</formula>
    </cfRule>
  </conditionalFormatting>
  <conditionalFormatting sqref="AA13">
    <cfRule type="cellIs" dxfId="796" priority="758" stopIfTrue="1" operator="between">
      <formula>221101</formula>
      <formula>221118</formula>
    </cfRule>
    <cfRule type="cellIs" dxfId="795" priority="759" stopIfTrue="1" operator="between">
      <formula>221142</formula>
      <formula>221144</formula>
    </cfRule>
    <cfRule type="cellIs" dxfId="794" priority="760" stopIfTrue="1" operator="between">
      <formula>220001</formula>
      <formula>221144</formula>
    </cfRule>
  </conditionalFormatting>
  <conditionalFormatting sqref="Z13">
    <cfRule type="cellIs" dxfId="793" priority="755" stopIfTrue="1" operator="between">
      <formula>221101</formula>
      <formula>221118</formula>
    </cfRule>
    <cfRule type="cellIs" dxfId="792" priority="756" stopIfTrue="1" operator="between">
      <formula>221142</formula>
      <formula>221144</formula>
    </cfRule>
    <cfRule type="cellIs" dxfId="791" priority="757" stopIfTrue="1" operator="between">
      <formula>220001</formula>
      <formula>221144</formula>
    </cfRule>
  </conditionalFormatting>
  <conditionalFormatting sqref="AJ13">
    <cfRule type="cellIs" dxfId="790" priority="752" stopIfTrue="1" operator="between">
      <formula>221101</formula>
      <formula>221118</formula>
    </cfRule>
    <cfRule type="cellIs" dxfId="789" priority="753" stopIfTrue="1" operator="between">
      <formula>221142</formula>
      <formula>221144</formula>
    </cfRule>
    <cfRule type="cellIs" dxfId="788" priority="754" stopIfTrue="1" operator="between">
      <formula>220001</formula>
      <formula>221144</formula>
    </cfRule>
  </conditionalFormatting>
  <conditionalFormatting sqref="AK13">
    <cfRule type="cellIs" dxfId="787" priority="749" stopIfTrue="1" operator="between">
      <formula>221101</formula>
      <formula>221118</formula>
    </cfRule>
    <cfRule type="cellIs" dxfId="786" priority="750" stopIfTrue="1" operator="between">
      <formula>221142</formula>
      <formula>221144</formula>
    </cfRule>
    <cfRule type="cellIs" dxfId="785" priority="751" stopIfTrue="1" operator="between">
      <formula>220001</formula>
      <formula>221144</formula>
    </cfRule>
  </conditionalFormatting>
  <conditionalFormatting sqref="Z13">
    <cfRule type="cellIs" dxfId="784" priority="746" stopIfTrue="1" operator="between">
      <formula>221101</formula>
      <formula>221118</formula>
    </cfRule>
    <cfRule type="cellIs" dxfId="783" priority="747" stopIfTrue="1" operator="between">
      <formula>221142</formula>
      <formula>221144</formula>
    </cfRule>
    <cfRule type="cellIs" dxfId="782" priority="748" stopIfTrue="1" operator="between">
      <formula>220001</formula>
      <formula>221144</formula>
    </cfRule>
  </conditionalFormatting>
  <conditionalFormatting sqref="Y13">
    <cfRule type="cellIs" dxfId="781" priority="743" stopIfTrue="1" operator="between">
      <formula>221101</formula>
      <formula>221118</formula>
    </cfRule>
    <cfRule type="cellIs" dxfId="780" priority="744" stopIfTrue="1" operator="between">
      <formula>221142</formula>
      <formula>221144</formula>
    </cfRule>
    <cfRule type="cellIs" dxfId="779" priority="745" stopIfTrue="1" operator="between">
      <formula>220001</formula>
      <formula>221144</formula>
    </cfRule>
  </conditionalFormatting>
  <conditionalFormatting sqref="AI13">
    <cfRule type="cellIs" dxfId="778" priority="740" stopIfTrue="1" operator="between">
      <formula>221101</formula>
      <formula>221118</formula>
    </cfRule>
    <cfRule type="cellIs" dxfId="777" priority="741" stopIfTrue="1" operator="between">
      <formula>221142</formula>
      <formula>221144</formula>
    </cfRule>
    <cfRule type="cellIs" dxfId="776" priority="742" stopIfTrue="1" operator="between">
      <formula>220001</formula>
      <formula>221144</formula>
    </cfRule>
  </conditionalFormatting>
  <conditionalFormatting sqref="AJ13">
    <cfRule type="cellIs" dxfId="775" priority="737" stopIfTrue="1" operator="between">
      <formula>221101</formula>
      <formula>221118</formula>
    </cfRule>
    <cfRule type="cellIs" dxfId="774" priority="738" stopIfTrue="1" operator="between">
      <formula>221142</formula>
      <formula>221144</formula>
    </cfRule>
    <cfRule type="cellIs" dxfId="773" priority="739" stopIfTrue="1" operator="between">
      <formula>220001</formula>
      <formula>221144</formula>
    </cfRule>
  </conditionalFormatting>
  <conditionalFormatting sqref="C13">
    <cfRule type="cellIs" dxfId="772" priority="734" stopIfTrue="1" operator="between">
      <formula>221101</formula>
      <formula>221118</formula>
    </cfRule>
    <cfRule type="cellIs" dxfId="771" priority="735" stopIfTrue="1" operator="between">
      <formula>221142</formula>
      <formula>221144</formula>
    </cfRule>
    <cfRule type="cellIs" dxfId="770" priority="736" stopIfTrue="1" operator="between">
      <formula>220001</formula>
      <formula>221144</formula>
    </cfRule>
  </conditionalFormatting>
  <conditionalFormatting sqref="AC13">
    <cfRule type="cellIs" dxfId="769" priority="731" stopIfTrue="1" operator="between">
      <formula>221101</formula>
      <formula>221118</formula>
    </cfRule>
    <cfRule type="cellIs" dxfId="768" priority="732" stopIfTrue="1" operator="between">
      <formula>221142</formula>
      <formula>221144</formula>
    </cfRule>
    <cfRule type="cellIs" dxfId="767" priority="733" stopIfTrue="1" operator="between">
      <formula>220001</formula>
      <formula>221144</formula>
    </cfRule>
  </conditionalFormatting>
  <conditionalFormatting sqref="AB13">
    <cfRule type="cellIs" dxfId="766" priority="728" stopIfTrue="1" operator="between">
      <formula>221101</formula>
      <formula>221118</formula>
    </cfRule>
    <cfRule type="cellIs" dxfId="765" priority="729" stopIfTrue="1" operator="between">
      <formula>221142</formula>
      <formula>221144</formula>
    </cfRule>
    <cfRule type="cellIs" dxfId="764" priority="730" stopIfTrue="1" operator="between">
      <formula>220001</formula>
      <formula>221144</formula>
    </cfRule>
  </conditionalFormatting>
  <conditionalFormatting sqref="AL13">
    <cfRule type="cellIs" dxfId="763" priority="725" stopIfTrue="1" operator="between">
      <formula>221101</formula>
      <formula>221118</formula>
    </cfRule>
    <cfRule type="cellIs" dxfId="762" priority="726" stopIfTrue="1" operator="between">
      <formula>221142</formula>
      <formula>221144</formula>
    </cfRule>
    <cfRule type="cellIs" dxfId="761" priority="727" stopIfTrue="1" operator="between">
      <formula>220001</formula>
      <formula>221144</formula>
    </cfRule>
  </conditionalFormatting>
  <conditionalFormatting sqref="AM13">
    <cfRule type="cellIs" dxfId="760" priority="722" stopIfTrue="1" operator="between">
      <formula>221101</formula>
      <formula>221118</formula>
    </cfRule>
    <cfRule type="cellIs" dxfId="759" priority="723" stopIfTrue="1" operator="between">
      <formula>221142</formula>
      <formula>221144</formula>
    </cfRule>
    <cfRule type="cellIs" dxfId="758" priority="724" stopIfTrue="1" operator="between">
      <formula>220001</formula>
      <formula>221144</formula>
    </cfRule>
  </conditionalFormatting>
  <conditionalFormatting sqref="AB13">
    <cfRule type="cellIs" dxfId="757" priority="719" stopIfTrue="1" operator="between">
      <formula>221101</formula>
      <formula>221118</formula>
    </cfRule>
    <cfRule type="cellIs" dxfId="756" priority="720" stopIfTrue="1" operator="between">
      <formula>221142</formula>
      <formula>221144</formula>
    </cfRule>
    <cfRule type="cellIs" dxfId="755" priority="721" stopIfTrue="1" operator="between">
      <formula>220001</formula>
      <formula>221144</formula>
    </cfRule>
  </conditionalFormatting>
  <conditionalFormatting sqref="AA13">
    <cfRule type="cellIs" dxfId="754" priority="716" stopIfTrue="1" operator="between">
      <formula>221101</formula>
      <formula>221118</formula>
    </cfRule>
    <cfRule type="cellIs" dxfId="753" priority="717" stopIfTrue="1" operator="between">
      <formula>221142</formula>
      <formula>221144</formula>
    </cfRule>
    <cfRule type="cellIs" dxfId="752" priority="718" stopIfTrue="1" operator="between">
      <formula>220001</formula>
      <formula>221144</formula>
    </cfRule>
  </conditionalFormatting>
  <conditionalFormatting sqref="AK13">
    <cfRule type="cellIs" dxfId="751" priority="713" stopIfTrue="1" operator="between">
      <formula>221101</formula>
      <formula>221118</formula>
    </cfRule>
    <cfRule type="cellIs" dxfId="750" priority="714" stopIfTrue="1" operator="between">
      <formula>221142</formula>
      <formula>221144</formula>
    </cfRule>
    <cfRule type="cellIs" dxfId="749" priority="715" stopIfTrue="1" operator="between">
      <formula>220001</formula>
      <formula>221144</formula>
    </cfRule>
  </conditionalFormatting>
  <conditionalFormatting sqref="AL13">
    <cfRule type="cellIs" dxfId="748" priority="710" stopIfTrue="1" operator="between">
      <formula>221101</formula>
      <formula>221118</formula>
    </cfRule>
    <cfRule type="cellIs" dxfId="747" priority="711" stopIfTrue="1" operator="between">
      <formula>221142</formula>
      <formula>221144</formula>
    </cfRule>
    <cfRule type="cellIs" dxfId="746" priority="712" stopIfTrue="1" operator="between">
      <formula>220001</formula>
      <formula>221144</formula>
    </cfRule>
  </conditionalFormatting>
  <conditionalFormatting sqref="AB13">
    <cfRule type="cellIs" dxfId="745" priority="707" stopIfTrue="1" operator="between">
      <formula>221101</formula>
      <formula>221118</formula>
    </cfRule>
    <cfRule type="cellIs" dxfId="744" priority="708" stopIfTrue="1" operator="between">
      <formula>221142</formula>
      <formula>221144</formula>
    </cfRule>
    <cfRule type="cellIs" dxfId="743" priority="709" stopIfTrue="1" operator="between">
      <formula>220001</formula>
      <formula>221144</formula>
    </cfRule>
  </conditionalFormatting>
  <conditionalFormatting sqref="AA13">
    <cfRule type="cellIs" dxfId="742" priority="704" stopIfTrue="1" operator="between">
      <formula>221101</formula>
      <formula>221118</formula>
    </cfRule>
    <cfRule type="cellIs" dxfId="741" priority="705" stopIfTrue="1" operator="between">
      <formula>221142</formula>
      <formula>221144</formula>
    </cfRule>
    <cfRule type="cellIs" dxfId="740" priority="706" stopIfTrue="1" operator="between">
      <formula>220001</formula>
      <formula>221144</formula>
    </cfRule>
  </conditionalFormatting>
  <conditionalFormatting sqref="AK13">
    <cfRule type="cellIs" dxfId="739" priority="701" stopIfTrue="1" operator="between">
      <formula>221101</formula>
      <formula>221118</formula>
    </cfRule>
    <cfRule type="cellIs" dxfId="738" priority="702" stopIfTrue="1" operator="between">
      <formula>221142</formula>
      <formula>221144</formula>
    </cfRule>
    <cfRule type="cellIs" dxfId="737" priority="703" stopIfTrue="1" operator="between">
      <formula>220001</formula>
      <formula>221144</formula>
    </cfRule>
  </conditionalFormatting>
  <conditionalFormatting sqref="AL13">
    <cfRule type="cellIs" dxfId="736" priority="698" stopIfTrue="1" operator="between">
      <formula>221101</formula>
      <formula>221118</formula>
    </cfRule>
    <cfRule type="cellIs" dxfId="735" priority="699" stopIfTrue="1" operator="between">
      <formula>221142</formula>
      <formula>221144</formula>
    </cfRule>
    <cfRule type="cellIs" dxfId="734" priority="700" stopIfTrue="1" operator="between">
      <formula>220001</formula>
      <formula>221144</formula>
    </cfRule>
  </conditionalFormatting>
  <conditionalFormatting sqref="AA13">
    <cfRule type="cellIs" dxfId="733" priority="695" stopIfTrue="1" operator="between">
      <formula>221101</formula>
      <formula>221118</formula>
    </cfRule>
    <cfRule type="cellIs" dxfId="732" priority="696" stopIfTrue="1" operator="between">
      <formula>221142</formula>
      <formula>221144</formula>
    </cfRule>
    <cfRule type="cellIs" dxfId="731" priority="697" stopIfTrue="1" operator="between">
      <formula>220001</formula>
      <formula>221144</formula>
    </cfRule>
  </conditionalFormatting>
  <conditionalFormatting sqref="Z13">
    <cfRule type="cellIs" dxfId="730" priority="692" stopIfTrue="1" operator="between">
      <formula>221101</formula>
      <formula>221118</formula>
    </cfRule>
    <cfRule type="cellIs" dxfId="729" priority="693" stopIfTrue="1" operator="between">
      <formula>221142</formula>
      <formula>221144</formula>
    </cfRule>
    <cfRule type="cellIs" dxfId="728" priority="694" stopIfTrue="1" operator="between">
      <formula>220001</formula>
      <formula>221144</formula>
    </cfRule>
  </conditionalFormatting>
  <conditionalFormatting sqref="AJ13">
    <cfRule type="cellIs" dxfId="727" priority="689" stopIfTrue="1" operator="between">
      <formula>221101</formula>
      <formula>221118</formula>
    </cfRule>
    <cfRule type="cellIs" dxfId="726" priority="690" stopIfTrue="1" operator="between">
      <formula>221142</formula>
      <formula>221144</formula>
    </cfRule>
    <cfRule type="cellIs" dxfId="725" priority="691" stopIfTrue="1" operator="between">
      <formula>220001</formula>
      <formula>221144</formula>
    </cfRule>
  </conditionalFormatting>
  <conditionalFormatting sqref="AK13">
    <cfRule type="cellIs" dxfId="724" priority="686" stopIfTrue="1" operator="between">
      <formula>221101</formula>
      <formula>221118</formula>
    </cfRule>
    <cfRule type="cellIs" dxfId="723" priority="687" stopIfTrue="1" operator="between">
      <formula>221142</formula>
      <formula>221144</formula>
    </cfRule>
    <cfRule type="cellIs" dxfId="722" priority="688" stopIfTrue="1" operator="between">
      <formula>220001</formula>
      <formula>221144</formula>
    </cfRule>
  </conditionalFormatting>
  <conditionalFormatting sqref="AB13">
    <cfRule type="cellIs" dxfId="721" priority="683" stopIfTrue="1" operator="between">
      <formula>221101</formula>
      <formula>221118</formula>
    </cfRule>
    <cfRule type="cellIs" dxfId="720" priority="684" stopIfTrue="1" operator="between">
      <formula>221142</formula>
      <formula>221144</formula>
    </cfRule>
    <cfRule type="cellIs" dxfId="719" priority="685" stopIfTrue="1" operator="between">
      <formula>220001</formula>
      <formula>221144</formula>
    </cfRule>
  </conditionalFormatting>
  <conditionalFormatting sqref="AA13">
    <cfRule type="cellIs" dxfId="718" priority="680" stopIfTrue="1" operator="between">
      <formula>221101</formula>
      <formula>221118</formula>
    </cfRule>
    <cfRule type="cellIs" dxfId="717" priority="681" stopIfTrue="1" operator="between">
      <formula>221142</formula>
      <formula>221144</formula>
    </cfRule>
    <cfRule type="cellIs" dxfId="716" priority="682" stopIfTrue="1" operator="between">
      <formula>220001</formula>
      <formula>221144</formula>
    </cfRule>
  </conditionalFormatting>
  <conditionalFormatting sqref="AK13">
    <cfRule type="cellIs" dxfId="715" priority="677" stopIfTrue="1" operator="between">
      <formula>221101</formula>
      <formula>221118</formula>
    </cfRule>
    <cfRule type="cellIs" dxfId="714" priority="678" stopIfTrue="1" operator="between">
      <formula>221142</formula>
      <formula>221144</formula>
    </cfRule>
    <cfRule type="cellIs" dxfId="713" priority="679" stopIfTrue="1" operator="between">
      <formula>220001</formula>
      <formula>221144</formula>
    </cfRule>
  </conditionalFormatting>
  <conditionalFormatting sqref="AL13">
    <cfRule type="cellIs" dxfId="712" priority="674" stopIfTrue="1" operator="between">
      <formula>221101</formula>
      <formula>221118</formula>
    </cfRule>
    <cfRule type="cellIs" dxfId="711" priority="675" stopIfTrue="1" operator="between">
      <formula>221142</formula>
      <formula>221144</formula>
    </cfRule>
    <cfRule type="cellIs" dxfId="710" priority="676" stopIfTrue="1" operator="between">
      <formula>220001</formula>
      <formula>221144</formula>
    </cfRule>
  </conditionalFormatting>
  <conditionalFormatting sqref="AA13">
    <cfRule type="cellIs" dxfId="709" priority="671" stopIfTrue="1" operator="between">
      <formula>221101</formula>
      <formula>221118</formula>
    </cfRule>
    <cfRule type="cellIs" dxfId="708" priority="672" stopIfTrue="1" operator="between">
      <formula>221142</formula>
      <formula>221144</formula>
    </cfRule>
    <cfRule type="cellIs" dxfId="707" priority="673" stopIfTrue="1" operator="between">
      <formula>220001</formula>
      <formula>221144</formula>
    </cfRule>
  </conditionalFormatting>
  <conditionalFormatting sqref="Z13">
    <cfRule type="cellIs" dxfId="706" priority="668" stopIfTrue="1" operator="between">
      <formula>221101</formula>
      <formula>221118</formula>
    </cfRule>
    <cfRule type="cellIs" dxfId="705" priority="669" stopIfTrue="1" operator="between">
      <formula>221142</formula>
      <formula>221144</formula>
    </cfRule>
    <cfRule type="cellIs" dxfId="704" priority="670" stopIfTrue="1" operator="between">
      <formula>220001</formula>
      <formula>221144</formula>
    </cfRule>
  </conditionalFormatting>
  <conditionalFormatting sqref="AJ13">
    <cfRule type="cellIs" dxfId="703" priority="665" stopIfTrue="1" operator="between">
      <formula>221101</formula>
      <formula>221118</formula>
    </cfRule>
    <cfRule type="cellIs" dxfId="702" priority="666" stopIfTrue="1" operator="between">
      <formula>221142</formula>
      <formula>221144</formula>
    </cfRule>
    <cfRule type="cellIs" dxfId="701" priority="667" stopIfTrue="1" operator="between">
      <formula>220001</formula>
      <formula>221144</formula>
    </cfRule>
  </conditionalFormatting>
  <conditionalFormatting sqref="AK13">
    <cfRule type="cellIs" dxfId="700" priority="662" stopIfTrue="1" operator="between">
      <formula>221101</formula>
      <formula>221118</formula>
    </cfRule>
    <cfRule type="cellIs" dxfId="699" priority="663" stopIfTrue="1" operator="between">
      <formula>221142</formula>
      <formula>221144</formula>
    </cfRule>
    <cfRule type="cellIs" dxfId="698" priority="664" stopIfTrue="1" operator="between">
      <formula>220001</formula>
      <formula>221144</formula>
    </cfRule>
  </conditionalFormatting>
  <conditionalFormatting sqref="AA13">
    <cfRule type="cellIs" dxfId="697" priority="659" stopIfTrue="1" operator="between">
      <formula>221101</formula>
      <formula>221118</formula>
    </cfRule>
    <cfRule type="cellIs" dxfId="696" priority="660" stopIfTrue="1" operator="between">
      <formula>221142</formula>
      <formula>221144</formula>
    </cfRule>
    <cfRule type="cellIs" dxfId="695" priority="661" stopIfTrue="1" operator="between">
      <formula>220001</formula>
      <formula>221144</formula>
    </cfRule>
  </conditionalFormatting>
  <conditionalFormatting sqref="Z13">
    <cfRule type="cellIs" dxfId="694" priority="656" stopIfTrue="1" operator="between">
      <formula>221101</formula>
      <formula>221118</formula>
    </cfRule>
    <cfRule type="cellIs" dxfId="693" priority="657" stopIfTrue="1" operator="between">
      <formula>221142</formula>
      <formula>221144</formula>
    </cfRule>
    <cfRule type="cellIs" dxfId="692" priority="658" stopIfTrue="1" operator="between">
      <formula>220001</formula>
      <formula>221144</formula>
    </cfRule>
  </conditionalFormatting>
  <conditionalFormatting sqref="AJ13">
    <cfRule type="cellIs" dxfId="691" priority="653" stopIfTrue="1" operator="between">
      <formula>221101</formula>
      <formula>221118</formula>
    </cfRule>
    <cfRule type="cellIs" dxfId="690" priority="654" stopIfTrue="1" operator="between">
      <formula>221142</formula>
      <formula>221144</formula>
    </cfRule>
    <cfRule type="cellIs" dxfId="689" priority="655" stopIfTrue="1" operator="between">
      <formula>220001</formula>
      <formula>221144</formula>
    </cfRule>
  </conditionalFormatting>
  <conditionalFormatting sqref="AK13">
    <cfRule type="cellIs" dxfId="688" priority="650" stopIfTrue="1" operator="between">
      <formula>221101</formula>
      <formula>221118</formula>
    </cfRule>
    <cfRule type="cellIs" dxfId="687" priority="651" stopIfTrue="1" operator="between">
      <formula>221142</formula>
      <formula>221144</formula>
    </cfRule>
    <cfRule type="cellIs" dxfId="686" priority="652" stopIfTrue="1" operator="between">
      <formula>220001</formula>
      <formula>221144</formula>
    </cfRule>
  </conditionalFormatting>
  <conditionalFormatting sqref="Z13">
    <cfRule type="cellIs" dxfId="685" priority="647" stopIfTrue="1" operator="between">
      <formula>221101</formula>
      <formula>221118</formula>
    </cfRule>
    <cfRule type="cellIs" dxfId="684" priority="648" stopIfTrue="1" operator="between">
      <formula>221142</formula>
      <formula>221144</formula>
    </cfRule>
    <cfRule type="cellIs" dxfId="683" priority="649" stopIfTrue="1" operator="between">
      <formula>220001</formula>
      <formula>221144</formula>
    </cfRule>
  </conditionalFormatting>
  <conditionalFormatting sqref="Y13">
    <cfRule type="cellIs" dxfId="682" priority="644" stopIfTrue="1" operator="between">
      <formula>221101</formula>
      <formula>221118</formula>
    </cfRule>
    <cfRule type="cellIs" dxfId="681" priority="645" stopIfTrue="1" operator="between">
      <formula>221142</formula>
      <formula>221144</formula>
    </cfRule>
    <cfRule type="cellIs" dxfId="680" priority="646" stopIfTrue="1" operator="between">
      <formula>220001</formula>
      <formula>221144</formula>
    </cfRule>
  </conditionalFormatting>
  <conditionalFormatting sqref="AI13">
    <cfRule type="cellIs" dxfId="679" priority="641" stopIfTrue="1" operator="between">
      <formula>221101</formula>
      <formula>221118</formula>
    </cfRule>
    <cfRule type="cellIs" dxfId="678" priority="642" stopIfTrue="1" operator="between">
      <formula>221142</formula>
      <formula>221144</formula>
    </cfRule>
    <cfRule type="cellIs" dxfId="677" priority="643" stopIfTrue="1" operator="between">
      <formula>220001</formula>
      <formula>221144</formula>
    </cfRule>
  </conditionalFormatting>
  <conditionalFormatting sqref="AJ13">
    <cfRule type="cellIs" dxfId="676" priority="638" stopIfTrue="1" operator="between">
      <formula>221101</formula>
      <formula>221118</formula>
    </cfRule>
    <cfRule type="cellIs" dxfId="675" priority="639" stopIfTrue="1" operator="between">
      <formula>221142</formula>
      <formula>221144</formula>
    </cfRule>
    <cfRule type="cellIs" dxfId="674" priority="640" stopIfTrue="1" operator="between">
      <formula>220001</formula>
      <formula>221144</formula>
    </cfRule>
  </conditionalFormatting>
  <conditionalFormatting sqref="AB13">
    <cfRule type="cellIs" dxfId="673" priority="635" stopIfTrue="1" operator="between">
      <formula>221101</formula>
      <formula>221118</formula>
    </cfRule>
    <cfRule type="cellIs" dxfId="672" priority="636" stopIfTrue="1" operator="between">
      <formula>221142</formula>
      <formula>221144</formula>
    </cfRule>
    <cfRule type="cellIs" dxfId="671" priority="637" stopIfTrue="1" operator="between">
      <formula>220001</formula>
      <formula>221144</formula>
    </cfRule>
  </conditionalFormatting>
  <conditionalFormatting sqref="AA13">
    <cfRule type="cellIs" dxfId="670" priority="632" stopIfTrue="1" operator="between">
      <formula>221101</formula>
      <formula>221118</formula>
    </cfRule>
    <cfRule type="cellIs" dxfId="669" priority="633" stopIfTrue="1" operator="between">
      <formula>221142</formula>
      <formula>221144</formula>
    </cfRule>
    <cfRule type="cellIs" dxfId="668" priority="634" stopIfTrue="1" operator="between">
      <formula>220001</formula>
      <formula>221144</formula>
    </cfRule>
  </conditionalFormatting>
  <conditionalFormatting sqref="AK13">
    <cfRule type="cellIs" dxfId="667" priority="629" stopIfTrue="1" operator="between">
      <formula>221101</formula>
      <formula>221118</formula>
    </cfRule>
    <cfRule type="cellIs" dxfId="666" priority="630" stopIfTrue="1" operator="between">
      <formula>221142</formula>
      <formula>221144</formula>
    </cfRule>
    <cfRule type="cellIs" dxfId="665" priority="631" stopIfTrue="1" operator="between">
      <formula>220001</formula>
      <formula>221144</formula>
    </cfRule>
  </conditionalFormatting>
  <conditionalFormatting sqref="AL13">
    <cfRule type="cellIs" dxfId="664" priority="626" stopIfTrue="1" operator="between">
      <formula>221101</formula>
      <formula>221118</formula>
    </cfRule>
    <cfRule type="cellIs" dxfId="663" priority="627" stopIfTrue="1" operator="between">
      <formula>221142</formula>
      <formula>221144</formula>
    </cfRule>
    <cfRule type="cellIs" dxfId="662" priority="628" stopIfTrue="1" operator="between">
      <formula>220001</formula>
      <formula>221144</formula>
    </cfRule>
  </conditionalFormatting>
  <conditionalFormatting sqref="AA13">
    <cfRule type="cellIs" dxfId="661" priority="623" stopIfTrue="1" operator="between">
      <formula>221101</formula>
      <formula>221118</formula>
    </cfRule>
    <cfRule type="cellIs" dxfId="660" priority="624" stopIfTrue="1" operator="between">
      <formula>221142</formula>
      <formula>221144</formula>
    </cfRule>
    <cfRule type="cellIs" dxfId="659" priority="625" stopIfTrue="1" operator="between">
      <formula>220001</formula>
      <formula>221144</formula>
    </cfRule>
  </conditionalFormatting>
  <conditionalFormatting sqref="Z13">
    <cfRule type="cellIs" dxfId="658" priority="620" stopIfTrue="1" operator="between">
      <formula>221101</formula>
      <formula>221118</formula>
    </cfRule>
    <cfRule type="cellIs" dxfId="657" priority="621" stopIfTrue="1" operator="between">
      <formula>221142</formula>
      <formula>221144</formula>
    </cfRule>
    <cfRule type="cellIs" dxfId="656" priority="622" stopIfTrue="1" operator="between">
      <formula>220001</formula>
      <formula>221144</formula>
    </cfRule>
  </conditionalFormatting>
  <conditionalFormatting sqref="AJ13">
    <cfRule type="cellIs" dxfId="655" priority="617" stopIfTrue="1" operator="between">
      <formula>221101</formula>
      <formula>221118</formula>
    </cfRule>
    <cfRule type="cellIs" dxfId="654" priority="618" stopIfTrue="1" operator="between">
      <formula>221142</formula>
      <formula>221144</formula>
    </cfRule>
    <cfRule type="cellIs" dxfId="653" priority="619" stopIfTrue="1" operator="between">
      <formula>220001</formula>
      <formula>221144</formula>
    </cfRule>
  </conditionalFormatting>
  <conditionalFormatting sqref="AK13">
    <cfRule type="cellIs" dxfId="652" priority="614" stopIfTrue="1" operator="between">
      <formula>221101</formula>
      <formula>221118</formula>
    </cfRule>
    <cfRule type="cellIs" dxfId="651" priority="615" stopIfTrue="1" operator="between">
      <formula>221142</formula>
      <formula>221144</formula>
    </cfRule>
    <cfRule type="cellIs" dxfId="650" priority="616" stopIfTrue="1" operator="between">
      <formula>220001</formula>
      <formula>221144</formula>
    </cfRule>
  </conditionalFormatting>
  <conditionalFormatting sqref="AA13">
    <cfRule type="cellIs" dxfId="649" priority="611" stopIfTrue="1" operator="between">
      <formula>221101</formula>
      <formula>221118</formula>
    </cfRule>
    <cfRule type="cellIs" dxfId="648" priority="612" stopIfTrue="1" operator="between">
      <formula>221142</formula>
      <formula>221144</formula>
    </cfRule>
    <cfRule type="cellIs" dxfId="647" priority="613" stopIfTrue="1" operator="between">
      <formula>220001</formula>
      <formula>221144</formula>
    </cfRule>
  </conditionalFormatting>
  <conditionalFormatting sqref="Z13">
    <cfRule type="cellIs" dxfId="646" priority="608" stopIfTrue="1" operator="between">
      <formula>221101</formula>
      <formula>221118</formula>
    </cfRule>
    <cfRule type="cellIs" dxfId="645" priority="609" stopIfTrue="1" operator="between">
      <formula>221142</formula>
      <formula>221144</formula>
    </cfRule>
    <cfRule type="cellIs" dxfId="644" priority="610" stopIfTrue="1" operator="between">
      <formula>220001</formula>
      <formula>221144</formula>
    </cfRule>
  </conditionalFormatting>
  <conditionalFormatting sqref="AJ13">
    <cfRule type="cellIs" dxfId="643" priority="605" stopIfTrue="1" operator="between">
      <formula>221101</formula>
      <formula>221118</formula>
    </cfRule>
    <cfRule type="cellIs" dxfId="642" priority="606" stopIfTrue="1" operator="between">
      <formula>221142</formula>
      <formula>221144</formula>
    </cfRule>
    <cfRule type="cellIs" dxfId="641" priority="607" stopIfTrue="1" operator="between">
      <formula>220001</formula>
      <formula>221144</formula>
    </cfRule>
  </conditionalFormatting>
  <conditionalFormatting sqref="AK13">
    <cfRule type="cellIs" dxfId="640" priority="602" stopIfTrue="1" operator="between">
      <formula>221101</formula>
      <formula>221118</formula>
    </cfRule>
    <cfRule type="cellIs" dxfId="639" priority="603" stopIfTrue="1" operator="between">
      <formula>221142</formula>
      <formula>221144</formula>
    </cfRule>
    <cfRule type="cellIs" dxfId="638" priority="604" stopIfTrue="1" operator="between">
      <formula>220001</formula>
      <formula>221144</formula>
    </cfRule>
  </conditionalFormatting>
  <conditionalFormatting sqref="Z13">
    <cfRule type="cellIs" dxfId="637" priority="599" stopIfTrue="1" operator="between">
      <formula>221101</formula>
      <formula>221118</formula>
    </cfRule>
    <cfRule type="cellIs" dxfId="636" priority="600" stopIfTrue="1" operator="between">
      <formula>221142</formula>
      <formula>221144</formula>
    </cfRule>
    <cfRule type="cellIs" dxfId="635" priority="601" stopIfTrue="1" operator="between">
      <formula>220001</formula>
      <formula>221144</formula>
    </cfRule>
  </conditionalFormatting>
  <conditionalFormatting sqref="Y13">
    <cfRule type="cellIs" dxfId="634" priority="596" stopIfTrue="1" operator="between">
      <formula>221101</formula>
      <formula>221118</formula>
    </cfRule>
    <cfRule type="cellIs" dxfId="633" priority="597" stopIfTrue="1" operator="between">
      <formula>221142</formula>
      <formula>221144</formula>
    </cfRule>
    <cfRule type="cellIs" dxfId="632" priority="598" stopIfTrue="1" operator="between">
      <formula>220001</formula>
      <formula>221144</formula>
    </cfRule>
  </conditionalFormatting>
  <conditionalFormatting sqref="AI13">
    <cfRule type="cellIs" dxfId="631" priority="593" stopIfTrue="1" operator="between">
      <formula>221101</formula>
      <formula>221118</formula>
    </cfRule>
    <cfRule type="cellIs" dxfId="630" priority="594" stopIfTrue="1" operator="between">
      <formula>221142</formula>
      <formula>221144</formula>
    </cfRule>
    <cfRule type="cellIs" dxfId="629" priority="595" stopIfTrue="1" operator="between">
      <formula>220001</formula>
      <formula>221144</formula>
    </cfRule>
  </conditionalFormatting>
  <conditionalFormatting sqref="AJ13">
    <cfRule type="cellIs" dxfId="628" priority="590" stopIfTrue="1" operator="between">
      <formula>221101</formula>
      <formula>221118</formula>
    </cfRule>
    <cfRule type="cellIs" dxfId="627" priority="591" stopIfTrue="1" operator="between">
      <formula>221142</formula>
      <formula>221144</formula>
    </cfRule>
    <cfRule type="cellIs" dxfId="626" priority="592" stopIfTrue="1" operator="between">
      <formula>220001</formula>
      <formula>221144</formula>
    </cfRule>
  </conditionalFormatting>
  <conditionalFormatting sqref="AA13">
    <cfRule type="cellIs" dxfId="625" priority="587" stopIfTrue="1" operator="between">
      <formula>221101</formula>
      <formula>221118</formula>
    </cfRule>
    <cfRule type="cellIs" dxfId="624" priority="588" stopIfTrue="1" operator="between">
      <formula>221142</formula>
      <formula>221144</formula>
    </cfRule>
    <cfRule type="cellIs" dxfId="623" priority="589" stopIfTrue="1" operator="between">
      <formula>220001</formula>
      <formula>221144</formula>
    </cfRule>
  </conditionalFormatting>
  <conditionalFormatting sqref="Z13">
    <cfRule type="cellIs" dxfId="622" priority="584" stopIfTrue="1" operator="between">
      <formula>221101</formula>
      <formula>221118</formula>
    </cfRule>
    <cfRule type="cellIs" dxfId="621" priority="585" stopIfTrue="1" operator="between">
      <formula>221142</formula>
      <formula>221144</formula>
    </cfRule>
    <cfRule type="cellIs" dxfId="620" priority="586" stopIfTrue="1" operator="between">
      <formula>220001</formula>
      <formula>221144</formula>
    </cfRule>
  </conditionalFormatting>
  <conditionalFormatting sqref="AJ13">
    <cfRule type="cellIs" dxfId="619" priority="581" stopIfTrue="1" operator="between">
      <formula>221101</formula>
      <formula>221118</formula>
    </cfRule>
    <cfRule type="cellIs" dxfId="618" priority="582" stopIfTrue="1" operator="between">
      <formula>221142</formula>
      <formula>221144</formula>
    </cfRule>
    <cfRule type="cellIs" dxfId="617" priority="583" stopIfTrue="1" operator="between">
      <formula>220001</formula>
      <formula>221144</formula>
    </cfRule>
  </conditionalFormatting>
  <conditionalFormatting sqref="AK13">
    <cfRule type="cellIs" dxfId="616" priority="578" stopIfTrue="1" operator="between">
      <formula>221101</formula>
      <formula>221118</formula>
    </cfRule>
    <cfRule type="cellIs" dxfId="615" priority="579" stopIfTrue="1" operator="between">
      <formula>221142</formula>
      <formula>221144</formula>
    </cfRule>
    <cfRule type="cellIs" dxfId="614" priority="580" stopIfTrue="1" operator="between">
      <formula>220001</formula>
      <formula>221144</formula>
    </cfRule>
  </conditionalFormatting>
  <conditionalFormatting sqref="Z13">
    <cfRule type="cellIs" dxfId="613" priority="575" stopIfTrue="1" operator="between">
      <formula>221101</formula>
      <formula>221118</formula>
    </cfRule>
    <cfRule type="cellIs" dxfId="612" priority="576" stopIfTrue="1" operator="between">
      <formula>221142</formula>
      <formula>221144</formula>
    </cfRule>
    <cfRule type="cellIs" dxfId="611" priority="577" stopIfTrue="1" operator="between">
      <formula>220001</formula>
      <formula>221144</formula>
    </cfRule>
  </conditionalFormatting>
  <conditionalFormatting sqref="Y13">
    <cfRule type="cellIs" dxfId="610" priority="572" stopIfTrue="1" operator="between">
      <formula>221101</formula>
      <formula>221118</formula>
    </cfRule>
    <cfRule type="cellIs" dxfId="609" priority="573" stopIfTrue="1" operator="between">
      <formula>221142</formula>
      <formula>221144</formula>
    </cfRule>
    <cfRule type="cellIs" dxfId="608" priority="574" stopIfTrue="1" operator="between">
      <formula>220001</formula>
      <formula>221144</formula>
    </cfRule>
  </conditionalFormatting>
  <conditionalFormatting sqref="AI13">
    <cfRule type="cellIs" dxfId="607" priority="569" stopIfTrue="1" operator="between">
      <formula>221101</formula>
      <formula>221118</formula>
    </cfRule>
    <cfRule type="cellIs" dxfId="606" priority="570" stopIfTrue="1" operator="between">
      <formula>221142</formula>
      <formula>221144</formula>
    </cfRule>
    <cfRule type="cellIs" dxfId="605" priority="571" stopIfTrue="1" operator="between">
      <formula>220001</formula>
      <formula>221144</formula>
    </cfRule>
  </conditionalFormatting>
  <conditionalFormatting sqref="AJ13">
    <cfRule type="cellIs" dxfId="604" priority="566" stopIfTrue="1" operator="between">
      <formula>221101</formula>
      <formula>221118</formula>
    </cfRule>
    <cfRule type="cellIs" dxfId="603" priority="567" stopIfTrue="1" operator="between">
      <formula>221142</formula>
      <formula>221144</formula>
    </cfRule>
    <cfRule type="cellIs" dxfId="602" priority="568" stopIfTrue="1" operator="between">
      <formula>220001</formula>
      <formula>221144</formula>
    </cfRule>
  </conditionalFormatting>
  <conditionalFormatting sqref="Z13">
    <cfRule type="cellIs" dxfId="601" priority="563" stopIfTrue="1" operator="between">
      <formula>221101</formula>
      <formula>221118</formula>
    </cfRule>
    <cfRule type="cellIs" dxfId="600" priority="564" stopIfTrue="1" operator="between">
      <formula>221142</formula>
      <formula>221144</formula>
    </cfRule>
    <cfRule type="cellIs" dxfId="599" priority="565" stopIfTrue="1" operator="between">
      <formula>220001</formula>
      <formula>221144</formula>
    </cfRule>
  </conditionalFormatting>
  <conditionalFormatting sqref="Y13">
    <cfRule type="cellIs" dxfId="598" priority="560" stopIfTrue="1" operator="between">
      <formula>221101</formula>
      <formula>221118</formula>
    </cfRule>
    <cfRule type="cellIs" dxfId="597" priority="561" stopIfTrue="1" operator="between">
      <formula>221142</formula>
      <formula>221144</formula>
    </cfRule>
    <cfRule type="cellIs" dxfId="596" priority="562" stopIfTrue="1" operator="between">
      <formula>220001</formula>
      <formula>221144</formula>
    </cfRule>
  </conditionalFormatting>
  <conditionalFormatting sqref="AI13">
    <cfRule type="cellIs" dxfId="595" priority="557" stopIfTrue="1" operator="between">
      <formula>221101</formula>
      <formula>221118</formula>
    </cfRule>
    <cfRule type="cellIs" dxfId="594" priority="558" stopIfTrue="1" operator="between">
      <formula>221142</formula>
      <formula>221144</formula>
    </cfRule>
    <cfRule type="cellIs" dxfId="593" priority="559" stopIfTrue="1" operator="between">
      <formula>220001</formula>
      <formula>221144</formula>
    </cfRule>
  </conditionalFormatting>
  <conditionalFormatting sqref="AJ13">
    <cfRule type="cellIs" dxfId="592" priority="554" stopIfTrue="1" operator="between">
      <formula>221101</formula>
      <formula>221118</formula>
    </cfRule>
    <cfRule type="cellIs" dxfId="591" priority="555" stopIfTrue="1" operator="between">
      <formula>221142</formula>
      <formula>221144</formula>
    </cfRule>
    <cfRule type="cellIs" dxfId="590" priority="556" stopIfTrue="1" operator="between">
      <formula>220001</formula>
      <formula>221144</formula>
    </cfRule>
  </conditionalFormatting>
  <conditionalFormatting sqref="Y13">
    <cfRule type="cellIs" dxfId="589" priority="551" stopIfTrue="1" operator="between">
      <formula>221101</formula>
      <formula>221118</formula>
    </cfRule>
    <cfRule type="cellIs" dxfId="588" priority="552" stopIfTrue="1" operator="between">
      <formula>221142</formula>
      <formula>221144</formula>
    </cfRule>
    <cfRule type="cellIs" dxfId="587" priority="553" stopIfTrue="1" operator="between">
      <formula>220001</formula>
      <formula>221144</formula>
    </cfRule>
  </conditionalFormatting>
  <conditionalFormatting sqref="X13">
    <cfRule type="cellIs" dxfId="586" priority="548" stopIfTrue="1" operator="between">
      <formula>221101</formula>
      <formula>221118</formula>
    </cfRule>
    <cfRule type="cellIs" dxfId="585" priority="549" stopIfTrue="1" operator="between">
      <formula>221142</formula>
      <formula>221144</formula>
    </cfRule>
    <cfRule type="cellIs" dxfId="584" priority="550" stopIfTrue="1" operator="between">
      <formula>220001</formula>
      <formula>221144</formula>
    </cfRule>
  </conditionalFormatting>
  <conditionalFormatting sqref="AH13">
    <cfRule type="cellIs" dxfId="583" priority="545" stopIfTrue="1" operator="between">
      <formula>221101</formula>
      <formula>221118</formula>
    </cfRule>
    <cfRule type="cellIs" dxfId="582" priority="546" stopIfTrue="1" operator="between">
      <formula>221142</formula>
      <formula>221144</formula>
    </cfRule>
    <cfRule type="cellIs" dxfId="581" priority="547" stopIfTrue="1" operator="between">
      <formula>220001</formula>
      <formula>221144</formula>
    </cfRule>
  </conditionalFormatting>
  <conditionalFormatting sqref="AI13">
    <cfRule type="cellIs" dxfId="580" priority="542" stopIfTrue="1" operator="between">
      <formula>221101</formula>
      <formula>221118</formula>
    </cfRule>
    <cfRule type="cellIs" dxfId="579" priority="543" stopIfTrue="1" operator="between">
      <formula>221142</formula>
      <formula>221144</formula>
    </cfRule>
    <cfRule type="cellIs" dxfId="578" priority="544" stopIfTrue="1" operator="between">
      <formula>220001</formula>
      <formula>221144</formula>
    </cfRule>
  </conditionalFormatting>
  <conditionalFormatting sqref="C13">
    <cfRule type="cellIs" dxfId="577" priority="539" stopIfTrue="1" operator="between">
      <formula>221101</formula>
      <formula>221118</formula>
    </cfRule>
    <cfRule type="cellIs" dxfId="576" priority="540" stopIfTrue="1" operator="between">
      <formula>221142</formula>
      <formula>221144</formula>
    </cfRule>
    <cfRule type="cellIs" dxfId="575" priority="541" stopIfTrue="1" operator="between">
      <formula>220001</formula>
      <formula>221144</formula>
    </cfRule>
  </conditionalFormatting>
  <conditionalFormatting sqref="AC13">
    <cfRule type="cellIs" dxfId="574" priority="536" stopIfTrue="1" operator="between">
      <formula>221101</formula>
      <formula>221118</formula>
    </cfRule>
    <cfRule type="cellIs" dxfId="573" priority="537" stopIfTrue="1" operator="between">
      <formula>221142</formula>
      <formula>221144</formula>
    </cfRule>
    <cfRule type="cellIs" dxfId="572" priority="538" stopIfTrue="1" operator="between">
      <formula>220001</formula>
      <formula>221144</formula>
    </cfRule>
  </conditionalFormatting>
  <conditionalFormatting sqref="AB13">
    <cfRule type="cellIs" dxfId="571" priority="533" stopIfTrue="1" operator="between">
      <formula>221101</formula>
      <formula>221118</formula>
    </cfRule>
    <cfRule type="cellIs" dxfId="570" priority="534" stopIfTrue="1" operator="between">
      <formula>221142</formula>
      <formula>221144</formula>
    </cfRule>
    <cfRule type="cellIs" dxfId="569" priority="535" stopIfTrue="1" operator="between">
      <formula>220001</formula>
      <formula>221144</formula>
    </cfRule>
  </conditionalFormatting>
  <conditionalFormatting sqref="AL13">
    <cfRule type="cellIs" dxfId="568" priority="530" stopIfTrue="1" operator="between">
      <formula>221101</formula>
      <formula>221118</formula>
    </cfRule>
    <cfRule type="cellIs" dxfId="567" priority="531" stopIfTrue="1" operator="between">
      <formula>221142</formula>
      <formula>221144</formula>
    </cfRule>
    <cfRule type="cellIs" dxfId="566" priority="532" stopIfTrue="1" operator="between">
      <formula>220001</formula>
      <formula>221144</formula>
    </cfRule>
  </conditionalFormatting>
  <conditionalFormatting sqref="AM13">
    <cfRule type="cellIs" dxfId="565" priority="527" stopIfTrue="1" operator="between">
      <formula>221101</formula>
      <formula>221118</formula>
    </cfRule>
    <cfRule type="cellIs" dxfId="564" priority="528" stopIfTrue="1" operator="between">
      <formula>221142</formula>
      <formula>221144</formula>
    </cfRule>
    <cfRule type="cellIs" dxfId="563" priority="529" stopIfTrue="1" operator="between">
      <formula>220001</formula>
      <formula>221144</formula>
    </cfRule>
  </conditionalFormatting>
  <conditionalFormatting sqref="AB13">
    <cfRule type="cellIs" dxfId="562" priority="524" stopIfTrue="1" operator="between">
      <formula>221101</formula>
      <formula>221118</formula>
    </cfRule>
    <cfRule type="cellIs" dxfId="561" priority="525" stopIfTrue="1" operator="between">
      <formula>221142</formula>
      <formula>221144</formula>
    </cfRule>
    <cfRule type="cellIs" dxfId="560" priority="526" stopIfTrue="1" operator="between">
      <formula>220001</formula>
      <formula>221144</formula>
    </cfRule>
  </conditionalFormatting>
  <conditionalFormatting sqref="AA13">
    <cfRule type="cellIs" dxfId="559" priority="521" stopIfTrue="1" operator="between">
      <formula>221101</formula>
      <formula>221118</formula>
    </cfRule>
    <cfRule type="cellIs" dxfId="558" priority="522" stopIfTrue="1" operator="between">
      <formula>221142</formula>
      <formula>221144</formula>
    </cfRule>
    <cfRule type="cellIs" dxfId="557" priority="523" stopIfTrue="1" operator="between">
      <formula>220001</formula>
      <formula>221144</formula>
    </cfRule>
  </conditionalFormatting>
  <conditionalFormatting sqref="AK13">
    <cfRule type="cellIs" dxfId="556" priority="518" stopIfTrue="1" operator="between">
      <formula>221101</formula>
      <formula>221118</formula>
    </cfRule>
    <cfRule type="cellIs" dxfId="555" priority="519" stopIfTrue="1" operator="between">
      <formula>221142</formula>
      <formula>221144</formula>
    </cfRule>
    <cfRule type="cellIs" dxfId="554" priority="520" stopIfTrue="1" operator="between">
      <formula>220001</formula>
      <formula>221144</formula>
    </cfRule>
  </conditionalFormatting>
  <conditionalFormatting sqref="AL13">
    <cfRule type="cellIs" dxfId="553" priority="515" stopIfTrue="1" operator="between">
      <formula>221101</formula>
      <formula>221118</formula>
    </cfRule>
    <cfRule type="cellIs" dxfId="552" priority="516" stopIfTrue="1" operator="between">
      <formula>221142</formula>
      <formula>221144</formula>
    </cfRule>
    <cfRule type="cellIs" dxfId="551" priority="517" stopIfTrue="1" operator="between">
      <formula>220001</formula>
      <formula>221144</formula>
    </cfRule>
  </conditionalFormatting>
  <conditionalFormatting sqref="AB13">
    <cfRule type="cellIs" dxfId="550" priority="512" stopIfTrue="1" operator="between">
      <formula>221101</formula>
      <formula>221118</formula>
    </cfRule>
    <cfRule type="cellIs" dxfId="549" priority="513" stopIfTrue="1" operator="between">
      <formula>221142</formula>
      <formula>221144</formula>
    </cfRule>
    <cfRule type="cellIs" dxfId="548" priority="514" stopIfTrue="1" operator="between">
      <formula>220001</formula>
      <formula>221144</formula>
    </cfRule>
  </conditionalFormatting>
  <conditionalFormatting sqref="AA13">
    <cfRule type="cellIs" dxfId="547" priority="509" stopIfTrue="1" operator="between">
      <formula>221101</formula>
      <formula>221118</formula>
    </cfRule>
    <cfRule type="cellIs" dxfId="546" priority="510" stopIfTrue="1" operator="between">
      <formula>221142</formula>
      <formula>221144</formula>
    </cfRule>
    <cfRule type="cellIs" dxfId="545" priority="511" stopIfTrue="1" operator="between">
      <formula>220001</formula>
      <formula>221144</formula>
    </cfRule>
  </conditionalFormatting>
  <conditionalFormatting sqref="AK13">
    <cfRule type="cellIs" dxfId="544" priority="506" stopIfTrue="1" operator="between">
      <formula>221101</formula>
      <formula>221118</formula>
    </cfRule>
    <cfRule type="cellIs" dxfId="543" priority="507" stopIfTrue="1" operator="between">
      <formula>221142</formula>
      <formula>221144</formula>
    </cfRule>
    <cfRule type="cellIs" dxfId="542" priority="508" stopIfTrue="1" operator="between">
      <formula>220001</formula>
      <formula>221144</formula>
    </cfRule>
  </conditionalFormatting>
  <conditionalFormatting sqref="AL13">
    <cfRule type="cellIs" dxfId="541" priority="503" stopIfTrue="1" operator="between">
      <formula>221101</formula>
      <formula>221118</formula>
    </cfRule>
    <cfRule type="cellIs" dxfId="540" priority="504" stopIfTrue="1" operator="between">
      <formula>221142</formula>
      <formula>221144</formula>
    </cfRule>
    <cfRule type="cellIs" dxfId="539" priority="505" stopIfTrue="1" operator="between">
      <formula>220001</formula>
      <formula>221144</formula>
    </cfRule>
  </conditionalFormatting>
  <conditionalFormatting sqref="AA13">
    <cfRule type="cellIs" dxfId="538" priority="500" stopIfTrue="1" operator="between">
      <formula>221101</formula>
      <formula>221118</formula>
    </cfRule>
    <cfRule type="cellIs" dxfId="537" priority="501" stopIfTrue="1" operator="between">
      <formula>221142</formula>
      <formula>221144</formula>
    </cfRule>
    <cfRule type="cellIs" dxfId="536" priority="502" stopIfTrue="1" operator="between">
      <formula>220001</formula>
      <formula>221144</formula>
    </cfRule>
  </conditionalFormatting>
  <conditionalFormatting sqref="Z13">
    <cfRule type="cellIs" dxfId="535" priority="497" stopIfTrue="1" operator="between">
      <formula>221101</formula>
      <formula>221118</formula>
    </cfRule>
    <cfRule type="cellIs" dxfId="534" priority="498" stopIfTrue="1" operator="between">
      <formula>221142</formula>
      <formula>221144</formula>
    </cfRule>
    <cfRule type="cellIs" dxfId="533" priority="499" stopIfTrue="1" operator="between">
      <formula>220001</formula>
      <formula>221144</formula>
    </cfRule>
  </conditionalFormatting>
  <conditionalFormatting sqref="AJ13">
    <cfRule type="cellIs" dxfId="532" priority="494" stopIfTrue="1" operator="between">
      <formula>221101</formula>
      <formula>221118</formula>
    </cfRule>
    <cfRule type="cellIs" dxfId="531" priority="495" stopIfTrue="1" operator="between">
      <formula>221142</formula>
      <formula>221144</formula>
    </cfRule>
    <cfRule type="cellIs" dxfId="530" priority="496" stopIfTrue="1" operator="between">
      <formula>220001</formula>
      <formula>221144</formula>
    </cfRule>
  </conditionalFormatting>
  <conditionalFormatting sqref="AK13">
    <cfRule type="cellIs" dxfId="529" priority="491" stopIfTrue="1" operator="between">
      <formula>221101</formula>
      <formula>221118</formula>
    </cfRule>
    <cfRule type="cellIs" dxfId="528" priority="492" stopIfTrue="1" operator="between">
      <formula>221142</formula>
      <formula>221144</formula>
    </cfRule>
    <cfRule type="cellIs" dxfId="527" priority="493" stopIfTrue="1" operator="between">
      <formula>220001</formula>
      <formula>221144</formula>
    </cfRule>
  </conditionalFormatting>
  <conditionalFormatting sqref="AB13">
    <cfRule type="cellIs" dxfId="526" priority="488" stopIfTrue="1" operator="between">
      <formula>221101</formula>
      <formula>221118</formula>
    </cfRule>
    <cfRule type="cellIs" dxfId="525" priority="489" stopIfTrue="1" operator="between">
      <formula>221142</formula>
      <formula>221144</formula>
    </cfRule>
    <cfRule type="cellIs" dxfId="524" priority="490" stopIfTrue="1" operator="between">
      <formula>220001</formula>
      <formula>221144</formula>
    </cfRule>
  </conditionalFormatting>
  <conditionalFormatting sqref="AA13">
    <cfRule type="cellIs" dxfId="523" priority="485" stopIfTrue="1" operator="between">
      <formula>221101</formula>
      <formula>221118</formula>
    </cfRule>
    <cfRule type="cellIs" dxfId="522" priority="486" stopIfTrue="1" operator="between">
      <formula>221142</formula>
      <formula>221144</formula>
    </cfRule>
    <cfRule type="cellIs" dxfId="521" priority="487" stopIfTrue="1" operator="between">
      <formula>220001</formula>
      <formula>221144</formula>
    </cfRule>
  </conditionalFormatting>
  <conditionalFormatting sqref="AK13">
    <cfRule type="cellIs" dxfId="520" priority="482" stopIfTrue="1" operator="between">
      <formula>221101</formula>
      <formula>221118</formula>
    </cfRule>
    <cfRule type="cellIs" dxfId="519" priority="483" stopIfTrue="1" operator="between">
      <formula>221142</formula>
      <formula>221144</formula>
    </cfRule>
    <cfRule type="cellIs" dxfId="518" priority="484" stopIfTrue="1" operator="between">
      <formula>220001</formula>
      <formula>221144</formula>
    </cfRule>
  </conditionalFormatting>
  <conditionalFormatting sqref="AL13">
    <cfRule type="cellIs" dxfId="517" priority="479" stopIfTrue="1" operator="between">
      <formula>221101</formula>
      <formula>221118</formula>
    </cfRule>
    <cfRule type="cellIs" dxfId="516" priority="480" stopIfTrue="1" operator="between">
      <formula>221142</formula>
      <formula>221144</formula>
    </cfRule>
    <cfRule type="cellIs" dxfId="515" priority="481" stopIfTrue="1" operator="between">
      <formula>220001</formula>
      <formula>221144</formula>
    </cfRule>
  </conditionalFormatting>
  <conditionalFormatting sqref="AA13">
    <cfRule type="cellIs" dxfId="514" priority="476" stopIfTrue="1" operator="between">
      <formula>221101</formula>
      <formula>221118</formula>
    </cfRule>
    <cfRule type="cellIs" dxfId="513" priority="477" stopIfTrue="1" operator="between">
      <formula>221142</formula>
      <formula>221144</formula>
    </cfRule>
    <cfRule type="cellIs" dxfId="512" priority="478" stopIfTrue="1" operator="between">
      <formula>220001</formula>
      <formula>221144</formula>
    </cfRule>
  </conditionalFormatting>
  <conditionalFormatting sqref="Z13">
    <cfRule type="cellIs" dxfId="511" priority="473" stopIfTrue="1" operator="between">
      <formula>221101</formula>
      <formula>221118</formula>
    </cfRule>
    <cfRule type="cellIs" dxfId="510" priority="474" stopIfTrue="1" operator="between">
      <formula>221142</formula>
      <formula>221144</formula>
    </cfRule>
    <cfRule type="cellIs" dxfId="509" priority="475" stopIfTrue="1" operator="between">
      <formula>220001</formula>
      <formula>221144</formula>
    </cfRule>
  </conditionalFormatting>
  <conditionalFormatting sqref="AJ13">
    <cfRule type="cellIs" dxfId="508" priority="470" stopIfTrue="1" operator="between">
      <formula>221101</formula>
      <formula>221118</formula>
    </cfRule>
    <cfRule type="cellIs" dxfId="507" priority="471" stopIfTrue="1" operator="between">
      <formula>221142</formula>
      <formula>221144</formula>
    </cfRule>
    <cfRule type="cellIs" dxfId="506" priority="472" stopIfTrue="1" operator="between">
      <formula>220001</formula>
      <formula>221144</formula>
    </cfRule>
  </conditionalFormatting>
  <conditionalFormatting sqref="AK13">
    <cfRule type="cellIs" dxfId="505" priority="467" stopIfTrue="1" operator="between">
      <formula>221101</formula>
      <formula>221118</formula>
    </cfRule>
    <cfRule type="cellIs" dxfId="504" priority="468" stopIfTrue="1" operator="between">
      <formula>221142</formula>
      <formula>221144</formula>
    </cfRule>
    <cfRule type="cellIs" dxfId="503" priority="469" stopIfTrue="1" operator="between">
      <formula>220001</formula>
      <formula>221144</formula>
    </cfRule>
  </conditionalFormatting>
  <conditionalFormatting sqref="AA13">
    <cfRule type="cellIs" dxfId="502" priority="464" stopIfTrue="1" operator="between">
      <formula>221101</formula>
      <formula>221118</formula>
    </cfRule>
    <cfRule type="cellIs" dxfId="501" priority="465" stopIfTrue="1" operator="between">
      <formula>221142</formula>
      <formula>221144</formula>
    </cfRule>
    <cfRule type="cellIs" dxfId="500" priority="466" stopIfTrue="1" operator="between">
      <formula>220001</formula>
      <formula>221144</formula>
    </cfRule>
  </conditionalFormatting>
  <conditionalFormatting sqref="Z13">
    <cfRule type="cellIs" dxfId="499" priority="461" stopIfTrue="1" operator="between">
      <formula>221101</formula>
      <formula>221118</formula>
    </cfRule>
    <cfRule type="cellIs" dxfId="498" priority="462" stopIfTrue="1" operator="between">
      <formula>221142</formula>
      <formula>221144</formula>
    </cfRule>
    <cfRule type="cellIs" dxfId="497" priority="463" stopIfTrue="1" operator="between">
      <formula>220001</formula>
      <formula>221144</formula>
    </cfRule>
  </conditionalFormatting>
  <conditionalFormatting sqref="AJ13">
    <cfRule type="cellIs" dxfId="496" priority="458" stopIfTrue="1" operator="between">
      <formula>221101</formula>
      <formula>221118</formula>
    </cfRule>
    <cfRule type="cellIs" dxfId="495" priority="459" stopIfTrue="1" operator="between">
      <formula>221142</formula>
      <formula>221144</formula>
    </cfRule>
    <cfRule type="cellIs" dxfId="494" priority="460" stopIfTrue="1" operator="between">
      <formula>220001</formula>
      <formula>221144</formula>
    </cfRule>
  </conditionalFormatting>
  <conditionalFormatting sqref="AK13">
    <cfRule type="cellIs" dxfId="493" priority="455" stopIfTrue="1" operator="between">
      <formula>221101</formula>
      <formula>221118</formula>
    </cfRule>
    <cfRule type="cellIs" dxfId="492" priority="456" stopIfTrue="1" operator="between">
      <formula>221142</formula>
      <formula>221144</formula>
    </cfRule>
    <cfRule type="cellIs" dxfId="491" priority="457" stopIfTrue="1" operator="between">
      <formula>220001</formula>
      <formula>221144</formula>
    </cfRule>
  </conditionalFormatting>
  <conditionalFormatting sqref="Z13">
    <cfRule type="cellIs" dxfId="490" priority="452" stopIfTrue="1" operator="between">
      <formula>221101</formula>
      <formula>221118</formula>
    </cfRule>
    <cfRule type="cellIs" dxfId="489" priority="453" stopIfTrue="1" operator="between">
      <formula>221142</formula>
      <formula>221144</formula>
    </cfRule>
    <cfRule type="cellIs" dxfId="488" priority="454" stopIfTrue="1" operator="between">
      <formula>220001</formula>
      <formula>221144</formula>
    </cfRule>
  </conditionalFormatting>
  <conditionalFormatting sqref="Y13">
    <cfRule type="cellIs" dxfId="487" priority="449" stopIfTrue="1" operator="between">
      <formula>221101</formula>
      <formula>221118</formula>
    </cfRule>
    <cfRule type="cellIs" dxfId="486" priority="450" stopIfTrue="1" operator="between">
      <formula>221142</formula>
      <formula>221144</formula>
    </cfRule>
    <cfRule type="cellIs" dxfId="485" priority="451" stopIfTrue="1" operator="between">
      <formula>220001</formula>
      <formula>221144</formula>
    </cfRule>
  </conditionalFormatting>
  <conditionalFormatting sqref="AI13">
    <cfRule type="cellIs" dxfId="484" priority="446" stopIfTrue="1" operator="between">
      <formula>221101</formula>
      <formula>221118</formula>
    </cfRule>
    <cfRule type="cellIs" dxfId="483" priority="447" stopIfTrue="1" operator="between">
      <formula>221142</formula>
      <formula>221144</formula>
    </cfRule>
    <cfRule type="cellIs" dxfId="482" priority="448" stopIfTrue="1" operator="between">
      <formula>220001</formula>
      <formula>221144</formula>
    </cfRule>
  </conditionalFormatting>
  <conditionalFormatting sqref="AJ13">
    <cfRule type="cellIs" dxfId="481" priority="443" stopIfTrue="1" operator="between">
      <formula>221101</formula>
      <formula>221118</formula>
    </cfRule>
    <cfRule type="cellIs" dxfId="480" priority="444" stopIfTrue="1" operator="between">
      <formula>221142</formula>
      <formula>221144</formula>
    </cfRule>
    <cfRule type="cellIs" dxfId="479" priority="445" stopIfTrue="1" operator="between">
      <formula>220001</formula>
      <formula>221144</formula>
    </cfRule>
  </conditionalFormatting>
  <conditionalFormatting sqref="AB13">
    <cfRule type="cellIs" dxfId="478" priority="440" stopIfTrue="1" operator="between">
      <formula>221101</formula>
      <formula>221118</formula>
    </cfRule>
    <cfRule type="cellIs" dxfId="477" priority="441" stopIfTrue="1" operator="between">
      <formula>221142</formula>
      <formula>221144</formula>
    </cfRule>
    <cfRule type="cellIs" dxfId="476" priority="442" stopIfTrue="1" operator="between">
      <formula>220001</formula>
      <formula>221144</formula>
    </cfRule>
  </conditionalFormatting>
  <conditionalFormatting sqref="AA13">
    <cfRule type="cellIs" dxfId="475" priority="437" stopIfTrue="1" operator="between">
      <formula>221101</formula>
      <formula>221118</formula>
    </cfRule>
    <cfRule type="cellIs" dxfId="474" priority="438" stopIfTrue="1" operator="between">
      <formula>221142</formula>
      <formula>221144</formula>
    </cfRule>
    <cfRule type="cellIs" dxfId="473" priority="439" stopIfTrue="1" operator="between">
      <formula>220001</formula>
      <formula>221144</formula>
    </cfRule>
  </conditionalFormatting>
  <conditionalFormatting sqref="AK13">
    <cfRule type="cellIs" dxfId="472" priority="434" stopIfTrue="1" operator="between">
      <formula>221101</formula>
      <formula>221118</formula>
    </cfRule>
    <cfRule type="cellIs" dxfId="471" priority="435" stopIfTrue="1" operator="between">
      <formula>221142</formula>
      <formula>221144</formula>
    </cfRule>
    <cfRule type="cellIs" dxfId="470" priority="436" stopIfTrue="1" operator="between">
      <formula>220001</formula>
      <formula>221144</formula>
    </cfRule>
  </conditionalFormatting>
  <conditionalFormatting sqref="AL13">
    <cfRule type="cellIs" dxfId="469" priority="431" stopIfTrue="1" operator="between">
      <formula>221101</formula>
      <formula>221118</formula>
    </cfRule>
    <cfRule type="cellIs" dxfId="468" priority="432" stopIfTrue="1" operator="between">
      <formula>221142</formula>
      <formula>221144</formula>
    </cfRule>
    <cfRule type="cellIs" dxfId="467" priority="433" stopIfTrue="1" operator="between">
      <formula>220001</formula>
      <formula>221144</formula>
    </cfRule>
  </conditionalFormatting>
  <conditionalFormatting sqref="AA13">
    <cfRule type="cellIs" dxfId="466" priority="428" stopIfTrue="1" operator="between">
      <formula>221101</formula>
      <formula>221118</formula>
    </cfRule>
    <cfRule type="cellIs" dxfId="465" priority="429" stopIfTrue="1" operator="between">
      <formula>221142</formula>
      <formula>221144</formula>
    </cfRule>
    <cfRule type="cellIs" dxfId="464" priority="430" stopIfTrue="1" operator="between">
      <formula>220001</formula>
      <formula>221144</formula>
    </cfRule>
  </conditionalFormatting>
  <conditionalFormatting sqref="Z13">
    <cfRule type="cellIs" dxfId="463" priority="425" stopIfTrue="1" operator="between">
      <formula>221101</formula>
      <formula>221118</formula>
    </cfRule>
    <cfRule type="cellIs" dxfId="462" priority="426" stopIfTrue="1" operator="between">
      <formula>221142</formula>
      <formula>221144</formula>
    </cfRule>
    <cfRule type="cellIs" dxfId="461" priority="427" stopIfTrue="1" operator="between">
      <formula>220001</formula>
      <formula>221144</formula>
    </cfRule>
  </conditionalFormatting>
  <conditionalFormatting sqref="AJ13">
    <cfRule type="cellIs" dxfId="460" priority="422" stopIfTrue="1" operator="between">
      <formula>221101</formula>
      <formula>221118</formula>
    </cfRule>
    <cfRule type="cellIs" dxfId="459" priority="423" stopIfTrue="1" operator="between">
      <formula>221142</formula>
      <formula>221144</formula>
    </cfRule>
    <cfRule type="cellIs" dxfId="458" priority="424" stopIfTrue="1" operator="between">
      <formula>220001</formula>
      <formula>221144</formula>
    </cfRule>
  </conditionalFormatting>
  <conditionalFormatting sqref="AK13">
    <cfRule type="cellIs" dxfId="457" priority="419" stopIfTrue="1" operator="between">
      <formula>221101</formula>
      <formula>221118</formula>
    </cfRule>
    <cfRule type="cellIs" dxfId="456" priority="420" stopIfTrue="1" operator="between">
      <formula>221142</formula>
      <formula>221144</formula>
    </cfRule>
    <cfRule type="cellIs" dxfId="455" priority="421" stopIfTrue="1" operator="between">
      <formula>220001</formula>
      <formula>221144</formula>
    </cfRule>
  </conditionalFormatting>
  <conditionalFormatting sqref="AA13">
    <cfRule type="cellIs" dxfId="454" priority="416" stopIfTrue="1" operator="between">
      <formula>221101</formula>
      <formula>221118</formula>
    </cfRule>
    <cfRule type="cellIs" dxfId="453" priority="417" stopIfTrue="1" operator="between">
      <formula>221142</formula>
      <formula>221144</formula>
    </cfRule>
    <cfRule type="cellIs" dxfId="452" priority="418" stopIfTrue="1" operator="between">
      <formula>220001</formula>
      <formula>221144</formula>
    </cfRule>
  </conditionalFormatting>
  <conditionalFormatting sqref="Z13">
    <cfRule type="cellIs" dxfId="451" priority="413" stopIfTrue="1" operator="between">
      <formula>221101</formula>
      <formula>221118</formula>
    </cfRule>
    <cfRule type="cellIs" dxfId="450" priority="414" stopIfTrue="1" operator="between">
      <formula>221142</formula>
      <formula>221144</formula>
    </cfRule>
    <cfRule type="cellIs" dxfId="449" priority="415" stopIfTrue="1" operator="between">
      <formula>220001</formula>
      <formula>221144</formula>
    </cfRule>
  </conditionalFormatting>
  <conditionalFormatting sqref="AJ13">
    <cfRule type="cellIs" dxfId="448" priority="410" stopIfTrue="1" operator="between">
      <formula>221101</formula>
      <formula>221118</formula>
    </cfRule>
    <cfRule type="cellIs" dxfId="447" priority="411" stopIfTrue="1" operator="between">
      <formula>221142</formula>
      <formula>221144</formula>
    </cfRule>
    <cfRule type="cellIs" dxfId="446" priority="412" stopIfTrue="1" operator="between">
      <formula>220001</formula>
      <formula>221144</formula>
    </cfRule>
  </conditionalFormatting>
  <conditionalFormatting sqref="AK13">
    <cfRule type="cellIs" dxfId="445" priority="407" stopIfTrue="1" operator="between">
      <formula>221101</formula>
      <formula>221118</formula>
    </cfRule>
    <cfRule type="cellIs" dxfId="444" priority="408" stopIfTrue="1" operator="between">
      <formula>221142</formula>
      <formula>221144</formula>
    </cfRule>
    <cfRule type="cellIs" dxfId="443" priority="409" stopIfTrue="1" operator="between">
      <formula>220001</formula>
      <formula>221144</formula>
    </cfRule>
  </conditionalFormatting>
  <conditionalFormatting sqref="Z13">
    <cfRule type="cellIs" dxfId="442" priority="404" stopIfTrue="1" operator="between">
      <formula>221101</formula>
      <formula>221118</formula>
    </cfRule>
    <cfRule type="cellIs" dxfId="441" priority="405" stopIfTrue="1" operator="between">
      <formula>221142</formula>
      <formula>221144</formula>
    </cfRule>
    <cfRule type="cellIs" dxfId="440" priority="406" stopIfTrue="1" operator="between">
      <formula>220001</formula>
      <formula>221144</formula>
    </cfRule>
  </conditionalFormatting>
  <conditionalFormatting sqref="Y13">
    <cfRule type="cellIs" dxfId="439" priority="401" stopIfTrue="1" operator="between">
      <formula>221101</formula>
      <formula>221118</formula>
    </cfRule>
    <cfRule type="cellIs" dxfId="438" priority="402" stopIfTrue="1" operator="between">
      <formula>221142</formula>
      <formula>221144</formula>
    </cfRule>
    <cfRule type="cellIs" dxfId="437" priority="403" stopIfTrue="1" operator="between">
      <formula>220001</formula>
      <formula>221144</formula>
    </cfRule>
  </conditionalFormatting>
  <conditionalFormatting sqref="AI13">
    <cfRule type="cellIs" dxfId="436" priority="398" stopIfTrue="1" operator="between">
      <formula>221101</formula>
      <formula>221118</formula>
    </cfRule>
    <cfRule type="cellIs" dxfId="435" priority="399" stopIfTrue="1" operator="between">
      <formula>221142</formula>
      <formula>221144</formula>
    </cfRule>
    <cfRule type="cellIs" dxfId="434" priority="400" stopIfTrue="1" operator="between">
      <formula>220001</formula>
      <formula>221144</formula>
    </cfRule>
  </conditionalFormatting>
  <conditionalFormatting sqref="AJ13">
    <cfRule type="cellIs" dxfId="433" priority="395" stopIfTrue="1" operator="between">
      <formula>221101</formula>
      <formula>221118</formula>
    </cfRule>
    <cfRule type="cellIs" dxfId="432" priority="396" stopIfTrue="1" operator="between">
      <formula>221142</formula>
      <formula>221144</formula>
    </cfRule>
    <cfRule type="cellIs" dxfId="431" priority="397" stopIfTrue="1" operator="between">
      <formula>220001</formula>
      <formula>221144</formula>
    </cfRule>
  </conditionalFormatting>
  <conditionalFormatting sqref="AA13">
    <cfRule type="cellIs" dxfId="430" priority="392" stopIfTrue="1" operator="between">
      <formula>221101</formula>
      <formula>221118</formula>
    </cfRule>
    <cfRule type="cellIs" dxfId="429" priority="393" stopIfTrue="1" operator="between">
      <formula>221142</formula>
      <formula>221144</formula>
    </cfRule>
    <cfRule type="cellIs" dxfId="428" priority="394" stopIfTrue="1" operator="between">
      <formula>220001</formula>
      <formula>221144</formula>
    </cfRule>
  </conditionalFormatting>
  <conditionalFormatting sqref="Z13">
    <cfRule type="cellIs" dxfId="427" priority="389" stopIfTrue="1" operator="between">
      <formula>221101</formula>
      <formula>221118</formula>
    </cfRule>
    <cfRule type="cellIs" dxfId="426" priority="390" stopIfTrue="1" operator="between">
      <formula>221142</formula>
      <formula>221144</formula>
    </cfRule>
    <cfRule type="cellIs" dxfId="425" priority="391" stopIfTrue="1" operator="between">
      <formula>220001</formula>
      <formula>221144</formula>
    </cfRule>
  </conditionalFormatting>
  <conditionalFormatting sqref="AJ13">
    <cfRule type="cellIs" dxfId="424" priority="386" stopIfTrue="1" operator="between">
      <formula>221101</formula>
      <formula>221118</formula>
    </cfRule>
    <cfRule type="cellIs" dxfId="423" priority="387" stopIfTrue="1" operator="between">
      <formula>221142</formula>
      <formula>221144</formula>
    </cfRule>
    <cfRule type="cellIs" dxfId="422" priority="388" stopIfTrue="1" operator="between">
      <formula>220001</formula>
      <formula>221144</formula>
    </cfRule>
  </conditionalFormatting>
  <conditionalFormatting sqref="AK13">
    <cfRule type="cellIs" dxfId="421" priority="383" stopIfTrue="1" operator="between">
      <formula>221101</formula>
      <formula>221118</formula>
    </cfRule>
    <cfRule type="cellIs" dxfId="420" priority="384" stopIfTrue="1" operator="between">
      <formula>221142</formula>
      <formula>221144</formula>
    </cfRule>
    <cfRule type="cellIs" dxfId="419" priority="385" stopIfTrue="1" operator="between">
      <formula>220001</formula>
      <formula>221144</formula>
    </cfRule>
  </conditionalFormatting>
  <conditionalFormatting sqref="Z13">
    <cfRule type="cellIs" dxfId="418" priority="380" stopIfTrue="1" operator="between">
      <formula>221101</formula>
      <formula>221118</formula>
    </cfRule>
    <cfRule type="cellIs" dxfId="417" priority="381" stopIfTrue="1" operator="between">
      <formula>221142</formula>
      <formula>221144</formula>
    </cfRule>
    <cfRule type="cellIs" dxfId="416" priority="382" stopIfTrue="1" operator="between">
      <formula>220001</formula>
      <formula>221144</formula>
    </cfRule>
  </conditionalFormatting>
  <conditionalFormatting sqref="Y13">
    <cfRule type="cellIs" dxfId="415" priority="377" stopIfTrue="1" operator="between">
      <formula>221101</formula>
      <formula>221118</formula>
    </cfRule>
    <cfRule type="cellIs" dxfId="414" priority="378" stopIfTrue="1" operator="between">
      <formula>221142</formula>
      <formula>221144</formula>
    </cfRule>
    <cfRule type="cellIs" dxfId="413" priority="379" stopIfTrue="1" operator="between">
      <formula>220001</formula>
      <formula>221144</formula>
    </cfRule>
  </conditionalFormatting>
  <conditionalFormatting sqref="AI13">
    <cfRule type="cellIs" dxfId="412" priority="374" stopIfTrue="1" operator="between">
      <formula>221101</formula>
      <formula>221118</formula>
    </cfRule>
    <cfRule type="cellIs" dxfId="411" priority="375" stopIfTrue="1" operator="between">
      <formula>221142</formula>
      <formula>221144</formula>
    </cfRule>
    <cfRule type="cellIs" dxfId="410" priority="376" stopIfTrue="1" operator="between">
      <formula>220001</formula>
      <formula>221144</formula>
    </cfRule>
  </conditionalFormatting>
  <conditionalFormatting sqref="AJ13">
    <cfRule type="cellIs" dxfId="409" priority="371" stopIfTrue="1" operator="between">
      <formula>221101</formula>
      <formula>221118</formula>
    </cfRule>
    <cfRule type="cellIs" dxfId="408" priority="372" stopIfTrue="1" operator="between">
      <formula>221142</formula>
      <formula>221144</formula>
    </cfRule>
    <cfRule type="cellIs" dxfId="407" priority="373" stopIfTrue="1" operator="between">
      <formula>220001</formula>
      <formula>221144</formula>
    </cfRule>
  </conditionalFormatting>
  <conditionalFormatting sqref="Z13">
    <cfRule type="cellIs" dxfId="406" priority="368" stopIfTrue="1" operator="between">
      <formula>221101</formula>
      <formula>221118</formula>
    </cfRule>
    <cfRule type="cellIs" dxfId="405" priority="369" stopIfTrue="1" operator="between">
      <formula>221142</formula>
      <formula>221144</formula>
    </cfRule>
    <cfRule type="cellIs" dxfId="404" priority="370" stopIfTrue="1" operator="between">
      <formula>220001</formula>
      <formula>221144</formula>
    </cfRule>
  </conditionalFormatting>
  <conditionalFormatting sqref="Y13">
    <cfRule type="cellIs" dxfId="403" priority="365" stopIfTrue="1" operator="between">
      <formula>221101</formula>
      <formula>221118</formula>
    </cfRule>
    <cfRule type="cellIs" dxfId="402" priority="366" stopIfTrue="1" operator="between">
      <formula>221142</formula>
      <formula>221144</formula>
    </cfRule>
    <cfRule type="cellIs" dxfId="401" priority="367" stopIfTrue="1" operator="between">
      <formula>220001</formula>
      <formula>221144</formula>
    </cfRule>
  </conditionalFormatting>
  <conditionalFormatting sqref="AI13">
    <cfRule type="cellIs" dxfId="400" priority="362" stopIfTrue="1" operator="between">
      <formula>221101</formula>
      <formula>221118</formula>
    </cfRule>
    <cfRule type="cellIs" dxfId="399" priority="363" stopIfTrue="1" operator="between">
      <formula>221142</formula>
      <formula>221144</formula>
    </cfRule>
    <cfRule type="cellIs" dxfId="398" priority="364" stopIfTrue="1" operator="between">
      <formula>220001</formula>
      <formula>221144</formula>
    </cfRule>
  </conditionalFormatting>
  <conditionalFormatting sqref="AJ13">
    <cfRule type="cellIs" dxfId="397" priority="359" stopIfTrue="1" operator="between">
      <formula>221101</formula>
      <formula>221118</formula>
    </cfRule>
    <cfRule type="cellIs" dxfId="396" priority="360" stopIfTrue="1" operator="between">
      <formula>221142</formula>
      <formula>221144</formula>
    </cfRule>
    <cfRule type="cellIs" dxfId="395" priority="361" stopIfTrue="1" operator="between">
      <formula>220001</formula>
      <formula>221144</formula>
    </cfRule>
  </conditionalFormatting>
  <conditionalFormatting sqref="Y13">
    <cfRule type="cellIs" dxfId="394" priority="356" stopIfTrue="1" operator="between">
      <formula>221101</formula>
      <formula>221118</formula>
    </cfRule>
    <cfRule type="cellIs" dxfId="393" priority="357" stopIfTrue="1" operator="between">
      <formula>221142</formula>
      <formula>221144</formula>
    </cfRule>
    <cfRule type="cellIs" dxfId="392" priority="358" stopIfTrue="1" operator="between">
      <formula>220001</formula>
      <formula>221144</formula>
    </cfRule>
  </conditionalFormatting>
  <conditionalFormatting sqref="X13">
    <cfRule type="cellIs" dxfId="391" priority="353" stopIfTrue="1" operator="between">
      <formula>221101</formula>
      <formula>221118</formula>
    </cfRule>
    <cfRule type="cellIs" dxfId="390" priority="354" stopIfTrue="1" operator="between">
      <formula>221142</formula>
      <formula>221144</formula>
    </cfRule>
    <cfRule type="cellIs" dxfId="389" priority="355" stopIfTrue="1" operator="between">
      <formula>220001</formula>
      <formula>221144</formula>
    </cfRule>
  </conditionalFormatting>
  <conditionalFormatting sqref="AH13">
    <cfRule type="cellIs" dxfId="388" priority="350" stopIfTrue="1" operator="between">
      <formula>221101</formula>
      <formula>221118</formula>
    </cfRule>
    <cfRule type="cellIs" dxfId="387" priority="351" stopIfTrue="1" operator="between">
      <formula>221142</formula>
      <formula>221144</formula>
    </cfRule>
    <cfRule type="cellIs" dxfId="386" priority="352" stopIfTrue="1" operator="between">
      <formula>220001</formula>
      <formula>221144</formula>
    </cfRule>
  </conditionalFormatting>
  <conditionalFormatting sqref="AI13">
    <cfRule type="cellIs" dxfId="385" priority="347" stopIfTrue="1" operator="between">
      <formula>221101</formula>
      <formula>221118</formula>
    </cfRule>
    <cfRule type="cellIs" dxfId="384" priority="348" stopIfTrue="1" operator="between">
      <formula>221142</formula>
      <formula>221144</formula>
    </cfRule>
    <cfRule type="cellIs" dxfId="383" priority="349" stopIfTrue="1" operator="between">
      <formula>220001</formula>
      <formula>221144</formula>
    </cfRule>
  </conditionalFormatting>
  <conditionalFormatting sqref="AB13">
    <cfRule type="cellIs" dxfId="382" priority="344" stopIfTrue="1" operator="between">
      <formula>221101</formula>
      <formula>221118</formula>
    </cfRule>
    <cfRule type="cellIs" dxfId="381" priority="345" stopIfTrue="1" operator="between">
      <formula>221142</formula>
      <formula>221144</formula>
    </cfRule>
    <cfRule type="cellIs" dxfId="380" priority="346" stopIfTrue="1" operator="between">
      <formula>220001</formula>
      <formula>221144</formula>
    </cfRule>
  </conditionalFormatting>
  <conditionalFormatting sqref="AA13">
    <cfRule type="cellIs" dxfId="379" priority="341" stopIfTrue="1" operator="between">
      <formula>221101</formula>
      <formula>221118</formula>
    </cfRule>
    <cfRule type="cellIs" dxfId="378" priority="342" stopIfTrue="1" operator="between">
      <formula>221142</formula>
      <formula>221144</formula>
    </cfRule>
    <cfRule type="cellIs" dxfId="377" priority="343" stopIfTrue="1" operator="between">
      <formula>220001</formula>
      <formula>221144</formula>
    </cfRule>
  </conditionalFormatting>
  <conditionalFormatting sqref="AK13">
    <cfRule type="cellIs" dxfId="376" priority="338" stopIfTrue="1" operator="between">
      <formula>221101</formula>
      <formula>221118</formula>
    </cfRule>
    <cfRule type="cellIs" dxfId="375" priority="339" stopIfTrue="1" operator="between">
      <formula>221142</formula>
      <formula>221144</formula>
    </cfRule>
    <cfRule type="cellIs" dxfId="374" priority="340" stopIfTrue="1" operator="between">
      <formula>220001</formula>
      <formula>221144</formula>
    </cfRule>
  </conditionalFormatting>
  <conditionalFormatting sqref="AL13">
    <cfRule type="cellIs" dxfId="373" priority="335" stopIfTrue="1" operator="between">
      <formula>221101</formula>
      <formula>221118</formula>
    </cfRule>
    <cfRule type="cellIs" dxfId="372" priority="336" stopIfTrue="1" operator="between">
      <formula>221142</formula>
      <formula>221144</formula>
    </cfRule>
    <cfRule type="cellIs" dxfId="371" priority="337" stopIfTrue="1" operator="between">
      <formula>220001</formula>
      <formula>221144</formula>
    </cfRule>
  </conditionalFormatting>
  <conditionalFormatting sqref="AA13">
    <cfRule type="cellIs" dxfId="370" priority="332" stopIfTrue="1" operator="between">
      <formula>221101</formula>
      <formula>221118</formula>
    </cfRule>
    <cfRule type="cellIs" dxfId="369" priority="333" stopIfTrue="1" operator="between">
      <formula>221142</formula>
      <formula>221144</formula>
    </cfRule>
    <cfRule type="cellIs" dxfId="368" priority="334" stopIfTrue="1" operator="between">
      <formula>220001</formula>
      <formula>221144</formula>
    </cfRule>
  </conditionalFormatting>
  <conditionalFormatting sqref="Z13">
    <cfRule type="cellIs" dxfId="367" priority="329" stopIfTrue="1" operator="between">
      <formula>221101</formula>
      <formula>221118</formula>
    </cfRule>
    <cfRule type="cellIs" dxfId="366" priority="330" stopIfTrue="1" operator="between">
      <formula>221142</formula>
      <formula>221144</formula>
    </cfRule>
    <cfRule type="cellIs" dxfId="365" priority="331" stopIfTrue="1" operator="between">
      <formula>220001</formula>
      <formula>221144</formula>
    </cfRule>
  </conditionalFormatting>
  <conditionalFormatting sqref="AJ13">
    <cfRule type="cellIs" dxfId="364" priority="326" stopIfTrue="1" operator="between">
      <formula>221101</formula>
      <formula>221118</formula>
    </cfRule>
    <cfRule type="cellIs" dxfId="363" priority="327" stopIfTrue="1" operator="between">
      <formula>221142</formula>
      <formula>221144</formula>
    </cfRule>
    <cfRule type="cellIs" dxfId="362" priority="328" stopIfTrue="1" operator="between">
      <formula>220001</formula>
      <formula>221144</formula>
    </cfRule>
  </conditionalFormatting>
  <conditionalFormatting sqref="AK13">
    <cfRule type="cellIs" dxfId="361" priority="323" stopIfTrue="1" operator="between">
      <formula>221101</formula>
      <formula>221118</formula>
    </cfRule>
    <cfRule type="cellIs" dxfId="360" priority="324" stopIfTrue="1" operator="between">
      <formula>221142</formula>
      <formula>221144</formula>
    </cfRule>
    <cfRule type="cellIs" dxfId="359" priority="325" stopIfTrue="1" operator="between">
      <formula>220001</formula>
      <formula>221144</formula>
    </cfRule>
  </conditionalFormatting>
  <conditionalFormatting sqref="AA13">
    <cfRule type="cellIs" dxfId="358" priority="320" stopIfTrue="1" operator="between">
      <formula>221101</formula>
      <formula>221118</formula>
    </cfRule>
    <cfRule type="cellIs" dxfId="357" priority="321" stopIfTrue="1" operator="between">
      <formula>221142</formula>
      <formula>221144</formula>
    </cfRule>
    <cfRule type="cellIs" dxfId="356" priority="322" stopIfTrue="1" operator="between">
      <formula>220001</formula>
      <formula>221144</formula>
    </cfRule>
  </conditionalFormatting>
  <conditionalFormatting sqref="Z13">
    <cfRule type="cellIs" dxfId="355" priority="317" stopIfTrue="1" operator="between">
      <formula>221101</formula>
      <formula>221118</formula>
    </cfRule>
    <cfRule type="cellIs" dxfId="354" priority="318" stopIfTrue="1" operator="between">
      <formula>221142</formula>
      <formula>221144</formula>
    </cfRule>
    <cfRule type="cellIs" dxfId="353" priority="319" stopIfTrue="1" operator="between">
      <formula>220001</formula>
      <formula>221144</formula>
    </cfRule>
  </conditionalFormatting>
  <conditionalFormatting sqref="AJ13">
    <cfRule type="cellIs" dxfId="352" priority="314" stopIfTrue="1" operator="between">
      <formula>221101</formula>
      <formula>221118</formula>
    </cfRule>
    <cfRule type="cellIs" dxfId="351" priority="315" stopIfTrue="1" operator="between">
      <formula>221142</formula>
      <formula>221144</formula>
    </cfRule>
    <cfRule type="cellIs" dxfId="350" priority="316" stopIfTrue="1" operator="between">
      <formula>220001</formula>
      <formula>221144</formula>
    </cfRule>
  </conditionalFormatting>
  <conditionalFormatting sqref="AK13">
    <cfRule type="cellIs" dxfId="349" priority="311" stopIfTrue="1" operator="between">
      <formula>221101</formula>
      <formula>221118</formula>
    </cfRule>
    <cfRule type="cellIs" dxfId="348" priority="312" stopIfTrue="1" operator="between">
      <formula>221142</formula>
      <formula>221144</formula>
    </cfRule>
    <cfRule type="cellIs" dxfId="347" priority="313" stopIfTrue="1" operator="between">
      <formula>220001</formula>
      <formula>221144</formula>
    </cfRule>
  </conditionalFormatting>
  <conditionalFormatting sqref="Z13">
    <cfRule type="cellIs" dxfId="346" priority="308" stopIfTrue="1" operator="between">
      <formula>221101</formula>
      <formula>221118</formula>
    </cfRule>
    <cfRule type="cellIs" dxfId="345" priority="309" stopIfTrue="1" operator="between">
      <formula>221142</formula>
      <formula>221144</formula>
    </cfRule>
    <cfRule type="cellIs" dxfId="344" priority="310" stopIfTrue="1" operator="between">
      <formula>220001</formula>
      <formula>221144</formula>
    </cfRule>
  </conditionalFormatting>
  <conditionalFormatting sqref="Y13">
    <cfRule type="cellIs" dxfId="343" priority="305" stopIfTrue="1" operator="between">
      <formula>221101</formula>
      <formula>221118</formula>
    </cfRule>
    <cfRule type="cellIs" dxfId="342" priority="306" stopIfTrue="1" operator="between">
      <formula>221142</formula>
      <formula>221144</formula>
    </cfRule>
    <cfRule type="cellIs" dxfId="341" priority="307" stopIfTrue="1" operator="between">
      <formula>220001</formula>
      <formula>221144</formula>
    </cfRule>
  </conditionalFormatting>
  <conditionalFormatting sqref="AI13">
    <cfRule type="cellIs" dxfId="340" priority="302" stopIfTrue="1" operator="between">
      <formula>221101</formula>
      <formula>221118</formula>
    </cfRule>
    <cfRule type="cellIs" dxfId="339" priority="303" stopIfTrue="1" operator="between">
      <formula>221142</formula>
      <formula>221144</formula>
    </cfRule>
    <cfRule type="cellIs" dxfId="338" priority="304" stopIfTrue="1" operator="between">
      <formula>220001</formula>
      <formula>221144</formula>
    </cfRule>
  </conditionalFormatting>
  <conditionalFormatting sqref="AJ13">
    <cfRule type="cellIs" dxfId="337" priority="299" stopIfTrue="1" operator="between">
      <formula>221101</formula>
      <formula>221118</formula>
    </cfRule>
    <cfRule type="cellIs" dxfId="336" priority="300" stopIfTrue="1" operator="between">
      <formula>221142</formula>
      <formula>221144</formula>
    </cfRule>
    <cfRule type="cellIs" dxfId="335" priority="301" stopIfTrue="1" operator="between">
      <formula>220001</formula>
      <formula>221144</formula>
    </cfRule>
  </conditionalFormatting>
  <conditionalFormatting sqref="AA13">
    <cfRule type="cellIs" dxfId="334" priority="296" stopIfTrue="1" operator="between">
      <formula>221101</formula>
      <formula>221118</formula>
    </cfRule>
    <cfRule type="cellIs" dxfId="333" priority="297" stopIfTrue="1" operator="between">
      <formula>221142</formula>
      <formula>221144</formula>
    </cfRule>
    <cfRule type="cellIs" dxfId="332" priority="298" stopIfTrue="1" operator="between">
      <formula>220001</formula>
      <formula>221144</formula>
    </cfRule>
  </conditionalFormatting>
  <conditionalFormatting sqref="Z13">
    <cfRule type="cellIs" dxfId="331" priority="293" stopIfTrue="1" operator="between">
      <formula>221101</formula>
      <formula>221118</formula>
    </cfRule>
    <cfRule type="cellIs" dxfId="330" priority="294" stopIfTrue="1" operator="between">
      <formula>221142</formula>
      <formula>221144</formula>
    </cfRule>
    <cfRule type="cellIs" dxfId="329" priority="295" stopIfTrue="1" operator="between">
      <formula>220001</formula>
      <formula>221144</formula>
    </cfRule>
  </conditionalFormatting>
  <conditionalFormatting sqref="AJ13">
    <cfRule type="cellIs" dxfId="328" priority="290" stopIfTrue="1" operator="between">
      <formula>221101</formula>
      <formula>221118</formula>
    </cfRule>
    <cfRule type="cellIs" dxfId="327" priority="291" stopIfTrue="1" operator="between">
      <formula>221142</formula>
      <formula>221144</formula>
    </cfRule>
    <cfRule type="cellIs" dxfId="326" priority="292" stopIfTrue="1" operator="between">
      <formula>220001</formula>
      <formula>221144</formula>
    </cfRule>
  </conditionalFormatting>
  <conditionalFormatting sqref="AK13">
    <cfRule type="cellIs" dxfId="325" priority="287" stopIfTrue="1" operator="between">
      <formula>221101</formula>
      <formula>221118</formula>
    </cfRule>
    <cfRule type="cellIs" dxfId="324" priority="288" stopIfTrue="1" operator="between">
      <formula>221142</formula>
      <formula>221144</formula>
    </cfRule>
    <cfRule type="cellIs" dxfId="323" priority="289" stopIfTrue="1" operator="between">
      <formula>220001</formula>
      <formula>221144</formula>
    </cfRule>
  </conditionalFormatting>
  <conditionalFormatting sqref="Z13">
    <cfRule type="cellIs" dxfId="322" priority="284" stopIfTrue="1" operator="between">
      <formula>221101</formula>
      <formula>221118</formula>
    </cfRule>
    <cfRule type="cellIs" dxfId="321" priority="285" stopIfTrue="1" operator="between">
      <formula>221142</formula>
      <formula>221144</formula>
    </cfRule>
    <cfRule type="cellIs" dxfId="320" priority="286" stopIfTrue="1" operator="between">
      <formula>220001</formula>
      <formula>221144</formula>
    </cfRule>
  </conditionalFormatting>
  <conditionalFormatting sqref="Y13">
    <cfRule type="cellIs" dxfId="319" priority="281" stopIfTrue="1" operator="between">
      <formula>221101</formula>
      <formula>221118</formula>
    </cfRule>
    <cfRule type="cellIs" dxfId="318" priority="282" stopIfTrue="1" operator="between">
      <formula>221142</formula>
      <formula>221144</formula>
    </cfRule>
    <cfRule type="cellIs" dxfId="317" priority="283" stopIfTrue="1" operator="between">
      <formula>220001</formula>
      <formula>221144</formula>
    </cfRule>
  </conditionalFormatting>
  <conditionalFormatting sqref="AI13">
    <cfRule type="cellIs" dxfId="316" priority="278" stopIfTrue="1" operator="between">
      <formula>221101</formula>
      <formula>221118</formula>
    </cfRule>
    <cfRule type="cellIs" dxfId="315" priority="279" stopIfTrue="1" operator="between">
      <formula>221142</formula>
      <formula>221144</formula>
    </cfRule>
    <cfRule type="cellIs" dxfId="314" priority="280" stopIfTrue="1" operator="between">
      <formula>220001</formula>
      <formula>221144</formula>
    </cfRule>
  </conditionalFormatting>
  <conditionalFormatting sqref="AJ13">
    <cfRule type="cellIs" dxfId="313" priority="275" stopIfTrue="1" operator="between">
      <formula>221101</formula>
      <formula>221118</formula>
    </cfRule>
    <cfRule type="cellIs" dxfId="312" priority="276" stopIfTrue="1" operator="between">
      <formula>221142</formula>
      <formula>221144</formula>
    </cfRule>
    <cfRule type="cellIs" dxfId="311" priority="277" stopIfTrue="1" operator="between">
      <formula>220001</formula>
      <formula>221144</formula>
    </cfRule>
  </conditionalFormatting>
  <conditionalFormatting sqref="Z13">
    <cfRule type="cellIs" dxfId="310" priority="272" stopIfTrue="1" operator="between">
      <formula>221101</formula>
      <formula>221118</formula>
    </cfRule>
    <cfRule type="cellIs" dxfId="309" priority="273" stopIfTrue="1" operator="between">
      <formula>221142</formula>
      <formula>221144</formula>
    </cfRule>
    <cfRule type="cellIs" dxfId="308" priority="274" stopIfTrue="1" operator="between">
      <formula>220001</formula>
      <formula>221144</formula>
    </cfRule>
  </conditionalFormatting>
  <conditionalFormatting sqref="Y13">
    <cfRule type="cellIs" dxfId="307" priority="269" stopIfTrue="1" operator="between">
      <formula>221101</formula>
      <formula>221118</formula>
    </cfRule>
    <cfRule type="cellIs" dxfId="306" priority="270" stopIfTrue="1" operator="between">
      <formula>221142</formula>
      <formula>221144</formula>
    </cfRule>
    <cfRule type="cellIs" dxfId="305" priority="271" stopIfTrue="1" operator="between">
      <formula>220001</formula>
      <formula>221144</formula>
    </cfRule>
  </conditionalFormatting>
  <conditionalFormatting sqref="AI13">
    <cfRule type="cellIs" dxfId="304" priority="266" stopIfTrue="1" operator="between">
      <formula>221101</formula>
      <formula>221118</formula>
    </cfRule>
    <cfRule type="cellIs" dxfId="303" priority="267" stopIfTrue="1" operator="between">
      <formula>221142</formula>
      <formula>221144</formula>
    </cfRule>
    <cfRule type="cellIs" dxfId="302" priority="268" stopIfTrue="1" operator="between">
      <formula>220001</formula>
      <formula>221144</formula>
    </cfRule>
  </conditionalFormatting>
  <conditionalFormatting sqref="AJ13">
    <cfRule type="cellIs" dxfId="301" priority="263" stopIfTrue="1" operator="between">
      <formula>221101</formula>
      <formula>221118</formula>
    </cfRule>
    <cfRule type="cellIs" dxfId="300" priority="264" stopIfTrue="1" operator="between">
      <formula>221142</formula>
      <formula>221144</formula>
    </cfRule>
    <cfRule type="cellIs" dxfId="299" priority="265" stopIfTrue="1" operator="between">
      <formula>220001</formula>
      <formula>221144</formula>
    </cfRule>
  </conditionalFormatting>
  <conditionalFormatting sqref="Y13">
    <cfRule type="cellIs" dxfId="298" priority="260" stopIfTrue="1" operator="between">
      <formula>221101</formula>
      <formula>221118</formula>
    </cfRule>
    <cfRule type="cellIs" dxfId="297" priority="261" stopIfTrue="1" operator="between">
      <formula>221142</formula>
      <formula>221144</formula>
    </cfRule>
    <cfRule type="cellIs" dxfId="296" priority="262" stopIfTrue="1" operator="between">
      <formula>220001</formula>
      <formula>221144</formula>
    </cfRule>
  </conditionalFormatting>
  <conditionalFormatting sqref="X13">
    <cfRule type="cellIs" dxfId="295" priority="257" stopIfTrue="1" operator="between">
      <formula>221101</formula>
      <formula>221118</formula>
    </cfRule>
    <cfRule type="cellIs" dxfId="294" priority="258" stopIfTrue="1" operator="between">
      <formula>221142</formula>
      <formula>221144</formula>
    </cfRule>
    <cfRule type="cellIs" dxfId="293" priority="259" stopIfTrue="1" operator="between">
      <formula>220001</formula>
      <formula>221144</formula>
    </cfRule>
  </conditionalFormatting>
  <conditionalFormatting sqref="AH13">
    <cfRule type="cellIs" dxfId="292" priority="254" stopIfTrue="1" operator="between">
      <formula>221101</formula>
      <formula>221118</formula>
    </cfRule>
    <cfRule type="cellIs" dxfId="291" priority="255" stopIfTrue="1" operator="between">
      <formula>221142</formula>
      <formula>221144</formula>
    </cfRule>
    <cfRule type="cellIs" dxfId="290" priority="256" stopIfTrue="1" operator="between">
      <formula>220001</formula>
      <formula>221144</formula>
    </cfRule>
  </conditionalFormatting>
  <conditionalFormatting sqref="AI13">
    <cfRule type="cellIs" dxfId="289" priority="251" stopIfTrue="1" operator="between">
      <formula>221101</formula>
      <formula>221118</formula>
    </cfRule>
    <cfRule type="cellIs" dxfId="288" priority="252" stopIfTrue="1" operator="between">
      <formula>221142</formula>
      <formula>221144</formula>
    </cfRule>
    <cfRule type="cellIs" dxfId="287" priority="253" stopIfTrue="1" operator="between">
      <formula>220001</formula>
      <formula>221144</formula>
    </cfRule>
  </conditionalFormatting>
  <conditionalFormatting sqref="AA13">
    <cfRule type="cellIs" dxfId="286" priority="248" stopIfTrue="1" operator="between">
      <formula>221101</formula>
      <formula>221118</formula>
    </cfRule>
    <cfRule type="cellIs" dxfId="285" priority="249" stopIfTrue="1" operator="between">
      <formula>221142</formula>
      <formula>221144</formula>
    </cfRule>
    <cfRule type="cellIs" dxfId="284" priority="250" stopIfTrue="1" operator="between">
      <formula>220001</formula>
      <formula>221144</formula>
    </cfRule>
  </conditionalFormatting>
  <conditionalFormatting sqref="Z13">
    <cfRule type="cellIs" dxfId="283" priority="245" stopIfTrue="1" operator="between">
      <formula>221101</formula>
      <formula>221118</formula>
    </cfRule>
    <cfRule type="cellIs" dxfId="282" priority="246" stopIfTrue="1" operator="between">
      <formula>221142</formula>
      <formula>221144</formula>
    </cfRule>
    <cfRule type="cellIs" dxfId="281" priority="247" stopIfTrue="1" operator="between">
      <formula>220001</formula>
      <formula>221144</formula>
    </cfRule>
  </conditionalFormatting>
  <conditionalFormatting sqref="AJ13">
    <cfRule type="cellIs" dxfId="280" priority="242" stopIfTrue="1" operator="between">
      <formula>221101</formula>
      <formula>221118</formula>
    </cfRule>
    <cfRule type="cellIs" dxfId="279" priority="243" stopIfTrue="1" operator="between">
      <formula>221142</formula>
      <formula>221144</formula>
    </cfRule>
    <cfRule type="cellIs" dxfId="278" priority="244" stopIfTrue="1" operator="between">
      <formula>220001</formula>
      <formula>221144</formula>
    </cfRule>
  </conditionalFormatting>
  <conditionalFormatting sqref="AK13">
    <cfRule type="cellIs" dxfId="277" priority="239" stopIfTrue="1" operator="between">
      <formula>221101</formula>
      <formula>221118</formula>
    </cfRule>
    <cfRule type="cellIs" dxfId="276" priority="240" stopIfTrue="1" operator="between">
      <formula>221142</formula>
      <formula>221144</formula>
    </cfRule>
    <cfRule type="cellIs" dxfId="275" priority="241" stopIfTrue="1" operator="between">
      <formula>220001</formula>
      <formula>221144</formula>
    </cfRule>
  </conditionalFormatting>
  <conditionalFormatting sqref="Z13">
    <cfRule type="cellIs" dxfId="274" priority="236" stopIfTrue="1" operator="between">
      <formula>221101</formula>
      <formula>221118</formula>
    </cfRule>
    <cfRule type="cellIs" dxfId="273" priority="237" stopIfTrue="1" operator="between">
      <formula>221142</formula>
      <formula>221144</formula>
    </cfRule>
    <cfRule type="cellIs" dxfId="272" priority="238" stopIfTrue="1" operator="between">
      <formula>220001</formula>
      <formula>221144</formula>
    </cfRule>
  </conditionalFormatting>
  <conditionalFormatting sqref="Y13">
    <cfRule type="cellIs" dxfId="271" priority="233" stopIfTrue="1" operator="between">
      <formula>221101</formula>
      <formula>221118</formula>
    </cfRule>
    <cfRule type="cellIs" dxfId="270" priority="234" stopIfTrue="1" operator="between">
      <formula>221142</formula>
      <formula>221144</formula>
    </cfRule>
    <cfRule type="cellIs" dxfId="269" priority="235" stopIfTrue="1" operator="between">
      <formula>220001</formula>
      <formula>221144</formula>
    </cfRule>
  </conditionalFormatting>
  <conditionalFormatting sqref="AI13">
    <cfRule type="cellIs" dxfId="268" priority="230" stopIfTrue="1" operator="between">
      <formula>221101</formula>
      <formula>221118</formula>
    </cfRule>
    <cfRule type="cellIs" dxfId="267" priority="231" stopIfTrue="1" operator="between">
      <formula>221142</formula>
      <formula>221144</formula>
    </cfRule>
    <cfRule type="cellIs" dxfId="266" priority="232" stopIfTrue="1" operator="between">
      <formula>220001</formula>
      <formula>221144</formula>
    </cfRule>
  </conditionalFormatting>
  <conditionalFormatting sqref="AJ13">
    <cfRule type="cellIs" dxfId="265" priority="227" stopIfTrue="1" operator="between">
      <formula>221101</formula>
      <formula>221118</formula>
    </cfRule>
    <cfRule type="cellIs" dxfId="264" priority="228" stopIfTrue="1" operator="between">
      <formula>221142</formula>
      <formula>221144</formula>
    </cfRule>
    <cfRule type="cellIs" dxfId="263" priority="229" stopIfTrue="1" operator="between">
      <formula>220001</formula>
      <formula>221144</formula>
    </cfRule>
  </conditionalFormatting>
  <conditionalFormatting sqref="Z13">
    <cfRule type="cellIs" dxfId="262" priority="224" stopIfTrue="1" operator="between">
      <formula>221101</formula>
      <formula>221118</formula>
    </cfRule>
    <cfRule type="cellIs" dxfId="261" priority="225" stopIfTrue="1" operator="between">
      <formula>221142</formula>
      <formula>221144</formula>
    </cfRule>
    <cfRule type="cellIs" dxfId="260" priority="226" stopIfTrue="1" operator="between">
      <formula>220001</formula>
      <formula>221144</formula>
    </cfRule>
  </conditionalFormatting>
  <conditionalFormatting sqref="Y13">
    <cfRule type="cellIs" dxfId="259" priority="221" stopIfTrue="1" operator="between">
      <formula>221101</formula>
      <formula>221118</formula>
    </cfRule>
    <cfRule type="cellIs" dxfId="258" priority="222" stopIfTrue="1" operator="between">
      <formula>221142</formula>
      <formula>221144</formula>
    </cfRule>
    <cfRule type="cellIs" dxfId="257" priority="223" stopIfTrue="1" operator="between">
      <formula>220001</formula>
      <formula>221144</formula>
    </cfRule>
  </conditionalFormatting>
  <conditionalFormatting sqref="AI13">
    <cfRule type="cellIs" dxfId="256" priority="218" stopIfTrue="1" operator="between">
      <formula>221101</formula>
      <formula>221118</formula>
    </cfRule>
    <cfRule type="cellIs" dxfId="255" priority="219" stopIfTrue="1" operator="between">
      <formula>221142</formula>
      <formula>221144</formula>
    </cfRule>
    <cfRule type="cellIs" dxfId="254" priority="220" stopIfTrue="1" operator="between">
      <formula>220001</formula>
      <formula>221144</formula>
    </cfRule>
  </conditionalFormatting>
  <conditionalFormatting sqref="AJ13">
    <cfRule type="cellIs" dxfId="253" priority="215" stopIfTrue="1" operator="between">
      <formula>221101</formula>
      <formula>221118</formula>
    </cfRule>
    <cfRule type="cellIs" dxfId="252" priority="216" stopIfTrue="1" operator="between">
      <formula>221142</formula>
      <formula>221144</formula>
    </cfRule>
    <cfRule type="cellIs" dxfId="251" priority="217" stopIfTrue="1" operator="between">
      <formula>220001</formula>
      <formula>221144</formula>
    </cfRule>
  </conditionalFormatting>
  <conditionalFormatting sqref="Y13">
    <cfRule type="cellIs" dxfId="250" priority="212" stopIfTrue="1" operator="between">
      <formula>221101</formula>
      <formula>221118</formula>
    </cfRule>
    <cfRule type="cellIs" dxfId="249" priority="213" stopIfTrue="1" operator="between">
      <formula>221142</formula>
      <formula>221144</formula>
    </cfRule>
    <cfRule type="cellIs" dxfId="248" priority="214" stopIfTrue="1" operator="between">
      <formula>220001</formula>
      <formula>221144</formula>
    </cfRule>
  </conditionalFormatting>
  <conditionalFormatting sqref="X13">
    <cfRule type="cellIs" dxfId="247" priority="209" stopIfTrue="1" operator="between">
      <formula>221101</formula>
      <formula>221118</formula>
    </cfRule>
    <cfRule type="cellIs" dxfId="246" priority="210" stopIfTrue="1" operator="between">
      <formula>221142</formula>
      <formula>221144</formula>
    </cfRule>
    <cfRule type="cellIs" dxfId="245" priority="211" stopIfTrue="1" operator="between">
      <formula>220001</formula>
      <formula>221144</formula>
    </cfRule>
  </conditionalFormatting>
  <conditionalFormatting sqref="AH13">
    <cfRule type="cellIs" dxfId="244" priority="206" stopIfTrue="1" operator="between">
      <formula>221101</formula>
      <formula>221118</formula>
    </cfRule>
    <cfRule type="cellIs" dxfId="243" priority="207" stopIfTrue="1" operator="between">
      <formula>221142</formula>
      <formula>221144</formula>
    </cfRule>
    <cfRule type="cellIs" dxfId="242" priority="208" stopIfTrue="1" operator="between">
      <formula>220001</formula>
      <formula>221144</formula>
    </cfRule>
  </conditionalFormatting>
  <conditionalFormatting sqref="AI13">
    <cfRule type="cellIs" dxfId="241" priority="203" stopIfTrue="1" operator="between">
      <formula>221101</formula>
      <formula>221118</formula>
    </cfRule>
    <cfRule type="cellIs" dxfId="240" priority="204" stopIfTrue="1" operator="between">
      <formula>221142</formula>
      <formula>221144</formula>
    </cfRule>
    <cfRule type="cellIs" dxfId="239" priority="205" stopIfTrue="1" operator="between">
      <formula>220001</formula>
      <formula>221144</formula>
    </cfRule>
  </conditionalFormatting>
  <conditionalFormatting sqref="Z13">
    <cfRule type="cellIs" dxfId="238" priority="200" stopIfTrue="1" operator="between">
      <formula>221101</formula>
      <formula>221118</formula>
    </cfRule>
    <cfRule type="cellIs" dxfId="237" priority="201" stopIfTrue="1" operator="between">
      <formula>221142</formula>
      <formula>221144</formula>
    </cfRule>
    <cfRule type="cellIs" dxfId="236" priority="202" stopIfTrue="1" operator="between">
      <formula>220001</formula>
      <formula>221144</formula>
    </cfRule>
  </conditionalFormatting>
  <conditionalFormatting sqref="Y13">
    <cfRule type="cellIs" dxfId="235" priority="197" stopIfTrue="1" operator="between">
      <formula>221101</formula>
      <formula>221118</formula>
    </cfRule>
    <cfRule type="cellIs" dxfId="234" priority="198" stopIfTrue="1" operator="between">
      <formula>221142</formula>
      <formula>221144</formula>
    </cfRule>
    <cfRule type="cellIs" dxfId="233" priority="199" stopIfTrue="1" operator="between">
      <formula>220001</formula>
      <formula>221144</formula>
    </cfRule>
  </conditionalFormatting>
  <conditionalFormatting sqref="AI13">
    <cfRule type="cellIs" dxfId="232" priority="194" stopIfTrue="1" operator="between">
      <formula>221101</formula>
      <formula>221118</formula>
    </cfRule>
    <cfRule type="cellIs" dxfId="231" priority="195" stopIfTrue="1" operator="between">
      <formula>221142</formula>
      <formula>221144</formula>
    </cfRule>
    <cfRule type="cellIs" dxfId="230" priority="196" stopIfTrue="1" operator="between">
      <formula>220001</formula>
      <formula>221144</formula>
    </cfRule>
  </conditionalFormatting>
  <conditionalFormatting sqref="AJ13">
    <cfRule type="cellIs" dxfId="229" priority="191" stopIfTrue="1" operator="between">
      <formula>221101</formula>
      <formula>221118</formula>
    </cfRule>
    <cfRule type="cellIs" dxfId="228" priority="192" stopIfTrue="1" operator="between">
      <formula>221142</formula>
      <formula>221144</formula>
    </cfRule>
    <cfRule type="cellIs" dxfId="227" priority="193" stopIfTrue="1" operator="between">
      <formula>220001</formula>
      <formula>221144</formula>
    </cfRule>
  </conditionalFormatting>
  <conditionalFormatting sqref="Y13">
    <cfRule type="cellIs" dxfId="226" priority="188" stopIfTrue="1" operator="between">
      <formula>221101</formula>
      <formula>221118</formula>
    </cfRule>
    <cfRule type="cellIs" dxfId="225" priority="189" stopIfTrue="1" operator="between">
      <formula>221142</formula>
      <formula>221144</formula>
    </cfRule>
    <cfRule type="cellIs" dxfId="224" priority="190" stopIfTrue="1" operator="between">
      <formula>220001</formula>
      <formula>221144</formula>
    </cfRule>
  </conditionalFormatting>
  <conditionalFormatting sqref="X13">
    <cfRule type="cellIs" dxfId="223" priority="185" stopIfTrue="1" operator="between">
      <formula>221101</formula>
      <formula>221118</formula>
    </cfRule>
    <cfRule type="cellIs" dxfId="222" priority="186" stopIfTrue="1" operator="between">
      <formula>221142</formula>
      <formula>221144</formula>
    </cfRule>
    <cfRule type="cellIs" dxfId="221" priority="187" stopIfTrue="1" operator="between">
      <formula>220001</formula>
      <formula>221144</formula>
    </cfRule>
  </conditionalFormatting>
  <conditionalFormatting sqref="AH13">
    <cfRule type="cellIs" dxfId="220" priority="182" stopIfTrue="1" operator="between">
      <formula>221101</formula>
      <formula>221118</formula>
    </cfRule>
    <cfRule type="cellIs" dxfId="219" priority="183" stopIfTrue="1" operator="between">
      <formula>221142</formula>
      <formula>221144</formula>
    </cfRule>
    <cfRule type="cellIs" dxfId="218" priority="184" stopIfTrue="1" operator="between">
      <formula>220001</formula>
      <formula>221144</formula>
    </cfRule>
  </conditionalFormatting>
  <conditionalFormatting sqref="AI13">
    <cfRule type="cellIs" dxfId="217" priority="179" stopIfTrue="1" operator="between">
      <formula>221101</formula>
      <formula>221118</formula>
    </cfRule>
    <cfRule type="cellIs" dxfId="216" priority="180" stopIfTrue="1" operator="between">
      <formula>221142</formula>
      <formula>221144</formula>
    </cfRule>
    <cfRule type="cellIs" dxfId="215" priority="181" stopIfTrue="1" operator="between">
      <formula>220001</formula>
      <formula>221144</formula>
    </cfRule>
  </conditionalFormatting>
  <conditionalFormatting sqref="Y13">
    <cfRule type="cellIs" dxfId="214" priority="176" stopIfTrue="1" operator="between">
      <formula>221101</formula>
      <formula>221118</formula>
    </cfRule>
    <cfRule type="cellIs" dxfId="213" priority="177" stopIfTrue="1" operator="between">
      <formula>221142</formula>
      <formula>221144</formula>
    </cfRule>
    <cfRule type="cellIs" dxfId="212" priority="178" stopIfTrue="1" operator="between">
      <formula>220001</formula>
      <formula>221144</formula>
    </cfRule>
  </conditionalFormatting>
  <conditionalFormatting sqref="X13">
    <cfRule type="cellIs" dxfId="211" priority="173" stopIfTrue="1" operator="between">
      <formula>221101</formula>
      <formula>221118</formula>
    </cfRule>
    <cfRule type="cellIs" dxfId="210" priority="174" stopIfTrue="1" operator="between">
      <formula>221142</formula>
      <formula>221144</formula>
    </cfRule>
    <cfRule type="cellIs" dxfId="209" priority="175" stopIfTrue="1" operator="between">
      <formula>220001</formula>
      <formula>221144</formula>
    </cfRule>
  </conditionalFormatting>
  <conditionalFormatting sqref="AH13">
    <cfRule type="cellIs" dxfId="208" priority="170" stopIfTrue="1" operator="between">
      <formula>221101</formula>
      <formula>221118</formula>
    </cfRule>
    <cfRule type="cellIs" dxfId="207" priority="171" stopIfTrue="1" operator="between">
      <formula>221142</formula>
      <formula>221144</formula>
    </cfRule>
    <cfRule type="cellIs" dxfId="206" priority="172" stopIfTrue="1" operator="between">
      <formula>220001</formula>
      <formula>221144</formula>
    </cfRule>
  </conditionalFormatting>
  <conditionalFormatting sqref="AI13">
    <cfRule type="cellIs" dxfId="205" priority="167" stopIfTrue="1" operator="between">
      <formula>221101</formula>
      <formula>221118</formula>
    </cfRule>
    <cfRule type="cellIs" dxfId="204" priority="168" stopIfTrue="1" operator="between">
      <formula>221142</formula>
      <formula>221144</formula>
    </cfRule>
    <cfRule type="cellIs" dxfId="203" priority="169" stopIfTrue="1" operator="between">
      <formula>220001</formula>
      <formula>221144</formula>
    </cfRule>
  </conditionalFormatting>
  <conditionalFormatting sqref="X13">
    <cfRule type="cellIs" dxfId="202" priority="164" stopIfTrue="1" operator="between">
      <formula>221101</formula>
      <formula>221118</formula>
    </cfRule>
    <cfRule type="cellIs" dxfId="201" priority="165" stopIfTrue="1" operator="between">
      <formula>221142</formula>
      <formula>221144</formula>
    </cfRule>
    <cfRule type="cellIs" dxfId="200" priority="166" stopIfTrue="1" operator="between">
      <formula>220001</formula>
      <formula>221144</formula>
    </cfRule>
  </conditionalFormatting>
  <conditionalFormatting sqref="W13">
    <cfRule type="cellIs" dxfId="199" priority="161" stopIfTrue="1" operator="between">
      <formula>221101</formula>
      <formula>221118</formula>
    </cfRule>
    <cfRule type="cellIs" dxfId="198" priority="162" stopIfTrue="1" operator="between">
      <formula>221142</formula>
      <formula>221144</formula>
    </cfRule>
    <cfRule type="cellIs" dxfId="197" priority="163" stopIfTrue="1" operator="between">
      <formula>220001</formula>
      <formula>221144</formula>
    </cfRule>
  </conditionalFormatting>
  <conditionalFormatting sqref="AG13">
    <cfRule type="cellIs" dxfId="196" priority="158" stopIfTrue="1" operator="between">
      <formula>221101</formula>
      <formula>221118</formula>
    </cfRule>
    <cfRule type="cellIs" dxfId="195" priority="159" stopIfTrue="1" operator="between">
      <formula>221142</formula>
      <formula>221144</formula>
    </cfRule>
    <cfRule type="cellIs" dxfId="194" priority="160" stopIfTrue="1" operator="between">
      <formula>220001</formula>
      <formula>221144</formula>
    </cfRule>
  </conditionalFormatting>
  <conditionalFormatting sqref="AH13">
    <cfRule type="cellIs" dxfId="193" priority="155" stopIfTrue="1" operator="between">
      <formula>221101</formula>
      <formula>221118</formula>
    </cfRule>
    <cfRule type="cellIs" dxfId="192" priority="156" stopIfTrue="1" operator="between">
      <formula>221142</formula>
      <formula>221144</formula>
    </cfRule>
    <cfRule type="cellIs" dxfId="191" priority="157" stopIfTrue="1" operator="between">
      <formula>220001</formula>
      <formula>221144</formula>
    </cfRule>
  </conditionalFormatting>
  <conditionalFormatting sqref="E17">
    <cfRule type="cellIs" dxfId="190" priority="154" stopIfTrue="1" operator="lessThan">
      <formula>1200</formula>
    </cfRule>
  </conditionalFormatting>
  <conditionalFormatting sqref="F17">
    <cfRule type="cellIs" dxfId="189" priority="153" stopIfTrue="1" operator="lessThan">
      <formula>1200</formula>
    </cfRule>
  </conditionalFormatting>
  <conditionalFormatting sqref="G17">
    <cfRule type="cellIs" dxfId="188" priority="152" stopIfTrue="1" operator="lessThan">
      <formula>1200</formula>
    </cfRule>
  </conditionalFormatting>
  <conditionalFormatting sqref="E9">
    <cfRule type="cellIs" dxfId="187" priority="151" stopIfTrue="1" operator="lessThan">
      <formula>0</formula>
    </cfRule>
  </conditionalFormatting>
  <conditionalFormatting sqref="E9">
    <cfRule type="cellIs" dxfId="186" priority="150" stopIfTrue="1" operator="lessThan">
      <formula>1200</formula>
    </cfRule>
  </conditionalFormatting>
  <conditionalFormatting sqref="F9">
    <cfRule type="cellIs" dxfId="185" priority="149" stopIfTrue="1" operator="lessThan">
      <formula>0</formula>
    </cfRule>
  </conditionalFormatting>
  <conditionalFormatting sqref="F9">
    <cfRule type="cellIs" dxfId="184" priority="148" stopIfTrue="1" operator="lessThan">
      <formula>1200</formula>
    </cfRule>
  </conditionalFormatting>
  <conditionalFormatting sqref="G9">
    <cfRule type="cellIs" dxfId="183" priority="147" stopIfTrue="1" operator="lessThan">
      <formula>0</formula>
    </cfRule>
  </conditionalFormatting>
  <conditionalFormatting sqref="G9">
    <cfRule type="cellIs" dxfId="182" priority="146" stopIfTrue="1" operator="lessThan">
      <formula>1200</formula>
    </cfRule>
  </conditionalFormatting>
  <conditionalFormatting sqref="E25">
    <cfRule type="cellIs" dxfId="181" priority="145" stopIfTrue="1" operator="lessThan">
      <formula>0</formula>
    </cfRule>
  </conditionalFormatting>
  <conditionalFormatting sqref="E25">
    <cfRule type="cellIs" dxfId="180" priority="144" stopIfTrue="1" operator="lessThan">
      <formula>1200</formula>
    </cfRule>
  </conditionalFormatting>
  <conditionalFormatting sqref="AO21">
    <cfRule type="cellIs" dxfId="179" priority="141" stopIfTrue="1" operator="between">
      <formula>221101</formula>
      <formula>221118</formula>
    </cfRule>
    <cfRule type="cellIs" dxfId="178" priority="142" stopIfTrue="1" operator="between">
      <formula>221142</formula>
      <formula>221144</formula>
    </cfRule>
    <cfRule type="cellIs" dxfId="177" priority="143" stopIfTrue="1" operator="between">
      <formula>220001</formula>
      <formula>221144</formula>
    </cfRule>
  </conditionalFormatting>
  <conditionalFormatting sqref="AO21">
    <cfRule type="cellIs" dxfId="176" priority="138" stopIfTrue="1" operator="between">
      <formula>221101</formula>
      <formula>221118</formula>
    </cfRule>
    <cfRule type="cellIs" dxfId="175" priority="139" stopIfTrue="1" operator="between">
      <formula>221142</formula>
      <formula>221144</formula>
    </cfRule>
    <cfRule type="cellIs" dxfId="174" priority="140" stopIfTrue="1" operator="between">
      <formula>220001</formula>
      <formula>221144</formula>
    </cfRule>
  </conditionalFormatting>
  <conditionalFormatting sqref="AO21">
    <cfRule type="cellIs" dxfId="173" priority="135" stopIfTrue="1" operator="between">
      <formula>221101</formula>
      <formula>221118</formula>
    </cfRule>
    <cfRule type="cellIs" dxfId="172" priority="136" stopIfTrue="1" operator="between">
      <formula>221142</formula>
      <formula>221144</formula>
    </cfRule>
    <cfRule type="cellIs" dxfId="171" priority="137" stopIfTrue="1" operator="between">
      <formula>220001</formula>
      <formula>221144</formula>
    </cfRule>
  </conditionalFormatting>
  <conditionalFormatting sqref="AO21">
    <cfRule type="cellIs" dxfId="170" priority="132" stopIfTrue="1" operator="between">
      <formula>221101</formula>
      <formula>221118</formula>
    </cfRule>
    <cfRule type="cellIs" dxfId="169" priority="133" stopIfTrue="1" operator="between">
      <formula>221142</formula>
      <formula>221144</formula>
    </cfRule>
    <cfRule type="cellIs" dxfId="168" priority="134" stopIfTrue="1" operator="between">
      <formula>220001</formula>
      <formula>221144</formula>
    </cfRule>
  </conditionalFormatting>
  <conditionalFormatting sqref="AO21">
    <cfRule type="cellIs" dxfId="167" priority="129" stopIfTrue="1" operator="between">
      <formula>221101</formula>
      <formula>221118</formula>
    </cfRule>
    <cfRule type="cellIs" dxfId="166" priority="130" stopIfTrue="1" operator="between">
      <formula>221142</formula>
      <formula>221144</formula>
    </cfRule>
    <cfRule type="cellIs" dxfId="165" priority="131" stopIfTrue="1" operator="between">
      <formula>220001</formula>
      <formula>221144</formula>
    </cfRule>
  </conditionalFormatting>
  <conditionalFormatting sqref="AO21">
    <cfRule type="cellIs" dxfId="164" priority="126" stopIfTrue="1" operator="between">
      <formula>221101</formula>
      <formula>221118</formula>
    </cfRule>
    <cfRule type="cellIs" dxfId="163" priority="127" stopIfTrue="1" operator="between">
      <formula>221142</formula>
      <formula>221144</formula>
    </cfRule>
    <cfRule type="cellIs" dxfId="162" priority="128" stopIfTrue="1" operator="between">
      <formula>220001</formula>
      <formula>221144</formula>
    </cfRule>
  </conditionalFormatting>
  <conditionalFormatting sqref="AO21">
    <cfRule type="cellIs" dxfId="161" priority="123" stopIfTrue="1" operator="between">
      <formula>221101</formula>
      <formula>221118</formula>
    </cfRule>
    <cfRule type="cellIs" dxfId="160" priority="124" stopIfTrue="1" operator="between">
      <formula>221142</formula>
      <formula>221144</formula>
    </cfRule>
    <cfRule type="cellIs" dxfId="159" priority="125" stopIfTrue="1" operator="between">
      <formula>220001</formula>
      <formula>221144</formula>
    </cfRule>
  </conditionalFormatting>
  <conditionalFormatting sqref="AO21">
    <cfRule type="cellIs" dxfId="158" priority="120" stopIfTrue="1" operator="between">
      <formula>221101</formula>
      <formula>221118</formula>
    </cfRule>
    <cfRule type="cellIs" dxfId="157" priority="121" stopIfTrue="1" operator="between">
      <formula>221142</formula>
      <formula>221144</formula>
    </cfRule>
    <cfRule type="cellIs" dxfId="156" priority="122" stopIfTrue="1" operator="between">
      <formula>220001</formula>
      <formula>221144</formula>
    </cfRule>
  </conditionalFormatting>
  <conditionalFormatting sqref="AO21">
    <cfRule type="cellIs" dxfId="155" priority="117" stopIfTrue="1" operator="between">
      <formula>221101</formula>
      <formula>221118</formula>
    </cfRule>
    <cfRule type="cellIs" dxfId="154" priority="118" stopIfTrue="1" operator="between">
      <formula>221142</formula>
      <formula>221144</formula>
    </cfRule>
    <cfRule type="cellIs" dxfId="153" priority="119" stopIfTrue="1" operator="between">
      <formula>220001</formula>
      <formula>221144</formula>
    </cfRule>
  </conditionalFormatting>
  <conditionalFormatting sqref="AO21">
    <cfRule type="cellIs" dxfId="152" priority="114" stopIfTrue="1" operator="between">
      <formula>221101</formula>
      <formula>221118</formula>
    </cfRule>
    <cfRule type="cellIs" dxfId="151" priority="115" stopIfTrue="1" operator="between">
      <formula>221142</formula>
      <formula>221144</formula>
    </cfRule>
    <cfRule type="cellIs" dxfId="150" priority="116" stopIfTrue="1" operator="between">
      <formula>220001</formula>
      <formula>221144</formula>
    </cfRule>
  </conditionalFormatting>
  <conditionalFormatting sqref="AO21">
    <cfRule type="cellIs" dxfId="149" priority="111" stopIfTrue="1" operator="between">
      <formula>221101</formula>
      <formula>221118</formula>
    </cfRule>
    <cfRule type="cellIs" dxfId="148" priority="112" stopIfTrue="1" operator="between">
      <formula>221142</formula>
      <formula>221144</formula>
    </cfRule>
    <cfRule type="cellIs" dxfId="147" priority="113" stopIfTrue="1" operator="between">
      <formula>220001</formula>
      <formula>221144</formula>
    </cfRule>
  </conditionalFormatting>
  <conditionalFormatting sqref="AO21">
    <cfRule type="cellIs" dxfId="146" priority="108" stopIfTrue="1" operator="between">
      <formula>221101</formula>
      <formula>221118</formula>
    </cfRule>
    <cfRule type="cellIs" dxfId="145" priority="109" stopIfTrue="1" operator="between">
      <formula>221142</formula>
      <formula>221144</formula>
    </cfRule>
    <cfRule type="cellIs" dxfId="144" priority="110" stopIfTrue="1" operator="between">
      <formula>220001</formula>
      <formula>221144</formula>
    </cfRule>
  </conditionalFormatting>
  <conditionalFormatting sqref="AO21">
    <cfRule type="cellIs" dxfId="143" priority="105" stopIfTrue="1" operator="between">
      <formula>221101</formula>
      <formula>221118</formula>
    </cfRule>
    <cfRule type="cellIs" dxfId="142" priority="106" stopIfTrue="1" operator="between">
      <formula>221142</formula>
      <formula>221144</formula>
    </cfRule>
    <cfRule type="cellIs" dxfId="141" priority="107" stopIfTrue="1" operator="between">
      <formula>220001</formula>
      <formula>221144</formula>
    </cfRule>
  </conditionalFormatting>
  <conditionalFormatting sqref="AO21">
    <cfRule type="cellIs" dxfId="140" priority="102" stopIfTrue="1" operator="between">
      <formula>221101</formula>
      <formula>221118</formula>
    </cfRule>
    <cfRule type="cellIs" dxfId="139" priority="103" stopIfTrue="1" operator="between">
      <formula>221142</formula>
      <formula>221144</formula>
    </cfRule>
    <cfRule type="cellIs" dxfId="138" priority="104" stopIfTrue="1" operator="between">
      <formula>220001</formula>
      <formula>221144</formula>
    </cfRule>
  </conditionalFormatting>
  <conditionalFormatting sqref="AO21">
    <cfRule type="cellIs" dxfId="137" priority="99" stopIfTrue="1" operator="between">
      <formula>221101</formula>
      <formula>221118</formula>
    </cfRule>
    <cfRule type="cellIs" dxfId="136" priority="100" stopIfTrue="1" operator="between">
      <formula>221142</formula>
      <formula>221144</formula>
    </cfRule>
    <cfRule type="cellIs" dxfId="135" priority="101" stopIfTrue="1" operator="between">
      <formula>220001</formula>
      <formula>221144</formula>
    </cfRule>
  </conditionalFormatting>
  <conditionalFormatting sqref="AO21">
    <cfRule type="cellIs" dxfId="134" priority="96" stopIfTrue="1" operator="between">
      <formula>221101</formula>
      <formula>221118</formula>
    </cfRule>
    <cfRule type="cellIs" dxfId="133" priority="97" stopIfTrue="1" operator="between">
      <formula>221142</formula>
      <formula>221144</formula>
    </cfRule>
    <cfRule type="cellIs" dxfId="132" priority="98" stopIfTrue="1" operator="between">
      <formula>220001</formula>
      <formula>221144</formula>
    </cfRule>
  </conditionalFormatting>
  <conditionalFormatting sqref="AO21">
    <cfRule type="cellIs" dxfId="131" priority="93" stopIfTrue="1" operator="between">
      <formula>221101</formula>
      <formula>221118</formula>
    </cfRule>
    <cfRule type="cellIs" dxfId="130" priority="94" stopIfTrue="1" operator="between">
      <formula>221142</formula>
      <formula>221144</formula>
    </cfRule>
    <cfRule type="cellIs" dxfId="129" priority="95" stopIfTrue="1" operator="between">
      <formula>220001</formula>
      <formula>221144</formula>
    </cfRule>
  </conditionalFormatting>
  <conditionalFormatting sqref="AO21">
    <cfRule type="cellIs" dxfId="128" priority="90" stopIfTrue="1" operator="between">
      <formula>221101</formula>
      <formula>221118</formula>
    </cfRule>
    <cfRule type="cellIs" dxfId="127" priority="91" stopIfTrue="1" operator="between">
      <formula>221142</formula>
      <formula>221144</formula>
    </cfRule>
    <cfRule type="cellIs" dxfId="126" priority="92" stopIfTrue="1" operator="between">
      <formula>220001</formula>
      <formula>221144</formula>
    </cfRule>
  </conditionalFormatting>
  <conditionalFormatting sqref="AO21">
    <cfRule type="cellIs" dxfId="125" priority="87" stopIfTrue="1" operator="between">
      <formula>221101</formula>
      <formula>221118</formula>
    </cfRule>
    <cfRule type="cellIs" dxfId="124" priority="88" stopIfTrue="1" operator="between">
      <formula>221142</formula>
      <formula>221144</formula>
    </cfRule>
    <cfRule type="cellIs" dxfId="123" priority="89" stopIfTrue="1" operator="between">
      <formula>220001</formula>
      <formula>221144</formula>
    </cfRule>
  </conditionalFormatting>
  <conditionalFormatting sqref="AO21">
    <cfRule type="cellIs" dxfId="122" priority="84" stopIfTrue="1" operator="between">
      <formula>221101</formula>
      <formula>221118</formula>
    </cfRule>
    <cfRule type="cellIs" dxfId="121" priority="85" stopIfTrue="1" operator="between">
      <formula>221142</formula>
      <formula>221144</formula>
    </cfRule>
    <cfRule type="cellIs" dxfId="120" priority="86" stopIfTrue="1" operator="between">
      <formula>220001</formula>
      <formula>221144</formula>
    </cfRule>
  </conditionalFormatting>
  <conditionalFormatting sqref="AO21">
    <cfRule type="cellIs" dxfId="119" priority="81" stopIfTrue="1" operator="between">
      <formula>221101</formula>
      <formula>221118</formula>
    </cfRule>
    <cfRule type="cellIs" dxfId="118" priority="82" stopIfTrue="1" operator="between">
      <formula>221142</formula>
      <formula>221144</formula>
    </cfRule>
    <cfRule type="cellIs" dxfId="117" priority="83" stopIfTrue="1" operator="between">
      <formula>220001</formula>
      <formula>221144</formula>
    </cfRule>
  </conditionalFormatting>
  <conditionalFormatting sqref="AO21">
    <cfRule type="cellIs" dxfId="116" priority="78" stopIfTrue="1" operator="between">
      <formula>221101</formula>
      <formula>221118</formula>
    </cfRule>
    <cfRule type="cellIs" dxfId="115" priority="79" stopIfTrue="1" operator="between">
      <formula>221142</formula>
      <formula>221144</formula>
    </cfRule>
    <cfRule type="cellIs" dxfId="114" priority="80" stopIfTrue="1" operator="between">
      <formula>220001</formula>
      <formula>221144</formula>
    </cfRule>
  </conditionalFormatting>
  <conditionalFormatting sqref="AO21">
    <cfRule type="cellIs" dxfId="113" priority="75" stopIfTrue="1" operator="between">
      <formula>221101</formula>
      <formula>221118</formula>
    </cfRule>
    <cfRule type="cellIs" dxfId="112" priority="76" stopIfTrue="1" operator="between">
      <formula>221142</formula>
      <formula>221144</formula>
    </cfRule>
    <cfRule type="cellIs" dxfId="111" priority="77" stopIfTrue="1" operator="between">
      <formula>220001</formula>
      <formula>221144</formula>
    </cfRule>
  </conditionalFormatting>
  <conditionalFormatting sqref="AO21">
    <cfRule type="cellIs" dxfId="110" priority="72" stopIfTrue="1" operator="between">
      <formula>221101</formula>
      <formula>221118</formula>
    </cfRule>
    <cfRule type="cellIs" dxfId="109" priority="73" stopIfTrue="1" operator="between">
      <formula>221142</formula>
      <formula>221144</formula>
    </cfRule>
    <cfRule type="cellIs" dxfId="108" priority="74" stopIfTrue="1" operator="between">
      <formula>220001</formula>
      <formula>221144</formula>
    </cfRule>
  </conditionalFormatting>
  <conditionalFormatting sqref="AO21">
    <cfRule type="cellIs" dxfId="107" priority="69" stopIfTrue="1" operator="between">
      <formula>221101</formula>
      <formula>221118</formula>
    </cfRule>
    <cfRule type="cellIs" dxfId="106" priority="70" stopIfTrue="1" operator="between">
      <formula>221142</formula>
      <formula>221144</formula>
    </cfRule>
    <cfRule type="cellIs" dxfId="105" priority="71" stopIfTrue="1" operator="between">
      <formula>220001</formula>
      <formula>221144</formula>
    </cfRule>
  </conditionalFormatting>
  <conditionalFormatting sqref="AO21">
    <cfRule type="cellIs" dxfId="104" priority="66" stopIfTrue="1" operator="between">
      <formula>221101</formula>
      <formula>221118</formula>
    </cfRule>
    <cfRule type="cellIs" dxfId="103" priority="67" stopIfTrue="1" operator="between">
      <formula>221142</formula>
      <formula>221144</formula>
    </cfRule>
    <cfRule type="cellIs" dxfId="102" priority="68" stopIfTrue="1" operator="between">
      <formula>220001</formula>
      <formula>221144</formula>
    </cfRule>
  </conditionalFormatting>
  <conditionalFormatting sqref="AO21">
    <cfRule type="cellIs" dxfId="101" priority="63" stopIfTrue="1" operator="between">
      <formula>221101</formula>
      <formula>221118</formula>
    </cfRule>
    <cfRule type="cellIs" dxfId="100" priority="64" stopIfTrue="1" operator="between">
      <formula>221142</formula>
      <formula>221144</formula>
    </cfRule>
    <cfRule type="cellIs" dxfId="99" priority="65" stopIfTrue="1" operator="between">
      <formula>220001</formula>
      <formula>221144</formula>
    </cfRule>
  </conditionalFormatting>
  <conditionalFormatting sqref="AO21">
    <cfRule type="cellIs" dxfId="98" priority="60" stopIfTrue="1" operator="between">
      <formula>221101</formula>
      <formula>221118</formula>
    </cfRule>
    <cfRule type="cellIs" dxfId="97" priority="61" stopIfTrue="1" operator="between">
      <formula>221142</formula>
      <formula>221144</formula>
    </cfRule>
    <cfRule type="cellIs" dxfId="96" priority="62" stopIfTrue="1" operator="between">
      <formula>220001</formula>
      <formula>221144</formula>
    </cfRule>
  </conditionalFormatting>
  <conditionalFormatting sqref="AO21">
    <cfRule type="cellIs" dxfId="95" priority="57" stopIfTrue="1" operator="between">
      <formula>221101</formula>
      <formula>221118</formula>
    </cfRule>
    <cfRule type="cellIs" dxfId="94" priority="58" stopIfTrue="1" operator="between">
      <formula>221142</formula>
      <formula>221144</formula>
    </cfRule>
    <cfRule type="cellIs" dxfId="93" priority="59" stopIfTrue="1" operator="between">
      <formula>220001</formula>
      <formula>221144</formula>
    </cfRule>
  </conditionalFormatting>
  <conditionalFormatting sqref="E5">
    <cfRule type="cellIs" dxfId="92" priority="54" stopIfTrue="1" operator="between">
      <formula>221101</formula>
      <formula>221118</formula>
    </cfRule>
    <cfRule type="cellIs" dxfId="91" priority="55" stopIfTrue="1" operator="between">
      <formula>221142</formula>
      <formula>221144</formula>
    </cfRule>
    <cfRule type="cellIs" dxfId="90" priority="56" stopIfTrue="1" operator="between">
      <formula>220001</formula>
      <formula>221144</formula>
    </cfRule>
  </conditionalFormatting>
  <conditionalFormatting sqref="E5">
    <cfRule type="cellIs" dxfId="89" priority="51" stopIfTrue="1" operator="between">
      <formula>221101</formula>
      <formula>221118</formula>
    </cfRule>
    <cfRule type="cellIs" dxfId="88" priority="52" stopIfTrue="1" operator="between">
      <formula>221142</formula>
      <formula>221144</formula>
    </cfRule>
    <cfRule type="cellIs" dxfId="87" priority="53" stopIfTrue="1" operator="between">
      <formula>220001</formula>
      <formula>221144</formula>
    </cfRule>
  </conditionalFormatting>
  <conditionalFormatting sqref="E5">
    <cfRule type="cellIs" dxfId="86" priority="48" stopIfTrue="1" operator="between">
      <formula>221101</formula>
      <formula>221118</formula>
    </cfRule>
    <cfRule type="cellIs" dxfId="85" priority="49" stopIfTrue="1" operator="between">
      <formula>221142</formula>
      <formula>221144</formula>
    </cfRule>
    <cfRule type="cellIs" dxfId="84" priority="50" stopIfTrue="1" operator="between">
      <formula>220001</formula>
      <formula>221144</formula>
    </cfRule>
  </conditionalFormatting>
  <conditionalFormatting sqref="E5">
    <cfRule type="cellIs" dxfId="83" priority="45" stopIfTrue="1" operator="between">
      <formula>221101</formula>
      <formula>221118</formula>
    </cfRule>
    <cfRule type="cellIs" dxfId="82" priority="46" stopIfTrue="1" operator="between">
      <formula>221142</formula>
      <formula>221144</formula>
    </cfRule>
    <cfRule type="cellIs" dxfId="81" priority="47" stopIfTrue="1" operator="between">
      <formula>220001</formula>
      <formula>221144</formula>
    </cfRule>
  </conditionalFormatting>
  <conditionalFormatting sqref="E5">
    <cfRule type="cellIs" dxfId="80" priority="42" stopIfTrue="1" operator="between">
      <formula>221101</formula>
      <formula>221118</formula>
    </cfRule>
    <cfRule type="cellIs" dxfId="79" priority="43" stopIfTrue="1" operator="between">
      <formula>221142</formula>
      <formula>221144</formula>
    </cfRule>
    <cfRule type="cellIs" dxfId="78" priority="44" stopIfTrue="1" operator="between">
      <formula>220001</formula>
      <formula>221144</formula>
    </cfRule>
  </conditionalFormatting>
  <conditionalFormatting sqref="E5">
    <cfRule type="cellIs" dxfId="77" priority="39" stopIfTrue="1" operator="between">
      <formula>221101</formula>
      <formula>221118</formula>
    </cfRule>
    <cfRule type="cellIs" dxfId="76" priority="40" stopIfTrue="1" operator="between">
      <formula>221142</formula>
      <formula>221144</formula>
    </cfRule>
    <cfRule type="cellIs" dxfId="75" priority="41" stopIfTrue="1" operator="between">
      <formula>220001</formula>
      <formula>221144</formula>
    </cfRule>
  </conditionalFormatting>
  <conditionalFormatting sqref="E5">
    <cfRule type="cellIs" dxfId="74" priority="36" stopIfTrue="1" operator="between">
      <formula>221101</formula>
      <formula>221118</formula>
    </cfRule>
    <cfRule type="cellIs" dxfId="73" priority="37" stopIfTrue="1" operator="between">
      <formula>221142</formula>
      <formula>221144</formula>
    </cfRule>
    <cfRule type="cellIs" dxfId="72" priority="38" stopIfTrue="1" operator="between">
      <formula>220001</formula>
      <formula>221144</formula>
    </cfRule>
  </conditionalFormatting>
  <conditionalFormatting sqref="E5">
    <cfRule type="cellIs" dxfId="71" priority="33" stopIfTrue="1" operator="between">
      <formula>221101</formula>
      <formula>221118</formula>
    </cfRule>
    <cfRule type="cellIs" dxfId="70" priority="34" stopIfTrue="1" operator="between">
      <formula>221142</formula>
      <formula>221144</formula>
    </cfRule>
    <cfRule type="cellIs" dxfId="69" priority="35" stopIfTrue="1" operator="between">
      <formula>220001</formula>
      <formula>221144</formula>
    </cfRule>
  </conditionalFormatting>
  <conditionalFormatting sqref="E5">
    <cfRule type="cellIs" dxfId="68" priority="30" stopIfTrue="1" operator="between">
      <formula>221101</formula>
      <formula>221118</formula>
    </cfRule>
    <cfRule type="cellIs" dxfId="67" priority="31" stopIfTrue="1" operator="between">
      <formula>221142</formula>
      <formula>221144</formula>
    </cfRule>
    <cfRule type="cellIs" dxfId="66" priority="32" stopIfTrue="1" operator="between">
      <formula>220001</formula>
      <formula>221144</formula>
    </cfRule>
  </conditionalFormatting>
  <conditionalFormatting sqref="E5">
    <cfRule type="cellIs" dxfId="65" priority="27" stopIfTrue="1" operator="between">
      <formula>221101</formula>
      <formula>221118</formula>
    </cfRule>
    <cfRule type="cellIs" dxfId="64" priority="28" stopIfTrue="1" operator="between">
      <formula>221142</formula>
      <formula>221144</formula>
    </cfRule>
    <cfRule type="cellIs" dxfId="63" priority="29" stopIfTrue="1" operator="between">
      <formula>220001</formula>
      <formula>221144</formula>
    </cfRule>
  </conditionalFormatting>
  <conditionalFormatting sqref="E5">
    <cfRule type="cellIs" dxfId="62" priority="24" stopIfTrue="1" operator="between">
      <formula>221101</formula>
      <formula>221118</formula>
    </cfRule>
    <cfRule type="cellIs" dxfId="61" priority="25" stopIfTrue="1" operator="between">
      <formula>221142</formula>
      <formula>221144</formula>
    </cfRule>
    <cfRule type="cellIs" dxfId="60" priority="26" stopIfTrue="1" operator="between">
      <formula>220001</formula>
      <formula>221144</formula>
    </cfRule>
  </conditionalFormatting>
  <conditionalFormatting sqref="E5">
    <cfRule type="cellIs" dxfId="59" priority="21" stopIfTrue="1" operator="between">
      <formula>221101</formula>
      <formula>221118</formula>
    </cfRule>
    <cfRule type="cellIs" dxfId="58" priority="22" stopIfTrue="1" operator="between">
      <formula>221142</formula>
      <formula>221144</formula>
    </cfRule>
    <cfRule type="cellIs" dxfId="57" priority="23" stopIfTrue="1" operator="between">
      <formula>220001</formula>
      <formula>221144</formula>
    </cfRule>
  </conditionalFormatting>
  <conditionalFormatting sqref="A22">
    <cfRule type="cellIs" dxfId="56" priority="18" stopIfTrue="1" operator="between">
      <formula>221101</formula>
      <formula>221118</formula>
    </cfRule>
    <cfRule type="cellIs" dxfId="55" priority="19" stopIfTrue="1" operator="between">
      <formula>221142</formula>
      <formula>221144</formula>
    </cfRule>
    <cfRule type="cellIs" dxfId="54" priority="20" stopIfTrue="1" operator="between">
      <formula>220001</formula>
      <formula>221144</formula>
    </cfRule>
  </conditionalFormatting>
  <conditionalFormatting sqref="A34:D34">
    <cfRule type="containsText" dxfId="53" priority="16" stopIfTrue="1" operator="containsText" text="Check">
      <formula>NOT(ISERROR(SEARCH("Check",A34)))</formula>
    </cfRule>
    <cfRule type="containsText" dxfId="52" priority="17" stopIfTrue="1" operator="containsText" text="Plan">
      <formula>NOT(ISERROR(SEARCH("Plan",A34)))</formula>
    </cfRule>
  </conditionalFormatting>
  <conditionalFormatting sqref="D40">
    <cfRule type="containsText" dxfId="51" priority="14" stopIfTrue="1" operator="containsText" text="Check">
      <formula>NOT(ISERROR(SEARCH("Check",D40)))</formula>
    </cfRule>
    <cfRule type="containsText" dxfId="50" priority="15" stopIfTrue="1" operator="containsText" text="Plan">
      <formula>NOT(ISERROR(SEARCH("Plan",D40)))</formula>
    </cfRule>
  </conditionalFormatting>
  <conditionalFormatting sqref="E45:AO45">
    <cfRule type="containsText" dxfId="49" priority="6" stopIfTrue="1" operator="containsText" text="Check">
      <formula>NOT(ISERROR(SEARCH("Check",E45)))</formula>
    </cfRule>
    <cfRule type="containsText" dxfId="48" priority="7" stopIfTrue="1" operator="containsText" text="Plan">
      <formula>NOT(ISERROR(SEARCH("Plan",E45)))</formula>
    </cfRule>
  </conditionalFormatting>
  <conditionalFormatting sqref="E40:AP40">
    <cfRule type="containsText" dxfId="47" priority="4" stopIfTrue="1" operator="containsText" text="Check">
      <formula>NOT(ISERROR(SEARCH("Check",E40)))</formula>
    </cfRule>
    <cfRule type="containsText" dxfId="46" priority="5" stopIfTrue="1" operator="containsText" text="Plan">
      <formula>NOT(ISERROR(SEARCH("Plan",E40)))</formula>
    </cfRule>
  </conditionalFormatting>
  <conditionalFormatting sqref="T53:AO53">
    <cfRule type="cellIs" dxfId="45" priority="1" stopIfTrue="1" operator="between">
      <formula>221101</formula>
      <formula>221118</formula>
    </cfRule>
    <cfRule type="cellIs" dxfId="44" priority="2" stopIfTrue="1" operator="between">
      <formula>221142</formula>
      <formula>221144</formula>
    </cfRule>
    <cfRule type="cellIs" dxfId="43" priority="3" stopIfTrue="1" operator="between">
      <formula>220001</formula>
      <formula>221144</formula>
    </cfRule>
  </conditionalFormatting>
  <printOptions horizontalCentered="1" verticalCentered="1"/>
  <pageMargins left="0.23622047244094491" right="0.23622047244094491" top="0.74803149606299213" bottom="0.74803149606299213" header="0.31496062992125984" footer="0.31496062992125984"/>
  <pageSetup paperSize="8" scale="54" orientation="landscape" r:id="rId1"/>
  <headerFooter alignWithMargins="0">
    <oddHeader>&amp;LPage &amp;P of &amp;N   Printed at &amp;T&amp;C&amp;"Arial,Bold"&amp;22VIRGIN TRAINS CLASS 220/221 EXAM PLAN&amp;R&amp;"Arial,Bold"&amp;12&amp;D</oddHeader>
    <oddFooter>&amp;CFile Path: &amp;Z &amp;F
 Sheet Name: &amp;A</oddFooter>
  </headerFooter>
  <colBreaks count="1" manualBreakCount="1">
    <brk id="22" max="34" man="1"/>
  </colBreaks>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indexed="24"/>
    <pageSetUpPr autoPageBreaks="0" fitToPage="1"/>
  </sheetPr>
  <dimension ref="A1:AR189"/>
  <sheetViews>
    <sheetView zoomScaleNormal="100" zoomScaleSheetLayoutView="100" workbookViewId="0">
      <pane ySplit="1" topLeftCell="A14" activePane="bottomLeft" state="frozen"/>
      <selection pane="bottomLeft" activeCell="I8" sqref="I8"/>
    </sheetView>
  </sheetViews>
  <sheetFormatPr defaultRowHeight="13.5"/>
  <cols>
    <col min="1" max="1" width="5.28515625" style="17" customWidth="1"/>
    <col min="2" max="2" width="1.7109375" style="36" customWidth="1"/>
    <col min="3" max="3" width="7.5703125" style="36" bestFit="1" customWidth="1"/>
    <col min="4" max="4" width="7.5703125" style="91" customWidth="1"/>
    <col min="5" max="5" width="4" style="36" customWidth="1"/>
    <col min="6" max="6" width="7.5703125" style="17" bestFit="1" customWidth="1"/>
    <col min="7" max="7" width="8.140625" style="17" bestFit="1" customWidth="1"/>
    <col min="8" max="8" width="10.140625" style="92" customWidth="1"/>
    <col min="9" max="9" width="8" style="17" customWidth="1"/>
    <col min="10" max="10" width="4.42578125" style="17" bestFit="1" customWidth="1"/>
    <col min="11" max="11" width="9" style="17" bestFit="1" customWidth="1"/>
    <col min="12" max="12" width="7.85546875" style="17" customWidth="1"/>
    <col min="13" max="14" width="11" style="17" customWidth="1"/>
    <col min="15" max="15" width="1.7109375" style="36" bestFit="1" customWidth="1"/>
    <col min="16" max="16" width="7" style="156" customWidth="1"/>
    <col min="17" max="17" width="10.140625" style="156" customWidth="1"/>
    <col min="18" max="18" width="7.140625" style="156" customWidth="1"/>
    <col min="19" max="19" width="11.28515625" style="297" customWidth="1"/>
    <col min="20" max="20" width="15.5703125" style="297" customWidth="1"/>
    <col min="21" max="21" width="23.5703125" style="117" customWidth="1"/>
    <col min="22" max="22" width="23.42578125" style="117" customWidth="1"/>
    <col min="23" max="23" width="20" style="117" customWidth="1"/>
    <col min="24" max="24" width="12.140625" style="117" customWidth="1"/>
    <col min="25" max="25" width="16.42578125" style="117" customWidth="1"/>
    <col min="26" max="26" width="23.5703125" style="117" customWidth="1"/>
    <col min="27" max="27" width="23.42578125" style="117" customWidth="1"/>
    <col min="28" max="28" width="12.140625" style="117" customWidth="1"/>
    <col min="29" max="29" width="24" style="117" customWidth="1"/>
    <col min="30" max="30" width="16.5703125" style="117" customWidth="1"/>
    <col min="31" max="31" width="25.42578125" style="117" customWidth="1"/>
    <col min="32" max="32" width="25" style="117" customWidth="1"/>
    <col min="33" max="33" width="12.140625" style="117" customWidth="1"/>
    <col min="34" max="34" width="16.42578125" style="117" customWidth="1"/>
    <col min="35" max="35" width="23.5703125" style="117" customWidth="1"/>
    <col min="36" max="36" width="23.42578125" style="117" customWidth="1"/>
    <col min="37" max="37" width="12.140625" style="117" customWidth="1"/>
    <col min="38" max="38" width="24" style="117" customWidth="1"/>
    <col min="39" max="39" width="16.5703125" style="117" customWidth="1"/>
    <col min="40" max="40" width="24" style="117" customWidth="1"/>
    <col min="41" max="41" width="23.5703125" style="117" customWidth="1"/>
    <col min="42" max="42" width="17.42578125" style="156" bestFit="1" customWidth="1"/>
    <col min="43" max="43" width="17.42578125" style="155" bestFit="1" customWidth="1"/>
    <col min="44" max="44" width="16.140625" style="17" bestFit="1" customWidth="1"/>
    <col min="45" max="16384" width="9.140625" style="17"/>
  </cols>
  <sheetData>
    <row r="1" spans="1:44" ht="41.25" thickBot="1">
      <c r="A1" s="9" t="s">
        <v>0</v>
      </c>
      <c r="B1" s="122" t="s">
        <v>162</v>
      </c>
      <c r="C1" s="10">
        <f>18744*0.05</f>
        <v>937.2</v>
      </c>
      <c r="D1" s="106" t="s">
        <v>89</v>
      </c>
      <c r="E1" s="110" t="s">
        <v>88</v>
      </c>
      <c r="F1" s="11" t="s">
        <v>16</v>
      </c>
      <c r="G1" s="12" t="s">
        <v>25</v>
      </c>
      <c r="H1" s="11" t="s">
        <v>23</v>
      </c>
      <c r="I1" s="11" t="s">
        <v>20</v>
      </c>
      <c r="J1" s="13" t="s">
        <v>162</v>
      </c>
      <c r="K1" s="14" t="s">
        <v>15</v>
      </c>
      <c r="L1" s="110" t="s">
        <v>91</v>
      </c>
      <c r="M1" s="106" t="s">
        <v>90</v>
      </c>
      <c r="N1" s="216" t="s">
        <v>162</v>
      </c>
      <c r="O1" s="127" t="s">
        <v>63</v>
      </c>
      <c r="P1" s="303" t="s">
        <v>27</v>
      </c>
      <c r="Q1" s="292" t="s">
        <v>104</v>
      </c>
      <c r="R1" s="291" t="s">
        <v>103</v>
      </c>
      <c r="S1" s="289" t="s">
        <v>27</v>
      </c>
      <c r="T1" s="289" t="s">
        <v>106</v>
      </c>
      <c r="U1" s="290" t="s">
        <v>107</v>
      </c>
      <c r="V1" s="290" t="s">
        <v>108</v>
      </c>
      <c r="W1" s="290" t="s">
        <v>110</v>
      </c>
      <c r="X1" s="290" t="s">
        <v>27</v>
      </c>
      <c r="Y1" s="290" t="s">
        <v>106</v>
      </c>
      <c r="Z1" s="290" t="s">
        <v>107</v>
      </c>
      <c r="AA1" s="290" t="s">
        <v>108</v>
      </c>
      <c r="AB1" s="290" t="s">
        <v>27</v>
      </c>
      <c r="AC1" s="290" t="s">
        <v>112</v>
      </c>
      <c r="AD1" s="290" t="s">
        <v>113</v>
      </c>
      <c r="AE1" s="290" t="s">
        <v>114</v>
      </c>
      <c r="AF1" s="290" t="s">
        <v>123</v>
      </c>
      <c r="AG1" s="290" t="s">
        <v>27</v>
      </c>
      <c r="AH1" s="290" t="s">
        <v>106</v>
      </c>
      <c r="AI1" s="290" t="s">
        <v>107</v>
      </c>
      <c r="AJ1" s="290" t="s">
        <v>108</v>
      </c>
      <c r="AK1" s="290" t="s">
        <v>27</v>
      </c>
      <c r="AL1" s="290" t="s">
        <v>112</v>
      </c>
      <c r="AM1" s="290" t="s">
        <v>113</v>
      </c>
      <c r="AN1" s="290" t="s">
        <v>121</v>
      </c>
      <c r="AO1" s="290" t="s">
        <v>122</v>
      </c>
      <c r="AP1" s="158" t="s">
        <v>74</v>
      </c>
      <c r="AQ1" s="17" t="s">
        <v>203</v>
      </c>
    </row>
    <row r="2" spans="1:44" s="100" customFormat="1">
      <c r="A2" s="88">
        <v>220001</v>
      </c>
      <c r="B2" s="94"/>
      <c r="C2" s="95"/>
      <c r="D2" s="107">
        <v>42952</v>
      </c>
      <c r="E2" s="94" t="s">
        <v>530</v>
      </c>
      <c r="F2" s="96">
        <f>I2+30330</f>
        <v>3833911</v>
      </c>
      <c r="G2" s="97">
        <f t="shared" ref="G2:G33" si="0">F2-K2</f>
        <v>25640</v>
      </c>
      <c r="H2" s="103">
        <v>42928</v>
      </c>
      <c r="I2" s="104" t="s">
        <v>935</v>
      </c>
      <c r="J2" s="98"/>
      <c r="K2" s="99">
        <f>'Mileages EOD'!B3</f>
        <v>3808271</v>
      </c>
      <c r="L2" s="114" t="str">
        <f t="shared" ref="L2:L33" si="1">VLOOKUP(A2,P:AP,3,FALSE)</f>
        <v>S4A</v>
      </c>
      <c r="M2" s="116">
        <f t="shared" ref="M2:M33" si="2">VLOOKUP(A2,P:AP,2,FALSE)</f>
        <v>42952</v>
      </c>
      <c r="N2" s="212"/>
      <c r="O2" s="94"/>
      <c r="P2" s="304">
        <v>220001</v>
      </c>
      <c r="Q2" s="299">
        <v>42952</v>
      </c>
      <c r="R2" s="298" t="s">
        <v>530</v>
      </c>
      <c r="S2" s="293">
        <v>220001</v>
      </c>
      <c r="T2" s="380" t="s">
        <v>531</v>
      </c>
      <c r="U2" s="294">
        <v>42910</v>
      </c>
      <c r="V2" s="117" t="s">
        <v>704</v>
      </c>
      <c r="W2" s="295">
        <f t="shared" ref="W2:W33" ca="1" si="3">TODAY()-U2</f>
        <v>23</v>
      </c>
      <c r="X2" s="295">
        <v>220001</v>
      </c>
      <c r="Y2" s="335" t="s">
        <v>96</v>
      </c>
      <c r="Z2" s="294">
        <v>42928</v>
      </c>
      <c r="AA2" s="295" t="s">
        <v>935</v>
      </c>
      <c r="AB2" s="295">
        <v>220001</v>
      </c>
      <c r="AC2" s="294">
        <v>42961</v>
      </c>
      <c r="AD2" s="295" t="s">
        <v>93</v>
      </c>
      <c r="AE2" s="295">
        <f t="shared" ref="AE2:AE33" si="4">K2-AA2</f>
        <v>4690</v>
      </c>
      <c r="AF2" s="295">
        <f t="shared" ref="AF2:AF33" ca="1" si="5">TODAY()-Z2</f>
        <v>5</v>
      </c>
      <c r="AG2" s="295">
        <v>220001</v>
      </c>
      <c r="AH2" s="295" t="s">
        <v>105</v>
      </c>
      <c r="AI2" s="294">
        <v>42880</v>
      </c>
      <c r="AJ2" s="295" t="s">
        <v>728</v>
      </c>
      <c r="AK2" s="295">
        <v>220001</v>
      </c>
      <c r="AL2" s="294">
        <v>42962</v>
      </c>
      <c r="AM2" s="295" t="s">
        <v>100</v>
      </c>
      <c r="AN2" s="295">
        <f t="shared" ref="AN2:AN33" si="6">K2-AJ2</f>
        <v>41141</v>
      </c>
      <c r="AO2" s="295">
        <f t="shared" ref="AO2:AO33" ca="1" si="7">TODAY()-AI2</f>
        <v>53</v>
      </c>
      <c r="AP2" s="157" t="e">
        <f>#REF!-1</f>
        <v>#REF!</v>
      </c>
      <c r="AQ2" s="100" t="str">
        <f>VLOOKUP(AK2,'Pad Planner - DO NOT AMEND'!A:M,12,FALSE)</f>
        <v/>
      </c>
      <c r="AR2" s="100" t="str">
        <f>VLOOKUP(AK2,'Pad Planner - DO NOT AMEND'!A:M,13,FALSE)</f>
        <v/>
      </c>
    </row>
    <row r="3" spans="1:44">
      <c r="A3" s="88">
        <v>220002</v>
      </c>
      <c r="B3" s="95"/>
      <c r="C3" s="19"/>
      <c r="D3" s="108">
        <v>42944</v>
      </c>
      <c r="E3" s="19" t="s">
        <v>530</v>
      </c>
      <c r="F3" s="96">
        <f t="shared" ref="F3:F66" si="8">I3+30330</f>
        <v>3871455</v>
      </c>
      <c r="G3" s="21">
        <f t="shared" si="0"/>
        <v>18468</v>
      </c>
      <c r="H3" s="395">
        <v>42920</v>
      </c>
      <c r="I3" s="396" t="s">
        <v>863</v>
      </c>
      <c r="J3" s="22"/>
      <c r="K3" s="99">
        <f>'Mileages EOD'!B4</f>
        <v>3852987</v>
      </c>
      <c r="L3" s="114" t="str">
        <f t="shared" si="1"/>
        <v>S4A</v>
      </c>
      <c r="M3" s="114">
        <f t="shared" si="2"/>
        <v>42944</v>
      </c>
      <c r="N3" s="213"/>
      <c r="O3" s="95"/>
      <c r="P3" s="305">
        <v>220002</v>
      </c>
      <c r="Q3" s="301">
        <v>42944</v>
      </c>
      <c r="R3" s="300" t="s">
        <v>530</v>
      </c>
      <c r="S3" s="296">
        <v>220002</v>
      </c>
      <c r="T3" s="296" t="s">
        <v>531</v>
      </c>
      <c r="U3" s="294">
        <v>42898</v>
      </c>
      <c r="V3" s="117" t="s">
        <v>691</v>
      </c>
      <c r="W3" s="295">
        <f t="shared" ca="1" si="3"/>
        <v>35</v>
      </c>
      <c r="X3" s="295">
        <v>220002</v>
      </c>
      <c r="Y3" s="295" t="s">
        <v>96</v>
      </c>
      <c r="Z3" s="294">
        <v>42920</v>
      </c>
      <c r="AA3" s="295" t="s">
        <v>863</v>
      </c>
      <c r="AB3" s="295">
        <v>220002</v>
      </c>
      <c r="AC3" s="294">
        <v>42955</v>
      </c>
      <c r="AD3" s="295" t="s">
        <v>93</v>
      </c>
      <c r="AE3" s="295">
        <f t="shared" si="4"/>
        <v>11862</v>
      </c>
      <c r="AF3" s="295">
        <f t="shared" ca="1" si="5"/>
        <v>13</v>
      </c>
      <c r="AG3" s="295">
        <v>220002</v>
      </c>
      <c r="AH3" s="295" t="s">
        <v>105</v>
      </c>
      <c r="AI3" s="294">
        <v>42862</v>
      </c>
      <c r="AJ3" s="295" t="s">
        <v>623</v>
      </c>
      <c r="AK3" s="295">
        <v>220002</v>
      </c>
      <c r="AL3" s="294">
        <v>42952</v>
      </c>
      <c r="AM3" s="295" t="s">
        <v>100</v>
      </c>
      <c r="AN3" s="295">
        <f t="shared" si="6"/>
        <v>52916</v>
      </c>
      <c r="AO3" s="295">
        <f t="shared" ca="1" si="7"/>
        <v>71</v>
      </c>
      <c r="AP3" s="157" t="e">
        <f>#REF!-1</f>
        <v>#REF!</v>
      </c>
      <c r="AQ3" s="100" t="str">
        <f>VLOOKUP(AK3,'Pad Planner - DO NOT AMEND'!A:M,12,FALSE)</f>
        <v/>
      </c>
      <c r="AR3" s="100" t="str">
        <f>VLOOKUP(AK3,'Pad Planner - DO NOT AMEND'!A:M,13,FALSE)</f>
        <v/>
      </c>
    </row>
    <row r="4" spans="1:44">
      <c r="A4" s="88">
        <v>220003</v>
      </c>
      <c r="B4" s="95"/>
      <c r="C4" s="19"/>
      <c r="D4" s="108">
        <v>42954</v>
      </c>
      <c r="E4" s="19" t="s">
        <v>530</v>
      </c>
      <c r="F4" s="96">
        <f t="shared" si="8"/>
        <v>3972383</v>
      </c>
      <c r="G4" s="21">
        <f t="shared" si="0"/>
        <v>27592</v>
      </c>
      <c r="H4" s="395">
        <v>42930</v>
      </c>
      <c r="I4" s="396" t="s">
        <v>1015</v>
      </c>
      <c r="J4" s="22"/>
      <c r="K4" s="99">
        <f>'Mileages EOD'!B5</f>
        <v>3944791</v>
      </c>
      <c r="L4" s="114" t="str">
        <f t="shared" si="1"/>
        <v>S4A</v>
      </c>
      <c r="M4" s="114">
        <f t="shared" si="2"/>
        <v>42954</v>
      </c>
      <c r="N4" s="213"/>
      <c r="O4" s="95"/>
      <c r="P4" s="306">
        <v>220003</v>
      </c>
      <c r="Q4" s="299">
        <v>42954</v>
      </c>
      <c r="R4" s="302" t="s">
        <v>530</v>
      </c>
      <c r="S4" s="296">
        <v>220003</v>
      </c>
      <c r="T4" s="296" t="s">
        <v>531</v>
      </c>
      <c r="U4" s="294">
        <v>42911</v>
      </c>
      <c r="V4" s="117" t="s">
        <v>788</v>
      </c>
      <c r="W4" s="295">
        <f t="shared" ca="1" si="3"/>
        <v>22</v>
      </c>
      <c r="X4" s="295">
        <v>220003</v>
      </c>
      <c r="Y4" s="295" t="s">
        <v>96</v>
      </c>
      <c r="Z4" s="294">
        <v>42930</v>
      </c>
      <c r="AA4" s="295" t="s">
        <v>1015</v>
      </c>
      <c r="AB4" s="295">
        <v>220003</v>
      </c>
      <c r="AC4" s="294">
        <v>42960</v>
      </c>
      <c r="AD4" s="295" t="s">
        <v>93</v>
      </c>
      <c r="AE4" s="295">
        <f t="shared" si="4"/>
        <v>2738</v>
      </c>
      <c r="AF4" s="295">
        <f t="shared" ca="1" si="5"/>
        <v>3</v>
      </c>
      <c r="AG4" s="295">
        <v>220003</v>
      </c>
      <c r="AH4" s="295" t="s">
        <v>105</v>
      </c>
      <c r="AI4" s="294">
        <v>42873</v>
      </c>
      <c r="AJ4" s="295" t="s">
        <v>603</v>
      </c>
      <c r="AK4" s="295">
        <v>220003</v>
      </c>
      <c r="AL4" s="294">
        <v>42963</v>
      </c>
      <c r="AM4" s="295" t="s">
        <v>100</v>
      </c>
      <c r="AN4" s="295">
        <f t="shared" si="6"/>
        <v>57300</v>
      </c>
      <c r="AO4" s="295">
        <f t="shared" ca="1" si="7"/>
        <v>60</v>
      </c>
      <c r="AP4" s="157" t="e">
        <f>#REF!-1</f>
        <v>#REF!</v>
      </c>
      <c r="AQ4" s="100" t="str">
        <f>VLOOKUP(AK4,'Pad Planner - DO NOT AMEND'!A:M,12,FALSE)</f>
        <v/>
      </c>
      <c r="AR4" s="100" t="str">
        <f>VLOOKUP(AK4,'Pad Planner - DO NOT AMEND'!A:M,13,FALSE)</f>
        <v/>
      </c>
    </row>
    <row r="5" spans="1:44">
      <c r="A5" s="88">
        <v>220004</v>
      </c>
      <c r="B5" s="95"/>
      <c r="C5" s="19"/>
      <c r="D5" s="108">
        <v>42944</v>
      </c>
      <c r="E5" s="19" t="s">
        <v>531</v>
      </c>
      <c r="F5" s="96">
        <f>I5+30330</f>
        <v>3915754</v>
      </c>
      <c r="G5" s="21">
        <f>F5-K5</f>
        <v>21004</v>
      </c>
      <c r="H5" s="395">
        <v>42923</v>
      </c>
      <c r="I5" s="396" t="s">
        <v>895</v>
      </c>
      <c r="J5" s="22"/>
      <c r="K5" s="99">
        <f>'Mileages EOD'!B6</f>
        <v>3894750</v>
      </c>
      <c r="L5" s="114" t="str">
        <f t="shared" si="1"/>
        <v>S3A</v>
      </c>
      <c r="M5" s="114">
        <f t="shared" si="2"/>
        <v>42944</v>
      </c>
      <c r="N5" s="213"/>
      <c r="O5" s="95"/>
      <c r="P5" s="305">
        <v>220004</v>
      </c>
      <c r="Q5" s="301">
        <v>42944</v>
      </c>
      <c r="R5" s="300" t="s">
        <v>531</v>
      </c>
      <c r="S5" s="296">
        <v>220004</v>
      </c>
      <c r="T5" s="296" t="s">
        <v>532</v>
      </c>
      <c r="U5" s="294">
        <v>42897</v>
      </c>
      <c r="V5" s="117" t="s">
        <v>692</v>
      </c>
      <c r="W5" s="295">
        <f t="shared" ca="1" si="3"/>
        <v>36</v>
      </c>
      <c r="X5" s="295">
        <v>220004</v>
      </c>
      <c r="Y5" s="295" t="s">
        <v>95</v>
      </c>
      <c r="Z5" s="294">
        <v>42923</v>
      </c>
      <c r="AA5" s="295" t="s">
        <v>895</v>
      </c>
      <c r="AB5" s="295">
        <v>220004</v>
      </c>
      <c r="AC5" s="294">
        <v>42962</v>
      </c>
      <c r="AD5" s="295" t="s">
        <v>96</v>
      </c>
      <c r="AE5" s="295">
        <f t="shared" si="4"/>
        <v>9326</v>
      </c>
      <c r="AF5" s="295">
        <f t="shared" ca="1" si="5"/>
        <v>10</v>
      </c>
      <c r="AG5" s="295">
        <v>220004</v>
      </c>
      <c r="AH5" s="295" t="s">
        <v>105</v>
      </c>
      <c r="AI5" s="294">
        <v>42908</v>
      </c>
      <c r="AJ5" s="295" t="s">
        <v>776</v>
      </c>
      <c r="AK5" s="295">
        <v>220004</v>
      </c>
      <c r="AL5" s="294">
        <v>42999</v>
      </c>
      <c r="AM5" s="295" t="s">
        <v>100</v>
      </c>
      <c r="AN5" s="295">
        <f t="shared" si="6"/>
        <v>37989</v>
      </c>
      <c r="AO5" s="295">
        <f t="shared" ca="1" si="7"/>
        <v>25</v>
      </c>
      <c r="AP5" s="157" t="e">
        <f>#REF!-1</f>
        <v>#REF!</v>
      </c>
      <c r="AQ5" s="100" t="str">
        <f>VLOOKUP(AK5,'Pad Planner - DO NOT AMEND'!A:M,12,FALSE)</f>
        <v/>
      </c>
      <c r="AR5" s="100" t="str">
        <f>VLOOKUP(AK5,'Pad Planner - DO NOT AMEND'!A:M,13,FALSE)</f>
        <v/>
      </c>
    </row>
    <row r="6" spans="1:44">
      <c r="A6" s="88">
        <v>220005</v>
      </c>
      <c r="B6" s="95"/>
      <c r="C6" s="19"/>
      <c r="D6" s="108">
        <v>42958</v>
      </c>
      <c r="E6" s="19" t="s">
        <v>530</v>
      </c>
      <c r="F6" s="96">
        <f t="shared" si="8"/>
        <v>3949225</v>
      </c>
      <c r="G6" s="21">
        <f t="shared" si="0"/>
        <v>28805</v>
      </c>
      <c r="H6" s="395">
        <v>42932</v>
      </c>
      <c r="I6" s="396" t="s">
        <v>1033</v>
      </c>
      <c r="J6" s="22"/>
      <c r="K6" s="99">
        <f>'Mileages EOD'!B7</f>
        <v>3920420</v>
      </c>
      <c r="L6" s="114" t="str">
        <f t="shared" si="1"/>
        <v>S4A</v>
      </c>
      <c r="M6" s="114">
        <f t="shared" si="2"/>
        <v>42958</v>
      </c>
      <c r="N6" s="213"/>
      <c r="O6" s="95"/>
      <c r="P6" s="306">
        <v>220005</v>
      </c>
      <c r="Q6" s="299">
        <v>42958</v>
      </c>
      <c r="R6" s="302" t="s">
        <v>530</v>
      </c>
      <c r="S6" s="296">
        <v>220005</v>
      </c>
      <c r="T6" s="296" t="s">
        <v>531</v>
      </c>
      <c r="U6" s="294">
        <v>42913</v>
      </c>
      <c r="V6" s="117" t="s">
        <v>722</v>
      </c>
      <c r="W6" s="295">
        <f t="shared" ca="1" si="3"/>
        <v>20</v>
      </c>
      <c r="X6" s="295">
        <v>220005</v>
      </c>
      <c r="Y6" s="295" t="s">
        <v>96</v>
      </c>
      <c r="Z6" s="294">
        <v>42932</v>
      </c>
      <c r="AA6" s="295" t="s">
        <v>1033</v>
      </c>
      <c r="AB6" s="295">
        <v>220005</v>
      </c>
      <c r="AC6" s="294">
        <v>42967</v>
      </c>
      <c r="AD6" s="295" t="s">
        <v>93</v>
      </c>
      <c r="AE6" s="295">
        <f t="shared" si="4"/>
        <v>1525</v>
      </c>
      <c r="AF6" s="295">
        <f t="shared" ca="1" si="5"/>
        <v>1</v>
      </c>
      <c r="AG6" s="295">
        <v>220005</v>
      </c>
      <c r="AH6" s="295" t="s">
        <v>105</v>
      </c>
      <c r="AI6" s="294">
        <v>42877</v>
      </c>
      <c r="AJ6" s="295" t="s">
        <v>622</v>
      </c>
      <c r="AK6" s="295">
        <v>220005</v>
      </c>
      <c r="AL6" s="294">
        <v>42969</v>
      </c>
      <c r="AM6" s="295" t="s">
        <v>100</v>
      </c>
      <c r="AN6" s="295">
        <f t="shared" si="6"/>
        <v>56713</v>
      </c>
      <c r="AO6" s="295">
        <f t="shared" ca="1" si="7"/>
        <v>56</v>
      </c>
      <c r="AP6" s="157" t="e">
        <f>#REF!-1</f>
        <v>#REF!</v>
      </c>
      <c r="AQ6" s="100" t="str">
        <f>VLOOKUP(AK6,'Pad Planner - DO NOT AMEND'!A:M,12,FALSE)</f>
        <v/>
      </c>
      <c r="AR6" s="100" t="str">
        <f>VLOOKUP(AK6,'Pad Planner - DO NOT AMEND'!A:M,13,FALSE)</f>
        <v/>
      </c>
    </row>
    <row r="7" spans="1:44">
      <c r="A7" s="88">
        <v>220006</v>
      </c>
      <c r="B7" s="95"/>
      <c r="C7" s="19"/>
      <c r="D7" s="108">
        <v>42938</v>
      </c>
      <c r="E7" s="19" t="s">
        <v>94</v>
      </c>
      <c r="F7" s="96">
        <f t="shared" si="8"/>
        <v>3939081</v>
      </c>
      <c r="G7" s="21">
        <f t="shared" si="0"/>
        <v>2952</v>
      </c>
      <c r="H7" s="395">
        <v>42901</v>
      </c>
      <c r="I7" s="396" t="s">
        <v>738</v>
      </c>
      <c r="J7" s="22"/>
      <c r="K7" s="99">
        <f>'Mileages EOD'!B8</f>
        <v>3936129</v>
      </c>
      <c r="L7" s="114" t="str">
        <f t="shared" si="1"/>
        <v>S2A</v>
      </c>
      <c r="M7" s="114">
        <f t="shared" si="2"/>
        <v>42938</v>
      </c>
      <c r="N7" s="213"/>
      <c r="O7" s="95"/>
      <c r="P7" s="305">
        <v>220006</v>
      </c>
      <c r="Q7" s="301">
        <v>42938</v>
      </c>
      <c r="R7" s="300" t="s">
        <v>532</v>
      </c>
      <c r="S7" s="296">
        <v>220006</v>
      </c>
      <c r="T7" s="296" t="s">
        <v>527</v>
      </c>
      <c r="U7" s="294">
        <v>42890</v>
      </c>
      <c r="V7" s="117" t="s">
        <v>627</v>
      </c>
      <c r="W7" s="295">
        <f t="shared" ca="1" si="3"/>
        <v>43</v>
      </c>
      <c r="X7" s="295">
        <v>220006</v>
      </c>
      <c r="Y7" s="295" t="s">
        <v>93</v>
      </c>
      <c r="Z7" s="294">
        <v>42901</v>
      </c>
      <c r="AA7" s="295" t="s">
        <v>738</v>
      </c>
      <c r="AB7" s="295">
        <v>220006</v>
      </c>
      <c r="AC7" s="294">
        <v>42938</v>
      </c>
      <c r="AD7" s="295" t="s">
        <v>94</v>
      </c>
      <c r="AE7" s="295">
        <f t="shared" si="4"/>
        <v>27378</v>
      </c>
      <c r="AF7" s="295">
        <f t="shared" ca="1" si="5"/>
        <v>32</v>
      </c>
      <c r="AG7" s="295">
        <v>220006</v>
      </c>
      <c r="AH7" s="295" t="s">
        <v>99</v>
      </c>
      <c r="AI7" s="294">
        <v>42863</v>
      </c>
      <c r="AJ7" s="295" t="s">
        <v>627</v>
      </c>
      <c r="AK7" s="295">
        <v>220006</v>
      </c>
      <c r="AL7" s="294">
        <v>42953</v>
      </c>
      <c r="AM7" s="295" t="s">
        <v>105</v>
      </c>
      <c r="AN7" s="295">
        <f t="shared" si="6"/>
        <v>57434</v>
      </c>
      <c r="AO7" s="295">
        <f t="shared" ca="1" si="7"/>
        <v>70</v>
      </c>
      <c r="AP7" s="157" t="e">
        <f>#REF!-1</f>
        <v>#REF!</v>
      </c>
      <c r="AQ7" s="100" t="str">
        <f>VLOOKUP(AK7,'Pad Planner - DO NOT AMEND'!A:M,12,FALSE)</f>
        <v/>
      </c>
      <c r="AR7" s="100" t="str">
        <f>VLOOKUP(AK7,'Pad Planner - DO NOT AMEND'!A:M,13,FALSE)</f>
        <v/>
      </c>
    </row>
    <row r="8" spans="1:44">
      <c r="A8" s="88">
        <v>220007</v>
      </c>
      <c r="B8" s="95"/>
      <c r="C8" s="19"/>
      <c r="D8" s="108">
        <v>42948</v>
      </c>
      <c r="E8" s="19" t="s">
        <v>94</v>
      </c>
      <c r="F8" s="96">
        <f t="shared" si="8"/>
        <v>3806702</v>
      </c>
      <c r="G8" s="21">
        <f t="shared" si="0"/>
        <v>21095</v>
      </c>
      <c r="H8" s="395">
        <v>42916</v>
      </c>
      <c r="I8" s="396" t="s">
        <v>892</v>
      </c>
      <c r="J8" s="22"/>
      <c r="K8" s="99">
        <f>'Mileages EOD'!B9</f>
        <v>3785607</v>
      </c>
      <c r="L8" s="114" t="str">
        <f t="shared" si="1"/>
        <v>S2A</v>
      </c>
      <c r="M8" s="114">
        <f t="shared" si="2"/>
        <v>42961</v>
      </c>
      <c r="N8" s="213"/>
      <c r="O8" s="95"/>
      <c r="P8" s="306">
        <v>220007</v>
      </c>
      <c r="Q8" s="299">
        <v>42961</v>
      </c>
      <c r="R8" s="302" t="s">
        <v>532</v>
      </c>
      <c r="S8" s="296">
        <v>220007</v>
      </c>
      <c r="T8" s="296" t="s">
        <v>527</v>
      </c>
      <c r="U8" s="294">
        <v>42916</v>
      </c>
      <c r="V8" s="117" t="s">
        <v>892</v>
      </c>
      <c r="W8" s="295">
        <f t="shared" ca="1" si="3"/>
        <v>17</v>
      </c>
      <c r="X8" s="295">
        <v>220007</v>
      </c>
      <c r="Y8" s="295" t="s">
        <v>93</v>
      </c>
      <c r="Z8" s="294">
        <v>42922</v>
      </c>
      <c r="AA8" s="295" t="s">
        <v>892</v>
      </c>
      <c r="AB8" s="295">
        <v>220007</v>
      </c>
      <c r="AC8" s="294">
        <v>42948</v>
      </c>
      <c r="AD8" s="295" t="s">
        <v>94</v>
      </c>
      <c r="AE8" s="295">
        <f t="shared" si="4"/>
        <v>9235</v>
      </c>
      <c r="AF8" s="295">
        <f t="shared" ca="1" si="5"/>
        <v>11</v>
      </c>
      <c r="AG8" s="295">
        <v>220007</v>
      </c>
      <c r="AH8" s="295" t="s">
        <v>99</v>
      </c>
      <c r="AI8" s="294">
        <v>42875</v>
      </c>
      <c r="AJ8" s="295" t="s">
        <v>583</v>
      </c>
      <c r="AK8" s="295">
        <v>220007</v>
      </c>
      <c r="AL8" s="294">
        <v>42966</v>
      </c>
      <c r="AM8" s="295" t="s">
        <v>105</v>
      </c>
      <c r="AN8" s="295">
        <f t="shared" si="6"/>
        <v>64618</v>
      </c>
      <c r="AO8" s="295">
        <f t="shared" ca="1" si="7"/>
        <v>58</v>
      </c>
      <c r="AP8" s="157" t="e">
        <f>#REF!-1</f>
        <v>#REF!</v>
      </c>
      <c r="AQ8" s="100" t="str">
        <f>VLOOKUP(AK8,'Pad Planner - DO NOT AMEND'!A:M,12,FALSE)</f>
        <v>CHECKED</v>
      </c>
      <c r="AR8" s="100" t="str">
        <f>VLOOKUP(AK8,'Pad Planner - DO NOT AMEND'!A:M,13,FALSE)</f>
        <v>9015052</v>
      </c>
    </row>
    <row r="9" spans="1:44">
      <c r="A9" s="88">
        <v>220008</v>
      </c>
      <c r="B9" s="95"/>
      <c r="C9" s="19"/>
      <c r="D9" s="108">
        <v>42934</v>
      </c>
      <c r="E9" s="19" t="s">
        <v>527</v>
      </c>
      <c r="F9" s="96">
        <f t="shared" si="8"/>
        <v>3948030</v>
      </c>
      <c r="G9" s="21">
        <f t="shared" si="0"/>
        <v>25149</v>
      </c>
      <c r="H9" s="395">
        <v>42926</v>
      </c>
      <c r="I9" s="396" t="s">
        <v>919</v>
      </c>
      <c r="J9" s="22"/>
      <c r="K9" s="99">
        <f>'Mileages EOD'!B10</f>
        <v>3922881</v>
      </c>
      <c r="L9" s="114" t="str">
        <f t="shared" si="1"/>
        <v>S1A</v>
      </c>
      <c r="M9" s="114">
        <f t="shared" si="2"/>
        <v>42934</v>
      </c>
      <c r="N9" s="213"/>
      <c r="O9" s="95"/>
      <c r="P9" s="305">
        <v>220008</v>
      </c>
      <c r="Q9" s="301">
        <v>42934</v>
      </c>
      <c r="R9" s="300" t="s">
        <v>527</v>
      </c>
      <c r="S9" s="296">
        <v>220008</v>
      </c>
      <c r="T9" s="363" t="s">
        <v>533</v>
      </c>
      <c r="U9" s="294">
        <v>42889</v>
      </c>
      <c r="V9" s="117" t="s">
        <v>604</v>
      </c>
      <c r="W9" s="295">
        <f t="shared" ca="1" si="3"/>
        <v>44</v>
      </c>
      <c r="X9" s="295">
        <v>220008</v>
      </c>
      <c r="Y9" s="335" t="s">
        <v>94</v>
      </c>
      <c r="Z9" s="294">
        <v>42926</v>
      </c>
      <c r="AA9" s="295" t="s">
        <v>919</v>
      </c>
      <c r="AB9" s="295">
        <v>220008</v>
      </c>
      <c r="AC9" s="294">
        <v>42964</v>
      </c>
      <c r="AD9" s="295" t="s">
        <v>95</v>
      </c>
      <c r="AE9" s="295">
        <f t="shared" si="4"/>
        <v>5181</v>
      </c>
      <c r="AF9" s="295">
        <f t="shared" ca="1" si="5"/>
        <v>7</v>
      </c>
      <c r="AG9" s="295">
        <v>220008</v>
      </c>
      <c r="AH9" s="295" t="s">
        <v>99</v>
      </c>
      <c r="AI9" s="294">
        <v>42892</v>
      </c>
      <c r="AJ9" s="295" t="s">
        <v>710</v>
      </c>
      <c r="AK9" s="295">
        <v>220008</v>
      </c>
      <c r="AL9" s="294">
        <v>42982</v>
      </c>
      <c r="AM9" s="295" t="s">
        <v>105</v>
      </c>
      <c r="AN9" s="295">
        <f t="shared" si="6"/>
        <v>32604</v>
      </c>
      <c r="AO9" s="295">
        <f t="shared" ca="1" si="7"/>
        <v>41</v>
      </c>
      <c r="AP9" s="157" t="e">
        <f>#REF!-1</f>
        <v>#REF!</v>
      </c>
      <c r="AQ9" s="100" t="str">
        <f>VLOOKUP(AK9,'Pad Planner - DO NOT AMEND'!A:M,12,FALSE)</f>
        <v>CHECKED</v>
      </c>
      <c r="AR9" s="100" t="str">
        <f>VLOOKUP(AK9,'Pad Planner - DO NOT AMEND'!A:M,13,FALSE)</f>
        <v>9165904</v>
      </c>
    </row>
    <row r="10" spans="1:44">
      <c r="A10" s="88">
        <v>220009</v>
      </c>
      <c r="B10" s="95"/>
      <c r="C10" s="19"/>
      <c r="D10" s="108">
        <v>42947</v>
      </c>
      <c r="E10" s="19" t="s">
        <v>94</v>
      </c>
      <c r="F10" s="96">
        <f t="shared" si="8"/>
        <v>3879415</v>
      </c>
      <c r="G10" s="21">
        <f t="shared" si="0"/>
        <v>15369</v>
      </c>
      <c r="H10" s="395">
        <v>42914</v>
      </c>
      <c r="I10" s="396" t="s">
        <v>814</v>
      </c>
      <c r="J10" s="22"/>
      <c r="K10" s="99">
        <f>'Mileages EOD'!B11</f>
        <v>3864046</v>
      </c>
      <c r="L10" s="114" t="str">
        <f t="shared" si="1"/>
        <v>S1A</v>
      </c>
      <c r="M10" s="114">
        <f t="shared" si="2"/>
        <v>42953</v>
      </c>
      <c r="N10" s="213"/>
      <c r="O10" s="95"/>
      <c r="P10" s="306">
        <v>220009</v>
      </c>
      <c r="Q10" s="299">
        <v>42953</v>
      </c>
      <c r="R10" s="302" t="s">
        <v>527</v>
      </c>
      <c r="S10" s="296">
        <v>220009</v>
      </c>
      <c r="T10" s="296" t="s">
        <v>533</v>
      </c>
      <c r="U10" s="294">
        <v>42909</v>
      </c>
      <c r="V10" s="117" t="s">
        <v>659</v>
      </c>
      <c r="W10" s="295">
        <f t="shared" ca="1" si="3"/>
        <v>24</v>
      </c>
      <c r="X10" s="295">
        <v>220009</v>
      </c>
      <c r="Y10" s="295" t="s">
        <v>93</v>
      </c>
      <c r="Z10" s="294">
        <v>42913</v>
      </c>
      <c r="AA10" s="295" t="s">
        <v>814</v>
      </c>
      <c r="AB10" s="295">
        <v>220009</v>
      </c>
      <c r="AC10" s="294">
        <v>42947</v>
      </c>
      <c r="AD10" s="295" t="s">
        <v>94</v>
      </c>
      <c r="AE10" s="295">
        <f t="shared" si="4"/>
        <v>14961</v>
      </c>
      <c r="AF10" s="295">
        <f t="shared" ca="1" si="5"/>
        <v>20</v>
      </c>
      <c r="AG10" s="295">
        <v>220009</v>
      </c>
      <c r="AH10" s="295" t="s">
        <v>99</v>
      </c>
      <c r="AI10" s="294">
        <v>42914</v>
      </c>
      <c r="AJ10" s="295" t="s">
        <v>814</v>
      </c>
      <c r="AK10" s="295">
        <v>220009</v>
      </c>
      <c r="AL10" s="294">
        <v>43006</v>
      </c>
      <c r="AM10" s="295" t="s">
        <v>105</v>
      </c>
      <c r="AN10" s="295">
        <f t="shared" si="6"/>
        <v>14961</v>
      </c>
      <c r="AO10" s="295">
        <f t="shared" ca="1" si="7"/>
        <v>19</v>
      </c>
      <c r="AP10" s="157" t="e">
        <f>#REF!-1</f>
        <v>#REF!</v>
      </c>
      <c r="AQ10" s="100" t="str">
        <f>VLOOKUP(AK10,'Pad Planner - DO NOT AMEND'!A:M,12,FALSE)</f>
        <v/>
      </c>
      <c r="AR10" s="100" t="str">
        <f>VLOOKUP(AK10,'Pad Planner - DO NOT AMEND'!A:M,13,FALSE)</f>
        <v/>
      </c>
    </row>
    <row r="11" spans="1:44">
      <c r="A11" s="88">
        <v>220010</v>
      </c>
      <c r="B11" s="95"/>
      <c r="C11" s="19"/>
      <c r="D11" s="108">
        <v>42938</v>
      </c>
      <c r="E11" s="19" t="s">
        <v>93</v>
      </c>
      <c r="F11" s="96">
        <f t="shared" si="8"/>
        <v>3892192</v>
      </c>
      <c r="G11" s="21">
        <f t="shared" si="0"/>
        <v>7876</v>
      </c>
      <c r="H11" s="395">
        <v>42933</v>
      </c>
      <c r="I11" s="396" t="s">
        <v>758</v>
      </c>
      <c r="J11" s="22"/>
      <c r="K11" s="99">
        <f>'Mileages EOD'!B12</f>
        <v>3884316</v>
      </c>
      <c r="L11" s="114" t="str">
        <f t="shared" si="1"/>
        <v>S1A</v>
      </c>
      <c r="M11" s="114">
        <f t="shared" si="2"/>
        <v>42979</v>
      </c>
      <c r="N11" s="213"/>
      <c r="O11" s="95"/>
      <c r="P11" s="305">
        <v>220010</v>
      </c>
      <c r="Q11" s="301">
        <v>42979</v>
      </c>
      <c r="R11" s="300" t="s">
        <v>527</v>
      </c>
      <c r="S11" s="296">
        <v>220010</v>
      </c>
      <c r="T11" s="296" t="s">
        <v>533</v>
      </c>
      <c r="U11" s="294">
        <v>42933</v>
      </c>
      <c r="V11" s="117" t="s">
        <v>758</v>
      </c>
      <c r="W11" s="295">
        <f t="shared" ca="1" si="3"/>
        <v>0</v>
      </c>
      <c r="X11" s="295">
        <v>220010</v>
      </c>
      <c r="Y11" s="295" t="s">
        <v>96</v>
      </c>
      <c r="Z11" s="294">
        <v>42906</v>
      </c>
      <c r="AA11" s="295" t="s">
        <v>758</v>
      </c>
      <c r="AB11" s="295">
        <v>220010</v>
      </c>
      <c r="AC11" s="294">
        <v>42938</v>
      </c>
      <c r="AD11" s="295" t="s">
        <v>93</v>
      </c>
      <c r="AE11" s="295">
        <f t="shared" si="4"/>
        <v>22454</v>
      </c>
      <c r="AF11" s="295">
        <f t="shared" ca="1" si="5"/>
        <v>27</v>
      </c>
      <c r="AG11" s="295">
        <v>220010</v>
      </c>
      <c r="AH11" s="295" t="s">
        <v>115</v>
      </c>
      <c r="AI11" s="294">
        <v>42851</v>
      </c>
      <c r="AJ11" s="295" t="s">
        <v>572</v>
      </c>
      <c r="AK11" s="295">
        <v>220010</v>
      </c>
      <c r="AL11" s="294">
        <v>42938</v>
      </c>
      <c r="AM11" s="295" t="s">
        <v>99</v>
      </c>
      <c r="AN11" s="295">
        <f t="shared" si="6"/>
        <v>69019</v>
      </c>
      <c r="AO11" s="295">
        <f t="shared" ca="1" si="7"/>
        <v>82</v>
      </c>
      <c r="AP11" s="157" t="e">
        <f>#REF!-1</f>
        <v>#REF!</v>
      </c>
      <c r="AQ11" s="100" t="str">
        <f>VLOOKUP(AK11,'Pad Planner - DO NOT AMEND'!A:M,12,FALSE)</f>
        <v/>
      </c>
      <c r="AR11" s="100" t="str">
        <f>VLOOKUP(AK11,'Pad Planner - DO NOT AMEND'!A:M,13,FALSE)</f>
        <v/>
      </c>
    </row>
    <row r="12" spans="1:44">
      <c r="A12" s="88">
        <v>220011</v>
      </c>
      <c r="B12" s="95"/>
      <c r="C12" s="19"/>
      <c r="D12" s="108">
        <v>42960</v>
      </c>
      <c r="E12" s="19" t="s">
        <v>533</v>
      </c>
      <c r="F12" s="96">
        <f t="shared" si="8"/>
        <v>3929608</v>
      </c>
      <c r="G12" s="21">
        <f t="shared" si="0"/>
        <v>28110</v>
      </c>
      <c r="H12" s="395">
        <v>42931</v>
      </c>
      <c r="I12" s="396" t="s">
        <v>1016</v>
      </c>
      <c r="J12" s="22"/>
      <c r="K12" s="99">
        <f>'Mileages EOD'!B13</f>
        <v>3901498</v>
      </c>
      <c r="L12" s="114" t="str">
        <f t="shared" si="1"/>
        <v>S8A</v>
      </c>
      <c r="M12" s="114">
        <f t="shared" si="2"/>
        <v>42960</v>
      </c>
      <c r="N12" s="213"/>
      <c r="O12" s="95"/>
      <c r="P12" s="306">
        <v>220011</v>
      </c>
      <c r="Q12" s="299">
        <v>42960</v>
      </c>
      <c r="R12" s="302" t="s">
        <v>533</v>
      </c>
      <c r="S12" s="296">
        <v>220011</v>
      </c>
      <c r="T12" s="296" t="s">
        <v>534</v>
      </c>
      <c r="U12" s="294">
        <v>42915</v>
      </c>
      <c r="V12" s="117" t="s">
        <v>712</v>
      </c>
      <c r="W12" s="295">
        <f t="shared" ca="1" si="3"/>
        <v>18</v>
      </c>
      <c r="X12" s="295">
        <v>220011</v>
      </c>
      <c r="Y12" s="295" t="s">
        <v>96</v>
      </c>
      <c r="Z12" s="294">
        <v>42931</v>
      </c>
      <c r="AA12" s="295" t="s">
        <v>1016</v>
      </c>
      <c r="AB12" s="295">
        <v>220011</v>
      </c>
      <c r="AC12" s="294">
        <v>42964</v>
      </c>
      <c r="AD12" s="295" t="s">
        <v>93</v>
      </c>
      <c r="AE12" s="295">
        <f t="shared" si="4"/>
        <v>2220</v>
      </c>
      <c r="AF12" s="295">
        <f t="shared" ca="1" si="5"/>
        <v>2</v>
      </c>
      <c r="AG12" s="295">
        <v>220011</v>
      </c>
      <c r="AH12" s="295" t="s">
        <v>115</v>
      </c>
      <c r="AI12" s="294">
        <v>42874</v>
      </c>
      <c r="AJ12" s="295" t="s">
        <v>654</v>
      </c>
      <c r="AK12" s="295">
        <v>220011</v>
      </c>
      <c r="AL12" s="294">
        <v>42964</v>
      </c>
      <c r="AM12" s="295" t="s">
        <v>99</v>
      </c>
      <c r="AN12" s="295">
        <f t="shared" si="6"/>
        <v>57249</v>
      </c>
      <c r="AO12" s="295">
        <f t="shared" ca="1" si="7"/>
        <v>59</v>
      </c>
      <c r="AP12" s="157" t="e">
        <f>#REF!-1</f>
        <v>#REF!</v>
      </c>
      <c r="AQ12" s="100" t="str">
        <f>VLOOKUP(AK12,'Pad Planner - DO NOT AMEND'!A:M,12,FALSE)</f>
        <v/>
      </c>
      <c r="AR12" s="100" t="str">
        <f>VLOOKUP(AK12,'Pad Planner - DO NOT AMEND'!A:M,13,FALSE)</f>
        <v/>
      </c>
    </row>
    <row r="13" spans="1:44">
      <c r="A13" s="88">
        <v>220012</v>
      </c>
      <c r="B13" s="95"/>
      <c r="C13" s="19"/>
      <c r="D13" s="108">
        <v>42950</v>
      </c>
      <c r="E13" s="19" t="s">
        <v>96</v>
      </c>
      <c r="F13" s="96">
        <f t="shared" si="8"/>
        <v>3878436</v>
      </c>
      <c r="G13" s="21">
        <f t="shared" si="0"/>
        <v>14810</v>
      </c>
      <c r="H13" s="395">
        <v>42931</v>
      </c>
      <c r="I13" s="396" t="s">
        <v>815</v>
      </c>
      <c r="J13" s="22"/>
      <c r="K13" s="99">
        <f>'Mileages EOD'!B14</f>
        <v>3863626</v>
      </c>
      <c r="L13" s="114" t="str">
        <f t="shared" si="1"/>
        <v>S8A</v>
      </c>
      <c r="M13" s="114">
        <f t="shared" si="2"/>
        <v>42977</v>
      </c>
      <c r="N13" s="213"/>
      <c r="O13" s="95"/>
      <c r="P13" s="305">
        <v>220012</v>
      </c>
      <c r="Q13" s="301">
        <v>42977</v>
      </c>
      <c r="R13" s="300" t="s">
        <v>533</v>
      </c>
      <c r="S13" s="296">
        <v>220012</v>
      </c>
      <c r="T13" s="296" t="s">
        <v>534</v>
      </c>
      <c r="U13" s="294">
        <v>42931</v>
      </c>
      <c r="V13" s="117" t="s">
        <v>815</v>
      </c>
      <c r="W13" s="295">
        <f t="shared" ca="1" si="3"/>
        <v>2</v>
      </c>
      <c r="X13" s="295">
        <v>220012</v>
      </c>
      <c r="Y13" s="295" t="s">
        <v>95</v>
      </c>
      <c r="Z13" s="294">
        <v>42915</v>
      </c>
      <c r="AA13" s="295" t="s">
        <v>815</v>
      </c>
      <c r="AB13" s="295">
        <v>220012</v>
      </c>
      <c r="AC13" s="294">
        <v>42950</v>
      </c>
      <c r="AD13" s="295" t="s">
        <v>96</v>
      </c>
      <c r="AE13" s="295">
        <f t="shared" si="4"/>
        <v>15520</v>
      </c>
      <c r="AF13" s="295">
        <f t="shared" ca="1" si="5"/>
        <v>18</v>
      </c>
      <c r="AG13" s="295">
        <v>220012</v>
      </c>
      <c r="AH13" s="295" t="s">
        <v>115</v>
      </c>
      <c r="AI13" s="294">
        <v>42894</v>
      </c>
      <c r="AJ13" s="295" t="s">
        <v>677</v>
      </c>
      <c r="AK13" s="295">
        <v>220012</v>
      </c>
      <c r="AL13" s="294">
        <v>42983</v>
      </c>
      <c r="AM13" s="295" t="s">
        <v>99</v>
      </c>
      <c r="AN13" s="295">
        <f t="shared" si="6"/>
        <v>41805</v>
      </c>
      <c r="AO13" s="295">
        <f t="shared" ca="1" si="7"/>
        <v>39</v>
      </c>
      <c r="AP13" s="157" t="e">
        <f>#REF!-1</f>
        <v>#REF!</v>
      </c>
      <c r="AQ13" s="100" t="str">
        <f>VLOOKUP(AK13,'Pad Planner - DO NOT AMEND'!A:M,12,FALSE)</f>
        <v/>
      </c>
      <c r="AR13" s="100" t="str">
        <f>VLOOKUP(AK13,'Pad Planner - DO NOT AMEND'!A:M,13,FALSE)</f>
        <v/>
      </c>
    </row>
    <row r="14" spans="1:44">
      <c r="A14" s="88">
        <v>220013</v>
      </c>
      <c r="B14" s="95"/>
      <c r="C14" s="19"/>
      <c r="D14" s="108">
        <v>42937</v>
      </c>
      <c r="E14" s="19" t="s">
        <v>96</v>
      </c>
      <c r="F14" s="96">
        <f t="shared" si="8"/>
        <v>3872712</v>
      </c>
      <c r="G14" s="21">
        <f>F14-K14</f>
        <v>9963</v>
      </c>
      <c r="H14" s="395">
        <v>42918</v>
      </c>
      <c r="I14" s="396" t="s">
        <v>771</v>
      </c>
      <c r="J14" s="22"/>
      <c r="K14" s="99">
        <f>'Mileages EOD'!B15</f>
        <v>3862749</v>
      </c>
      <c r="L14" s="114" t="str">
        <f t="shared" si="1"/>
        <v>S8A</v>
      </c>
      <c r="M14" s="114">
        <f t="shared" si="2"/>
        <v>42964</v>
      </c>
      <c r="N14" s="213"/>
      <c r="O14" s="95"/>
      <c r="P14" s="306">
        <v>220013</v>
      </c>
      <c r="Q14" s="299">
        <v>42964</v>
      </c>
      <c r="R14" s="302" t="s">
        <v>533</v>
      </c>
      <c r="S14" s="296">
        <v>220013</v>
      </c>
      <c r="T14" s="296" t="s">
        <v>534</v>
      </c>
      <c r="U14" s="294">
        <v>42918</v>
      </c>
      <c r="V14" s="117" t="s">
        <v>771</v>
      </c>
      <c r="W14" s="295">
        <f t="shared" ca="1" si="3"/>
        <v>15</v>
      </c>
      <c r="X14" s="295">
        <v>220013</v>
      </c>
      <c r="Y14" s="295" t="s">
        <v>95</v>
      </c>
      <c r="Z14" s="294">
        <v>42907</v>
      </c>
      <c r="AA14" s="295" t="s">
        <v>771</v>
      </c>
      <c r="AB14" s="295">
        <v>220013</v>
      </c>
      <c r="AC14" s="294">
        <v>42937</v>
      </c>
      <c r="AD14" s="295" t="s">
        <v>96</v>
      </c>
      <c r="AE14" s="295">
        <f t="shared" si="4"/>
        <v>20367</v>
      </c>
      <c r="AF14" s="295">
        <f t="shared" ca="1" si="5"/>
        <v>26</v>
      </c>
      <c r="AG14" s="295">
        <v>220013</v>
      </c>
      <c r="AH14" s="295" t="s">
        <v>115</v>
      </c>
      <c r="AI14" s="294">
        <v>42884</v>
      </c>
      <c r="AJ14" s="295" t="s">
        <v>685</v>
      </c>
      <c r="AK14" s="295">
        <v>220013</v>
      </c>
      <c r="AL14" s="294">
        <v>42973</v>
      </c>
      <c r="AM14" s="295" t="s">
        <v>99</v>
      </c>
      <c r="AN14" s="295">
        <f t="shared" si="6"/>
        <v>47994</v>
      </c>
      <c r="AO14" s="295">
        <f t="shared" ca="1" si="7"/>
        <v>49</v>
      </c>
      <c r="AP14" s="157" t="e">
        <f>#REF!-1</f>
        <v>#REF!</v>
      </c>
      <c r="AQ14" s="100" t="str">
        <f>VLOOKUP(AK14,'Pad Planner - DO NOT AMEND'!A:M,12,FALSE)</f>
        <v/>
      </c>
      <c r="AR14" s="100" t="str">
        <f>VLOOKUP(AK14,'Pad Planner - DO NOT AMEND'!A:M,13,FALSE)</f>
        <v/>
      </c>
    </row>
    <row r="15" spans="1:44">
      <c r="A15" s="88">
        <v>220014</v>
      </c>
      <c r="B15" s="95"/>
      <c r="C15" s="19"/>
      <c r="D15" s="108">
        <v>42938</v>
      </c>
      <c r="E15" s="19" t="s">
        <v>95</v>
      </c>
      <c r="F15" s="96">
        <f t="shared" si="8"/>
        <v>3959373</v>
      </c>
      <c r="G15" s="21">
        <f t="shared" si="0"/>
        <v>23472</v>
      </c>
      <c r="H15" s="395">
        <v>42926</v>
      </c>
      <c r="I15" s="396" t="s">
        <v>920</v>
      </c>
      <c r="J15" s="22"/>
      <c r="K15" s="99">
        <f>'Mileages EOD'!B16</f>
        <v>3935901</v>
      </c>
      <c r="L15" s="114" t="str">
        <f t="shared" si="1"/>
        <v>S7A</v>
      </c>
      <c r="M15" s="114">
        <f t="shared" si="2"/>
        <v>42954</v>
      </c>
      <c r="N15" s="213"/>
      <c r="O15" s="95"/>
      <c r="P15" s="305">
        <v>220014</v>
      </c>
      <c r="Q15" s="301">
        <v>42954</v>
      </c>
      <c r="R15" s="300" t="s">
        <v>534</v>
      </c>
      <c r="S15" s="296">
        <v>220014</v>
      </c>
      <c r="T15" s="296" t="s">
        <v>528</v>
      </c>
      <c r="U15" s="294">
        <v>42908</v>
      </c>
      <c r="V15" s="117" t="s">
        <v>739</v>
      </c>
      <c r="W15" s="295">
        <f t="shared" ca="1" si="3"/>
        <v>25</v>
      </c>
      <c r="X15" s="295">
        <v>220014</v>
      </c>
      <c r="Y15" s="295" t="s">
        <v>94</v>
      </c>
      <c r="Z15" s="294">
        <v>42900</v>
      </c>
      <c r="AA15" s="295" t="s">
        <v>739</v>
      </c>
      <c r="AB15" s="295">
        <v>220014</v>
      </c>
      <c r="AC15" s="294">
        <v>42938</v>
      </c>
      <c r="AD15" s="295" t="s">
        <v>95</v>
      </c>
      <c r="AE15" s="295">
        <f t="shared" si="4"/>
        <v>24508</v>
      </c>
      <c r="AF15" s="295">
        <f t="shared" ca="1" si="5"/>
        <v>33</v>
      </c>
      <c r="AG15" s="295">
        <v>220014</v>
      </c>
      <c r="AH15" s="295" t="s">
        <v>115</v>
      </c>
      <c r="AI15" s="294">
        <v>42926</v>
      </c>
      <c r="AJ15" s="295" t="s">
        <v>920</v>
      </c>
      <c r="AK15" s="295">
        <v>220014</v>
      </c>
      <c r="AL15" s="294">
        <v>43009</v>
      </c>
      <c r="AM15" s="295" t="s">
        <v>99</v>
      </c>
      <c r="AN15" s="295">
        <f t="shared" si="6"/>
        <v>6858</v>
      </c>
      <c r="AO15" s="295">
        <f t="shared" ca="1" si="7"/>
        <v>7</v>
      </c>
      <c r="AP15" s="157" t="e">
        <f>#REF!-1</f>
        <v>#REF!</v>
      </c>
      <c r="AQ15" s="100" t="str">
        <f>VLOOKUP(AK15,'Pad Planner - DO NOT AMEND'!A:M,12,FALSE)</f>
        <v>TOPLAN</v>
      </c>
      <c r="AR15" s="100" t="str">
        <f>VLOOKUP(AK15,'Pad Planner - DO NOT AMEND'!A:M,13,FALSE)</f>
        <v>8728965</v>
      </c>
    </row>
    <row r="16" spans="1:44">
      <c r="A16" s="88">
        <v>220015</v>
      </c>
      <c r="B16" s="95"/>
      <c r="C16" s="19"/>
      <c r="D16" s="108">
        <v>42938</v>
      </c>
      <c r="E16" s="19" t="s">
        <v>528</v>
      </c>
      <c r="F16" s="96">
        <f>I16+30330</f>
        <v>3955033</v>
      </c>
      <c r="G16" s="21">
        <f>F16-K16</f>
        <v>24225</v>
      </c>
      <c r="H16" s="395">
        <v>42927</v>
      </c>
      <c r="I16" s="396" t="s">
        <v>921</v>
      </c>
      <c r="J16" s="22"/>
      <c r="K16" s="99">
        <f>'Mileages EOD'!B17</f>
        <v>3930808</v>
      </c>
      <c r="L16" s="114" t="str">
        <f t="shared" si="1"/>
        <v>S6A</v>
      </c>
      <c r="M16" s="114">
        <f t="shared" si="2"/>
        <v>42938</v>
      </c>
      <c r="N16" s="213"/>
      <c r="O16" s="95"/>
      <c r="P16" s="306">
        <v>220015</v>
      </c>
      <c r="Q16" s="299">
        <v>42938</v>
      </c>
      <c r="R16" s="302" t="s">
        <v>528</v>
      </c>
      <c r="S16" s="296">
        <v>220015</v>
      </c>
      <c r="T16" s="296" t="s">
        <v>529</v>
      </c>
      <c r="U16" s="294">
        <v>42891</v>
      </c>
      <c r="V16" s="117" t="s">
        <v>702</v>
      </c>
      <c r="W16" s="295">
        <f t="shared" ca="1" si="3"/>
        <v>42</v>
      </c>
      <c r="X16" s="295">
        <v>220015</v>
      </c>
      <c r="Y16" s="295" t="s">
        <v>94</v>
      </c>
      <c r="Z16" s="294">
        <v>42927</v>
      </c>
      <c r="AA16" s="295" t="s">
        <v>921</v>
      </c>
      <c r="AB16" s="295">
        <v>220015</v>
      </c>
      <c r="AC16" s="294">
        <v>42962</v>
      </c>
      <c r="AD16" s="295" t="s">
        <v>95</v>
      </c>
      <c r="AE16" s="295">
        <f t="shared" si="4"/>
        <v>6105</v>
      </c>
      <c r="AF16" s="295">
        <f t="shared" ca="1" si="5"/>
        <v>6</v>
      </c>
      <c r="AG16" s="295">
        <v>220015</v>
      </c>
      <c r="AH16" s="295" t="s">
        <v>101</v>
      </c>
      <c r="AI16" s="294">
        <v>42859</v>
      </c>
      <c r="AJ16" s="295" t="s">
        <v>626</v>
      </c>
      <c r="AK16" s="295">
        <v>220015</v>
      </c>
      <c r="AL16" s="294">
        <v>42950</v>
      </c>
      <c r="AM16" s="295" t="s">
        <v>115</v>
      </c>
      <c r="AN16" s="295">
        <f t="shared" si="6"/>
        <v>63358</v>
      </c>
      <c r="AO16" s="295">
        <f t="shared" ca="1" si="7"/>
        <v>74</v>
      </c>
      <c r="AP16" s="157" t="e">
        <f>#REF!-1</f>
        <v>#REF!</v>
      </c>
      <c r="AQ16" s="100" t="str">
        <f>VLOOKUP(AK16,'Pad Planner - DO NOT AMEND'!A:M,12,FALSE)</f>
        <v/>
      </c>
      <c r="AR16" s="100" t="str">
        <f>VLOOKUP(AK16,'Pad Planner - DO NOT AMEND'!A:M,13,FALSE)</f>
        <v/>
      </c>
    </row>
    <row r="17" spans="1:44">
      <c r="A17" s="88">
        <v>220016</v>
      </c>
      <c r="B17" s="95"/>
      <c r="C17" s="19"/>
      <c r="D17" s="108">
        <v>42949</v>
      </c>
      <c r="E17" s="19" t="s">
        <v>96</v>
      </c>
      <c r="F17" s="96">
        <f t="shared" si="8"/>
        <v>3852911</v>
      </c>
      <c r="G17" s="21">
        <f t="shared" si="0"/>
        <v>16783</v>
      </c>
      <c r="H17" s="395">
        <v>42924</v>
      </c>
      <c r="I17" s="396" t="s">
        <v>816</v>
      </c>
      <c r="J17" s="22"/>
      <c r="K17" s="99">
        <f>'Mileages EOD'!B18</f>
        <v>3836128</v>
      </c>
      <c r="L17" s="114" t="str">
        <f t="shared" si="1"/>
        <v>S4A</v>
      </c>
      <c r="M17" s="114">
        <f t="shared" si="2"/>
        <v>42969</v>
      </c>
      <c r="N17" s="213"/>
      <c r="O17" s="95"/>
      <c r="P17" s="305">
        <v>220016</v>
      </c>
      <c r="Q17" s="301">
        <v>42969</v>
      </c>
      <c r="R17" s="300" t="s">
        <v>530</v>
      </c>
      <c r="S17" s="296">
        <v>220016</v>
      </c>
      <c r="T17" s="296" t="s">
        <v>531</v>
      </c>
      <c r="U17" s="294">
        <v>42924</v>
      </c>
      <c r="V17" s="117" t="s">
        <v>816</v>
      </c>
      <c r="W17" s="295">
        <f t="shared" ca="1" si="3"/>
        <v>9</v>
      </c>
      <c r="X17" s="295">
        <v>220016</v>
      </c>
      <c r="Y17" s="295" t="s">
        <v>95</v>
      </c>
      <c r="Z17" s="294">
        <v>42914</v>
      </c>
      <c r="AA17" s="295" t="s">
        <v>816</v>
      </c>
      <c r="AB17" s="295">
        <v>220016</v>
      </c>
      <c r="AC17" s="294">
        <v>42949</v>
      </c>
      <c r="AD17" s="295" t="s">
        <v>96</v>
      </c>
      <c r="AE17" s="295">
        <f t="shared" si="4"/>
        <v>13547</v>
      </c>
      <c r="AF17" s="295">
        <f t="shared" ca="1" si="5"/>
        <v>19</v>
      </c>
      <c r="AG17" s="295">
        <v>220016</v>
      </c>
      <c r="AH17" s="295" t="s">
        <v>105</v>
      </c>
      <c r="AI17" s="294">
        <v>42889</v>
      </c>
      <c r="AJ17" s="295" t="s">
        <v>697</v>
      </c>
      <c r="AK17" s="295">
        <v>220016</v>
      </c>
      <c r="AL17" s="294">
        <v>42980</v>
      </c>
      <c r="AM17" s="295" t="s">
        <v>100</v>
      </c>
      <c r="AN17" s="295">
        <f t="shared" si="6"/>
        <v>40562</v>
      </c>
      <c r="AO17" s="295">
        <f t="shared" ca="1" si="7"/>
        <v>44</v>
      </c>
      <c r="AP17" s="157" t="e">
        <f>#REF!-1</f>
        <v>#REF!</v>
      </c>
      <c r="AQ17" s="100" t="str">
        <f>VLOOKUP(AK17,'Pad Planner - DO NOT AMEND'!A:M,12,FALSE)</f>
        <v/>
      </c>
      <c r="AR17" s="100" t="str">
        <f>VLOOKUP(AK17,'Pad Planner - DO NOT AMEND'!A:M,13,FALSE)</f>
        <v/>
      </c>
    </row>
    <row r="18" spans="1:44">
      <c r="A18" s="88">
        <v>220017</v>
      </c>
      <c r="B18" s="95"/>
      <c r="C18" s="19"/>
      <c r="D18" s="108">
        <v>42945</v>
      </c>
      <c r="E18" s="19" t="s">
        <v>530</v>
      </c>
      <c r="F18" s="96">
        <f t="shared" si="8"/>
        <v>3919108</v>
      </c>
      <c r="G18" s="21">
        <f t="shared" si="0"/>
        <v>23840</v>
      </c>
      <c r="H18" s="395">
        <v>42924</v>
      </c>
      <c r="I18" s="396" t="s">
        <v>896</v>
      </c>
      <c r="J18" s="22"/>
      <c r="K18" s="99">
        <f>'Mileages EOD'!B19</f>
        <v>3895268</v>
      </c>
      <c r="L18" s="114" t="str">
        <f t="shared" si="1"/>
        <v>S4A</v>
      </c>
      <c r="M18" s="114">
        <f t="shared" si="2"/>
        <v>42945</v>
      </c>
      <c r="N18" s="213"/>
      <c r="O18" s="95"/>
      <c r="P18" s="306">
        <v>220017</v>
      </c>
      <c r="Q18" s="299">
        <v>42945</v>
      </c>
      <c r="R18" s="302" t="s">
        <v>530</v>
      </c>
      <c r="S18" s="296">
        <v>220017</v>
      </c>
      <c r="T18" s="296" t="s">
        <v>531</v>
      </c>
      <c r="U18" s="294">
        <v>42899</v>
      </c>
      <c r="V18" s="117" t="s">
        <v>699</v>
      </c>
      <c r="W18" s="295">
        <f t="shared" ca="1" si="3"/>
        <v>34</v>
      </c>
      <c r="X18" s="295">
        <v>220017</v>
      </c>
      <c r="Y18" s="295" t="s">
        <v>96</v>
      </c>
      <c r="Z18" s="294">
        <v>42924</v>
      </c>
      <c r="AA18" s="295" t="s">
        <v>896</v>
      </c>
      <c r="AB18" s="295">
        <v>220017</v>
      </c>
      <c r="AC18" s="294">
        <v>42957</v>
      </c>
      <c r="AD18" s="295" t="s">
        <v>93</v>
      </c>
      <c r="AE18" s="295">
        <f t="shared" si="4"/>
        <v>6490</v>
      </c>
      <c r="AF18" s="295">
        <f t="shared" ca="1" si="5"/>
        <v>9</v>
      </c>
      <c r="AG18" s="295">
        <v>220017</v>
      </c>
      <c r="AH18" s="295" t="s">
        <v>105</v>
      </c>
      <c r="AI18" s="294">
        <v>42866</v>
      </c>
      <c r="AJ18" s="295" t="s">
        <v>630</v>
      </c>
      <c r="AK18" s="295">
        <v>220017</v>
      </c>
      <c r="AL18" s="294">
        <v>42955</v>
      </c>
      <c r="AM18" s="295" t="s">
        <v>100</v>
      </c>
      <c r="AN18" s="295">
        <f t="shared" si="6"/>
        <v>57084</v>
      </c>
      <c r="AO18" s="295">
        <f t="shared" ca="1" si="7"/>
        <v>67</v>
      </c>
      <c r="AP18" s="157" t="e">
        <f>#REF!-1</f>
        <v>#REF!</v>
      </c>
      <c r="AQ18" s="100" t="str">
        <f>VLOOKUP(AK18,'Pad Planner - DO NOT AMEND'!A:M,12,FALSE)</f>
        <v/>
      </c>
      <c r="AR18" s="100" t="str">
        <f>VLOOKUP(AK18,'Pad Planner - DO NOT AMEND'!A:M,13,FALSE)</f>
        <v/>
      </c>
    </row>
    <row r="19" spans="1:44">
      <c r="A19" s="88">
        <v>220018</v>
      </c>
      <c r="B19" s="95"/>
      <c r="C19" s="19"/>
      <c r="D19" s="108">
        <v>42936</v>
      </c>
      <c r="E19" s="19" t="s">
        <v>96</v>
      </c>
      <c r="F19" s="96">
        <f t="shared" si="8"/>
        <v>3955889</v>
      </c>
      <c r="G19" s="21">
        <f t="shared" si="0"/>
        <v>8815</v>
      </c>
      <c r="H19" s="395">
        <v>42920</v>
      </c>
      <c r="I19" s="396" t="s">
        <v>749</v>
      </c>
      <c r="J19" s="22"/>
      <c r="K19" s="99">
        <f>'Mileages EOD'!B20</f>
        <v>3947074</v>
      </c>
      <c r="L19" s="114" t="str">
        <f t="shared" si="1"/>
        <v>S4A</v>
      </c>
      <c r="M19" s="114">
        <f t="shared" si="2"/>
        <v>42963</v>
      </c>
      <c r="N19" s="213"/>
      <c r="O19" s="95"/>
      <c r="P19" s="305">
        <v>220018</v>
      </c>
      <c r="Q19" s="301">
        <v>42963</v>
      </c>
      <c r="R19" s="300" t="s">
        <v>530</v>
      </c>
      <c r="S19" s="296">
        <v>220018</v>
      </c>
      <c r="T19" s="296" t="s">
        <v>531</v>
      </c>
      <c r="U19" s="294">
        <v>42920</v>
      </c>
      <c r="V19" s="117" t="s">
        <v>749</v>
      </c>
      <c r="W19" s="295">
        <f t="shared" ca="1" si="3"/>
        <v>13</v>
      </c>
      <c r="X19" s="295">
        <v>220018</v>
      </c>
      <c r="Y19" s="295" t="s">
        <v>95</v>
      </c>
      <c r="Z19" s="294">
        <v>42903</v>
      </c>
      <c r="AA19" s="295" t="s">
        <v>749</v>
      </c>
      <c r="AB19" s="295">
        <v>220018</v>
      </c>
      <c r="AC19" s="294">
        <v>42936</v>
      </c>
      <c r="AD19" s="295" t="s">
        <v>96</v>
      </c>
      <c r="AE19" s="295">
        <f t="shared" si="4"/>
        <v>21515</v>
      </c>
      <c r="AF19" s="295">
        <f t="shared" ca="1" si="5"/>
        <v>30</v>
      </c>
      <c r="AG19" s="295">
        <v>220018</v>
      </c>
      <c r="AH19" s="295" t="s">
        <v>105</v>
      </c>
      <c r="AI19" s="294">
        <v>42881</v>
      </c>
      <c r="AJ19" s="295" t="s">
        <v>637</v>
      </c>
      <c r="AK19" s="295">
        <v>220018</v>
      </c>
      <c r="AL19" s="294">
        <v>42971</v>
      </c>
      <c r="AM19" s="295" t="s">
        <v>100</v>
      </c>
      <c r="AN19" s="295">
        <f t="shared" si="6"/>
        <v>47605</v>
      </c>
      <c r="AO19" s="295">
        <f t="shared" ca="1" si="7"/>
        <v>52</v>
      </c>
      <c r="AP19" s="157" t="e">
        <f>#REF!-1</f>
        <v>#REF!</v>
      </c>
      <c r="AQ19" s="100" t="str">
        <f>VLOOKUP(AK19,'Pad Planner - DO NOT AMEND'!A:M,12,FALSE)</f>
        <v/>
      </c>
      <c r="AR19" s="100" t="str">
        <f>VLOOKUP(AK19,'Pad Planner - DO NOT AMEND'!A:M,13,FALSE)</f>
        <v/>
      </c>
    </row>
    <row r="20" spans="1:44">
      <c r="A20" s="88">
        <v>220019</v>
      </c>
      <c r="B20" s="95"/>
      <c r="C20" s="19"/>
      <c r="D20" s="108">
        <v>42934</v>
      </c>
      <c r="E20" s="19" t="s">
        <v>93</v>
      </c>
      <c r="F20" s="96">
        <f t="shared" si="8"/>
        <v>3653236</v>
      </c>
      <c r="G20" s="21">
        <f>F20-K20</f>
        <v>1193</v>
      </c>
      <c r="H20" s="395">
        <v>42907</v>
      </c>
      <c r="I20" s="396" t="s">
        <v>717</v>
      </c>
      <c r="J20" s="22"/>
      <c r="K20" s="99">
        <f>'Mileages EOD'!B21</f>
        <v>3652043</v>
      </c>
      <c r="L20" s="114" t="str">
        <f t="shared" si="1"/>
        <v>S6A</v>
      </c>
      <c r="M20" s="114">
        <f t="shared" si="2"/>
        <v>42941</v>
      </c>
      <c r="N20" s="213"/>
      <c r="O20" s="95"/>
      <c r="P20" s="306">
        <v>220019</v>
      </c>
      <c r="Q20" s="299">
        <v>42941</v>
      </c>
      <c r="R20" s="302" t="s">
        <v>528</v>
      </c>
      <c r="S20" s="296">
        <v>220019</v>
      </c>
      <c r="T20" s="296" t="s">
        <v>529</v>
      </c>
      <c r="U20" s="294">
        <v>42895</v>
      </c>
      <c r="V20" s="117" t="s">
        <v>717</v>
      </c>
      <c r="W20" s="295">
        <f t="shared" ca="1" si="3"/>
        <v>38</v>
      </c>
      <c r="X20" s="295">
        <v>220019</v>
      </c>
      <c r="Y20" s="295" t="s">
        <v>96</v>
      </c>
      <c r="Z20" s="294">
        <v>42894</v>
      </c>
      <c r="AA20" s="295" t="s">
        <v>717</v>
      </c>
      <c r="AB20" s="295">
        <v>220019</v>
      </c>
      <c r="AC20" s="294">
        <v>42934</v>
      </c>
      <c r="AD20" s="295" t="s">
        <v>93</v>
      </c>
      <c r="AE20" s="295">
        <f t="shared" si="4"/>
        <v>29137</v>
      </c>
      <c r="AF20" s="295">
        <f t="shared" ca="1" si="5"/>
        <v>39</v>
      </c>
      <c r="AG20" s="295">
        <v>220019</v>
      </c>
      <c r="AH20" s="295" t="s">
        <v>115</v>
      </c>
      <c r="AI20" s="294">
        <v>42907</v>
      </c>
      <c r="AJ20" s="295" t="s">
        <v>717</v>
      </c>
      <c r="AK20" s="295">
        <v>220019</v>
      </c>
      <c r="AL20" s="294">
        <v>42997</v>
      </c>
      <c r="AM20" s="295" t="s">
        <v>99</v>
      </c>
      <c r="AN20" s="295">
        <f t="shared" si="6"/>
        <v>29137</v>
      </c>
      <c r="AO20" s="295">
        <f t="shared" ca="1" si="7"/>
        <v>26</v>
      </c>
      <c r="AP20" s="157" t="e">
        <f>#REF!-1</f>
        <v>#REF!</v>
      </c>
      <c r="AQ20" s="100" t="str">
        <f>VLOOKUP(AK20,'Pad Planner - DO NOT AMEND'!A:M,12,FALSE)</f>
        <v>CHECKED</v>
      </c>
      <c r="AR20" s="100">
        <f>VLOOKUP(AK20,'Pad Planner - DO NOT AMEND'!A:M,13,FALSE)</f>
        <v>0</v>
      </c>
    </row>
    <row r="21" spans="1:44">
      <c r="A21" s="88">
        <v>220020</v>
      </c>
      <c r="B21" s="95"/>
      <c r="C21" s="19"/>
      <c r="D21" s="108">
        <v>42931</v>
      </c>
      <c r="E21" s="19" t="s">
        <v>94</v>
      </c>
      <c r="F21" s="96">
        <f t="shared" si="8"/>
        <v>3903721</v>
      </c>
      <c r="G21" s="21">
        <f t="shared" si="0"/>
        <v>687</v>
      </c>
      <c r="H21" s="395">
        <v>42897</v>
      </c>
      <c r="I21" s="396" t="s">
        <v>725</v>
      </c>
      <c r="J21" s="22"/>
      <c r="K21" s="99">
        <f>'Mileages EOD'!B22</f>
        <v>3903034</v>
      </c>
      <c r="L21" s="114" t="str">
        <f t="shared" si="1"/>
        <v>S2A</v>
      </c>
      <c r="M21" s="114">
        <f t="shared" si="2"/>
        <v>42934</v>
      </c>
      <c r="N21" s="213"/>
      <c r="O21" s="95"/>
      <c r="P21" s="305">
        <v>220020</v>
      </c>
      <c r="Q21" s="301">
        <v>42934</v>
      </c>
      <c r="R21" s="300" t="s">
        <v>532</v>
      </c>
      <c r="S21" s="296">
        <v>220020</v>
      </c>
      <c r="T21" s="296" t="s">
        <v>527</v>
      </c>
      <c r="U21" s="294">
        <v>42893</v>
      </c>
      <c r="V21" s="117" t="s">
        <v>715</v>
      </c>
      <c r="W21" s="295">
        <f t="shared" ca="1" si="3"/>
        <v>40</v>
      </c>
      <c r="X21" s="295">
        <v>220020</v>
      </c>
      <c r="Y21" s="295" t="s">
        <v>93</v>
      </c>
      <c r="Z21" s="294">
        <v>42897</v>
      </c>
      <c r="AA21" s="295" t="s">
        <v>725</v>
      </c>
      <c r="AB21" s="295">
        <v>220020</v>
      </c>
      <c r="AC21" s="294">
        <v>42931</v>
      </c>
      <c r="AD21" s="295" t="s">
        <v>94</v>
      </c>
      <c r="AE21" s="295">
        <f t="shared" si="4"/>
        <v>29643</v>
      </c>
      <c r="AF21" s="295">
        <f t="shared" ca="1" si="5"/>
        <v>36</v>
      </c>
      <c r="AG21" s="295">
        <v>220020</v>
      </c>
      <c r="AH21" s="295" t="s">
        <v>99</v>
      </c>
      <c r="AI21" s="294">
        <v>42857</v>
      </c>
      <c r="AJ21" s="295" t="s">
        <v>606</v>
      </c>
      <c r="AK21" s="295">
        <v>220020</v>
      </c>
      <c r="AL21" s="294">
        <v>42945</v>
      </c>
      <c r="AM21" s="295" t="s">
        <v>105</v>
      </c>
      <c r="AN21" s="295">
        <f t="shared" si="6"/>
        <v>58622</v>
      </c>
      <c r="AO21" s="295">
        <f t="shared" ca="1" si="7"/>
        <v>76</v>
      </c>
      <c r="AP21" s="157" t="e">
        <f>#REF!-1</f>
        <v>#REF!</v>
      </c>
      <c r="AQ21" s="100" t="str">
        <f>VLOOKUP(AK21,'Pad Planner - DO NOT AMEND'!A:M,12,FALSE)</f>
        <v>CHECKED</v>
      </c>
      <c r="AR21" s="100" t="str">
        <f>VLOOKUP(AK21,'Pad Planner - DO NOT AMEND'!A:M,13,FALSE)</f>
        <v>9164324</v>
      </c>
    </row>
    <row r="22" spans="1:44">
      <c r="A22" s="88">
        <v>220021</v>
      </c>
      <c r="B22" s="95"/>
      <c r="C22" s="19"/>
      <c r="D22" s="108">
        <v>42940</v>
      </c>
      <c r="E22" s="19" t="s">
        <v>105</v>
      </c>
      <c r="F22" s="96">
        <f t="shared" si="8"/>
        <v>3922694</v>
      </c>
      <c r="G22" s="21">
        <f t="shared" si="0"/>
        <v>24812</v>
      </c>
      <c r="H22" s="395">
        <v>42929</v>
      </c>
      <c r="I22" s="396" t="s">
        <v>907</v>
      </c>
      <c r="J22" s="22"/>
      <c r="K22" s="99">
        <f>'Mileages EOD'!B23</f>
        <v>3897882</v>
      </c>
      <c r="L22" s="114" t="str">
        <f t="shared" si="1"/>
        <v>S3A</v>
      </c>
      <c r="M22" s="114">
        <f t="shared" si="2"/>
        <v>42977</v>
      </c>
      <c r="N22" s="213"/>
      <c r="O22" s="95"/>
      <c r="P22" s="306">
        <v>220021</v>
      </c>
      <c r="Q22" s="299">
        <v>42977</v>
      </c>
      <c r="R22" s="302" t="s">
        <v>531</v>
      </c>
      <c r="S22" s="296">
        <v>220021</v>
      </c>
      <c r="T22" s="296" t="s">
        <v>532</v>
      </c>
      <c r="U22" s="294">
        <v>42929</v>
      </c>
      <c r="V22" s="117" t="s">
        <v>907</v>
      </c>
      <c r="W22" s="295">
        <f t="shared" ca="1" si="3"/>
        <v>4</v>
      </c>
      <c r="X22" s="295">
        <v>220021</v>
      </c>
      <c r="Y22" s="295" t="s">
        <v>94</v>
      </c>
      <c r="Z22" s="294">
        <v>42925</v>
      </c>
      <c r="AA22" s="295" t="s">
        <v>907</v>
      </c>
      <c r="AB22" s="295">
        <v>220021</v>
      </c>
      <c r="AC22" s="294">
        <v>42960</v>
      </c>
      <c r="AD22" s="295" t="s">
        <v>95</v>
      </c>
      <c r="AE22" s="295">
        <f t="shared" si="4"/>
        <v>5518</v>
      </c>
      <c r="AF22" s="295">
        <f t="shared" ca="1" si="5"/>
        <v>8</v>
      </c>
      <c r="AG22" s="295">
        <v>220021</v>
      </c>
      <c r="AH22" s="295" t="s">
        <v>99</v>
      </c>
      <c r="AI22" s="294">
        <v>42862</v>
      </c>
      <c r="AJ22" s="295" t="s">
        <v>624</v>
      </c>
      <c r="AK22" s="295">
        <v>220021</v>
      </c>
      <c r="AL22" s="294">
        <v>42940</v>
      </c>
      <c r="AM22" s="295" t="s">
        <v>105</v>
      </c>
      <c r="AN22" s="295">
        <f t="shared" si="6"/>
        <v>53538</v>
      </c>
      <c r="AO22" s="295">
        <f t="shared" ca="1" si="7"/>
        <v>71</v>
      </c>
      <c r="AP22" s="157" t="e">
        <f>#REF!-1</f>
        <v>#REF!</v>
      </c>
      <c r="AQ22" s="100" t="str">
        <f>VLOOKUP(AK22,'Pad Planner - DO NOT AMEND'!A:M,12,FALSE)</f>
        <v>TOPLAN</v>
      </c>
      <c r="AR22" s="100" t="str">
        <f>VLOOKUP(AK22,'Pad Planner - DO NOT AMEND'!A:M,13,FALSE)</f>
        <v>9142104</v>
      </c>
    </row>
    <row r="23" spans="1:44">
      <c r="A23" s="88">
        <v>220022</v>
      </c>
      <c r="B23" s="95"/>
      <c r="C23" s="19"/>
      <c r="D23" s="108">
        <v>42953</v>
      </c>
      <c r="E23" s="19" t="s">
        <v>94</v>
      </c>
      <c r="F23" s="96">
        <f t="shared" si="8"/>
        <v>3886805</v>
      </c>
      <c r="G23" s="21">
        <f t="shared" si="0"/>
        <v>16013</v>
      </c>
      <c r="H23" s="395">
        <v>42917</v>
      </c>
      <c r="I23" s="396" t="s">
        <v>822</v>
      </c>
      <c r="J23" s="22"/>
      <c r="K23" s="99">
        <f>'Mileages EOD'!B24</f>
        <v>3870792</v>
      </c>
      <c r="L23" s="114" t="str">
        <f t="shared" si="1"/>
        <v>S2A</v>
      </c>
      <c r="M23" s="114">
        <f t="shared" si="2"/>
        <v>42958</v>
      </c>
      <c r="N23" s="213"/>
      <c r="O23" s="95"/>
      <c r="P23" s="305">
        <v>220022</v>
      </c>
      <c r="Q23" s="301">
        <v>42958</v>
      </c>
      <c r="R23" s="300" t="s">
        <v>532</v>
      </c>
      <c r="S23" s="296">
        <v>220022</v>
      </c>
      <c r="T23" s="296" t="s">
        <v>527</v>
      </c>
      <c r="U23" s="294">
        <v>42912</v>
      </c>
      <c r="V23" s="117" t="s">
        <v>680</v>
      </c>
      <c r="W23" s="295">
        <f t="shared" ca="1" si="3"/>
        <v>21</v>
      </c>
      <c r="X23" s="295">
        <v>220022</v>
      </c>
      <c r="Y23" s="295" t="s">
        <v>93</v>
      </c>
      <c r="Z23" s="294">
        <v>42917</v>
      </c>
      <c r="AA23" s="295" t="s">
        <v>822</v>
      </c>
      <c r="AB23" s="295">
        <v>220022</v>
      </c>
      <c r="AC23" s="294">
        <v>42953</v>
      </c>
      <c r="AD23" s="295" t="s">
        <v>94</v>
      </c>
      <c r="AE23" s="295">
        <f t="shared" si="4"/>
        <v>14317</v>
      </c>
      <c r="AF23" s="295">
        <f t="shared" ca="1" si="5"/>
        <v>16</v>
      </c>
      <c r="AG23" s="295">
        <v>220022</v>
      </c>
      <c r="AH23" s="295" t="s">
        <v>99</v>
      </c>
      <c r="AI23" s="294">
        <v>42881</v>
      </c>
      <c r="AJ23" s="295" t="s">
        <v>680</v>
      </c>
      <c r="AK23" s="295">
        <v>220022</v>
      </c>
      <c r="AL23" s="294">
        <v>42970</v>
      </c>
      <c r="AM23" s="295" t="s">
        <v>105</v>
      </c>
      <c r="AN23" s="295">
        <f t="shared" si="6"/>
        <v>42068</v>
      </c>
      <c r="AO23" s="295">
        <f t="shared" ca="1" si="7"/>
        <v>52</v>
      </c>
      <c r="AP23" s="157" t="e">
        <f>#REF!-1</f>
        <v>#REF!</v>
      </c>
      <c r="AQ23" s="100" t="str">
        <f>VLOOKUP(AK23,'Pad Planner - DO NOT AMEND'!A:M,12,FALSE)</f>
        <v/>
      </c>
      <c r="AR23" s="100" t="str">
        <f>VLOOKUP(AK23,'Pad Planner - DO NOT AMEND'!A:M,13,FALSE)</f>
        <v/>
      </c>
    </row>
    <row r="24" spans="1:44">
      <c r="A24" s="88">
        <v>220023</v>
      </c>
      <c r="B24" s="95"/>
      <c r="C24" s="19"/>
      <c r="D24" s="108">
        <v>42941</v>
      </c>
      <c r="E24" s="19" t="s">
        <v>94</v>
      </c>
      <c r="F24" s="96">
        <f t="shared" si="8"/>
        <v>3911335</v>
      </c>
      <c r="G24" s="21">
        <f t="shared" si="0"/>
        <v>8353</v>
      </c>
      <c r="H24" s="395">
        <v>42907</v>
      </c>
      <c r="I24" s="396" t="s">
        <v>772</v>
      </c>
      <c r="J24" s="22"/>
      <c r="K24" s="99">
        <f>'Mileages EOD'!B25</f>
        <v>3902982</v>
      </c>
      <c r="L24" s="114" t="str">
        <f t="shared" si="1"/>
        <v>S1A</v>
      </c>
      <c r="M24" s="114">
        <f t="shared" si="2"/>
        <v>42948</v>
      </c>
      <c r="N24" s="213"/>
      <c r="O24" s="95"/>
      <c r="P24" s="306">
        <v>220023</v>
      </c>
      <c r="Q24" s="299">
        <v>42948</v>
      </c>
      <c r="R24" s="302" t="s">
        <v>527</v>
      </c>
      <c r="S24" s="296">
        <v>220023</v>
      </c>
      <c r="T24" s="296" t="s">
        <v>533</v>
      </c>
      <c r="U24" s="294">
        <v>42903</v>
      </c>
      <c r="V24" s="117" t="s">
        <v>640</v>
      </c>
      <c r="W24" s="295">
        <f t="shared" ca="1" si="3"/>
        <v>30</v>
      </c>
      <c r="X24" s="295">
        <v>220023</v>
      </c>
      <c r="Y24" s="295" t="s">
        <v>93</v>
      </c>
      <c r="Z24" s="294">
        <v>42907</v>
      </c>
      <c r="AA24" s="295" t="s">
        <v>772</v>
      </c>
      <c r="AB24" s="295">
        <v>220023</v>
      </c>
      <c r="AC24" s="294">
        <v>42941</v>
      </c>
      <c r="AD24" s="295" t="s">
        <v>94</v>
      </c>
      <c r="AE24" s="295">
        <f t="shared" si="4"/>
        <v>21977</v>
      </c>
      <c r="AF24" s="295">
        <f t="shared" ca="1" si="5"/>
        <v>26</v>
      </c>
      <c r="AG24" s="295">
        <v>220023</v>
      </c>
      <c r="AH24" s="295" t="s">
        <v>99</v>
      </c>
      <c r="AI24" s="294">
        <v>42903</v>
      </c>
      <c r="AJ24" s="295" t="s">
        <v>748</v>
      </c>
      <c r="AK24" s="295">
        <v>220023</v>
      </c>
      <c r="AL24" s="294">
        <v>42996</v>
      </c>
      <c r="AM24" s="295" t="s">
        <v>105</v>
      </c>
      <c r="AN24" s="295">
        <f t="shared" si="6"/>
        <v>23911</v>
      </c>
      <c r="AO24" s="295">
        <f t="shared" ca="1" si="7"/>
        <v>30</v>
      </c>
      <c r="AP24" s="157" t="e">
        <f>#REF!-1</f>
        <v>#REF!</v>
      </c>
      <c r="AQ24" s="100" t="str">
        <f>VLOOKUP(AK24,'Pad Planner - DO NOT AMEND'!A:M,12,FALSE)</f>
        <v/>
      </c>
      <c r="AR24" s="100" t="str">
        <f>VLOOKUP(AK24,'Pad Planner - DO NOT AMEND'!A:M,13,FALSE)</f>
        <v/>
      </c>
    </row>
    <row r="25" spans="1:44">
      <c r="A25" s="88">
        <v>220024</v>
      </c>
      <c r="B25" s="95"/>
      <c r="C25" s="19"/>
      <c r="D25" s="108">
        <v>42946</v>
      </c>
      <c r="E25" s="19" t="s">
        <v>94</v>
      </c>
      <c r="F25" s="96">
        <f t="shared" si="8"/>
        <v>3901441</v>
      </c>
      <c r="G25" s="21">
        <f t="shared" si="0"/>
        <v>17078</v>
      </c>
      <c r="H25" s="395">
        <v>42912</v>
      </c>
      <c r="I25" s="396" t="s">
        <v>796</v>
      </c>
      <c r="J25" s="22"/>
      <c r="K25" s="99">
        <f>'Mileages EOD'!B26</f>
        <v>3884363</v>
      </c>
      <c r="L25" s="114" t="str">
        <f t="shared" si="1"/>
        <v>S1A</v>
      </c>
      <c r="M25" s="114">
        <f t="shared" si="2"/>
        <v>42950</v>
      </c>
      <c r="N25" s="213"/>
      <c r="O25" s="95"/>
      <c r="P25" s="305">
        <v>220024</v>
      </c>
      <c r="Q25" s="301">
        <v>42950</v>
      </c>
      <c r="R25" s="300" t="s">
        <v>527</v>
      </c>
      <c r="S25" s="296">
        <v>220024</v>
      </c>
      <c r="T25" s="296" t="s">
        <v>533</v>
      </c>
      <c r="U25" s="294">
        <v>42904</v>
      </c>
      <c r="V25" s="117" t="s">
        <v>658</v>
      </c>
      <c r="W25" s="295">
        <f t="shared" ca="1" si="3"/>
        <v>29</v>
      </c>
      <c r="X25" s="295">
        <v>220024</v>
      </c>
      <c r="Y25" s="295" t="s">
        <v>93</v>
      </c>
      <c r="Z25" s="294">
        <v>42912</v>
      </c>
      <c r="AA25" s="295" t="s">
        <v>796</v>
      </c>
      <c r="AB25" s="295">
        <v>220024</v>
      </c>
      <c r="AC25" s="294">
        <v>42946</v>
      </c>
      <c r="AD25" s="295" t="s">
        <v>94</v>
      </c>
      <c r="AE25" s="295">
        <f t="shared" si="4"/>
        <v>13252</v>
      </c>
      <c r="AF25" s="295">
        <f t="shared" ca="1" si="5"/>
        <v>21</v>
      </c>
      <c r="AG25" s="295">
        <v>220024</v>
      </c>
      <c r="AH25" s="295" t="s">
        <v>99</v>
      </c>
      <c r="AI25" s="294">
        <v>42914</v>
      </c>
      <c r="AJ25" s="295" t="s">
        <v>796</v>
      </c>
      <c r="AK25" s="295">
        <v>220024</v>
      </c>
      <c r="AL25" s="294">
        <v>43001</v>
      </c>
      <c r="AM25" s="295" t="s">
        <v>105</v>
      </c>
      <c r="AN25" s="295">
        <f t="shared" si="6"/>
        <v>13252</v>
      </c>
      <c r="AO25" s="295">
        <f t="shared" ca="1" si="7"/>
        <v>19</v>
      </c>
      <c r="AP25" s="157" t="e">
        <f>#REF!-1</f>
        <v>#REF!</v>
      </c>
      <c r="AQ25" s="100" t="str">
        <f>VLOOKUP(AK25,'Pad Planner - DO NOT AMEND'!A:M,12,FALSE)</f>
        <v>TOPLAN</v>
      </c>
      <c r="AR25" s="100" t="str">
        <f>VLOOKUP(AK25,'Pad Planner - DO NOT AMEND'!A:M,13,FALSE)</f>
        <v>8707741</v>
      </c>
    </row>
    <row r="26" spans="1:44">
      <c r="A26" s="88">
        <v>220025</v>
      </c>
      <c r="B26" s="95"/>
      <c r="C26" s="19"/>
      <c r="D26" s="108">
        <v>42958</v>
      </c>
      <c r="E26" s="19" t="s">
        <v>95</v>
      </c>
      <c r="F26" s="96">
        <f t="shared" si="8"/>
        <v>3920100</v>
      </c>
      <c r="G26" s="21">
        <f t="shared" si="0"/>
        <v>21111</v>
      </c>
      <c r="H26" s="395">
        <v>42926</v>
      </c>
      <c r="I26" s="396" t="s">
        <v>890</v>
      </c>
      <c r="J26" s="22"/>
      <c r="K26" s="99">
        <f>'Mileages EOD'!B27</f>
        <v>3898989</v>
      </c>
      <c r="L26" s="114" t="str">
        <f t="shared" si="1"/>
        <v>S2A</v>
      </c>
      <c r="M26" s="114">
        <f t="shared" si="2"/>
        <v>42973</v>
      </c>
      <c r="N26" s="213"/>
      <c r="O26" s="95"/>
      <c r="P26" s="306">
        <v>220025</v>
      </c>
      <c r="Q26" s="299">
        <v>42973</v>
      </c>
      <c r="R26" s="302" t="s">
        <v>532</v>
      </c>
      <c r="S26" s="296">
        <v>220025</v>
      </c>
      <c r="T26" s="296" t="s">
        <v>527</v>
      </c>
      <c r="U26" s="294">
        <v>42926</v>
      </c>
      <c r="V26" s="117" t="s">
        <v>890</v>
      </c>
      <c r="W26" s="295">
        <f t="shared" ca="1" si="3"/>
        <v>7</v>
      </c>
      <c r="X26" s="295">
        <v>220025</v>
      </c>
      <c r="Y26" s="295" t="s">
        <v>94</v>
      </c>
      <c r="Z26" s="294">
        <v>42922</v>
      </c>
      <c r="AA26" s="295" t="s">
        <v>890</v>
      </c>
      <c r="AB26" s="295">
        <v>220025</v>
      </c>
      <c r="AC26" s="294">
        <v>42958</v>
      </c>
      <c r="AD26" s="295" t="s">
        <v>95</v>
      </c>
      <c r="AE26" s="295">
        <f t="shared" si="4"/>
        <v>9219</v>
      </c>
      <c r="AF26" s="295">
        <f t="shared" ca="1" si="5"/>
        <v>11</v>
      </c>
      <c r="AG26" s="295">
        <v>220025</v>
      </c>
      <c r="AH26" s="295" t="s">
        <v>99</v>
      </c>
      <c r="AI26" s="294">
        <v>42888</v>
      </c>
      <c r="AJ26" s="295" t="s">
        <v>698</v>
      </c>
      <c r="AK26" s="295">
        <v>220025</v>
      </c>
      <c r="AL26" s="294">
        <v>42979</v>
      </c>
      <c r="AM26" s="295" t="s">
        <v>105</v>
      </c>
      <c r="AN26" s="295">
        <f t="shared" si="6"/>
        <v>30224</v>
      </c>
      <c r="AO26" s="295">
        <f t="shared" ca="1" si="7"/>
        <v>45</v>
      </c>
      <c r="AP26" s="157" t="e">
        <f>#REF!-1</f>
        <v>#REF!</v>
      </c>
      <c r="AQ26" s="100" t="str">
        <f>VLOOKUP(AK26,'Pad Planner - DO NOT AMEND'!A:M,12,FALSE)</f>
        <v/>
      </c>
      <c r="AR26" s="100" t="str">
        <f>VLOOKUP(AK26,'Pad Planner - DO NOT AMEND'!A:M,13,FALSE)</f>
        <v/>
      </c>
    </row>
    <row r="27" spans="1:44">
      <c r="A27" s="88">
        <v>220026</v>
      </c>
      <c r="B27" s="95"/>
      <c r="C27" s="19"/>
      <c r="D27" s="108">
        <v>42947</v>
      </c>
      <c r="E27" s="19" t="s">
        <v>531</v>
      </c>
      <c r="F27" s="96">
        <f t="shared" si="8"/>
        <v>3940498</v>
      </c>
      <c r="G27" s="21">
        <f t="shared" si="0"/>
        <v>27179</v>
      </c>
      <c r="H27" s="395">
        <v>42930</v>
      </c>
      <c r="I27" s="396" t="s">
        <v>1017</v>
      </c>
      <c r="J27" s="22"/>
      <c r="K27" s="99">
        <f>'Mileages EOD'!B28</f>
        <v>3913319</v>
      </c>
      <c r="L27" s="114" t="str">
        <f t="shared" si="1"/>
        <v>S3A</v>
      </c>
      <c r="M27" s="114">
        <f t="shared" si="2"/>
        <v>42947</v>
      </c>
      <c r="N27" s="213"/>
      <c r="O27" s="95"/>
      <c r="P27" s="305">
        <v>220026</v>
      </c>
      <c r="Q27" s="301">
        <v>42947</v>
      </c>
      <c r="R27" s="300" t="s">
        <v>531</v>
      </c>
      <c r="S27" s="296">
        <v>220026</v>
      </c>
      <c r="T27" s="296" t="s">
        <v>532</v>
      </c>
      <c r="U27" s="294">
        <v>42901</v>
      </c>
      <c r="V27" s="117" t="s">
        <v>733</v>
      </c>
      <c r="W27" s="295">
        <f t="shared" ca="1" si="3"/>
        <v>32</v>
      </c>
      <c r="X27" s="295">
        <v>220026</v>
      </c>
      <c r="Y27" s="295" t="s">
        <v>95</v>
      </c>
      <c r="Z27" s="294">
        <v>42930</v>
      </c>
      <c r="AA27" s="295" t="s">
        <v>1017</v>
      </c>
      <c r="AB27" s="295">
        <v>220026</v>
      </c>
      <c r="AC27" s="294">
        <v>42968</v>
      </c>
      <c r="AD27" s="295" t="s">
        <v>96</v>
      </c>
      <c r="AE27" s="295">
        <f t="shared" si="4"/>
        <v>3151</v>
      </c>
      <c r="AF27" s="295">
        <f t="shared" ca="1" si="5"/>
        <v>3</v>
      </c>
      <c r="AG27" s="295">
        <v>220026</v>
      </c>
      <c r="AH27" s="295" t="s">
        <v>105</v>
      </c>
      <c r="AI27" s="294">
        <v>42916</v>
      </c>
      <c r="AJ27" s="295" t="s">
        <v>820</v>
      </c>
      <c r="AK27" s="295">
        <v>220026</v>
      </c>
      <c r="AL27" s="294">
        <v>43007</v>
      </c>
      <c r="AM27" s="295" t="s">
        <v>100</v>
      </c>
      <c r="AN27" s="295">
        <f t="shared" si="6"/>
        <v>14382</v>
      </c>
      <c r="AO27" s="295">
        <f t="shared" ca="1" si="7"/>
        <v>17</v>
      </c>
      <c r="AP27" s="157" t="e">
        <f>#REF!-1</f>
        <v>#REF!</v>
      </c>
      <c r="AQ27" s="100" t="str">
        <f>VLOOKUP(AK27,'Pad Planner - DO NOT AMEND'!A:M,12,FALSE)</f>
        <v/>
      </c>
      <c r="AR27" s="100" t="str">
        <f>VLOOKUP(AK27,'Pad Planner - DO NOT AMEND'!A:M,13,FALSE)</f>
        <v/>
      </c>
    </row>
    <row r="28" spans="1:44">
      <c r="A28" s="88">
        <v>220027</v>
      </c>
      <c r="B28" s="95"/>
      <c r="C28" s="19"/>
      <c r="D28" s="108">
        <v>42963</v>
      </c>
      <c r="E28" s="19" t="s">
        <v>94</v>
      </c>
      <c r="F28" s="96">
        <f t="shared" si="8"/>
        <v>3926522</v>
      </c>
      <c r="G28" s="21">
        <f t="shared" si="0"/>
        <v>27798</v>
      </c>
      <c r="H28" s="395">
        <v>42931</v>
      </c>
      <c r="I28" s="396" t="s">
        <v>1014</v>
      </c>
      <c r="J28" s="22"/>
      <c r="K28" s="99">
        <f>'Mileages EOD'!B29</f>
        <v>3898724</v>
      </c>
      <c r="L28" s="114" t="str">
        <f t="shared" si="1"/>
        <v>S1A</v>
      </c>
      <c r="M28" s="114">
        <f t="shared" si="2"/>
        <v>42968</v>
      </c>
      <c r="N28" s="213"/>
      <c r="O28" s="95"/>
      <c r="P28" s="306">
        <v>220027</v>
      </c>
      <c r="Q28" s="299">
        <v>42968</v>
      </c>
      <c r="R28" s="302" t="s">
        <v>527</v>
      </c>
      <c r="S28" s="296">
        <v>220027</v>
      </c>
      <c r="T28" s="296" t="s">
        <v>533</v>
      </c>
      <c r="U28" s="294">
        <v>42924</v>
      </c>
      <c r="V28" s="117" t="s">
        <v>718</v>
      </c>
      <c r="W28" s="295">
        <f t="shared" ca="1" si="3"/>
        <v>9</v>
      </c>
      <c r="X28" s="295">
        <v>220027</v>
      </c>
      <c r="Y28" s="295" t="s">
        <v>93</v>
      </c>
      <c r="Z28" s="294">
        <v>42929</v>
      </c>
      <c r="AA28" s="295" t="s">
        <v>1014</v>
      </c>
      <c r="AB28" s="295">
        <v>220027</v>
      </c>
      <c r="AC28" s="294">
        <v>42963</v>
      </c>
      <c r="AD28" s="295" t="s">
        <v>94</v>
      </c>
      <c r="AE28" s="295">
        <f t="shared" si="4"/>
        <v>2532</v>
      </c>
      <c r="AF28" s="295">
        <f t="shared" ca="1" si="5"/>
        <v>4</v>
      </c>
      <c r="AG28" s="295">
        <v>220027</v>
      </c>
      <c r="AH28" s="295" t="s">
        <v>99</v>
      </c>
      <c r="AI28" s="294">
        <v>42931</v>
      </c>
      <c r="AJ28" s="295" t="s">
        <v>1014</v>
      </c>
      <c r="AK28" s="295">
        <v>220027</v>
      </c>
      <c r="AL28" s="294">
        <v>43020</v>
      </c>
      <c r="AM28" s="295" t="s">
        <v>105</v>
      </c>
      <c r="AN28" s="295">
        <f t="shared" si="6"/>
        <v>2532</v>
      </c>
      <c r="AO28" s="295">
        <f t="shared" ca="1" si="7"/>
        <v>2</v>
      </c>
      <c r="AP28" s="157" t="e">
        <f>#REF!-1</f>
        <v>#REF!</v>
      </c>
      <c r="AQ28" s="100" t="str">
        <f>VLOOKUP(AK28,'Pad Planner - DO NOT AMEND'!A:M,12,FALSE)</f>
        <v/>
      </c>
      <c r="AR28" s="100" t="str">
        <f>VLOOKUP(AK28,'Pad Planner - DO NOT AMEND'!A:M,13,FALSE)</f>
        <v/>
      </c>
    </row>
    <row r="29" spans="1:44">
      <c r="A29" s="88">
        <v>220028</v>
      </c>
      <c r="B29" s="95"/>
      <c r="C29" s="19"/>
      <c r="D29" s="108">
        <v>42935</v>
      </c>
      <c r="E29" s="19" t="s">
        <v>94</v>
      </c>
      <c r="F29" s="96">
        <f t="shared" si="8"/>
        <v>3830445</v>
      </c>
      <c r="G29" s="21">
        <f t="shared" si="0"/>
        <v>5992</v>
      </c>
      <c r="H29" s="395">
        <v>42904</v>
      </c>
      <c r="I29" s="396" t="s">
        <v>751</v>
      </c>
      <c r="J29" s="22"/>
      <c r="K29" s="99">
        <f>'Mileages EOD'!B30</f>
        <v>3824453</v>
      </c>
      <c r="L29" s="114" t="str">
        <f t="shared" si="1"/>
        <v>S1A</v>
      </c>
      <c r="M29" s="114">
        <f t="shared" si="2"/>
        <v>42941</v>
      </c>
      <c r="N29" s="213"/>
      <c r="O29" s="95"/>
      <c r="P29" s="305">
        <v>220028</v>
      </c>
      <c r="Q29" s="301">
        <v>42941</v>
      </c>
      <c r="R29" s="300" t="s">
        <v>527</v>
      </c>
      <c r="S29" s="296">
        <v>220028</v>
      </c>
      <c r="T29" s="296" t="s">
        <v>533</v>
      </c>
      <c r="U29" s="294">
        <v>42896</v>
      </c>
      <c r="V29" s="117" t="s">
        <v>631</v>
      </c>
      <c r="W29" s="295">
        <f t="shared" ca="1" si="3"/>
        <v>37</v>
      </c>
      <c r="X29" s="295">
        <v>220028</v>
      </c>
      <c r="Y29" s="295" t="s">
        <v>93</v>
      </c>
      <c r="Z29" s="294">
        <v>42904</v>
      </c>
      <c r="AA29" s="295" t="s">
        <v>751</v>
      </c>
      <c r="AB29" s="295">
        <v>220028</v>
      </c>
      <c r="AC29" s="294">
        <v>42935</v>
      </c>
      <c r="AD29" s="295" t="s">
        <v>94</v>
      </c>
      <c r="AE29" s="295">
        <f t="shared" si="4"/>
        <v>24338</v>
      </c>
      <c r="AF29" s="295">
        <f t="shared" ca="1" si="5"/>
        <v>29</v>
      </c>
      <c r="AG29" s="295">
        <v>220028</v>
      </c>
      <c r="AH29" s="295" t="s">
        <v>99</v>
      </c>
      <c r="AI29" s="294">
        <v>42896</v>
      </c>
      <c r="AJ29" s="295" t="s">
        <v>721</v>
      </c>
      <c r="AK29" s="295">
        <v>220028</v>
      </c>
      <c r="AL29" s="294">
        <v>42990</v>
      </c>
      <c r="AM29" s="295" t="s">
        <v>105</v>
      </c>
      <c r="AN29" s="295">
        <f t="shared" si="6"/>
        <v>53380</v>
      </c>
      <c r="AO29" s="295">
        <f t="shared" ca="1" si="7"/>
        <v>37</v>
      </c>
      <c r="AP29" s="157" t="e">
        <f>#REF!-1</f>
        <v>#REF!</v>
      </c>
      <c r="AQ29" s="100" t="str">
        <f>VLOOKUP(AK29,'Pad Planner - DO NOT AMEND'!A:M,12,FALSE)</f>
        <v>CHECKED</v>
      </c>
      <c r="AR29" s="100" t="str">
        <f>VLOOKUP(AK29,'Pad Planner - DO NOT AMEND'!A:M,13,FALSE)</f>
        <v>9165973</v>
      </c>
    </row>
    <row r="30" spans="1:44">
      <c r="A30" s="88">
        <v>220029</v>
      </c>
      <c r="B30" s="95"/>
      <c r="C30" s="19"/>
      <c r="D30" s="108">
        <v>42939</v>
      </c>
      <c r="E30" s="19" t="s">
        <v>533</v>
      </c>
      <c r="F30" s="96">
        <f t="shared" si="8"/>
        <v>3913365</v>
      </c>
      <c r="G30" s="21">
        <f t="shared" si="0"/>
        <v>8087</v>
      </c>
      <c r="H30" s="395">
        <v>42906</v>
      </c>
      <c r="I30" s="396" t="s">
        <v>759</v>
      </c>
      <c r="J30" s="22"/>
      <c r="K30" s="99">
        <f>'Mileages EOD'!B31</f>
        <v>3905278</v>
      </c>
      <c r="L30" s="114" t="str">
        <f t="shared" si="1"/>
        <v>S8A</v>
      </c>
      <c r="M30" s="114">
        <f t="shared" si="2"/>
        <v>42939</v>
      </c>
      <c r="N30" s="213"/>
      <c r="O30" s="95"/>
      <c r="P30" s="306">
        <v>220029</v>
      </c>
      <c r="Q30" s="299">
        <v>42939</v>
      </c>
      <c r="R30" s="302" t="s">
        <v>533</v>
      </c>
      <c r="S30" s="296">
        <v>220029</v>
      </c>
      <c r="T30" s="296" t="s">
        <v>534</v>
      </c>
      <c r="U30" s="294">
        <v>42894</v>
      </c>
      <c r="V30" s="117" t="s">
        <v>650</v>
      </c>
      <c r="W30" s="295">
        <f t="shared" ca="1" si="3"/>
        <v>39</v>
      </c>
      <c r="X30" s="295">
        <v>220029</v>
      </c>
      <c r="Y30" s="295" t="s">
        <v>96</v>
      </c>
      <c r="Z30" s="294">
        <v>42906</v>
      </c>
      <c r="AA30" s="295" t="s">
        <v>759</v>
      </c>
      <c r="AB30" s="295">
        <v>220029</v>
      </c>
      <c r="AC30" s="294">
        <v>42944</v>
      </c>
      <c r="AD30" s="295" t="s">
        <v>93</v>
      </c>
      <c r="AE30" s="295">
        <f t="shared" si="4"/>
        <v>22243</v>
      </c>
      <c r="AF30" s="295">
        <f t="shared" ca="1" si="5"/>
        <v>27</v>
      </c>
      <c r="AG30" s="295">
        <v>220029</v>
      </c>
      <c r="AH30" s="295" t="s">
        <v>115</v>
      </c>
      <c r="AI30" s="294">
        <v>42853</v>
      </c>
      <c r="AJ30" s="295" t="s">
        <v>1063</v>
      </c>
      <c r="AK30" s="295">
        <v>220029</v>
      </c>
      <c r="AL30" s="294">
        <v>42942</v>
      </c>
      <c r="AM30" s="295" t="s">
        <v>99</v>
      </c>
      <c r="AN30" s="295">
        <f t="shared" si="6"/>
        <v>66699</v>
      </c>
      <c r="AO30" s="295">
        <f t="shared" ca="1" si="7"/>
        <v>80</v>
      </c>
      <c r="AP30" s="157" t="e">
        <f>#REF!-1</f>
        <v>#REF!</v>
      </c>
      <c r="AQ30" s="100" t="str">
        <f>VLOOKUP(AK30,'Pad Planner - DO NOT AMEND'!A:M,12,FALSE)</f>
        <v>TOPLAN</v>
      </c>
      <c r="AR30" s="100" t="str">
        <f>VLOOKUP(AK30,'Pad Planner - DO NOT AMEND'!A:M,13,FALSE)</f>
        <v>9168749</v>
      </c>
    </row>
    <row r="31" spans="1:44">
      <c r="A31" s="88">
        <v>220030</v>
      </c>
      <c r="B31" s="95"/>
      <c r="C31" s="19"/>
      <c r="D31" s="108">
        <v>42953</v>
      </c>
      <c r="E31" s="19" t="s">
        <v>96</v>
      </c>
      <c r="F31" s="96">
        <f t="shared" si="8"/>
        <v>3837442</v>
      </c>
      <c r="G31" s="21">
        <f t="shared" si="0"/>
        <v>16968</v>
      </c>
      <c r="H31" s="395">
        <v>42933</v>
      </c>
      <c r="I31" s="396" t="s">
        <v>823</v>
      </c>
      <c r="J31" s="22"/>
      <c r="K31" s="99">
        <f>'Mileages EOD'!B32</f>
        <v>3820474</v>
      </c>
      <c r="L31" s="114" t="str">
        <f t="shared" si="1"/>
        <v>S8A</v>
      </c>
      <c r="M31" s="114">
        <f t="shared" si="2"/>
        <v>42980</v>
      </c>
      <c r="N31" s="213"/>
      <c r="O31" s="95"/>
      <c r="P31" s="305">
        <v>220030</v>
      </c>
      <c r="Q31" s="301">
        <v>42980</v>
      </c>
      <c r="R31" s="300" t="s">
        <v>533</v>
      </c>
      <c r="S31" s="296">
        <v>220030</v>
      </c>
      <c r="T31" s="296" t="s">
        <v>534</v>
      </c>
      <c r="U31" s="294">
        <v>42933</v>
      </c>
      <c r="V31" s="117" t="s">
        <v>823</v>
      </c>
      <c r="W31" s="295">
        <f t="shared" ca="1" si="3"/>
        <v>0</v>
      </c>
      <c r="X31" s="295">
        <v>220030</v>
      </c>
      <c r="Y31" s="295" t="s">
        <v>95</v>
      </c>
      <c r="Z31" s="294">
        <v>42917</v>
      </c>
      <c r="AA31" s="295" t="s">
        <v>823</v>
      </c>
      <c r="AB31" s="295">
        <v>220030</v>
      </c>
      <c r="AC31" s="294">
        <v>42953</v>
      </c>
      <c r="AD31" s="295" t="s">
        <v>96</v>
      </c>
      <c r="AE31" s="295">
        <f t="shared" si="4"/>
        <v>13362</v>
      </c>
      <c r="AF31" s="295">
        <f t="shared" ca="1" si="5"/>
        <v>16</v>
      </c>
      <c r="AG31" s="295">
        <v>220030</v>
      </c>
      <c r="AH31" s="295" t="s">
        <v>115</v>
      </c>
      <c r="AI31" s="294">
        <v>42903</v>
      </c>
      <c r="AJ31" s="295" t="s">
        <v>683</v>
      </c>
      <c r="AK31" s="295">
        <v>220030</v>
      </c>
      <c r="AL31" s="294">
        <v>42987</v>
      </c>
      <c r="AM31" s="295" t="s">
        <v>99</v>
      </c>
      <c r="AN31" s="295">
        <f t="shared" si="6"/>
        <v>39416</v>
      </c>
      <c r="AO31" s="295">
        <f t="shared" ca="1" si="7"/>
        <v>30</v>
      </c>
      <c r="AP31" s="157" t="e">
        <f>#REF!-1</f>
        <v>#REF!</v>
      </c>
      <c r="AQ31" s="100" t="str">
        <f>VLOOKUP(AK31,'Pad Planner - DO NOT AMEND'!A:M,12,FALSE)</f>
        <v/>
      </c>
      <c r="AR31" s="100" t="str">
        <f>VLOOKUP(AK31,'Pad Planner - DO NOT AMEND'!A:M,13,FALSE)</f>
        <v/>
      </c>
    </row>
    <row r="32" spans="1:44">
      <c r="A32" s="88">
        <v>220031</v>
      </c>
      <c r="B32" s="95"/>
      <c r="C32" s="19"/>
      <c r="D32" s="108">
        <v>42933</v>
      </c>
      <c r="E32" s="19" t="s">
        <v>93</v>
      </c>
      <c r="F32" s="96">
        <f t="shared" si="8"/>
        <v>3882595</v>
      </c>
      <c r="G32" s="21">
        <f t="shared" si="0"/>
        <v>2273</v>
      </c>
      <c r="H32" s="395">
        <v>42930</v>
      </c>
      <c r="I32" s="396" t="s">
        <v>726</v>
      </c>
      <c r="J32" s="22"/>
      <c r="K32" s="99">
        <f>'Mileages EOD'!B33</f>
        <v>3880322</v>
      </c>
      <c r="L32" s="114" t="str">
        <f t="shared" si="1"/>
        <v>S1A</v>
      </c>
      <c r="M32" s="114">
        <f t="shared" si="2"/>
        <v>42976</v>
      </c>
      <c r="N32" s="213"/>
      <c r="O32" s="95"/>
      <c r="P32" s="306">
        <v>220031</v>
      </c>
      <c r="Q32" s="299">
        <v>42976</v>
      </c>
      <c r="R32" s="302" t="s">
        <v>527</v>
      </c>
      <c r="S32" s="296">
        <v>220031</v>
      </c>
      <c r="T32" s="296" t="s">
        <v>533</v>
      </c>
      <c r="U32" s="294">
        <v>42930</v>
      </c>
      <c r="V32" s="117" t="s">
        <v>726</v>
      </c>
      <c r="W32" s="295">
        <f t="shared" ca="1" si="3"/>
        <v>3</v>
      </c>
      <c r="X32" s="295">
        <v>220031</v>
      </c>
      <c r="Y32" s="295" t="s">
        <v>96</v>
      </c>
      <c r="Z32" s="294">
        <v>42897</v>
      </c>
      <c r="AA32" s="295" t="s">
        <v>726</v>
      </c>
      <c r="AB32" s="295">
        <v>220031</v>
      </c>
      <c r="AC32" s="294">
        <v>42933</v>
      </c>
      <c r="AD32" s="295" t="s">
        <v>93</v>
      </c>
      <c r="AE32" s="295">
        <f t="shared" si="4"/>
        <v>28057</v>
      </c>
      <c r="AF32" s="295">
        <f t="shared" ca="1" si="5"/>
        <v>36</v>
      </c>
      <c r="AG32" s="295">
        <v>220031</v>
      </c>
      <c r="AH32" s="295" t="s">
        <v>115</v>
      </c>
      <c r="AI32" s="294">
        <v>42847</v>
      </c>
      <c r="AJ32" s="295" t="s">
        <v>1039</v>
      </c>
      <c r="AK32" s="295">
        <v>220031</v>
      </c>
      <c r="AL32" s="294">
        <v>42935</v>
      </c>
      <c r="AM32" s="295" t="s">
        <v>99</v>
      </c>
      <c r="AN32" s="295">
        <f t="shared" si="6"/>
        <v>68936</v>
      </c>
      <c r="AO32" s="295">
        <f t="shared" ca="1" si="7"/>
        <v>86</v>
      </c>
      <c r="AP32" s="157" t="e">
        <f>#REF!-1</f>
        <v>#REF!</v>
      </c>
      <c r="AQ32" s="100" t="str">
        <f>VLOOKUP(AK32,'Pad Planner - DO NOT AMEND'!A:M,12,FALSE)</f>
        <v>TOPLAN</v>
      </c>
      <c r="AR32" s="100" t="str">
        <f>VLOOKUP(AK32,'Pad Planner - DO NOT AMEND'!A:M,13,FALSE)</f>
        <v>9164616</v>
      </c>
    </row>
    <row r="33" spans="1:44">
      <c r="A33" s="88">
        <v>220032</v>
      </c>
      <c r="B33" s="95"/>
      <c r="C33" s="19"/>
      <c r="D33" s="108">
        <v>42946</v>
      </c>
      <c r="E33" s="19" t="s">
        <v>96</v>
      </c>
      <c r="F33" s="96">
        <f t="shared" si="8"/>
        <v>3950638</v>
      </c>
      <c r="G33" s="21">
        <f t="shared" si="0"/>
        <v>11483</v>
      </c>
      <c r="H33" s="395">
        <v>42928</v>
      </c>
      <c r="I33" s="396" t="s">
        <v>785</v>
      </c>
      <c r="J33" s="22"/>
      <c r="K33" s="99">
        <f>'Mileages EOD'!B34</f>
        <v>3939155</v>
      </c>
      <c r="L33" s="114" t="str">
        <f t="shared" si="1"/>
        <v>S8A</v>
      </c>
      <c r="M33" s="114">
        <f t="shared" si="2"/>
        <v>42975</v>
      </c>
      <c r="N33" s="213"/>
      <c r="O33" s="95"/>
      <c r="P33" s="305">
        <v>220032</v>
      </c>
      <c r="Q33" s="301">
        <v>42975</v>
      </c>
      <c r="R33" s="300" t="s">
        <v>533</v>
      </c>
      <c r="S33" s="296">
        <v>220032</v>
      </c>
      <c r="T33" s="296" t="s">
        <v>534</v>
      </c>
      <c r="U33" s="294">
        <v>42928</v>
      </c>
      <c r="V33" s="117" t="s">
        <v>785</v>
      </c>
      <c r="W33" s="295">
        <f t="shared" ca="1" si="3"/>
        <v>5</v>
      </c>
      <c r="X33" s="295">
        <v>220032</v>
      </c>
      <c r="Y33" s="295" t="s">
        <v>95</v>
      </c>
      <c r="Z33" s="294">
        <v>42911</v>
      </c>
      <c r="AA33" s="295" t="s">
        <v>785</v>
      </c>
      <c r="AB33" s="295">
        <v>220032</v>
      </c>
      <c r="AC33" s="294">
        <v>42946</v>
      </c>
      <c r="AD33" s="295" t="s">
        <v>96</v>
      </c>
      <c r="AE33" s="295">
        <f t="shared" si="4"/>
        <v>18847</v>
      </c>
      <c r="AF33" s="295">
        <f t="shared" ca="1" si="5"/>
        <v>22</v>
      </c>
      <c r="AG33" s="295">
        <v>220032</v>
      </c>
      <c r="AH33" s="295" t="s">
        <v>115</v>
      </c>
      <c r="AI33" s="294">
        <v>42860</v>
      </c>
      <c r="AJ33" s="295" t="s">
        <v>665</v>
      </c>
      <c r="AK33" s="295">
        <v>220032</v>
      </c>
      <c r="AL33" s="294">
        <v>42981</v>
      </c>
      <c r="AM33" s="295" t="s">
        <v>99</v>
      </c>
      <c r="AN33" s="295">
        <f t="shared" si="6"/>
        <v>46770</v>
      </c>
      <c r="AO33" s="295">
        <f t="shared" ca="1" si="7"/>
        <v>73</v>
      </c>
      <c r="AP33" s="157" t="e">
        <f>#REF!-1</f>
        <v>#REF!</v>
      </c>
      <c r="AQ33" s="100" t="str">
        <f>VLOOKUP(AK33,'Pad Planner - DO NOT AMEND'!A:M,12,FALSE)</f>
        <v/>
      </c>
      <c r="AR33" s="100" t="str">
        <f>VLOOKUP(AK33,'Pad Planner - DO NOT AMEND'!A:M,13,FALSE)</f>
        <v/>
      </c>
    </row>
    <row r="34" spans="1:44">
      <c r="A34" s="88">
        <v>220033</v>
      </c>
      <c r="B34" s="95"/>
      <c r="C34" s="19"/>
      <c r="D34" s="108">
        <v>42943</v>
      </c>
      <c r="E34" s="19" t="s">
        <v>115</v>
      </c>
      <c r="F34" s="96">
        <f t="shared" si="8"/>
        <v>3947277</v>
      </c>
      <c r="G34" s="21">
        <f t="shared" ref="G34:G65" si="9">F34-K34</f>
        <v>26098</v>
      </c>
      <c r="H34" s="395">
        <v>42927</v>
      </c>
      <c r="I34" s="396" t="s">
        <v>953</v>
      </c>
      <c r="J34" s="22"/>
      <c r="K34" s="99">
        <f>'Mileages EOD'!B35</f>
        <v>3921179</v>
      </c>
      <c r="L34" s="114" t="str">
        <f t="shared" ref="L34:L65" si="10">VLOOKUP(A34,P:AP,3,FALSE)</f>
        <v>S7A</v>
      </c>
      <c r="M34" s="114">
        <f t="shared" ref="M34:M65" si="11">VLOOKUP(A34,P:AP,2,FALSE)</f>
        <v>42973</v>
      </c>
      <c r="N34" s="213"/>
      <c r="O34" s="95"/>
      <c r="P34" s="306">
        <v>220033</v>
      </c>
      <c r="Q34" s="299">
        <v>42973</v>
      </c>
      <c r="R34" s="302" t="s">
        <v>534</v>
      </c>
      <c r="S34" s="296">
        <v>220033</v>
      </c>
      <c r="T34" s="296" t="s">
        <v>528</v>
      </c>
      <c r="U34" s="294">
        <v>42927</v>
      </c>
      <c r="V34" s="117" t="s">
        <v>953</v>
      </c>
      <c r="W34" s="295">
        <f t="shared" ref="W34:W65" ca="1" si="12">TODAY()-U34</f>
        <v>6</v>
      </c>
      <c r="X34" s="295">
        <v>220033</v>
      </c>
      <c r="Y34" s="295" t="s">
        <v>94</v>
      </c>
      <c r="Z34" s="294">
        <v>42929</v>
      </c>
      <c r="AA34" s="295" t="s">
        <v>953</v>
      </c>
      <c r="AB34" s="295">
        <v>220033</v>
      </c>
      <c r="AC34" s="294">
        <v>42959</v>
      </c>
      <c r="AD34" s="295" t="s">
        <v>95</v>
      </c>
      <c r="AE34" s="295">
        <f t="shared" ref="AE34:AE65" si="13">K34-AA34</f>
        <v>4232</v>
      </c>
      <c r="AF34" s="295">
        <f t="shared" ref="AF34:AF65" ca="1" si="14">TODAY()-Z34</f>
        <v>4</v>
      </c>
      <c r="AG34" s="295">
        <v>220033</v>
      </c>
      <c r="AH34" s="295" t="s">
        <v>101</v>
      </c>
      <c r="AI34" s="294">
        <v>42855</v>
      </c>
      <c r="AJ34" s="295" t="s">
        <v>602</v>
      </c>
      <c r="AK34" s="295">
        <v>220033</v>
      </c>
      <c r="AL34" s="294">
        <v>42943</v>
      </c>
      <c r="AM34" s="295" t="s">
        <v>115</v>
      </c>
      <c r="AN34" s="295">
        <f t="shared" ref="AN34:AN65" si="15">K34-AJ34</f>
        <v>60427</v>
      </c>
      <c r="AO34" s="295">
        <f t="shared" ref="AO34:AO65" ca="1" si="16">TODAY()-AI34</f>
        <v>78</v>
      </c>
      <c r="AP34" s="157" t="e">
        <f>#REF!-1</f>
        <v>#REF!</v>
      </c>
      <c r="AQ34" s="100" t="str">
        <f>VLOOKUP(AK34,'Pad Planner - DO NOT AMEND'!A:M,12,FALSE)</f>
        <v/>
      </c>
      <c r="AR34" s="100" t="str">
        <f>VLOOKUP(AK34,'Pad Planner - DO NOT AMEND'!A:M,13,FALSE)</f>
        <v/>
      </c>
    </row>
    <row r="35" spans="1:44" ht="14.25" thickBot="1">
      <c r="A35" s="89">
        <v>220034</v>
      </c>
      <c r="B35" s="180"/>
      <c r="C35" s="19"/>
      <c r="D35" s="108">
        <v>42946</v>
      </c>
      <c r="E35" s="19" t="s">
        <v>94</v>
      </c>
      <c r="F35" s="96">
        <f t="shared" si="8"/>
        <v>3906104</v>
      </c>
      <c r="G35" s="30">
        <f t="shared" si="9"/>
        <v>12750</v>
      </c>
      <c r="H35" s="395">
        <v>42909</v>
      </c>
      <c r="I35" s="396" t="s">
        <v>781</v>
      </c>
      <c r="J35" s="26"/>
      <c r="K35" s="309">
        <f>'Mileages EOD'!B36</f>
        <v>3893354</v>
      </c>
      <c r="L35" s="181" t="str">
        <f t="shared" si="10"/>
        <v>S6A</v>
      </c>
      <c r="M35" s="109">
        <f t="shared" si="11"/>
        <v>42947</v>
      </c>
      <c r="N35" s="215"/>
      <c r="O35" s="180"/>
      <c r="P35" s="305">
        <v>220034</v>
      </c>
      <c r="Q35" s="301">
        <v>42947</v>
      </c>
      <c r="R35" s="300" t="s">
        <v>528</v>
      </c>
      <c r="S35" s="296">
        <v>220034</v>
      </c>
      <c r="T35" s="296" t="s">
        <v>529</v>
      </c>
      <c r="U35" s="294">
        <v>42902</v>
      </c>
      <c r="V35" s="117" t="s">
        <v>678</v>
      </c>
      <c r="W35" s="295">
        <f t="shared" ca="1" si="12"/>
        <v>31</v>
      </c>
      <c r="X35" s="295">
        <v>220034</v>
      </c>
      <c r="Y35" s="295" t="s">
        <v>93</v>
      </c>
      <c r="Z35" s="294">
        <v>42909</v>
      </c>
      <c r="AA35" s="295" t="s">
        <v>781</v>
      </c>
      <c r="AB35" s="295">
        <v>220034</v>
      </c>
      <c r="AC35" s="294">
        <v>42946</v>
      </c>
      <c r="AD35" s="295" t="s">
        <v>94</v>
      </c>
      <c r="AE35" s="295">
        <f t="shared" si="13"/>
        <v>17580</v>
      </c>
      <c r="AF35" s="295">
        <f t="shared" ca="1" si="14"/>
        <v>24</v>
      </c>
      <c r="AG35" s="295">
        <v>220034</v>
      </c>
      <c r="AH35" s="295" t="s">
        <v>101</v>
      </c>
      <c r="AI35" s="294">
        <v>42868</v>
      </c>
      <c r="AJ35" s="295" t="s">
        <v>660</v>
      </c>
      <c r="AK35" s="295">
        <v>220034</v>
      </c>
      <c r="AL35" s="294">
        <v>42959</v>
      </c>
      <c r="AM35" s="295" t="s">
        <v>115</v>
      </c>
      <c r="AN35" s="295">
        <f t="shared" si="15"/>
        <v>51236</v>
      </c>
      <c r="AO35" s="295">
        <f t="shared" ca="1" si="16"/>
        <v>65</v>
      </c>
      <c r="AP35" s="157" t="e">
        <f>#REF!-1</f>
        <v>#REF!</v>
      </c>
      <c r="AQ35" s="100" t="str">
        <f>VLOOKUP(AK35,'Pad Planner - DO NOT AMEND'!A:M,12,FALSE)</f>
        <v/>
      </c>
      <c r="AR35" s="100" t="str">
        <f>VLOOKUP(AK35,'Pad Planner - DO NOT AMEND'!A:M,13,FALSE)</f>
        <v/>
      </c>
    </row>
    <row r="36" spans="1:44">
      <c r="A36" s="87">
        <v>221101</v>
      </c>
      <c r="B36" s="94"/>
      <c r="C36" s="18"/>
      <c r="D36" s="108">
        <v>42927</v>
      </c>
      <c r="E36" s="19" t="s">
        <v>96</v>
      </c>
      <c r="F36" s="96">
        <f t="shared" si="8"/>
        <v>3876583</v>
      </c>
      <c r="G36" s="48">
        <f>F36-K36</f>
        <v>11437</v>
      </c>
      <c r="H36" s="395">
        <v>42903</v>
      </c>
      <c r="I36" s="396" t="s">
        <v>723</v>
      </c>
      <c r="J36" s="28"/>
      <c r="K36" s="99">
        <f>'Mileages EOD'!B37</f>
        <v>3865146</v>
      </c>
      <c r="L36" s="116" t="str">
        <f t="shared" si="10"/>
        <v>S3A</v>
      </c>
      <c r="M36" s="114">
        <f t="shared" si="11"/>
        <v>42938</v>
      </c>
      <c r="N36" s="212"/>
      <c r="O36" s="111"/>
      <c r="P36" s="305">
        <v>221101</v>
      </c>
      <c r="Q36" s="301">
        <v>42938</v>
      </c>
      <c r="R36" s="300" t="s">
        <v>531</v>
      </c>
      <c r="S36" s="296">
        <v>221101</v>
      </c>
      <c r="T36" s="296" t="s">
        <v>532</v>
      </c>
      <c r="U36" s="294">
        <v>42892</v>
      </c>
      <c r="V36" s="117" t="s">
        <v>711</v>
      </c>
      <c r="W36" s="295">
        <f t="shared" ca="1" si="12"/>
        <v>41</v>
      </c>
      <c r="X36" s="295">
        <v>221101</v>
      </c>
      <c r="Y36" s="295" t="s">
        <v>95</v>
      </c>
      <c r="Z36" s="294">
        <v>42896</v>
      </c>
      <c r="AA36" s="295" t="s">
        <v>723</v>
      </c>
      <c r="AB36" s="295">
        <v>221101</v>
      </c>
      <c r="AC36" s="294">
        <v>42927</v>
      </c>
      <c r="AD36" s="295" t="s">
        <v>96</v>
      </c>
      <c r="AE36" s="295">
        <f t="shared" si="13"/>
        <v>18893</v>
      </c>
      <c r="AF36" s="295">
        <f t="shared" ca="1" si="14"/>
        <v>37</v>
      </c>
      <c r="AG36" s="295">
        <v>221101</v>
      </c>
      <c r="AH36" s="295" t="s">
        <v>102</v>
      </c>
      <c r="AI36" s="294">
        <v>42903</v>
      </c>
      <c r="AJ36" s="295" t="s">
        <v>723</v>
      </c>
      <c r="AK36" s="295">
        <v>221101</v>
      </c>
      <c r="AL36" s="294">
        <v>42995</v>
      </c>
      <c r="AM36" s="295" t="s">
        <v>101</v>
      </c>
      <c r="AN36" s="295">
        <f t="shared" si="15"/>
        <v>18893</v>
      </c>
      <c r="AO36" s="295">
        <f t="shared" ca="1" si="16"/>
        <v>30</v>
      </c>
      <c r="AP36" s="157" t="e">
        <f>#REF!-1</f>
        <v>#REF!</v>
      </c>
      <c r="AQ36" s="100" t="str">
        <f>VLOOKUP(AK36,'Pad Planner - DO NOT AMEND'!A:M,12,FALSE)</f>
        <v/>
      </c>
      <c r="AR36" s="100" t="str">
        <f>VLOOKUP(AK36,'Pad Planner - DO NOT AMEND'!A:M,13,FALSE)</f>
        <v/>
      </c>
    </row>
    <row r="37" spans="1:44">
      <c r="A37" s="88">
        <v>221102</v>
      </c>
      <c r="B37" s="95"/>
      <c r="C37" s="19"/>
      <c r="D37" s="108">
        <v>42942</v>
      </c>
      <c r="E37" s="19" t="s">
        <v>533</v>
      </c>
      <c r="F37" s="96">
        <f>I37+30330</f>
        <v>4054933</v>
      </c>
      <c r="G37" s="21">
        <f t="shared" si="9"/>
        <v>16394</v>
      </c>
      <c r="H37" s="395">
        <v>42918</v>
      </c>
      <c r="I37" s="396" t="s">
        <v>829</v>
      </c>
      <c r="J37" s="22"/>
      <c r="K37" s="99">
        <f>'Mileages EOD'!B38</f>
        <v>4038539</v>
      </c>
      <c r="L37" s="114" t="str">
        <f t="shared" si="10"/>
        <v>S8A</v>
      </c>
      <c r="M37" s="114">
        <f t="shared" si="11"/>
        <v>42942</v>
      </c>
      <c r="N37" s="213"/>
      <c r="O37" s="112"/>
      <c r="P37" s="305">
        <v>221102</v>
      </c>
      <c r="Q37" s="301">
        <v>42942</v>
      </c>
      <c r="R37" s="300" t="s">
        <v>533</v>
      </c>
      <c r="S37" s="296">
        <v>221102</v>
      </c>
      <c r="T37" s="296" t="s">
        <v>534</v>
      </c>
      <c r="U37" s="294">
        <v>42895</v>
      </c>
      <c r="V37" s="117" t="s">
        <v>681</v>
      </c>
      <c r="W37" s="295">
        <f t="shared" ca="1" si="12"/>
        <v>38</v>
      </c>
      <c r="X37" s="295">
        <v>221102</v>
      </c>
      <c r="Y37" s="295" t="s">
        <v>95</v>
      </c>
      <c r="Z37" s="294">
        <v>42918</v>
      </c>
      <c r="AA37" s="295" t="s">
        <v>829</v>
      </c>
      <c r="AB37" s="295">
        <v>221102</v>
      </c>
      <c r="AC37" s="294">
        <v>42948</v>
      </c>
      <c r="AD37" s="295" t="s">
        <v>96</v>
      </c>
      <c r="AE37" s="295">
        <f t="shared" si="13"/>
        <v>13936</v>
      </c>
      <c r="AF37" s="295">
        <f t="shared" ca="1" si="14"/>
        <v>15</v>
      </c>
      <c r="AG37" s="295">
        <v>221102</v>
      </c>
      <c r="AH37" s="295" t="s">
        <v>115</v>
      </c>
      <c r="AI37" s="294">
        <v>42862</v>
      </c>
      <c r="AJ37" s="295" t="s">
        <v>607</v>
      </c>
      <c r="AK37" s="295">
        <v>221102</v>
      </c>
      <c r="AL37" s="294">
        <v>42949</v>
      </c>
      <c r="AM37" s="295" t="s">
        <v>99</v>
      </c>
      <c r="AN37" s="295">
        <f t="shared" si="15"/>
        <v>64369</v>
      </c>
      <c r="AO37" s="295">
        <f t="shared" ca="1" si="16"/>
        <v>71</v>
      </c>
      <c r="AP37" s="157" t="e">
        <f>#REF!-1</f>
        <v>#REF!</v>
      </c>
      <c r="AQ37" s="100" t="str">
        <f>VLOOKUP(AK37,'Pad Planner - DO NOT AMEND'!A:M,12,FALSE)</f>
        <v/>
      </c>
      <c r="AR37" s="100" t="str">
        <f>VLOOKUP(AK37,'Pad Planner - DO NOT AMEND'!A:M,13,FALSE)</f>
        <v/>
      </c>
    </row>
    <row r="38" spans="1:44">
      <c r="A38" s="88">
        <v>221103</v>
      </c>
      <c r="B38" s="95"/>
      <c r="C38" s="19"/>
      <c r="D38" s="108">
        <v>42949</v>
      </c>
      <c r="E38" s="19" t="s">
        <v>533</v>
      </c>
      <c r="F38" s="96">
        <f t="shared" si="8"/>
        <v>4047970</v>
      </c>
      <c r="G38" s="21">
        <f t="shared" si="9"/>
        <v>21645</v>
      </c>
      <c r="H38" s="395">
        <v>42925</v>
      </c>
      <c r="I38" s="396" t="s">
        <v>908</v>
      </c>
      <c r="J38" s="22"/>
      <c r="K38" s="99">
        <f>'Mileages EOD'!B39</f>
        <v>4026325</v>
      </c>
      <c r="L38" s="114" t="str">
        <f t="shared" si="10"/>
        <v>S8A</v>
      </c>
      <c r="M38" s="114">
        <f t="shared" si="11"/>
        <v>42949</v>
      </c>
      <c r="N38" s="213"/>
      <c r="O38" s="112"/>
      <c r="P38" s="306">
        <v>221103</v>
      </c>
      <c r="Q38" s="299">
        <v>42949</v>
      </c>
      <c r="R38" s="302" t="s">
        <v>533</v>
      </c>
      <c r="S38" s="296">
        <v>221103</v>
      </c>
      <c r="T38" s="296" t="s">
        <v>534</v>
      </c>
      <c r="U38" s="294">
        <v>42904</v>
      </c>
      <c r="V38" s="117" t="s">
        <v>719</v>
      </c>
      <c r="W38" s="295">
        <f t="shared" ca="1" si="12"/>
        <v>29</v>
      </c>
      <c r="X38" s="295">
        <v>221103</v>
      </c>
      <c r="Y38" s="295" t="s">
        <v>95</v>
      </c>
      <c r="Z38" s="294">
        <v>42925</v>
      </c>
      <c r="AA38" s="295" t="s">
        <v>908</v>
      </c>
      <c r="AB38" s="295">
        <v>221103</v>
      </c>
      <c r="AC38" s="294">
        <v>42960</v>
      </c>
      <c r="AD38" s="295" t="s">
        <v>96</v>
      </c>
      <c r="AE38" s="295">
        <f t="shared" si="13"/>
        <v>8685</v>
      </c>
      <c r="AF38" s="295">
        <f t="shared" ca="1" si="14"/>
        <v>8</v>
      </c>
      <c r="AG38" s="295">
        <v>221103</v>
      </c>
      <c r="AH38" s="295" t="s">
        <v>115</v>
      </c>
      <c r="AI38" s="294">
        <v>42869</v>
      </c>
      <c r="AJ38" s="295" t="s">
        <v>635</v>
      </c>
      <c r="AK38" s="295">
        <v>221103</v>
      </c>
      <c r="AL38" s="294">
        <v>42958</v>
      </c>
      <c r="AM38" s="295" t="s">
        <v>99</v>
      </c>
      <c r="AN38" s="295">
        <f t="shared" si="15"/>
        <v>55201</v>
      </c>
      <c r="AO38" s="295">
        <f t="shared" ca="1" si="16"/>
        <v>64</v>
      </c>
      <c r="AP38" s="157" t="e">
        <f>#REF!-1</f>
        <v>#REF!</v>
      </c>
      <c r="AQ38" s="100" t="str">
        <f>VLOOKUP(AK38,'Pad Planner - DO NOT AMEND'!A:M,12,FALSE)</f>
        <v/>
      </c>
      <c r="AR38" s="100" t="str">
        <f>VLOOKUP(AK38,'Pad Planner - DO NOT AMEND'!A:M,13,FALSE)</f>
        <v/>
      </c>
    </row>
    <row r="39" spans="1:44">
      <c r="A39" s="88">
        <v>221104</v>
      </c>
      <c r="B39" s="95"/>
      <c r="C39" s="19"/>
      <c r="D39" s="108">
        <v>42934</v>
      </c>
      <c r="E39" s="19" t="s">
        <v>115</v>
      </c>
      <c r="F39" s="96">
        <f t="shared" si="8"/>
        <v>4117938</v>
      </c>
      <c r="G39" s="21">
        <f>F39-K39</f>
        <v>26991</v>
      </c>
      <c r="H39" s="395">
        <v>42930</v>
      </c>
      <c r="I39" s="396" t="s">
        <v>1020</v>
      </c>
      <c r="J39" s="22"/>
      <c r="K39" s="99">
        <f>'Mileages EOD'!B40</f>
        <v>4090947</v>
      </c>
      <c r="L39" s="114" t="str">
        <f t="shared" si="10"/>
        <v>S7A</v>
      </c>
      <c r="M39" s="114">
        <f t="shared" si="11"/>
        <v>42972</v>
      </c>
      <c r="N39" s="213"/>
      <c r="O39" s="112"/>
      <c r="P39" s="305">
        <v>221104</v>
      </c>
      <c r="Q39" s="301">
        <v>42972</v>
      </c>
      <c r="R39" s="300" t="s">
        <v>534</v>
      </c>
      <c r="S39" s="296">
        <v>221104</v>
      </c>
      <c r="T39" s="296" t="s">
        <v>528</v>
      </c>
      <c r="U39" s="294">
        <v>42892</v>
      </c>
      <c r="V39" s="117" t="s">
        <v>727</v>
      </c>
      <c r="W39" s="295">
        <f t="shared" ca="1" si="12"/>
        <v>41</v>
      </c>
      <c r="X39" s="295">
        <v>221104</v>
      </c>
      <c r="Y39" s="295" t="s">
        <v>93</v>
      </c>
      <c r="Z39" s="294">
        <v>42930</v>
      </c>
      <c r="AA39" s="295" t="s">
        <v>1020</v>
      </c>
      <c r="AB39" s="295">
        <v>221104</v>
      </c>
      <c r="AC39" s="294">
        <v>42962</v>
      </c>
      <c r="AD39" s="295" t="s">
        <v>94</v>
      </c>
      <c r="AE39" s="295">
        <f t="shared" si="13"/>
        <v>3339</v>
      </c>
      <c r="AF39" s="295">
        <f t="shared" ca="1" si="14"/>
        <v>3</v>
      </c>
      <c r="AG39" s="295">
        <v>221104</v>
      </c>
      <c r="AH39" s="295" t="s">
        <v>101</v>
      </c>
      <c r="AI39" s="294">
        <v>42848</v>
      </c>
      <c r="AJ39" s="295" t="s">
        <v>574</v>
      </c>
      <c r="AK39" s="295">
        <v>221104</v>
      </c>
      <c r="AL39" s="294">
        <v>42934</v>
      </c>
      <c r="AM39" s="295" t="s">
        <v>115</v>
      </c>
      <c r="AN39" s="295">
        <f t="shared" si="15"/>
        <v>77246</v>
      </c>
      <c r="AO39" s="295">
        <f t="shared" ca="1" si="16"/>
        <v>85</v>
      </c>
      <c r="AP39" s="157" t="e">
        <f>#REF!-1</f>
        <v>#REF!</v>
      </c>
      <c r="AQ39" s="100" t="str">
        <f>VLOOKUP(AK39,'Pad Planner - DO NOT AMEND'!A:M,12,FALSE)</f>
        <v>CHECKED</v>
      </c>
      <c r="AR39" s="100" t="str">
        <f>VLOOKUP(AK39,'Pad Planner - DO NOT AMEND'!A:M,13,FALSE)</f>
        <v>9136268</v>
      </c>
    </row>
    <row r="40" spans="1:44">
      <c r="A40" s="88">
        <v>221105</v>
      </c>
      <c r="B40" s="95"/>
      <c r="C40" s="19"/>
      <c r="D40" s="108">
        <v>42926</v>
      </c>
      <c r="E40" s="19" t="s">
        <v>115</v>
      </c>
      <c r="F40" s="96">
        <f t="shared" si="8"/>
        <v>4060600</v>
      </c>
      <c r="G40" s="21">
        <f t="shared" si="9"/>
        <v>22930</v>
      </c>
      <c r="H40" s="395">
        <v>42921</v>
      </c>
      <c r="I40" s="396" t="s">
        <v>885</v>
      </c>
      <c r="J40" s="22"/>
      <c r="K40" s="99">
        <f>'Mileages EOD'!B41</f>
        <v>4037670</v>
      </c>
      <c r="L40" s="114" t="str">
        <f t="shared" si="10"/>
        <v>S7A</v>
      </c>
      <c r="M40" s="114">
        <f t="shared" si="11"/>
        <v>42964</v>
      </c>
      <c r="N40" s="213"/>
      <c r="O40" s="112"/>
      <c r="P40" s="306">
        <v>221105</v>
      </c>
      <c r="Q40" s="299">
        <v>42964</v>
      </c>
      <c r="R40" s="302" t="s">
        <v>534</v>
      </c>
      <c r="S40" s="296">
        <v>221105</v>
      </c>
      <c r="T40" s="296" t="s">
        <v>528</v>
      </c>
      <c r="U40" s="294">
        <v>42918</v>
      </c>
      <c r="V40" s="117" t="s">
        <v>695</v>
      </c>
      <c r="W40" s="295">
        <f t="shared" ca="1" si="12"/>
        <v>15</v>
      </c>
      <c r="X40" s="295">
        <v>221105</v>
      </c>
      <c r="Y40" s="295" t="s">
        <v>93</v>
      </c>
      <c r="Z40" s="294">
        <v>42921</v>
      </c>
      <c r="AA40" s="295" t="s">
        <v>885</v>
      </c>
      <c r="AB40" s="295">
        <v>221105</v>
      </c>
      <c r="AC40" s="294">
        <v>42952</v>
      </c>
      <c r="AD40" s="295" t="s">
        <v>94</v>
      </c>
      <c r="AE40" s="295">
        <f t="shared" si="13"/>
        <v>7400</v>
      </c>
      <c r="AF40" s="295">
        <f t="shared" ca="1" si="14"/>
        <v>12</v>
      </c>
      <c r="AG40" s="295">
        <v>221105</v>
      </c>
      <c r="AH40" s="295" t="s">
        <v>101</v>
      </c>
      <c r="AI40" s="294">
        <v>42842</v>
      </c>
      <c r="AJ40" s="295" t="s">
        <v>891</v>
      </c>
      <c r="AK40" s="295">
        <v>221105</v>
      </c>
      <c r="AL40" s="294">
        <v>42926</v>
      </c>
      <c r="AM40" s="295" t="s">
        <v>115</v>
      </c>
      <c r="AN40" s="295">
        <f t="shared" si="15"/>
        <v>66240</v>
      </c>
      <c r="AO40" s="295">
        <f t="shared" ca="1" si="16"/>
        <v>91</v>
      </c>
      <c r="AP40" s="157" t="e">
        <f>#REF!-1</f>
        <v>#REF!</v>
      </c>
      <c r="AQ40" s="100" t="str">
        <f>VLOOKUP(AK40,'Pad Planner - DO NOT AMEND'!A:M,12,FALSE)</f>
        <v/>
      </c>
      <c r="AR40" s="100" t="str">
        <f>VLOOKUP(AK40,'Pad Planner - DO NOT AMEND'!A:M,13,FALSE)</f>
        <v/>
      </c>
    </row>
    <row r="41" spans="1:44">
      <c r="A41" s="88">
        <v>221106</v>
      </c>
      <c r="B41" s="95"/>
      <c r="C41" s="19"/>
      <c r="D41" s="108">
        <v>42931</v>
      </c>
      <c r="E41" s="19" t="s">
        <v>115</v>
      </c>
      <c r="F41" s="96">
        <f t="shared" si="8"/>
        <v>4106206</v>
      </c>
      <c r="G41" s="21">
        <f t="shared" si="9"/>
        <v>24764</v>
      </c>
      <c r="H41" s="395">
        <v>42927</v>
      </c>
      <c r="I41" s="396" t="s">
        <v>922</v>
      </c>
      <c r="J41" s="22"/>
      <c r="K41" s="99">
        <f>'Mileages EOD'!B42</f>
        <v>4081442</v>
      </c>
      <c r="L41" s="114" t="str">
        <f t="shared" si="10"/>
        <v>S7A</v>
      </c>
      <c r="M41" s="114">
        <f t="shared" si="11"/>
        <v>42965</v>
      </c>
      <c r="N41" s="213"/>
      <c r="O41" s="112"/>
      <c r="P41" s="305">
        <v>221106</v>
      </c>
      <c r="Q41" s="301">
        <v>42965</v>
      </c>
      <c r="R41" s="300" t="s">
        <v>534</v>
      </c>
      <c r="S41" s="296">
        <v>221106</v>
      </c>
      <c r="T41" s="296" t="s">
        <v>528</v>
      </c>
      <c r="U41" s="294">
        <v>42920</v>
      </c>
      <c r="V41" s="117" t="s">
        <v>703</v>
      </c>
      <c r="W41" s="295">
        <f t="shared" ca="1" si="12"/>
        <v>13</v>
      </c>
      <c r="X41" s="295">
        <v>221106</v>
      </c>
      <c r="Y41" s="295" t="s">
        <v>93</v>
      </c>
      <c r="Z41" s="294">
        <v>42927</v>
      </c>
      <c r="AA41" s="295" t="s">
        <v>922</v>
      </c>
      <c r="AB41" s="295">
        <v>221106</v>
      </c>
      <c r="AC41" s="294">
        <v>42957</v>
      </c>
      <c r="AD41" s="295" t="s">
        <v>94</v>
      </c>
      <c r="AE41" s="295">
        <f t="shared" si="13"/>
        <v>5566</v>
      </c>
      <c r="AF41" s="295">
        <f t="shared" ca="1" si="14"/>
        <v>6</v>
      </c>
      <c r="AG41" s="295">
        <v>221106</v>
      </c>
      <c r="AH41" s="295" t="s">
        <v>101</v>
      </c>
      <c r="AI41" s="294">
        <v>42843</v>
      </c>
      <c r="AJ41" s="295" t="s">
        <v>851</v>
      </c>
      <c r="AK41" s="295">
        <v>221106</v>
      </c>
      <c r="AL41" s="294">
        <v>42931</v>
      </c>
      <c r="AM41" s="295" t="s">
        <v>115</v>
      </c>
      <c r="AN41" s="295">
        <f t="shared" si="15"/>
        <v>73431</v>
      </c>
      <c r="AO41" s="295">
        <f t="shared" ca="1" si="16"/>
        <v>90</v>
      </c>
      <c r="AP41" s="157" t="e">
        <f>#REF!-1</f>
        <v>#REF!</v>
      </c>
      <c r="AQ41" s="100" t="str">
        <f>VLOOKUP(AK41,'Pad Planner - DO NOT AMEND'!A:M,12,FALSE)</f>
        <v>TOPLAN</v>
      </c>
      <c r="AR41" s="100" t="str">
        <f>VLOOKUP(AK41,'Pad Planner - DO NOT AMEND'!A:M,13,FALSE)</f>
        <v>9140348</v>
      </c>
    </row>
    <row r="42" spans="1:44">
      <c r="A42" s="105">
        <v>221107</v>
      </c>
      <c r="B42" s="95"/>
      <c r="C42" s="19"/>
      <c r="D42" s="108">
        <v>42932</v>
      </c>
      <c r="E42" s="19" t="s">
        <v>95</v>
      </c>
      <c r="F42" s="96">
        <f t="shared" si="8"/>
        <v>4165190</v>
      </c>
      <c r="G42" s="21">
        <f t="shared" si="9"/>
        <v>6949</v>
      </c>
      <c r="H42" s="395">
        <v>42915</v>
      </c>
      <c r="I42" s="396" t="s">
        <v>742</v>
      </c>
      <c r="J42" s="22"/>
      <c r="K42" s="99">
        <f>'Mileages EOD'!B43</f>
        <v>4158241</v>
      </c>
      <c r="L42" s="114" t="str">
        <f t="shared" si="10"/>
        <v>S8A</v>
      </c>
      <c r="M42" s="114">
        <f t="shared" si="11"/>
        <v>42957</v>
      </c>
      <c r="N42" s="213"/>
      <c r="O42" s="112"/>
      <c r="P42" s="306">
        <v>221107</v>
      </c>
      <c r="Q42" s="299">
        <v>42957</v>
      </c>
      <c r="R42" s="302" t="s">
        <v>533</v>
      </c>
      <c r="S42" s="296">
        <v>221107</v>
      </c>
      <c r="T42" s="296" t="s">
        <v>534</v>
      </c>
      <c r="U42" s="294">
        <v>42915</v>
      </c>
      <c r="V42" s="117" t="s">
        <v>742</v>
      </c>
      <c r="W42" s="295">
        <f t="shared" ca="1" si="12"/>
        <v>18</v>
      </c>
      <c r="X42" s="295">
        <v>221107</v>
      </c>
      <c r="Y42" s="295" t="s">
        <v>94</v>
      </c>
      <c r="Z42" s="294">
        <v>42902</v>
      </c>
      <c r="AA42" s="295" t="s">
        <v>742</v>
      </c>
      <c r="AB42" s="295">
        <v>221107</v>
      </c>
      <c r="AC42" s="294">
        <v>42932</v>
      </c>
      <c r="AD42" s="295" t="s">
        <v>95</v>
      </c>
      <c r="AE42" s="295">
        <f t="shared" si="13"/>
        <v>23381</v>
      </c>
      <c r="AF42" s="295">
        <f t="shared" ca="1" si="14"/>
        <v>31</v>
      </c>
      <c r="AG42" s="295">
        <v>221107</v>
      </c>
      <c r="AH42" s="295" t="s">
        <v>115</v>
      </c>
      <c r="AI42" s="294">
        <v>42877</v>
      </c>
      <c r="AJ42" s="295" t="s">
        <v>641</v>
      </c>
      <c r="AK42" s="295">
        <v>221107</v>
      </c>
      <c r="AL42" s="294">
        <v>42965</v>
      </c>
      <c r="AM42" s="295" t="s">
        <v>99</v>
      </c>
      <c r="AN42" s="295">
        <f t="shared" si="15"/>
        <v>46230</v>
      </c>
      <c r="AO42" s="295">
        <f t="shared" ca="1" si="16"/>
        <v>56</v>
      </c>
      <c r="AP42" s="157" t="e">
        <f>#REF!-1</f>
        <v>#REF!</v>
      </c>
      <c r="AQ42" s="100" t="str">
        <f>VLOOKUP(AK42,'Pad Planner - DO NOT AMEND'!A:M,12,FALSE)</f>
        <v>TOPLAN</v>
      </c>
      <c r="AR42" s="100" t="str">
        <f>VLOOKUP(AK42,'Pad Planner - DO NOT AMEND'!A:M,13,FALSE)</f>
        <v>9166972</v>
      </c>
    </row>
    <row r="43" spans="1:44">
      <c r="A43" s="88">
        <v>221108</v>
      </c>
      <c r="B43" s="95"/>
      <c r="C43" s="19"/>
      <c r="D43" s="108">
        <v>42950</v>
      </c>
      <c r="E43" s="19" t="s">
        <v>94</v>
      </c>
      <c r="F43" s="96">
        <f t="shared" si="8"/>
        <v>4110605</v>
      </c>
      <c r="G43" s="21">
        <f t="shared" si="9"/>
        <v>17462</v>
      </c>
      <c r="H43" s="395">
        <v>42928</v>
      </c>
      <c r="I43" s="396" t="s">
        <v>821</v>
      </c>
      <c r="J43" s="22"/>
      <c r="K43" s="99">
        <f>'Mileages EOD'!B44</f>
        <v>4093143</v>
      </c>
      <c r="L43" s="114" t="str">
        <f t="shared" si="10"/>
        <v>S7A</v>
      </c>
      <c r="M43" s="114">
        <f t="shared" si="11"/>
        <v>42960</v>
      </c>
      <c r="N43" s="213"/>
      <c r="O43" s="112"/>
      <c r="P43" s="305">
        <v>221108</v>
      </c>
      <c r="Q43" s="301">
        <v>42960</v>
      </c>
      <c r="R43" s="300" t="s">
        <v>534</v>
      </c>
      <c r="S43" s="296">
        <v>221108</v>
      </c>
      <c r="T43" s="296" t="s">
        <v>528</v>
      </c>
      <c r="U43" s="294">
        <v>42913</v>
      </c>
      <c r="V43" s="117" t="s">
        <v>688</v>
      </c>
      <c r="W43" s="295">
        <f t="shared" ca="1" si="12"/>
        <v>20</v>
      </c>
      <c r="X43" s="295">
        <v>221108</v>
      </c>
      <c r="Y43" s="295" t="s">
        <v>93</v>
      </c>
      <c r="Z43" s="294">
        <v>42916</v>
      </c>
      <c r="AA43" s="295" t="s">
        <v>821</v>
      </c>
      <c r="AB43" s="295">
        <v>221108</v>
      </c>
      <c r="AC43" s="294">
        <v>42950</v>
      </c>
      <c r="AD43" s="295" t="s">
        <v>94</v>
      </c>
      <c r="AE43" s="295">
        <f t="shared" si="13"/>
        <v>12868</v>
      </c>
      <c r="AF43" s="295">
        <f t="shared" ca="1" si="14"/>
        <v>17</v>
      </c>
      <c r="AG43" s="295">
        <v>221108</v>
      </c>
      <c r="AH43" s="295" t="s">
        <v>115</v>
      </c>
      <c r="AI43" s="294">
        <v>42928</v>
      </c>
      <c r="AJ43" s="295" t="s">
        <v>821</v>
      </c>
      <c r="AK43" s="295">
        <v>221108</v>
      </c>
      <c r="AL43" s="294">
        <v>43014</v>
      </c>
      <c r="AM43" s="295" t="s">
        <v>99</v>
      </c>
      <c r="AN43" s="295">
        <f t="shared" si="15"/>
        <v>12868</v>
      </c>
      <c r="AO43" s="295">
        <f t="shared" ca="1" si="16"/>
        <v>5</v>
      </c>
      <c r="AP43" s="157" t="e">
        <f>#REF!-1</f>
        <v>#REF!</v>
      </c>
      <c r="AQ43" s="100" t="str">
        <f>VLOOKUP(AK43,'Pad Planner - DO NOT AMEND'!A:M,12,FALSE)</f>
        <v/>
      </c>
      <c r="AR43" s="100" t="str">
        <f>VLOOKUP(AK43,'Pad Planner - DO NOT AMEND'!A:M,13,FALSE)</f>
        <v/>
      </c>
    </row>
    <row r="44" spans="1:44">
      <c r="A44" s="88">
        <v>221109</v>
      </c>
      <c r="B44" s="95"/>
      <c r="C44" s="19"/>
      <c r="D44" s="108">
        <v>42951</v>
      </c>
      <c r="E44" s="19" t="s">
        <v>93</v>
      </c>
      <c r="F44" s="96">
        <f t="shared" si="8"/>
        <v>4058339</v>
      </c>
      <c r="G44" s="21">
        <f t="shared" si="9"/>
        <v>19575</v>
      </c>
      <c r="H44" s="395">
        <v>42920</v>
      </c>
      <c r="I44" s="396" t="s">
        <v>848</v>
      </c>
      <c r="J44" s="22"/>
      <c r="K44" s="99">
        <f>'Mileages EOD'!B45</f>
        <v>4038764</v>
      </c>
      <c r="L44" s="114" t="str">
        <f t="shared" si="10"/>
        <v>S1A</v>
      </c>
      <c r="M44" s="114">
        <f t="shared" si="11"/>
        <v>42958</v>
      </c>
      <c r="N44" s="213"/>
      <c r="O44" s="112"/>
      <c r="P44" s="306">
        <v>221109</v>
      </c>
      <c r="Q44" s="299">
        <v>42958</v>
      </c>
      <c r="R44" s="302" t="s">
        <v>527</v>
      </c>
      <c r="S44" s="296">
        <v>221109</v>
      </c>
      <c r="T44" s="296" t="s">
        <v>533</v>
      </c>
      <c r="U44" s="294">
        <v>42914</v>
      </c>
      <c r="V44" s="117" t="s">
        <v>693</v>
      </c>
      <c r="W44" s="295">
        <f t="shared" ca="1" si="12"/>
        <v>19</v>
      </c>
      <c r="X44" s="295">
        <v>221109</v>
      </c>
      <c r="Y44" s="295" t="s">
        <v>96</v>
      </c>
      <c r="Z44" s="294">
        <v>42919</v>
      </c>
      <c r="AA44" s="295" t="s">
        <v>848</v>
      </c>
      <c r="AB44" s="295">
        <v>221109</v>
      </c>
      <c r="AC44" s="294">
        <v>42951</v>
      </c>
      <c r="AD44" s="295" t="s">
        <v>93</v>
      </c>
      <c r="AE44" s="295">
        <f t="shared" si="13"/>
        <v>10755</v>
      </c>
      <c r="AF44" s="295">
        <f t="shared" ca="1" si="14"/>
        <v>14</v>
      </c>
      <c r="AG44" s="295">
        <v>221109</v>
      </c>
      <c r="AH44" s="295" t="s">
        <v>99</v>
      </c>
      <c r="AI44" s="294">
        <v>42920</v>
      </c>
      <c r="AJ44" s="295" t="s">
        <v>848</v>
      </c>
      <c r="AK44" s="295">
        <v>221109</v>
      </c>
      <c r="AL44" s="294">
        <v>43010</v>
      </c>
      <c r="AM44" s="295" t="s">
        <v>105</v>
      </c>
      <c r="AN44" s="295">
        <f t="shared" si="15"/>
        <v>10755</v>
      </c>
      <c r="AO44" s="295">
        <f t="shared" ca="1" si="16"/>
        <v>13</v>
      </c>
      <c r="AP44" s="157" t="e">
        <f>#REF!-1</f>
        <v>#REF!</v>
      </c>
      <c r="AQ44" s="100" t="str">
        <f>VLOOKUP(AK44,'Pad Planner - DO NOT AMEND'!A:M,12,FALSE)</f>
        <v/>
      </c>
      <c r="AR44" s="100" t="str">
        <f>VLOOKUP(AK44,'Pad Planner - DO NOT AMEND'!A:M,13,FALSE)</f>
        <v/>
      </c>
    </row>
    <row r="45" spans="1:44">
      <c r="A45" s="88">
        <v>221110</v>
      </c>
      <c r="B45" s="95"/>
      <c r="C45" s="19"/>
      <c r="D45" s="108">
        <v>42958</v>
      </c>
      <c r="E45" s="19" t="s">
        <v>93</v>
      </c>
      <c r="F45" s="96">
        <f t="shared" si="8"/>
        <v>4140395</v>
      </c>
      <c r="G45" s="21">
        <f t="shared" si="9"/>
        <v>26045</v>
      </c>
      <c r="H45" s="395">
        <v>42928</v>
      </c>
      <c r="I45" s="396" t="s">
        <v>936</v>
      </c>
      <c r="J45" s="22"/>
      <c r="K45" s="99">
        <f>'Mileages EOD'!B46</f>
        <v>4114350</v>
      </c>
      <c r="L45" s="114" t="str">
        <f t="shared" si="10"/>
        <v>S1A</v>
      </c>
      <c r="M45" s="114">
        <f t="shared" si="11"/>
        <v>42966</v>
      </c>
      <c r="N45" s="213"/>
      <c r="O45" s="112"/>
      <c r="P45" s="305">
        <v>221110</v>
      </c>
      <c r="Q45" s="301">
        <v>42966</v>
      </c>
      <c r="R45" s="300" t="s">
        <v>527</v>
      </c>
      <c r="S45" s="296">
        <v>221110</v>
      </c>
      <c r="T45" s="296" t="s">
        <v>533</v>
      </c>
      <c r="U45" s="294">
        <v>42921</v>
      </c>
      <c r="V45" s="117" t="s">
        <v>713</v>
      </c>
      <c r="W45" s="295">
        <f t="shared" ca="1" si="12"/>
        <v>12</v>
      </c>
      <c r="X45" s="295">
        <v>221110</v>
      </c>
      <c r="Y45" s="295" t="s">
        <v>96</v>
      </c>
      <c r="Z45" s="294">
        <v>42928</v>
      </c>
      <c r="AA45" s="295" t="s">
        <v>936</v>
      </c>
      <c r="AB45" s="295">
        <v>221110</v>
      </c>
      <c r="AC45" s="294">
        <v>42958</v>
      </c>
      <c r="AD45" s="295" t="s">
        <v>93</v>
      </c>
      <c r="AE45" s="295">
        <f t="shared" si="13"/>
        <v>4285</v>
      </c>
      <c r="AF45" s="295">
        <f t="shared" ca="1" si="14"/>
        <v>5</v>
      </c>
      <c r="AG45" s="295">
        <v>221110</v>
      </c>
      <c r="AH45" s="295" t="s">
        <v>99</v>
      </c>
      <c r="AI45" s="294">
        <v>42924</v>
      </c>
      <c r="AJ45" s="295" t="s">
        <v>713</v>
      </c>
      <c r="AK45" s="295">
        <v>221110</v>
      </c>
      <c r="AL45" s="294">
        <v>43016</v>
      </c>
      <c r="AM45" s="295" t="s">
        <v>105</v>
      </c>
      <c r="AN45" s="295">
        <f t="shared" si="15"/>
        <v>29254</v>
      </c>
      <c r="AO45" s="295">
        <f t="shared" ca="1" si="16"/>
        <v>9</v>
      </c>
      <c r="AP45" s="157" t="e">
        <f>#REF!-1</f>
        <v>#REF!</v>
      </c>
      <c r="AQ45" s="100" t="str">
        <f>VLOOKUP(AK45,'Pad Planner - DO NOT AMEND'!A:M,12,FALSE)</f>
        <v/>
      </c>
      <c r="AR45" s="100" t="str">
        <f>VLOOKUP(AK45,'Pad Planner - DO NOT AMEND'!A:M,13,FALSE)</f>
        <v/>
      </c>
    </row>
    <row r="46" spans="1:44">
      <c r="A46" s="88">
        <v>221111</v>
      </c>
      <c r="B46" s="95"/>
      <c r="C46" s="19"/>
      <c r="D46" s="108">
        <v>42936</v>
      </c>
      <c r="E46" s="19" t="s">
        <v>93</v>
      </c>
      <c r="F46" s="96">
        <f t="shared" si="8"/>
        <v>4053784</v>
      </c>
      <c r="G46" s="21">
        <f t="shared" si="9"/>
        <v>8581</v>
      </c>
      <c r="H46" s="395">
        <v>42932</v>
      </c>
      <c r="I46" s="396" t="s">
        <v>756</v>
      </c>
      <c r="J46" s="22"/>
      <c r="K46" s="99">
        <f>'Mileages EOD'!B47</f>
        <v>4045203</v>
      </c>
      <c r="L46" s="114" t="str">
        <f t="shared" si="10"/>
        <v>S7A</v>
      </c>
      <c r="M46" s="114">
        <f t="shared" si="11"/>
        <v>42979</v>
      </c>
      <c r="N46" s="213"/>
      <c r="O46" s="112"/>
      <c r="P46" s="306">
        <v>221111</v>
      </c>
      <c r="Q46" s="299">
        <v>42979</v>
      </c>
      <c r="R46" s="302" t="s">
        <v>534</v>
      </c>
      <c r="S46" s="296">
        <v>221111</v>
      </c>
      <c r="T46" s="296" t="s">
        <v>528</v>
      </c>
      <c r="U46" s="294">
        <v>42932</v>
      </c>
      <c r="V46" s="117" t="s">
        <v>756</v>
      </c>
      <c r="W46" s="295">
        <f t="shared" ca="1" si="12"/>
        <v>1</v>
      </c>
      <c r="X46" s="295">
        <v>221111</v>
      </c>
      <c r="Y46" s="295" t="s">
        <v>96</v>
      </c>
      <c r="Z46" s="294">
        <v>42905</v>
      </c>
      <c r="AA46" s="295" t="s">
        <v>756</v>
      </c>
      <c r="AB46" s="295">
        <v>221111</v>
      </c>
      <c r="AC46" s="294">
        <v>42936</v>
      </c>
      <c r="AD46" s="295" t="s">
        <v>93</v>
      </c>
      <c r="AE46" s="295">
        <f t="shared" si="13"/>
        <v>21749</v>
      </c>
      <c r="AF46" s="295">
        <f t="shared" ca="1" si="14"/>
        <v>28</v>
      </c>
      <c r="AG46" s="295">
        <v>221111</v>
      </c>
      <c r="AH46" s="295" t="s">
        <v>101</v>
      </c>
      <c r="AI46" s="294">
        <v>42856</v>
      </c>
      <c r="AJ46" s="295" t="s">
        <v>575</v>
      </c>
      <c r="AK46" s="295">
        <v>221111</v>
      </c>
      <c r="AL46" s="294">
        <v>42941</v>
      </c>
      <c r="AM46" s="295" t="s">
        <v>115</v>
      </c>
      <c r="AN46" s="295">
        <f t="shared" si="15"/>
        <v>69682</v>
      </c>
      <c r="AO46" s="295">
        <f t="shared" ca="1" si="16"/>
        <v>77</v>
      </c>
      <c r="AP46" s="157" t="e">
        <f>#REF!-1</f>
        <v>#REF!</v>
      </c>
      <c r="AQ46" s="100" t="str">
        <f>VLOOKUP(AK46,'Pad Planner - DO NOT AMEND'!A:M,12,FALSE)</f>
        <v>TOPLAN</v>
      </c>
      <c r="AR46" s="100" t="str">
        <f>VLOOKUP(AK46,'Pad Planner - DO NOT AMEND'!A:M,13,FALSE)</f>
        <v>9168833</v>
      </c>
    </row>
    <row r="47" spans="1:44">
      <c r="A47" s="88">
        <v>221112</v>
      </c>
      <c r="B47" s="95"/>
      <c r="C47" s="19"/>
      <c r="D47" s="108">
        <v>42947</v>
      </c>
      <c r="E47" s="19" t="s">
        <v>528</v>
      </c>
      <c r="F47" s="96">
        <f t="shared" si="8"/>
        <v>4099823</v>
      </c>
      <c r="G47" s="21">
        <f t="shared" si="9"/>
        <v>16049</v>
      </c>
      <c r="H47" s="395">
        <v>42918</v>
      </c>
      <c r="I47" s="396" t="s">
        <v>824</v>
      </c>
      <c r="J47" s="22"/>
      <c r="K47" s="99">
        <f>'Mileages EOD'!B48</f>
        <v>4083774</v>
      </c>
      <c r="L47" s="114" t="str">
        <f t="shared" si="10"/>
        <v>S6A</v>
      </c>
      <c r="M47" s="114">
        <f t="shared" si="11"/>
        <v>42947</v>
      </c>
      <c r="N47" s="213"/>
      <c r="O47" s="112"/>
      <c r="P47" s="305">
        <v>221112</v>
      </c>
      <c r="Q47" s="301">
        <v>42947</v>
      </c>
      <c r="R47" s="300" t="s">
        <v>528</v>
      </c>
      <c r="S47" s="296">
        <v>221112</v>
      </c>
      <c r="T47" s="296" t="s">
        <v>529</v>
      </c>
      <c r="U47" s="294">
        <v>42901</v>
      </c>
      <c r="V47" s="117" t="s">
        <v>686</v>
      </c>
      <c r="W47" s="295">
        <f t="shared" ca="1" si="12"/>
        <v>32</v>
      </c>
      <c r="X47" s="295">
        <v>221112</v>
      </c>
      <c r="Y47" s="295" t="s">
        <v>96</v>
      </c>
      <c r="Z47" s="294">
        <v>42918</v>
      </c>
      <c r="AA47" s="295" t="s">
        <v>824</v>
      </c>
      <c r="AB47" s="295">
        <v>221112</v>
      </c>
      <c r="AC47" s="294">
        <v>42950</v>
      </c>
      <c r="AD47" s="295" t="s">
        <v>93</v>
      </c>
      <c r="AE47" s="295">
        <f t="shared" si="13"/>
        <v>14281</v>
      </c>
      <c r="AF47" s="295">
        <f t="shared" ca="1" si="14"/>
        <v>15</v>
      </c>
      <c r="AG47" s="295">
        <v>221112</v>
      </c>
      <c r="AH47" s="295" t="s">
        <v>101</v>
      </c>
      <c r="AI47" s="294">
        <v>42870</v>
      </c>
      <c r="AJ47" s="295" t="s">
        <v>608</v>
      </c>
      <c r="AK47" s="295">
        <v>221112</v>
      </c>
      <c r="AL47" s="294">
        <v>42956</v>
      </c>
      <c r="AM47" s="295" t="s">
        <v>115</v>
      </c>
      <c r="AN47" s="295">
        <f t="shared" si="15"/>
        <v>65587</v>
      </c>
      <c r="AO47" s="295">
        <f t="shared" ca="1" si="16"/>
        <v>63</v>
      </c>
      <c r="AP47" s="157" t="e">
        <f>#REF!-1</f>
        <v>#REF!</v>
      </c>
      <c r="AQ47" s="100" t="str">
        <f>VLOOKUP(AK47,'Pad Planner - DO NOT AMEND'!A:M,12,FALSE)</f>
        <v/>
      </c>
      <c r="AR47" s="100" t="str">
        <f>VLOOKUP(AK47,'Pad Planner - DO NOT AMEND'!A:M,13,FALSE)</f>
        <v/>
      </c>
    </row>
    <row r="48" spans="1:44">
      <c r="A48" s="88">
        <v>221113</v>
      </c>
      <c r="B48" s="95"/>
      <c r="C48" s="19"/>
      <c r="D48" s="108">
        <v>42941</v>
      </c>
      <c r="E48" s="19" t="s">
        <v>95</v>
      </c>
      <c r="F48" s="96">
        <f t="shared" si="8"/>
        <v>4126710</v>
      </c>
      <c r="G48" s="21">
        <f>F48-K48</f>
        <v>10132</v>
      </c>
      <c r="H48" s="395">
        <v>42919</v>
      </c>
      <c r="I48" s="396" t="s">
        <v>782</v>
      </c>
      <c r="J48" s="22"/>
      <c r="K48" s="99">
        <f>'Mileages EOD'!B49</f>
        <v>4116578</v>
      </c>
      <c r="L48" s="114" t="str">
        <f t="shared" si="10"/>
        <v>S8A</v>
      </c>
      <c r="M48" s="114">
        <f t="shared" si="11"/>
        <v>42962</v>
      </c>
      <c r="N48" s="213"/>
      <c r="O48" s="112"/>
      <c r="P48" s="306">
        <v>221113</v>
      </c>
      <c r="Q48" s="299">
        <v>42962</v>
      </c>
      <c r="R48" s="302" t="s">
        <v>533</v>
      </c>
      <c r="S48" s="296">
        <v>221113</v>
      </c>
      <c r="T48" s="296" t="s">
        <v>534</v>
      </c>
      <c r="U48" s="294">
        <v>42919</v>
      </c>
      <c r="V48" s="117" t="s">
        <v>782</v>
      </c>
      <c r="W48" s="295">
        <f t="shared" ca="1" si="12"/>
        <v>14</v>
      </c>
      <c r="X48" s="295">
        <v>221113</v>
      </c>
      <c r="Y48" s="295" t="s">
        <v>94</v>
      </c>
      <c r="Z48" s="294">
        <v>42909</v>
      </c>
      <c r="AA48" s="295" t="s">
        <v>849</v>
      </c>
      <c r="AB48" s="295">
        <v>221113</v>
      </c>
      <c r="AC48" s="294">
        <v>42941</v>
      </c>
      <c r="AD48" s="295" t="s">
        <v>95</v>
      </c>
      <c r="AE48" s="295">
        <f t="shared" si="13"/>
        <v>19329</v>
      </c>
      <c r="AF48" s="295">
        <f t="shared" ca="1" si="14"/>
        <v>24</v>
      </c>
      <c r="AG48" s="295">
        <v>221113</v>
      </c>
      <c r="AH48" s="295" t="s">
        <v>115</v>
      </c>
      <c r="AI48" s="294">
        <v>42884</v>
      </c>
      <c r="AJ48" s="295" t="s">
        <v>667</v>
      </c>
      <c r="AK48" s="295">
        <v>221113</v>
      </c>
      <c r="AL48" s="294">
        <v>42972</v>
      </c>
      <c r="AM48" s="295" t="s">
        <v>99</v>
      </c>
      <c r="AN48" s="295">
        <f t="shared" si="15"/>
        <v>40981</v>
      </c>
      <c r="AO48" s="295">
        <f t="shared" ca="1" si="16"/>
        <v>49</v>
      </c>
      <c r="AP48" s="157" t="e">
        <f>#REF!-1</f>
        <v>#REF!</v>
      </c>
      <c r="AQ48" s="100" t="str">
        <f>VLOOKUP(AK48,'Pad Planner - DO NOT AMEND'!A:M,12,FALSE)</f>
        <v/>
      </c>
      <c r="AR48" s="100" t="str">
        <f>VLOOKUP(AK48,'Pad Planner - DO NOT AMEND'!A:M,13,FALSE)</f>
        <v/>
      </c>
    </row>
    <row r="49" spans="1:44">
      <c r="A49" s="88">
        <v>221114</v>
      </c>
      <c r="B49" s="95"/>
      <c r="C49" s="19"/>
      <c r="D49" s="108">
        <v>42934</v>
      </c>
      <c r="E49" s="19" t="s">
        <v>533</v>
      </c>
      <c r="F49" s="96">
        <f t="shared" si="8"/>
        <v>4135141</v>
      </c>
      <c r="G49" s="21">
        <f t="shared" si="9"/>
        <v>7053</v>
      </c>
      <c r="H49" s="395">
        <v>42905</v>
      </c>
      <c r="I49" s="396" t="s">
        <v>757</v>
      </c>
      <c r="J49" s="22"/>
      <c r="K49" s="99">
        <f>'Mileages EOD'!B50</f>
        <v>4128088</v>
      </c>
      <c r="L49" s="114" t="str">
        <f t="shared" si="10"/>
        <v>S8A</v>
      </c>
      <c r="M49" s="114">
        <f t="shared" si="11"/>
        <v>42934</v>
      </c>
      <c r="N49" s="213"/>
      <c r="O49" s="112"/>
      <c r="P49" s="305">
        <v>221114</v>
      </c>
      <c r="Q49" s="301">
        <v>42934</v>
      </c>
      <c r="R49" s="300" t="s">
        <v>533</v>
      </c>
      <c r="S49" s="296">
        <v>221114</v>
      </c>
      <c r="T49" s="296" t="s">
        <v>534</v>
      </c>
      <c r="U49" s="294">
        <v>42888</v>
      </c>
      <c r="V49" s="117" t="s">
        <v>655</v>
      </c>
      <c r="W49" s="295">
        <f t="shared" ca="1" si="12"/>
        <v>45</v>
      </c>
      <c r="X49" s="295">
        <v>221114</v>
      </c>
      <c r="Y49" s="295" t="s">
        <v>95</v>
      </c>
      <c r="Z49" s="294">
        <v>42905</v>
      </c>
      <c r="AA49" s="295" t="s">
        <v>757</v>
      </c>
      <c r="AB49" s="295">
        <v>221114</v>
      </c>
      <c r="AC49" s="294">
        <v>42939</v>
      </c>
      <c r="AD49" s="295" t="s">
        <v>96</v>
      </c>
      <c r="AE49" s="295">
        <f t="shared" si="13"/>
        <v>23277</v>
      </c>
      <c r="AF49" s="295">
        <f t="shared" ca="1" si="14"/>
        <v>28</v>
      </c>
      <c r="AG49" s="295">
        <v>221114</v>
      </c>
      <c r="AH49" s="295" t="s">
        <v>115</v>
      </c>
      <c r="AI49" s="294">
        <v>42848</v>
      </c>
      <c r="AJ49" s="295" t="s">
        <v>582</v>
      </c>
      <c r="AK49" s="295">
        <v>221114</v>
      </c>
      <c r="AL49" s="294">
        <v>42939</v>
      </c>
      <c r="AM49" s="295" t="s">
        <v>99</v>
      </c>
      <c r="AN49" s="295">
        <f t="shared" si="15"/>
        <v>72742</v>
      </c>
      <c r="AO49" s="295">
        <f t="shared" ca="1" si="16"/>
        <v>85</v>
      </c>
      <c r="AP49" s="157" t="e">
        <f>#REF!-1</f>
        <v>#REF!</v>
      </c>
      <c r="AQ49" s="100" t="str">
        <f>VLOOKUP(AK49,'Pad Planner - DO NOT AMEND'!A:M,12,FALSE)</f>
        <v>TOPLAN</v>
      </c>
      <c r="AR49" s="100" t="str">
        <f>VLOOKUP(AK49,'Pad Planner - DO NOT AMEND'!A:M,13,FALSE)</f>
        <v>9162774</v>
      </c>
    </row>
    <row r="50" spans="1:44">
      <c r="A50" s="88">
        <v>221115</v>
      </c>
      <c r="B50" s="95"/>
      <c r="C50" s="19"/>
      <c r="D50" s="108">
        <v>42944</v>
      </c>
      <c r="E50" s="19" t="s">
        <v>94</v>
      </c>
      <c r="F50" s="96">
        <f t="shared" si="8"/>
        <v>4135788</v>
      </c>
      <c r="G50" s="21">
        <f t="shared" si="9"/>
        <v>13422</v>
      </c>
      <c r="H50" s="395">
        <v>42925</v>
      </c>
      <c r="I50" s="396" t="s">
        <v>786</v>
      </c>
      <c r="J50" s="22"/>
      <c r="K50" s="99">
        <f>'Mileages EOD'!B51</f>
        <v>4122366</v>
      </c>
      <c r="L50" s="114" t="str">
        <f t="shared" si="10"/>
        <v>S2A</v>
      </c>
      <c r="M50" s="114">
        <f t="shared" si="11"/>
        <v>42970</v>
      </c>
      <c r="N50" s="213"/>
      <c r="O50" s="112"/>
      <c r="P50" s="306">
        <v>221115</v>
      </c>
      <c r="Q50" s="299">
        <v>42970</v>
      </c>
      <c r="R50" s="302" t="s">
        <v>532</v>
      </c>
      <c r="S50" s="296">
        <v>221115</v>
      </c>
      <c r="T50" s="296" t="s">
        <v>527</v>
      </c>
      <c r="U50" s="294">
        <v>42925</v>
      </c>
      <c r="V50" s="117" t="s">
        <v>786</v>
      </c>
      <c r="W50" s="295">
        <f t="shared" ca="1" si="12"/>
        <v>8</v>
      </c>
      <c r="X50" s="295">
        <v>221115</v>
      </c>
      <c r="Y50" s="295" t="s">
        <v>93</v>
      </c>
      <c r="Z50" s="294">
        <v>42911</v>
      </c>
      <c r="AA50" s="295" t="s">
        <v>786</v>
      </c>
      <c r="AB50" s="295">
        <v>221115</v>
      </c>
      <c r="AC50" s="294">
        <v>42944</v>
      </c>
      <c r="AD50" s="295" t="s">
        <v>94</v>
      </c>
      <c r="AE50" s="295">
        <f t="shared" si="13"/>
        <v>16908</v>
      </c>
      <c r="AF50" s="295">
        <f t="shared" ca="1" si="14"/>
        <v>22</v>
      </c>
      <c r="AG50" s="295">
        <v>221115</v>
      </c>
      <c r="AH50" s="295" t="s">
        <v>99</v>
      </c>
      <c r="AI50" s="294">
        <v>42884</v>
      </c>
      <c r="AJ50" s="295" t="s">
        <v>679</v>
      </c>
      <c r="AK50" s="295">
        <v>221115</v>
      </c>
      <c r="AL50" s="294">
        <v>42974</v>
      </c>
      <c r="AM50" s="295" t="s">
        <v>105</v>
      </c>
      <c r="AN50" s="295">
        <f t="shared" si="15"/>
        <v>43509</v>
      </c>
      <c r="AO50" s="295">
        <f t="shared" ca="1" si="16"/>
        <v>49</v>
      </c>
      <c r="AP50" s="157" t="e">
        <f>#REF!-1</f>
        <v>#REF!</v>
      </c>
      <c r="AQ50" s="100" t="str">
        <f>VLOOKUP(AK50,'Pad Planner - DO NOT AMEND'!A:M,12,FALSE)</f>
        <v/>
      </c>
      <c r="AR50" s="100" t="str">
        <f>VLOOKUP(AK50,'Pad Planner - DO NOT AMEND'!A:M,13,FALSE)</f>
        <v/>
      </c>
    </row>
    <row r="51" spans="1:44">
      <c r="A51" s="88">
        <v>221116</v>
      </c>
      <c r="B51" s="95"/>
      <c r="C51" s="19"/>
      <c r="D51" s="108">
        <v>42931</v>
      </c>
      <c r="E51" s="19" t="s">
        <v>94</v>
      </c>
      <c r="F51" s="96">
        <f t="shared" si="8"/>
        <v>4052837</v>
      </c>
      <c r="G51" s="21">
        <f t="shared" si="9"/>
        <v>3790</v>
      </c>
      <c r="H51" s="395">
        <v>42905</v>
      </c>
      <c r="I51" s="396" t="s">
        <v>736</v>
      </c>
      <c r="J51" s="22"/>
      <c r="K51" s="99">
        <f>'Mileages EOD'!B52</f>
        <v>4049047</v>
      </c>
      <c r="L51" s="114" t="str">
        <f t="shared" si="10"/>
        <v>S7A</v>
      </c>
      <c r="M51" s="114">
        <f t="shared" si="11"/>
        <v>42941</v>
      </c>
      <c r="N51" s="213"/>
      <c r="O51" s="112"/>
      <c r="P51" s="305">
        <v>221116</v>
      </c>
      <c r="Q51" s="301">
        <v>42941</v>
      </c>
      <c r="R51" s="300" t="s">
        <v>534</v>
      </c>
      <c r="S51" s="296">
        <v>221116</v>
      </c>
      <c r="T51" s="296" t="s">
        <v>528</v>
      </c>
      <c r="U51" s="294">
        <v>42896</v>
      </c>
      <c r="V51" s="117" t="s">
        <v>638</v>
      </c>
      <c r="W51" s="295">
        <f t="shared" ca="1" si="12"/>
        <v>37</v>
      </c>
      <c r="X51" s="295">
        <v>221116</v>
      </c>
      <c r="Y51" s="295" t="s">
        <v>93</v>
      </c>
      <c r="Z51" s="294">
        <v>42900</v>
      </c>
      <c r="AA51" s="295" t="s">
        <v>736</v>
      </c>
      <c r="AB51" s="295">
        <v>221116</v>
      </c>
      <c r="AC51" s="294">
        <v>42931</v>
      </c>
      <c r="AD51" s="295" t="s">
        <v>94</v>
      </c>
      <c r="AE51" s="295">
        <f t="shared" si="13"/>
        <v>26540</v>
      </c>
      <c r="AF51" s="295">
        <f t="shared" ca="1" si="14"/>
        <v>33</v>
      </c>
      <c r="AG51" s="295">
        <v>221116</v>
      </c>
      <c r="AH51" s="295" t="s">
        <v>115</v>
      </c>
      <c r="AI51" s="294">
        <v>42905</v>
      </c>
      <c r="AJ51" s="295" t="s">
        <v>736</v>
      </c>
      <c r="AK51" s="295">
        <v>221116</v>
      </c>
      <c r="AL51" s="294">
        <v>42993</v>
      </c>
      <c r="AM51" s="295" t="s">
        <v>99</v>
      </c>
      <c r="AN51" s="295">
        <f t="shared" si="15"/>
        <v>26540</v>
      </c>
      <c r="AO51" s="295">
        <f t="shared" ca="1" si="16"/>
        <v>28</v>
      </c>
      <c r="AP51" s="157" t="e">
        <f>#REF!-1</f>
        <v>#REF!</v>
      </c>
      <c r="AQ51" s="100" t="str">
        <f>VLOOKUP(AK51,'Pad Planner - DO NOT AMEND'!A:M,12,FALSE)</f>
        <v>CHECKED</v>
      </c>
      <c r="AR51" s="100" t="str">
        <f>VLOOKUP(AK51,'Pad Planner - DO NOT AMEND'!A:M,13,FALSE)</f>
        <v>9161060</v>
      </c>
    </row>
    <row r="52" spans="1:44">
      <c r="A52" s="88">
        <v>221117</v>
      </c>
      <c r="B52" s="95"/>
      <c r="C52" s="19"/>
      <c r="D52" s="108">
        <v>42935</v>
      </c>
      <c r="E52" s="19" t="s">
        <v>527</v>
      </c>
      <c r="F52" s="96">
        <f t="shared" si="8"/>
        <v>4133455</v>
      </c>
      <c r="G52" s="21">
        <f t="shared" si="9"/>
        <v>28633</v>
      </c>
      <c r="H52" s="395">
        <v>42932</v>
      </c>
      <c r="I52" s="396" t="s">
        <v>1034</v>
      </c>
      <c r="J52" s="22"/>
      <c r="K52" s="99">
        <f>'Mileages EOD'!B53</f>
        <v>4104822</v>
      </c>
      <c r="L52" s="114" t="str">
        <f t="shared" si="10"/>
        <v>S1A</v>
      </c>
      <c r="M52" s="114">
        <f t="shared" si="11"/>
        <v>42935</v>
      </c>
      <c r="N52" s="213"/>
      <c r="O52" s="112"/>
      <c r="P52" s="306">
        <v>221117</v>
      </c>
      <c r="Q52" s="299">
        <v>42935</v>
      </c>
      <c r="R52" s="302" t="s">
        <v>527</v>
      </c>
      <c r="S52" s="296">
        <v>221117</v>
      </c>
      <c r="T52" s="296" t="s">
        <v>533</v>
      </c>
      <c r="U52" s="294">
        <v>42890</v>
      </c>
      <c r="V52" s="117" t="s">
        <v>632</v>
      </c>
      <c r="W52" s="295">
        <f t="shared" ca="1" si="12"/>
        <v>43</v>
      </c>
      <c r="X52" s="295">
        <v>221117</v>
      </c>
      <c r="Y52" s="295" t="s">
        <v>93</v>
      </c>
      <c r="Z52" s="294">
        <v>42932</v>
      </c>
      <c r="AA52" s="295" t="s">
        <v>1034</v>
      </c>
      <c r="AB52" s="295">
        <v>221117</v>
      </c>
      <c r="AC52" s="294">
        <v>42964</v>
      </c>
      <c r="AD52" s="295" t="s">
        <v>94</v>
      </c>
      <c r="AE52" s="295">
        <f t="shared" si="13"/>
        <v>1697</v>
      </c>
      <c r="AF52" s="295">
        <f t="shared" ca="1" si="14"/>
        <v>1</v>
      </c>
      <c r="AG52" s="295">
        <v>221117</v>
      </c>
      <c r="AH52" s="295" t="s">
        <v>99</v>
      </c>
      <c r="AI52" s="294">
        <v>42898</v>
      </c>
      <c r="AJ52" s="295" t="s">
        <v>724</v>
      </c>
      <c r="AK52" s="295">
        <v>221117</v>
      </c>
      <c r="AL52" s="294">
        <v>42986</v>
      </c>
      <c r="AM52" s="295" t="s">
        <v>105</v>
      </c>
      <c r="AN52" s="295">
        <f t="shared" si="15"/>
        <v>29730</v>
      </c>
      <c r="AO52" s="295">
        <f t="shared" ca="1" si="16"/>
        <v>35</v>
      </c>
      <c r="AP52" s="157" t="e">
        <f>#REF!-1</f>
        <v>#REF!</v>
      </c>
      <c r="AQ52" s="100" t="str">
        <f>VLOOKUP(AK52,'Pad Planner - DO NOT AMEND'!A:M,12,FALSE)</f>
        <v>TOPLAN</v>
      </c>
      <c r="AR52" s="100" t="str">
        <f>VLOOKUP(AK52,'Pad Planner - DO NOT AMEND'!A:M,13,FALSE)</f>
        <v>8728044</v>
      </c>
    </row>
    <row r="53" spans="1:44">
      <c r="A53" s="88">
        <v>221118</v>
      </c>
      <c r="B53" s="95"/>
      <c r="C53" s="19"/>
      <c r="D53" s="108">
        <v>42939</v>
      </c>
      <c r="E53" s="19" t="s">
        <v>94</v>
      </c>
      <c r="F53" s="96">
        <f t="shared" si="8"/>
        <v>4096357</v>
      </c>
      <c r="G53" s="21">
        <f t="shared" si="9"/>
        <v>13331</v>
      </c>
      <c r="H53" s="395">
        <v>42912</v>
      </c>
      <c r="I53" s="396" t="s">
        <v>795</v>
      </c>
      <c r="J53" s="22"/>
      <c r="K53" s="99">
        <f>'Mileages EOD'!B54</f>
        <v>4083026</v>
      </c>
      <c r="L53" s="114" t="str">
        <f t="shared" si="10"/>
        <v>S7A</v>
      </c>
      <c r="M53" s="114">
        <f t="shared" si="11"/>
        <v>42949</v>
      </c>
      <c r="N53" s="213"/>
      <c r="O53" s="112"/>
      <c r="P53" s="305">
        <v>221118</v>
      </c>
      <c r="Q53" s="301">
        <v>42949</v>
      </c>
      <c r="R53" s="300" t="s">
        <v>534</v>
      </c>
      <c r="S53" s="296">
        <v>221118</v>
      </c>
      <c r="T53" s="296" t="s">
        <v>528</v>
      </c>
      <c r="U53" s="294">
        <v>42903</v>
      </c>
      <c r="V53" s="117" t="s">
        <v>663</v>
      </c>
      <c r="W53" s="295">
        <f t="shared" ca="1" si="12"/>
        <v>30</v>
      </c>
      <c r="X53" s="295">
        <v>221118</v>
      </c>
      <c r="Y53" s="295" t="s">
        <v>93</v>
      </c>
      <c r="Z53" s="294">
        <v>42908</v>
      </c>
      <c r="AA53" s="295" t="s">
        <v>777</v>
      </c>
      <c r="AB53" s="295">
        <v>221118</v>
      </c>
      <c r="AC53" s="294">
        <v>42939</v>
      </c>
      <c r="AD53" s="295" t="s">
        <v>94</v>
      </c>
      <c r="AE53" s="295">
        <f t="shared" si="13"/>
        <v>18832</v>
      </c>
      <c r="AF53" s="295">
        <f t="shared" ca="1" si="14"/>
        <v>25</v>
      </c>
      <c r="AG53" s="295">
        <v>221118</v>
      </c>
      <c r="AH53" s="295" t="s">
        <v>115</v>
      </c>
      <c r="AI53" s="294">
        <v>42912</v>
      </c>
      <c r="AJ53" s="295" t="s">
        <v>795</v>
      </c>
      <c r="AK53" s="295">
        <v>221118</v>
      </c>
      <c r="AL53" s="294">
        <v>43005</v>
      </c>
      <c r="AM53" s="295" t="s">
        <v>99</v>
      </c>
      <c r="AN53" s="295">
        <f t="shared" si="15"/>
        <v>16999</v>
      </c>
      <c r="AO53" s="295">
        <f t="shared" ca="1" si="16"/>
        <v>21</v>
      </c>
      <c r="AP53" s="157" t="e">
        <f>#REF!-1</f>
        <v>#REF!</v>
      </c>
      <c r="AQ53" s="100" t="str">
        <f>VLOOKUP(AK53,'Pad Planner - DO NOT AMEND'!A:M,12,FALSE)</f>
        <v/>
      </c>
      <c r="AR53" s="100" t="str">
        <f>VLOOKUP(AK53,'Pad Planner - DO NOT AMEND'!A:M,13,FALSE)</f>
        <v/>
      </c>
    </row>
    <row r="54" spans="1:44">
      <c r="A54" s="88">
        <v>221119</v>
      </c>
      <c r="B54" s="95"/>
      <c r="C54" s="19"/>
      <c r="D54" s="108">
        <v>42934</v>
      </c>
      <c r="E54" s="19" t="s">
        <v>530</v>
      </c>
      <c r="F54" s="96">
        <f t="shared" si="8"/>
        <v>3909563</v>
      </c>
      <c r="G54" s="21">
        <f t="shared" si="9"/>
        <v>17669</v>
      </c>
      <c r="H54" s="395">
        <v>42917</v>
      </c>
      <c r="I54" s="396" t="s">
        <v>826</v>
      </c>
      <c r="J54" s="22"/>
      <c r="K54" s="99">
        <f>'Mileages EOD'!B55</f>
        <v>3891894</v>
      </c>
      <c r="L54" s="114" t="str">
        <f t="shared" si="10"/>
        <v>S4A</v>
      </c>
      <c r="M54" s="114">
        <f t="shared" si="11"/>
        <v>42934</v>
      </c>
      <c r="N54" s="213"/>
      <c r="O54" s="95"/>
      <c r="P54" s="306">
        <v>221119</v>
      </c>
      <c r="Q54" s="299">
        <v>42934</v>
      </c>
      <c r="R54" s="302" t="s">
        <v>530</v>
      </c>
      <c r="S54" s="296">
        <v>221119</v>
      </c>
      <c r="T54" s="296" t="s">
        <v>531</v>
      </c>
      <c r="U54" s="294">
        <v>42887</v>
      </c>
      <c r="V54" s="117" t="s">
        <v>656</v>
      </c>
      <c r="W54" s="295">
        <f t="shared" ca="1" si="12"/>
        <v>46</v>
      </c>
      <c r="X54" s="295">
        <v>221119</v>
      </c>
      <c r="Y54" s="295" t="s">
        <v>94</v>
      </c>
      <c r="Z54" s="294">
        <v>42917</v>
      </c>
      <c r="AA54" s="295" t="s">
        <v>826</v>
      </c>
      <c r="AB54" s="295">
        <v>221119</v>
      </c>
      <c r="AC54" s="294">
        <v>42945</v>
      </c>
      <c r="AD54" s="295" t="s">
        <v>95</v>
      </c>
      <c r="AE54" s="295">
        <f t="shared" si="13"/>
        <v>12661</v>
      </c>
      <c r="AF54" s="295">
        <f t="shared" ca="1" si="14"/>
        <v>16</v>
      </c>
      <c r="AG54" s="295">
        <v>221119</v>
      </c>
      <c r="AH54" s="295" t="s">
        <v>102</v>
      </c>
      <c r="AI54" s="294">
        <v>42859</v>
      </c>
      <c r="AJ54" s="295" t="s">
        <v>576</v>
      </c>
      <c r="AK54" s="295">
        <v>221119</v>
      </c>
      <c r="AL54" s="294">
        <v>42946</v>
      </c>
      <c r="AM54" s="295" t="s">
        <v>101</v>
      </c>
      <c r="AN54" s="295">
        <f t="shared" si="15"/>
        <v>69799</v>
      </c>
      <c r="AO54" s="295">
        <f t="shared" ca="1" si="16"/>
        <v>74</v>
      </c>
      <c r="AP54" s="157" t="e">
        <f>#REF!-1</f>
        <v>#REF!</v>
      </c>
      <c r="AQ54" s="100" t="str">
        <f>VLOOKUP(AK54,'Pad Planner - DO NOT AMEND'!A:M,12,FALSE)</f>
        <v>CHECKED</v>
      </c>
      <c r="AR54" s="100" t="str">
        <f>VLOOKUP(AK54,'Pad Planner - DO NOT AMEND'!A:M,13,FALSE)</f>
        <v>9161930</v>
      </c>
    </row>
    <row r="55" spans="1:44">
      <c r="A55" s="88">
        <v>221120</v>
      </c>
      <c r="B55" s="95"/>
      <c r="C55" s="19"/>
      <c r="D55" s="108">
        <v>42941</v>
      </c>
      <c r="E55" s="19" t="s">
        <v>96</v>
      </c>
      <c r="F55" s="96">
        <f>I55+30330</f>
        <v>3856694</v>
      </c>
      <c r="G55" s="21">
        <f>F55-K55</f>
        <v>7683</v>
      </c>
      <c r="H55" s="395">
        <v>42904</v>
      </c>
      <c r="I55" s="396" t="s">
        <v>752</v>
      </c>
      <c r="J55" s="22"/>
      <c r="K55" s="99">
        <f>'Mileages EOD'!B56</f>
        <v>3849011</v>
      </c>
      <c r="L55" s="114" t="str">
        <f t="shared" si="10"/>
        <v>S5A</v>
      </c>
      <c r="M55" s="114">
        <f t="shared" si="11"/>
        <v>42943</v>
      </c>
      <c r="N55" s="213"/>
      <c r="O55" s="95"/>
      <c r="P55" s="305">
        <v>221120</v>
      </c>
      <c r="Q55" s="301">
        <v>42943</v>
      </c>
      <c r="R55" s="300" t="s">
        <v>529</v>
      </c>
      <c r="S55" s="296">
        <v>221120</v>
      </c>
      <c r="T55" s="296" t="s">
        <v>530</v>
      </c>
      <c r="U55" s="294">
        <v>42898</v>
      </c>
      <c r="V55" s="117" t="s">
        <v>666</v>
      </c>
      <c r="W55" s="295">
        <f t="shared" ca="1" si="12"/>
        <v>35</v>
      </c>
      <c r="X55" s="295">
        <v>221120</v>
      </c>
      <c r="Y55" s="295" t="s">
        <v>95</v>
      </c>
      <c r="Z55" s="294">
        <v>42904</v>
      </c>
      <c r="AA55" s="295" t="s">
        <v>752</v>
      </c>
      <c r="AB55" s="295">
        <v>221120</v>
      </c>
      <c r="AC55" s="294">
        <v>42941</v>
      </c>
      <c r="AD55" s="295" t="s">
        <v>96</v>
      </c>
      <c r="AE55" s="295">
        <f t="shared" si="13"/>
        <v>22647</v>
      </c>
      <c r="AF55" s="295">
        <f t="shared" ca="1" si="14"/>
        <v>29</v>
      </c>
      <c r="AG55" s="295">
        <v>221120</v>
      </c>
      <c r="AH55" s="295" t="s">
        <v>101</v>
      </c>
      <c r="AI55" s="294">
        <v>42910</v>
      </c>
      <c r="AJ55" s="295" t="s">
        <v>780</v>
      </c>
      <c r="AK55" s="295">
        <v>221120</v>
      </c>
      <c r="AL55" s="294">
        <v>42994</v>
      </c>
      <c r="AM55" s="295" t="s">
        <v>115</v>
      </c>
      <c r="AN55" s="295">
        <f t="shared" si="15"/>
        <v>22649</v>
      </c>
      <c r="AO55" s="295">
        <f t="shared" ca="1" si="16"/>
        <v>23</v>
      </c>
      <c r="AP55" s="157" t="e">
        <f>#REF!-1</f>
        <v>#REF!</v>
      </c>
      <c r="AQ55" s="100" t="str">
        <f>VLOOKUP(AK55,'Pad Planner - DO NOT AMEND'!A:M,12,FALSE)</f>
        <v/>
      </c>
      <c r="AR55" s="100" t="str">
        <f>VLOOKUP(AK55,'Pad Planner - DO NOT AMEND'!A:M,13,FALSE)</f>
        <v/>
      </c>
    </row>
    <row r="56" spans="1:44">
      <c r="A56" s="88">
        <v>221121</v>
      </c>
      <c r="B56" s="95"/>
      <c r="C56" s="19"/>
      <c r="D56" s="108">
        <v>42945</v>
      </c>
      <c r="E56" s="19" t="s">
        <v>531</v>
      </c>
      <c r="F56" s="96">
        <f t="shared" si="8"/>
        <v>3885081</v>
      </c>
      <c r="G56" s="21">
        <f t="shared" si="9"/>
        <v>22193</v>
      </c>
      <c r="H56" s="395">
        <v>42923</v>
      </c>
      <c r="I56" s="396" t="s">
        <v>897</v>
      </c>
      <c r="J56" s="22"/>
      <c r="K56" s="99">
        <f>'Mileages EOD'!B57</f>
        <v>3862888</v>
      </c>
      <c r="L56" s="114" t="str">
        <f t="shared" si="10"/>
        <v>S3A</v>
      </c>
      <c r="M56" s="114">
        <f t="shared" si="11"/>
        <v>42945</v>
      </c>
      <c r="N56" s="213"/>
      <c r="O56" s="95"/>
      <c r="P56" s="306">
        <v>221121</v>
      </c>
      <c r="Q56" s="299">
        <v>42945</v>
      </c>
      <c r="R56" s="302" t="s">
        <v>531</v>
      </c>
      <c r="S56" s="296">
        <v>221121</v>
      </c>
      <c r="T56" s="296" t="s">
        <v>532</v>
      </c>
      <c r="U56" s="294">
        <v>42900</v>
      </c>
      <c r="V56" s="117" t="s">
        <v>689</v>
      </c>
      <c r="W56" s="295">
        <f t="shared" ca="1" si="12"/>
        <v>33</v>
      </c>
      <c r="X56" s="295">
        <v>221121</v>
      </c>
      <c r="Y56" s="295" t="s">
        <v>93</v>
      </c>
      <c r="Z56" s="294">
        <v>42923</v>
      </c>
      <c r="AA56" s="295" t="s">
        <v>897</v>
      </c>
      <c r="AB56" s="295">
        <v>221121</v>
      </c>
      <c r="AC56" s="294">
        <v>42961</v>
      </c>
      <c r="AD56" s="295" t="s">
        <v>94</v>
      </c>
      <c r="AE56" s="295">
        <f t="shared" si="13"/>
        <v>8137</v>
      </c>
      <c r="AF56" s="295">
        <f t="shared" ca="1" si="14"/>
        <v>10</v>
      </c>
      <c r="AG56" s="295">
        <v>221121</v>
      </c>
      <c r="AH56" s="295" t="s">
        <v>102</v>
      </c>
      <c r="AI56" s="294">
        <v>42912</v>
      </c>
      <c r="AJ56" s="295" t="s">
        <v>784</v>
      </c>
      <c r="AK56" s="295">
        <v>221121</v>
      </c>
      <c r="AL56" s="294">
        <v>43000</v>
      </c>
      <c r="AM56" s="295" t="s">
        <v>101</v>
      </c>
      <c r="AN56" s="295">
        <f t="shared" si="15"/>
        <v>38066</v>
      </c>
      <c r="AO56" s="295">
        <f t="shared" ca="1" si="16"/>
        <v>21</v>
      </c>
      <c r="AP56" s="157" t="e">
        <f>#REF!-1</f>
        <v>#REF!</v>
      </c>
      <c r="AQ56" s="100" t="str">
        <f>VLOOKUP(AK56,'Pad Planner - DO NOT AMEND'!A:M,12,FALSE)</f>
        <v>TOPLAN</v>
      </c>
      <c r="AR56" s="100" t="str">
        <f>VLOOKUP(AK56,'Pad Planner - DO NOT AMEND'!A:M,13,FALSE)</f>
        <v>8705342</v>
      </c>
    </row>
    <row r="57" spans="1:44">
      <c r="A57" s="88">
        <v>221122</v>
      </c>
      <c r="B57" s="95"/>
      <c r="C57" s="19"/>
      <c r="D57" s="108">
        <v>42955</v>
      </c>
      <c r="E57" s="19" t="s">
        <v>96</v>
      </c>
      <c r="F57" s="96">
        <f t="shared" si="8"/>
        <v>3890329</v>
      </c>
      <c r="G57" s="21">
        <f t="shared" si="9"/>
        <v>22093</v>
      </c>
      <c r="H57" s="395">
        <v>42923</v>
      </c>
      <c r="I57" s="396" t="s">
        <v>894</v>
      </c>
      <c r="J57" s="22"/>
      <c r="K57" s="99">
        <f>'Mileages EOD'!B58</f>
        <v>3868236</v>
      </c>
      <c r="L57" s="114" t="str">
        <f t="shared" si="10"/>
        <v>S5A</v>
      </c>
      <c r="M57" s="114">
        <f t="shared" si="11"/>
        <v>42960</v>
      </c>
      <c r="N57" s="213"/>
      <c r="O57" s="95"/>
      <c r="P57" s="305">
        <v>221122</v>
      </c>
      <c r="Q57" s="301">
        <v>42960</v>
      </c>
      <c r="R57" s="300" t="s">
        <v>529</v>
      </c>
      <c r="S57" s="296">
        <v>221122</v>
      </c>
      <c r="T57" s="296" t="s">
        <v>530</v>
      </c>
      <c r="U57" s="294">
        <v>42912</v>
      </c>
      <c r="V57" s="117" t="s">
        <v>687</v>
      </c>
      <c r="W57" s="295">
        <f t="shared" ca="1" si="12"/>
        <v>21</v>
      </c>
      <c r="X57" s="295">
        <v>221122</v>
      </c>
      <c r="Y57" s="295" t="s">
        <v>95</v>
      </c>
      <c r="Z57" s="294">
        <v>42920</v>
      </c>
      <c r="AA57" s="295" t="s">
        <v>894</v>
      </c>
      <c r="AB57" s="295">
        <v>221122</v>
      </c>
      <c r="AC57" s="294">
        <v>42955</v>
      </c>
      <c r="AD57" s="295" t="s">
        <v>96</v>
      </c>
      <c r="AE57" s="295">
        <f t="shared" si="13"/>
        <v>8237</v>
      </c>
      <c r="AF57" s="295">
        <f t="shared" ca="1" si="14"/>
        <v>13</v>
      </c>
      <c r="AG57" s="295">
        <v>221122</v>
      </c>
      <c r="AH57" s="295" t="s">
        <v>101</v>
      </c>
      <c r="AI57" s="294">
        <v>42923</v>
      </c>
      <c r="AJ57" s="295" t="s">
        <v>894</v>
      </c>
      <c r="AK57" s="295">
        <v>221122</v>
      </c>
      <c r="AL57" s="294">
        <v>43013</v>
      </c>
      <c r="AM57" s="295" t="s">
        <v>115</v>
      </c>
      <c r="AN57" s="295">
        <f t="shared" si="15"/>
        <v>8237</v>
      </c>
      <c r="AO57" s="295">
        <f t="shared" ca="1" si="16"/>
        <v>10</v>
      </c>
      <c r="AP57" s="157" t="e">
        <f>#REF!-1</f>
        <v>#REF!</v>
      </c>
      <c r="AQ57" s="100" t="str">
        <f>VLOOKUP(AK57,'Pad Planner - DO NOT AMEND'!A:M,12,FALSE)</f>
        <v/>
      </c>
      <c r="AR57" s="100" t="str">
        <f>VLOOKUP(AK57,'Pad Planner - DO NOT AMEND'!A:M,13,FALSE)</f>
        <v/>
      </c>
    </row>
    <row r="58" spans="1:44">
      <c r="A58" s="88">
        <v>221123</v>
      </c>
      <c r="B58" s="95"/>
      <c r="C58" s="19"/>
      <c r="D58" s="108">
        <v>42956</v>
      </c>
      <c r="E58" s="19" t="s">
        <v>96</v>
      </c>
      <c r="F58" s="96">
        <f t="shared" si="8"/>
        <v>3899427</v>
      </c>
      <c r="G58" s="21">
        <f t="shared" si="9"/>
        <v>22549</v>
      </c>
      <c r="H58" s="395">
        <v>42928</v>
      </c>
      <c r="I58" s="396" t="s">
        <v>940</v>
      </c>
      <c r="J58" s="22"/>
      <c r="K58" s="99">
        <f>'Mileages EOD'!B59</f>
        <v>3876878</v>
      </c>
      <c r="L58" s="108" t="str">
        <f t="shared" si="10"/>
        <v>S5A</v>
      </c>
      <c r="M58" s="115">
        <f t="shared" si="11"/>
        <v>42962</v>
      </c>
      <c r="N58" s="213"/>
      <c r="O58" s="95"/>
      <c r="P58" s="306">
        <v>221123</v>
      </c>
      <c r="Q58" s="299">
        <v>42962</v>
      </c>
      <c r="R58" s="302" t="s">
        <v>529</v>
      </c>
      <c r="S58" s="296">
        <v>221123</v>
      </c>
      <c r="T58" s="296" t="s">
        <v>530</v>
      </c>
      <c r="U58" s="294">
        <v>42917</v>
      </c>
      <c r="V58" s="117" t="s">
        <v>684</v>
      </c>
      <c r="W58" s="295">
        <f t="shared" ca="1" si="12"/>
        <v>16</v>
      </c>
      <c r="X58" s="295">
        <v>221123</v>
      </c>
      <c r="Y58" s="295" t="s">
        <v>95</v>
      </c>
      <c r="Z58" s="294">
        <v>42921</v>
      </c>
      <c r="AA58" s="295" t="s">
        <v>886</v>
      </c>
      <c r="AB58" s="295">
        <v>221123</v>
      </c>
      <c r="AC58" s="294">
        <v>42956</v>
      </c>
      <c r="AD58" s="295" t="s">
        <v>96</v>
      </c>
      <c r="AE58" s="295">
        <f t="shared" si="13"/>
        <v>7780</v>
      </c>
      <c r="AF58" s="295">
        <f t="shared" ca="1" si="14"/>
        <v>12</v>
      </c>
      <c r="AG58" s="295">
        <v>221123</v>
      </c>
      <c r="AH58" s="295" t="s">
        <v>101</v>
      </c>
      <c r="AI58" s="294">
        <v>42928</v>
      </c>
      <c r="AJ58" s="295" t="s">
        <v>940</v>
      </c>
      <c r="AK58" s="295">
        <v>221123</v>
      </c>
      <c r="AL58" s="294">
        <v>43019</v>
      </c>
      <c r="AM58" s="295" t="s">
        <v>115</v>
      </c>
      <c r="AN58" s="295">
        <f t="shared" si="15"/>
        <v>7781</v>
      </c>
      <c r="AO58" s="295">
        <f t="shared" ca="1" si="16"/>
        <v>5</v>
      </c>
      <c r="AP58" s="157" t="e">
        <f>#REF!-1</f>
        <v>#REF!</v>
      </c>
      <c r="AQ58" s="100" t="str">
        <f>VLOOKUP(AK58,'Pad Planner - DO NOT AMEND'!A:M,12,FALSE)</f>
        <v/>
      </c>
      <c r="AR58" s="100" t="str">
        <f>VLOOKUP(AK58,'Pad Planner - DO NOT AMEND'!A:M,13,FALSE)</f>
        <v/>
      </c>
    </row>
    <row r="59" spans="1:44">
      <c r="A59" s="88">
        <v>221124</v>
      </c>
      <c r="B59" s="95"/>
      <c r="C59" s="19"/>
      <c r="D59" s="108">
        <v>42956</v>
      </c>
      <c r="E59" s="19" t="s">
        <v>96</v>
      </c>
      <c r="F59" s="96">
        <f t="shared" si="8"/>
        <v>3870254</v>
      </c>
      <c r="G59" s="21">
        <f t="shared" si="9"/>
        <v>19431</v>
      </c>
      <c r="H59" s="395">
        <v>42919</v>
      </c>
      <c r="I59" s="396" t="s">
        <v>898</v>
      </c>
      <c r="J59" s="22"/>
      <c r="K59" s="99">
        <f>'Mileages EOD'!B60</f>
        <v>3850823</v>
      </c>
      <c r="L59" s="114" t="str">
        <f t="shared" si="10"/>
        <v>S5A</v>
      </c>
      <c r="M59" s="114">
        <f t="shared" si="11"/>
        <v>42961</v>
      </c>
      <c r="N59" s="213"/>
      <c r="O59" s="95"/>
      <c r="P59" s="305">
        <v>221124</v>
      </c>
      <c r="Q59" s="301">
        <v>42961</v>
      </c>
      <c r="R59" s="300" t="s">
        <v>529</v>
      </c>
      <c r="S59" s="296">
        <v>221124</v>
      </c>
      <c r="T59" s="296" t="s">
        <v>530</v>
      </c>
      <c r="U59" s="294">
        <v>42916</v>
      </c>
      <c r="V59" s="117" t="s">
        <v>700</v>
      </c>
      <c r="W59" s="295">
        <f t="shared" ca="1" si="12"/>
        <v>17</v>
      </c>
      <c r="X59" s="295">
        <v>221124</v>
      </c>
      <c r="Y59" s="295" t="s">
        <v>95</v>
      </c>
      <c r="Z59" s="294">
        <v>42924</v>
      </c>
      <c r="AA59" s="295" t="s">
        <v>905</v>
      </c>
      <c r="AB59" s="295">
        <v>221124</v>
      </c>
      <c r="AC59" s="294">
        <v>42956</v>
      </c>
      <c r="AD59" s="295" t="s">
        <v>96</v>
      </c>
      <c r="AE59" s="295">
        <f t="shared" si="13"/>
        <v>6751</v>
      </c>
      <c r="AF59" s="295">
        <f t="shared" ca="1" si="14"/>
        <v>9</v>
      </c>
      <c r="AG59" s="295">
        <v>221124</v>
      </c>
      <c r="AH59" s="295" t="s">
        <v>101</v>
      </c>
      <c r="AI59" s="294">
        <v>42919</v>
      </c>
      <c r="AJ59" s="295" t="s">
        <v>898</v>
      </c>
      <c r="AK59" s="295">
        <v>221124</v>
      </c>
      <c r="AL59" s="294">
        <v>43017</v>
      </c>
      <c r="AM59" s="295" t="s">
        <v>115</v>
      </c>
      <c r="AN59" s="295">
        <f t="shared" si="15"/>
        <v>10899</v>
      </c>
      <c r="AO59" s="295">
        <f t="shared" ca="1" si="16"/>
        <v>14</v>
      </c>
      <c r="AP59" s="157" t="e">
        <f>#REF!-1</f>
        <v>#REF!</v>
      </c>
      <c r="AQ59" s="100" t="str">
        <f>VLOOKUP(AK59,'Pad Planner - DO NOT AMEND'!A:M,12,FALSE)</f>
        <v/>
      </c>
      <c r="AR59" s="100" t="str">
        <f>VLOOKUP(AK59,'Pad Planner - DO NOT AMEND'!A:M,13,FALSE)</f>
        <v/>
      </c>
    </row>
    <row r="60" spans="1:44">
      <c r="A60" s="88">
        <v>221125</v>
      </c>
      <c r="B60" s="95"/>
      <c r="C60" s="19"/>
      <c r="D60" s="108">
        <v>42933</v>
      </c>
      <c r="E60" s="19" t="s">
        <v>102</v>
      </c>
      <c r="F60" s="96">
        <f t="shared" si="8"/>
        <v>3957836</v>
      </c>
      <c r="G60" s="21">
        <f>F60-K60</f>
        <v>22074</v>
      </c>
      <c r="H60" s="395">
        <v>42922</v>
      </c>
      <c r="I60" s="396" t="s">
        <v>904</v>
      </c>
      <c r="J60" s="22"/>
      <c r="K60" s="99">
        <f>'Mileages EOD'!B61</f>
        <v>3935762</v>
      </c>
      <c r="L60" s="114" t="str">
        <f t="shared" si="10"/>
        <v>S3A</v>
      </c>
      <c r="M60" s="114">
        <f t="shared" si="11"/>
        <v>42967</v>
      </c>
      <c r="N60" s="213"/>
      <c r="O60" s="95"/>
      <c r="P60" s="306">
        <v>221125</v>
      </c>
      <c r="Q60" s="299">
        <v>42967</v>
      </c>
      <c r="R60" s="302" t="s">
        <v>531</v>
      </c>
      <c r="S60" s="296">
        <v>221125</v>
      </c>
      <c r="T60" s="296" t="s">
        <v>532</v>
      </c>
      <c r="U60" s="294">
        <v>42922</v>
      </c>
      <c r="V60" s="117" t="s">
        <v>904</v>
      </c>
      <c r="W60" s="295">
        <f t="shared" ca="1" si="12"/>
        <v>11</v>
      </c>
      <c r="X60" s="295">
        <v>221125</v>
      </c>
      <c r="Y60" s="295" t="s">
        <v>96</v>
      </c>
      <c r="Z60" s="294">
        <v>42916</v>
      </c>
      <c r="AA60" s="295" t="s">
        <v>825</v>
      </c>
      <c r="AB60" s="295">
        <v>221125</v>
      </c>
      <c r="AC60" s="294">
        <v>42951</v>
      </c>
      <c r="AD60" s="295" t="s">
        <v>93</v>
      </c>
      <c r="AE60" s="295">
        <f t="shared" si="13"/>
        <v>12114</v>
      </c>
      <c r="AF60" s="295">
        <f t="shared" ca="1" si="14"/>
        <v>17</v>
      </c>
      <c r="AG60" s="295">
        <v>221125</v>
      </c>
      <c r="AH60" s="295" t="s">
        <v>97</v>
      </c>
      <c r="AI60" s="294">
        <v>42846</v>
      </c>
      <c r="AJ60" s="295" t="s">
        <v>587</v>
      </c>
      <c r="AK60" s="295">
        <v>221125</v>
      </c>
      <c r="AL60" s="294">
        <v>42933</v>
      </c>
      <c r="AM60" s="295" t="s">
        <v>102</v>
      </c>
      <c r="AN60" s="295">
        <f t="shared" si="15"/>
        <v>69934</v>
      </c>
      <c r="AO60" s="295">
        <f t="shared" ca="1" si="16"/>
        <v>87</v>
      </c>
      <c r="AP60" s="157" t="e">
        <f>#REF!-1</f>
        <v>#REF!</v>
      </c>
      <c r="AQ60" s="100" t="str">
        <f>VLOOKUP(AK60,'Pad Planner - DO NOT AMEND'!A:M,12,FALSE)</f>
        <v>CHECKED</v>
      </c>
      <c r="AR60" s="100" t="str">
        <f>VLOOKUP(AK60,'Pad Planner - DO NOT AMEND'!A:M,13,FALSE)</f>
        <v>9156420</v>
      </c>
    </row>
    <row r="61" spans="1:44">
      <c r="A61" s="88">
        <v>221126</v>
      </c>
      <c r="B61" s="95"/>
      <c r="C61" s="19"/>
      <c r="D61" s="108">
        <v>42929</v>
      </c>
      <c r="E61" s="19" t="s">
        <v>101</v>
      </c>
      <c r="F61" s="96">
        <f>I61+30330</f>
        <v>3687424</v>
      </c>
      <c r="G61" s="21">
        <f>F61-K61</f>
        <v>25687</v>
      </c>
      <c r="H61" s="395">
        <v>42926</v>
      </c>
      <c r="I61" s="396" t="s">
        <v>923</v>
      </c>
      <c r="J61" s="22"/>
      <c r="K61" s="99">
        <f>'Mileages EOD'!B62</f>
        <v>3661737</v>
      </c>
      <c r="L61" s="114" t="str">
        <f t="shared" si="10"/>
        <v>S5A</v>
      </c>
      <c r="M61" s="114">
        <f t="shared" si="11"/>
        <v>42969</v>
      </c>
      <c r="N61" s="213"/>
      <c r="O61" s="95"/>
      <c r="P61" s="305">
        <v>221126</v>
      </c>
      <c r="Q61" s="301">
        <v>42969</v>
      </c>
      <c r="R61" s="300" t="s">
        <v>529</v>
      </c>
      <c r="S61" s="296">
        <v>221126</v>
      </c>
      <c r="T61" s="296" t="s">
        <v>530</v>
      </c>
      <c r="U61" s="294">
        <v>42925</v>
      </c>
      <c r="V61" s="117" t="s">
        <v>701</v>
      </c>
      <c r="W61" s="295">
        <f t="shared" ca="1" si="12"/>
        <v>8</v>
      </c>
      <c r="X61" s="295">
        <v>221126</v>
      </c>
      <c r="Y61" s="295" t="s">
        <v>95</v>
      </c>
      <c r="Z61" s="294">
        <v>42926</v>
      </c>
      <c r="AA61" s="295" t="s">
        <v>923</v>
      </c>
      <c r="AB61" s="295">
        <v>221126</v>
      </c>
      <c r="AC61" s="294">
        <v>42962</v>
      </c>
      <c r="AD61" s="295" t="s">
        <v>96</v>
      </c>
      <c r="AE61" s="295">
        <f t="shared" si="13"/>
        <v>4643</v>
      </c>
      <c r="AF61" s="295">
        <f t="shared" ca="1" si="14"/>
        <v>7</v>
      </c>
      <c r="AG61" s="295">
        <v>221126</v>
      </c>
      <c r="AH61" s="295" t="s">
        <v>102</v>
      </c>
      <c r="AI61" s="294">
        <v>42840</v>
      </c>
      <c r="AJ61" s="295" t="s">
        <v>852</v>
      </c>
      <c r="AK61" s="295">
        <v>221126</v>
      </c>
      <c r="AL61" s="294">
        <v>42929</v>
      </c>
      <c r="AM61" s="295" t="s">
        <v>101</v>
      </c>
      <c r="AN61" s="295">
        <f t="shared" si="15"/>
        <v>71875</v>
      </c>
      <c r="AO61" s="295">
        <f t="shared" ca="1" si="16"/>
        <v>93</v>
      </c>
      <c r="AP61" s="157" t="e">
        <f>#REF!-1</f>
        <v>#REF!</v>
      </c>
      <c r="AQ61" s="100" t="str">
        <f>VLOOKUP(AK61,'Pad Planner - DO NOT AMEND'!A:M,12,FALSE)</f>
        <v/>
      </c>
      <c r="AR61" s="100" t="str">
        <f>VLOOKUP(AK61,'Pad Planner - DO NOT AMEND'!A:M,13,FALSE)</f>
        <v/>
      </c>
    </row>
    <row r="62" spans="1:44">
      <c r="A62" s="88">
        <v>221127</v>
      </c>
      <c r="B62" s="95"/>
      <c r="C62" s="19"/>
      <c r="D62" s="108">
        <v>42934</v>
      </c>
      <c r="E62" s="19" t="s">
        <v>93</v>
      </c>
      <c r="F62" s="96">
        <f t="shared" si="8"/>
        <v>3862422</v>
      </c>
      <c r="G62" s="21">
        <f t="shared" si="9"/>
        <v>6143</v>
      </c>
      <c r="H62" s="395">
        <v>42922</v>
      </c>
      <c r="I62" s="396" t="s">
        <v>884</v>
      </c>
      <c r="J62" s="22"/>
      <c r="K62" s="99">
        <f>'Mileages EOD'!B63</f>
        <v>3856279</v>
      </c>
      <c r="L62" s="114" t="str">
        <f t="shared" si="10"/>
        <v>S3A</v>
      </c>
      <c r="M62" s="114">
        <f t="shared" si="11"/>
        <v>42950</v>
      </c>
      <c r="N62" s="213"/>
      <c r="O62" s="95"/>
      <c r="P62" s="306">
        <v>221127</v>
      </c>
      <c r="Q62" s="299">
        <v>42950</v>
      </c>
      <c r="R62" s="302" t="s">
        <v>531</v>
      </c>
      <c r="S62" s="296">
        <v>221127</v>
      </c>
      <c r="T62" s="296" t="s">
        <v>532</v>
      </c>
      <c r="U62" s="294">
        <v>42905</v>
      </c>
      <c r="V62" s="117" t="s">
        <v>740</v>
      </c>
      <c r="W62" s="295">
        <f t="shared" ca="1" si="12"/>
        <v>28</v>
      </c>
      <c r="X62" s="295">
        <v>221127</v>
      </c>
      <c r="Y62" s="295" t="s">
        <v>96</v>
      </c>
      <c r="Z62" s="294">
        <v>42901</v>
      </c>
      <c r="AA62" s="295" t="s">
        <v>740</v>
      </c>
      <c r="AB62" s="295">
        <v>221127</v>
      </c>
      <c r="AC62" s="294">
        <v>42934</v>
      </c>
      <c r="AD62" s="295" t="s">
        <v>93</v>
      </c>
      <c r="AE62" s="295">
        <f t="shared" si="13"/>
        <v>24186</v>
      </c>
      <c r="AF62" s="295">
        <f t="shared" ca="1" si="14"/>
        <v>32</v>
      </c>
      <c r="AG62" s="295">
        <v>221127</v>
      </c>
      <c r="AH62" s="295" t="s">
        <v>102</v>
      </c>
      <c r="AI62" s="294">
        <v>42922</v>
      </c>
      <c r="AJ62" s="295" t="s">
        <v>884</v>
      </c>
      <c r="AK62" s="295">
        <v>221127</v>
      </c>
      <c r="AL62" s="294">
        <v>43011</v>
      </c>
      <c r="AM62" s="295" t="s">
        <v>101</v>
      </c>
      <c r="AN62" s="295">
        <f t="shared" si="15"/>
        <v>24187</v>
      </c>
      <c r="AO62" s="295">
        <f t="shared" ca="1" si="16"/>
        <v>11</v>
      </c>
      <c r="AP62" s="157" t="e">
        <f>#REF!-1</f>
        <v>#REF!</v>
      </c>
      <c r="AQ62" s="100" t="str">
        <f>VLOOKUP(AK62,'Pad Planner - DO NOT AMEND'!A:M,12,FALSE)</f>
        <v>TOPLAN</v>
      </c>
      <c r="AR62" s="100" t="str">
        <f>VLOOKUP(AK62,'Pad Planner - DO NOT AMEND'!A:M,13,FALSE)</f>
        <v>9168664</v>
      </c>
    </row>
    <row r="63" spans="1:44">
      <c r="A63" s="88">
        <v>221128</v>
      </c>
      <c r="B63" s="95"/>
      <c r="C63" s="19"/>
      <c r="D63" s="108">
        <v>42937</v>
      </c>
      <c r="E63" s="19" t="s">
        <v>531</v>
      </c>
      <c r="F63" s="96">
        <f t="shared" si="8"/>
        <v>3939064</v>
      </c>
      <c r="G63" s="21">
        <f t="shared" si="9"/>
        <v>18768</v>
      </c>
      <c r="H63" s="395">
        <v>42918</v>
      </c>
      <c r="I63" s="396" t="s">
        <v>830</v>
      </c>
      <c r="J63" s="22"/>
      <c r="K63" s="99">
        <f>'Mileages EOD'!B64</f>
        <v>3920296</v>
      </c>
      <c r="L63" s="114" t="str">
        <f t="shared" si="10"/>
        <v>S3A</v>
      </c>
      <c r="M63" s="114">
        <f t="shared" si="11"/>
        <v>42937</v>
      </c>
      <c r="N63" s="213"/>
      <c r="O63" s="95"/>
      <c r="P63" s="305">
        <v>221128</v>
      </c>
      <c r="Q63" s="301">
        <v>42937</v>
      </c>
      <c r="R63" s="300" t="s">
        <v>531</v>
      </c>
      <c r="S63" s="296">
        <v>221128</v>
      </c>
      <c r="T63" s="296" t="s">
        <v>532</v>
      </c>
      <c r="U63" s="294">
        <v>42891</v>
      </c>
      <c r="V63" s="117" t="s">
        <v>682</v>
      </c>
      <c r="W63" s="295">
        <f t="shared" ca="1" si="12"/>
        <v>42</v>
      </c>
      <c r="X63" s="295">
        <v>221128</v>
      </c>
      <c r="Y63" s="295" t="s">
        <v>93</v>
      </c>
      <c r="Z63" s="294">
        <v>42918</v>
      </c>
      <c r="AA63" s="295" t="s">
        <v>830</v>
      </c>
      <c r="AB63" s="295">
        <v>221128</v>
      </c>
      <c r="AC63" s="294">
        <v>42956</v>
      </c>
      <c r="AD63" s="295" t="s">
        <v>94</v>
      </c>
      <c r="AE63" s="295">
        <f t="shared" si="13"/>
        <v>11562</v>
      </c>
      <c r="AF63" s="295">
        <f t="shared" ca="1" si="14"/>
        <v>15</v>
      </c>
      <c r="AG63" s="295">
        <v>221128</v>
      </c>
      <c r="AH63" s="295" t="s">
        <v>102</v>
      </c>
      <c r="AI63" s="294">
        <v>42906</v>
      </c>
      <c r="AJ63" s="295" t="s">
        <v>755</v>
      </c>
      <c r="AK63" s="295">
        <v>221128</v>
      </c>
      <c r="AL63" s="294">
        <v>42989</v>
      </c>
      <c r="AM63" s="295" t="s">
        <v>101</v>
      </c>
      <c r="AN63" s="295">
        <f t="shared" si="15"/>
        <v>39782</v>
      </c>
      <c r="AO63" s="295">
        <f t="shared" ca="1" si="16"/>
        <v>27</v>
      </c>
      <c r="AP63" s="157" t="e">
        <f>#REF!-1</f>
        <v>#REF!</v>
      </c>
      <c r="AQ63" s="100" t="str">
        <f>VLOOKUP(AK63,'Pad Planner - DO NOT AMEND'!A:M,12,FALSE)</f>
        <v/>
      </c>
      <c r="AR63" s="100" t="str">
        <f>VLOOKUP(AK63,'Pad Planner - DO NOT AMEND'!A:M,13,FALSE)</f>
        <v/>
      </c>
    </row>
    <row r="64" spans="1:44">
      <c r="A64" s="88">
        <v>221129</v>
      </c>
      <c r="B64" s="95"/>
      <c r="C64" s="19"/>
      <c r="D64" s="108">
        <v>42951</v>
      </c>
      <c r="E64" s="19" t="s">
        <v>94</v>
      </c>
      <c r="F64" s="96">
        <f t="shared" si="8"/>
        <v>3910392</v>
      </c>
      <c r="G64" s="21">
        <f t="shared" si="9"/>
        <v>21722</v>
      </c>
      <c r="H64" s="395">
        <v>42932</v>
      </c>
      <c r="I64" s="396" t="s">
        <v>831</v>
      </c>
      <c r="J64" s="22"/>
      <c r="K64" s="99">
        <f>'Mileages EOD'!B65</f>
        <v>3888670</v>
      </c>
      <c r="L64" s="114" t="str">
        <f t="shared" si="10"/>
        <v>S4A</v>
      </c>
      <c r="M64" s="114">
        <f t="shared" si="11"/>
        <v>42979</v>
      </c>
      <c r="N64" s="213"/>
      <c r="O64" s="95"/>
      <c r="P64" s="306">
        <v>221129</v>
      </c>
      <c r="Q64" s="299">
        <v>42979</v>
      </c>
      <c r="R64" s="302" t="s">
        <v>530</v>
      </c>
      <c r="S64" s="296">
        <v>221129</v>
      </c>
      <c r="T64" s="296" t="s">
        <v>531</v>
      </c>
      <c r="U64" s="294">
        <v>42932</v>
      </c>
      <c r="V64" s="117" t="s">
        <v>831</v>
      </c>
      <c r="W64" s="295">
        <f t="shared" ca="1" si="12"/>
        <v>1</v>
      </c>
      <c r="X64" s="295">
        <v>221129</v>
      </c>
      <c r="Y64" s="295" t="s">
        <v>93</v>
      </c>
      <c r="Z64" s="294">
        <v>42917</v>
      </c>
      <c r="AA64" s="295" t="s">
        <v>831</v>
      </c>
      <c r="AB64" s="295">
        <v>221129</v>
      </c>
      <c r="AC64" s="294">
        <v>42951</v>
      </c>
      <c r="AD64" s="295" t="s">
        <v>94</v>
      </c>
      <c r="AE64" s="295">
        <f t="shared" si="13"/>
        <v>8608</v>
      </c>
      <c r="AF64" s="295">
        <f t="shared" ca="1" si="14"/>
        <v>16</v>
      </c>
      <c r="AG64" s="295">
        <v>221129</v>
      </c>
      <c r="AH64" s="295" t="s">
        <v>102</v>
      </c>
      <c r="AI64" s="294">
        <v>42902</v>
      </c>
      <c r="AJ64" s="295" t="s">
        <v>664</v>
      </c>
      <c r="AK64" s="295">
        <v>221129</v>
      </c>
      <c r="AL64" s="294">
        <v>42984</v>
      </c>
      <c r="AM64" s="295" t="s">
        <v>101</v>
      </c>
      <c r="AN64" s="295">
        <f t="shared" si="15"/>
        <v>35957</v>
      </c>
      <c r="AO64" s="295">
        <f t="shared" ca="1" si="16"/>
        <v>31</v>
      </c>
      <c r="AP64" s="157" t="e">
        <f>#REF!-1</f>
        <v>#REF!</v>
      </c>
      <c r="AQ64" s="100" t="str">
        <f>VLOOKUP(AK64,'Pad Planner - DO NOT AMEND'!A:M,12,FALSE)</f>
        <v/>
      </c>
      <c r="AR64" s="100" t="str">
        <f>VLOOKUP(AK64,'Pad Planner - DO NOT AMEND'!A:M,13,FALSE)</f>
        <v/>
      </c>
    </row>
    <row r="65" spans="1:44">
      <c r="A65" s="88">
        <v>221130</v>
      </c>
      <c r="B65" s="95"/>
      <c r="C65" s="19"/>
      <c r="D65" s="108">
        <v>42939</v>
      </c>
      <c r="E65" s="19" t="s">
        <v>93</v>
      </c>
      <c r="F65" s="96">
        <f t="shared" si="8"/>
        <v>3914794</v>
      </c>
      <c r="G65" s="21">
        <f t="shared" si="9"/>
        <v>9322</v>
      </c>
      <c r="H65" s="395">
        <v>42925</v>
      </c>
      <c r="I65" s="396" t="s">
        <v>906</v>
      </c>
      <c r="J65" s="22"/>
      <c r="K65" s="99">
        <f>'Mileages EOD'!B66</f>
        <v>3905472</v>
      </c>
      <c r="L65" s="114" t="str">
        <f t="shared" si="10"/>
        <v>S3A</v>
      </c>
      <c r="M65" s="114">
        <f t="shared" si="11"/>
        <v>42955</v>
      </c>
      <c r="N65" s="213"/>
      <c r="O65" s="95"/>
      <c r="P65" s="305">
        <v>221130</v>
      </c>
      <c r="Q65" s="301">
        <v>42955</v>
      </c>
      <c r="R65" s="300" t="s">
        <v>531</v>
      </c>
      <c r="S65" s="296">
        <v>221130</v>
      </c>
      <c r="T65" s="296" t="s">
        <v>532</v>
      </c>
      <c r="U65" s="294">
        <v>42911</v>
      </c>
      <c r="V65" s="117" t="s">
        <v>789</v>
      </c>
      <c r="W65" s="295">
        <f t="shared" ca="1" si="12"/>
        <v>22</v>
      </c>
      <c r="X65" s="295">
        <v>221130</v>
      </c>
      <c r="Y65" s="295" t="s">
        <v>96</v>
      </c>
      <c r="Z65" s="294">
        <v>42908</v>
      </c>
      <c r="AA65" s="295" t="s">
        <v>778</v>
      </c>
      <c r="AB65" s="295">
        <v>221130</v>
      </c>
      <c r="AC65" s="294">
        <v>42939</v>
      </c>
      <c r="AD65" s="295" t="s">
        <v>93</v>
      </c>
      <c r="AE65" s="295">
        <f t="shared" si="13"/>
        <v>21133</v>
      </c>
      <c r="AF65" s="295">
        <f t="shared" ca="1" si="14"/>
        <v>25</v>
      </c>
      <c r="AG65" s="295">
        <v>221130</v>
      </c>
      <c r="AH65" s="295" t="s">
        <v>102</v>
      </c>
      <c r="AI65" s="294">
        <v>42925</v>
      </c>
      <c r="AJ65" s="295" t="s">
        <v>906</v>
      </c>
      <c r="AK65" s="295">
        <v>221130</v>
      </c>
      <c r="AL65" s="294">
        <v>43012</v>
      </c>
      <c r="AM65" s="295" t="s">
        <v>101</v>
      </c>
      <c r="AN65" s="295">
        <f t="shared" si="15"/>
        <v>21008</v>
      </c>
      <c r="AO65" s="295">
        <f t="shared" ca="1" si="16"/>
        <v>8</v>
      </c>
      <c r="AP65" s="157" t="e">
        <f>#REF!-1</f>
        <v>#REF!</v>
      </c>
      <c r="AQ65" s="100" t="str">
        <f>VLOOKUP(AK65,'Pad Planner - DO NOT AMEND'!A:M,12,FALSE)</f>
        <v/>
      </c>
      <c r="AR65" s="100" t="str">
        <f>VLOOKUP(AK65,'Pad Planner - DO NOT AMEND'!A:M,13,FALSE)</f>
        <v/>
      </c>
    </row>
    <row r="66" spans="1:44">
      <c r="A66" s="88">
        <v>221131</v>
      </c>
      <c r="B66" s="95"/>
      <c r="C66" s="19"/>
      <c r="D66" s="108">
        <v>42932</v>
      </c>
      <c r="E66" s="19" t="s">
        <v>102</v>
      </c>
      <c r="F66" s="96">
        <f t="shared" si="8"/>
        <v>3885941</v>
      </c>
      <c r="G66" s="21">
        <f t="shared" ref="G66:G78" si="17">F66-K66</f>
        <v>16223</v>
      </c>
      <c r="H66" s="395">
        <v>42923</v>
      </c>
      <c r="I66" s="396" t="s">
        <v>819</v>
      </c>
      <c r="J66" s="22"/>
      <c r="K66" s="99">
        <f>'Mileages EOD'!B67</f>
        <v>3869718</v>
      </c>
      <c r="L66" s="114" t="str">
        <f t="shared" ref="L66:L81" si="18">VLOOKUP(A66,P:AP,3,FALSE)</f>
        <v>S3A</v>
      </c>
      <c r="M66" s="114">
        <f t="shared" ref="M66:M81" si="19">VLOOKUP(A66,P:AP,2,FALSE)</f>
        <v>42966</v>
      </c>
      <c r="N66" s="213"/>
      <c r="O66" s="95"/>
      <c r="P66" s="306">
        <v>221131</v>
      </c>
      <c r="Q66" s="299">
        <v>42966</v>
      </c>
      <c r="R66" s="302" t="s">
        <v>531</v>
      </c>
      <c r="S66" s="296">
        <v>221131</v>
      </c>
      <c r="T66" s="296" t="s">
        <v>532</v>
      </c>
      <c r="U66" s="294">
        <v>42923</v>
      </c>
      <c r="V66" s="117" t="s">
        <v>819</v>
      </c>
      <c r="W66" s="295">
        <f t="shared" ref="W66:W79" ca="1" si="20">TODAY()-U66</f>
        <v>10</v>
      </c>
      <c r="X66" s="295">
        <v>221131</v>
      </c>
      <c r="Y66" s="295" t="s">
        <v>96</v>
      </c>
      <c r="Z66" s="294">
        <v>42915</v>
      </c>
      <c r="AA66" s="295" t="s">
        <v>819</v>
      </c>
      <c r="AB66" s="295">
        <v>221131</v>
      </c>
      <c r="AC66" s="294">
        <v>42950</v>
      </c>
      <c r="AD66" s="295" t="s">
        <v>93</v>
      </c>
      <c r="AE66" s="295">
        <f t="shared" ref="AE66:AE76" si="21">K66-AA66</f>
        <v>14107</v>
      </c>
      <c r="AF66" s="295">
        <f t="shared" ref="AF66:AF76" ca="1" si="22">TODAY()-Z66</f>
        <v>18</v>
      </c>
      <c r="AG66" s="295">
        <v>221131</v>
      </c>
      <c r="AH66" s="295" t="s">
        <v>97</v>
      </c>
      <c r="AI66" s="294">
        <v>42844</v>
      </c>
      <c r="AJ66" s="295" t="s">
        <v>586</v>
      </c>
      <c r="AK66" s="295">
        <v>221131</v>
      </c>
      <c r="AL66" s="294">
        <v>42932</v>
      </c>
      <c r="AM66" s="295" t="s">
        <v>102</v>
      </c>
      <c r="AN66" s="295">
        <f t="shared" ref="AN66:AN76" si="23">K66-AJ66</f>
        <v>73356</v>
      </c>
      <c r="AO66" s="295">
        <f t="shared" ref="AO66:AO76" ca="1" si="24">TODAY()-AI66</f>
        <v>89</v>
      </c>
      <c r="AP66" s="157" t="e">
        <f>#REF!-1</f>
        <v>#REF!</v>
      </c>
      <c r="AQ66" s="100" t="str">
        <f>VLOOKUP(AK66,'Pad Planner - DO NOT AMEND'!A:M,12,FALSE)</f>
        <v>CHECKED</v>
      </c>
      <c r="AR66" s="100" t="str">
        <f>VLOOKUP(AK66,'Pad Planner - DO NOT AMEND'!A:M,13,FALSE)</f>
        <v>9140133</v>
      </c>
    </row>
    <row r="67" spans="1:44">
      <c r="A67" s="88">
        <v>221132</v>
      </c>
      <c r="B67" s="95"/>
      <c r="C67" s="19"/>
      <c r="D67" s="108">
        <v>42936</v>
      </c>
      <c r="E67" s="19" t="s">
        <v>93</v>
      </c>
      <c r="F67" s="96">
        <f t="shared" ref="F67:F78" si="25">I67+30330</f>
        <v>3925063</v>
      </c>
      <c r="G67" s="21">
        <f t="shared" si="17"/>
        <v>21917</v>
      </c>
      <c r="H67" s="395">
        <v>42919</v>
      </c>
      <c r="I67" s="396" t="s">
        <v>828</v>
      </c>
      <c r="J67" s="22"/>
      <c r="K67" s="99">
        <f>'Mileages EOD'!B68</f>
        <v>3903146</v>
      </c>
      <c r="L67" s="114" t="str">
        <f t="shared" si="18"/>
        <v>S3A</v>
      </c>
      <c r="M67" s="114">
        <f t="shared" si="19"/>
        <v>42956</v>
      </c>
      <c r="N67" s="213"/>
      <c r="O67" s="95"/>
      <c r="P67" s="305">
        <v>221132</v>
      </c>
      <c r="Q67" s="301">
        <v>42956</v>
      </c>
      <c r="R67" s="300" t="s">
        <v>531</v>
      </c>
      <c r="S67" s="296">
        <v>221132</v>
      </c>
      <c r="T67" s="296" t="s">
        <v>532</v>
      </c>
      <c r="U67" s="294">
        <v>42910</v>
      </c>
      <c r="V67" s="117" t="s">
        <v>790</v>
      </c>
      <c r="W67" s="295">
        <f t="shared" ca="1" si="20"/>
        <v>23</v>
      </c>
      <c r="X67" s="295">
        <v>221132</v>
      </c>
      <c r="Y67" s="295" t="s">
        <v>96</v>
      </c>
      <c r="Z67" s="294">
        <v>42903</v>
      </c>
      <c r="AA67" s="295" t="s">
        <v>750</v>
      </c>
      <c r="AB67" s="295">
        <v>221132</v>
      </c>
      <c r="AC67" s="294">
        <v>42936</v>
      </c>
      <c r="AD67" s="295" t="s">
        <v>93</v>
      </c>
      <c r="AE67" s="295">
        <f t="shared" si="21"/>
        <v>18011</v>
      </c>
      <c r="AF67" s="295">
        <f t="shared" ca="1" si="22"/>
        <v>30</v>
      </c>
      <c r="AG67" s="295">
        <v>221132</v>
      </c>
      <c r="AH67" s="295" t="s">
        <v>102</v>
      </c>
      <c r="AI67" s="294">
        <v>42919</v>
      </c>
      <c r="AJ67" s="295" t="s">
        <v>828</v>
      </c>
      <c r="AK67" s="295">
        <v>221132</v>
      </c>
      <c r="AL67" s="294">
        <v>43008</v>
      </c>
      <c r="AM67" s="295" t="s">
        <v>101</v>
      </c>
      <c r="AN67" s="295">
        <f t="shared" si="23"/>
        <v>8413</v>
      </c>
      <c r="AO67" s="295">
        <f t="shared" ca="1" si="24"/>
        <v>14</v>
      </c>
      <c r="AP67" s="157" t="e">
        <f>#REF!-1</f>
        <v>#REF!</v>
      </c>
      <c r="AQ67" s="100" t="str">
        <f>VLOOKUP(AK67,'Pad Planner - DO NOT AMEND'!A:M,12,FALSE)</f>
        <v/>
      </c>
      <c r="AR67" s="100" t="str">
        <f>VLOOKUP(AK67,'Pad Planner - DO NOT AMEND'!A:M,13,FALSE)</f>
        <v/>
      </c>
    </row>
    <row r="68" spans="1:44">
      <c r="A68" s="88">
        <v>221133</v>
      </c>
      <c r="B68" s="95"/>
      <c r="C68" s="19"/>
      <c r="D68" s="108">
        <v>42962</v>
      </c>
      <c r="E68" s="19" t="s">
        <v>532</v>
      </c>
      <c r="F68" s="96">
        <f t="shared" si="25"/>
        <v>3904321</v>
      </c>
      <c r="G68" s="21">
        <f>F68-K68</f>
        <v>27247</v>
      </c>
      <c r="H68" s="395">
        <v>42928</v>
      </c>
      <c r="I68" s="396" t="s">
        <v>954</v>
      </c>
      <c r="J68" s="22"/>
      <c r="K68" s="99">
        <f>'Mileages EOD'!B69</f>
        <v>3877074</v>
      </c>
      <c r="L68" s="114" t="str">
        <f t="shared" si="18"/>
        <v>S2A</v>
      </c>
      <c r="M68" s="114">
        <f t="shared" si="19"/>
        <v>42962</v>
      </c>
      <c r="N68" s="213"/>
      <c r="O68" s="95"/>
      <c r="P68" s="306">
        <v>221133</v>
      </c>
      <c r="Q68" s="299">
        <v>42962</v>
      </c>
      <c r="R68" s="302" t="s">
        <v>532</v>
      </c>
      <c r="S68" s="296">
        <v>221133</v>
      </c>
      <c r="T68" s="296" t="s">
        <v>527</v>
      </c>
      <c r="U68" s="294">
        <v>42918</v>
      </c>
      <c r="V68" s="117" t="s">
        <v>720</v>
      </c>
      <c r="W68" s="295">
        <f t="shared" ca="1" si="20"/>
        <v>15</v>
      </c>
      <c r="X68" s="295">
        <v>221133</v>
      </c>
      <c r="Y68" s="295" t="s">
        <v>95</v>
      </c>
      <c r="Z68" s="294">
        <v>42928</v>
      </c>
      <c r="AA68" s="295" t="s">
        <v>954</v>
      </c>
      <c r="AB68" s="295">
        <v>221133</v>
      </c>
      <c r="AC68" s="294">
        <v>42963</v>
      </c>
      <c r="AD68" s="295" t="s">
        <v>96</v>
      </c>
      <c r="AE68" s="295">
        <f t="shared" si="21"/>
        <v>3083</v>
      </c>
      <c r="AF68" s="295">
        <f t="shared" ca="1" si="22"/>
        <v>5</v>
      </c>
      <c r="AG68" s="295">
        <v>221133</v>
      </c>
      <c r="AH68" s="295" t="s">
        <v>97</v>
      </c>
      <c r="AI68" s="294">
        <v>42886</v>
      </c>
      <c r="AJ68" s="295" t="s">
        <v>609</v>
      </c>
      <c r="AK68" s="295">
        <v>221133</v>
      </c>
      <c r="AL68" s="294">
        <v>42975</v>
      </c>
      <c r="AM68" s="295" t="s">
        <v>102</v>
      </c>
      <c r="AN68" s="295">
        <f t="shared" si="23"/>
        <v>60078</v>
      </c>
      <c r="AO68" s="295">
        <f t="shared" ca="1" si="24"/>
        <v>47</v>
      </c>
      <c r="AP68" s="157" t="e">
        <f>#REF!-1</f>
        <v>#REF!</v>
      </c>
      <c r="AQ68" s="100" t="str">
        <f>VLOOKUP(AK68,'Pad Planner - DO NOT AMEND'!A:M,12,FALSE)</f>
        <v/>
      </c>
      <c r="AR68" s="100" t="str">
        <f>VLOOKUP(AK68,'Pad Planner - DO NOT AMEND'!A:M,13,FALSE)</f>
        <v/>
      </c>
    </row>
    <row r="69" spans="1:44">
      <c r="A69" s="88">
        <v>221134</v>
      </c>
      <c r="B69" s="95"/>
      <c r="C69" s="19"/>
      <c r="D69" s="108">
        <v>42936</v>
      </c>
      <c r="E69" s="19" t="s">
        <v>97</v>
      </c>
      <c r="F69" s="96">
        <f t="shared" si="25"/>
        <v>3843082</v>
      </c>
      <c r="G69" s="21">
        <f t="shared" si="17"/>
        <v>5017</v>
      </c>
      <c r="H69" s="395">
        <v>42931</v>
      </c>
      <c r="I69" s="396" t="s">
        <v>743</v>
      </c>
      <c r="J69" s="22"/>
      <c r="K69" s="99">
        <f>'Mileages EOD'!B70</f>
        <v>3838065</v>
      </c>
      <c r="L69" s="114" t="str">
        <f t="shared" si="18"/>
        <v>S2A</v>
      </c>
      <c r="M69" s="114">
        <f t="shared" si="19"/>
        <v>42978</v>
      </c>
      <c r="N69" s="213"/>
      <c r="O69" s="95"/>
      <c r="P69" s="305">
        <v>221134</v>
      </c>
      <c r="Q69" s="301">
        <v>42978</v>
      </c>
      <c r="R69" s="300" t="s">
        <v>532</v>
      </c>
      <c r="S69" s="296">
        <v>221134</v>
      </c>
      <c r="T69" s="296" t="s">
        <v>527</v>
      </c>
      <c r="U69" s="294">
        <v>42931</v>
      </c>
      <c r="V69" s="117" t="s">
        <v>743</v>
      </c>
      <c r="W69" s="295">
        <f t="shared" ca="1" si="20"/>
        <v>2</v>
      </c>
      <c r="X69" s="295">
        <v>221134</v>
      </c>
      <c r="Y69" s="295" t="s">
        <v>93</v>
      </c>
      <c r="Z69" s="294">
        <v>42902</v>
      </c>
      <c r="AA69" s="295" t="s">
        <v>743</v>
      </c>
      <c r="AB69" s="295">
        <v>221134</v>
      </c>
      <c r="AC69" s="294">
        <v>42938</v>
      </c>
      <c r="AD69" s="295" t="s">
        <v>94</v>
      </c>
      <c r="AE69" s="295">
        <f t="shared" si="21"/>
        <v>25313</v>
      </c>
      <c r="AF69" s="295">
        <f t="shared" ca="1" si="22"/>
        <v>31</v>
      </c>
      <c r="AG69" s="295">
        <v>221134</v>
      </c>
      <c r="AH69" s="295" t="s">
        <v>116</v>
      </c>
      <c r="AI69" s="294">
        <v>42848</v>
      </c>
      <c r="AJ69" s="295" t="s">
        <v>853</v>
      </c>
      <c r="AK69" s="295">
        <v>221134</v>
      </c>
      <c r="AL69" s="294">
        <v>42936</v>
      </c>
      <c r="AM69" s="295" t="s">
        <v>97</v>
      </c>
      <c r="AN69" s="295">
        <f t="shared" si="23"/>
        <v>71821</v>
      </c>
      <c r="AO69" s="295">
        <f t="shared" ca="1" si="24"/>
        <v>85</v>
      </c>
      <c r="AP69" s="157" t="e">
        <f>#REF!-1</f>
        <v>#REF!</v>
      </c>
      <c r="AQ69" s="100" t="str">
        <f>VLOOKUP(AK69,'Pad Planner - DO NOT AMEND'!A:M,12,FALSE)</f>
        <v>TOPLAN</v>
      </c>
      <c r="AR69" s="100" t="str">
        <f>VLOOKUP(AK69,'Pad Planner - DO NOT AMEND'!A:M,13,FALSE)</f>
        <v>9159567</v>
      </c>
    </row>
    <row r="70" spans="1:44">
      <c r="A70" s="88">
        <v>221135</v>
      </c>
      <c r="B70" s="95"/>
      <c r="C70" s="19"/>
      <c r="D70" s="108">
        <v>42951</v>
      </c>
      <c r="E70" s="19" t="s">
        <v>96</v>
      </c>
      <c r="F70" s="96">
        <f t="shared" si="25"/>
        <v>3898936</v>
      </c>
      <c r="G70" s="21">
        <f t="shared" si="17"/>
        <v>13222</v>
      </c>
      <c r="H70" s="395">
        <v>42914</v>
      </c>
      <c r="I70" s="396" t="s">
        <v>804</v>
      </c>
      <c r="J70" s="22"/>
      <c r="K70" s="99">
        <f>'Mileages EOD'!B71</f>
        <v>3885714</v>
      </c>
      <c r="L70" s="114" t="str">
        <f t="shared" si="18"/>
        <v>S2A</v>
      </c>
      <c r="M70" s="114">
        <f t="shared" si="19"/>
        <v>42951</v>
      </c>
      <c r="N70" s="213"/>
      <c r="O70" s="95"/>
      <c r="P70" s="306">
        <v>221135</v>
      </c>
      <c r="Q70" s="299">
        <v>42951</v>
      </c>
      <c r="R70" s="302" t="s">
        <v>532</v>
      </c>
      <c r="S70" s="296">
        <v>221135</v>
      </c>
      <c r="T70" s="296" t="s">
        <v>527</v>
      </c>
      <c r="U70" s="294">
        <v>42907</v>
      </c>
      <c r="V70" s="117" t="s">
        <v>669</v>
      </c>
      <c r="W70" s="295">
        <f t="shared" ca="1" si="20"/>
        <v>26</v>
      </c>
      <c r="X70" s="295">
        <v>221135</v>
      </c>
      <c r="Y70" s="295" t="s">
        <v>95</v>
      </c>
      <c r="Z70" s="294">
        <v>42914</v>
      </c>
      <c r="AA70" s="295" t="s">
        <v>804</v>
      </c>
      <c r="AB70" s="295">
        <v>221135</v>
      </c>
      <c r="AC70" s="294">
        <v>42951</v>
      </c>
      <c r="AD70" s="295" t="s">
        <v>96</v>
      </c>
      <c r="AE70" s="295">
        <f t="shared" si="21"/>
        <v>17108</v>
      </c>
      <c r="AF70" s="295">
        <f t="shared" ca="1" si="22"/>
        <v>19</v>
      </c>
      <c r="AG70" s="295">
        <v>221135</v>
      </c>
      <c r="AH70" s="295" t="s">
        <v>97</v>
      </c>
      <c r="AI70" s="294">
        <v>42869</v>
      </c>
      <c r="AJ70" s="295" t="s">
        <v>588</v>
      </c>
      <c r="AK70" s="295">
        <v>221135</v>
      </c>
      <c r="AL70" s="294">
        <v>42960</v>
      </c>
      <c r="AM70" s="295" t="s">
        <v>102</v>
      </c>
      <c r="AN70" s="295">
        <f t="shared" si="23"/>
        <v>71300</v>
      </c>
      <c r="AO70" s="295">
        <f t="shared" ca="1" si="24"/>
        <v>64</v>
      </c>
      <c r="AP70" s="157" t="e">
        <f>#REF!-1</f>
        <v>#REF!</v>
      </c>
      <c r="AQ70" s="100" t="str">
        <f>VLOOKUP(AK70,'Pad Planner - DO NOT AMEND'!A:M,12,FALSE)</f>
        <v/>
      </c>
      <c r="AR70" s="100" t="str">
        <f>VLOOKUP(AK70,'Pad Planner - DO NOT AMEND'!A:M,13,FALSE)</f>
        <v/>
      </c>
    </row>
    <row r="71" spans="1:44">
      <c r="A71" s="88">
        <v>221136</v>
      </c>
      <c r="B71" s="95"/>
      <c r="C71" s="19"/>
      <c r="D71" s="108">
        <v>42934</v>
      </c>
      <c r="E71" s="19" t="s">
        <v>95</v>
      </c>
      <c r="F71" s="96">
        <f t="shared" si="25"/>
        <v>3760013</v>
      </c>
      <c r="G71" s="21">
        <f t="shared" si="17"/>
        <v>1365</v>
      </c>
      <c r="H71" s="395">
        <v>42899</v>
      </c>
      <c r="I71" s="396" t="s">
        <v>734</v>
      </c>
      <c r="J71" s="22"/>
      <c r="K71" s="99">
        <f>'Mileages EOD'!B72</f>
        <v>3758648</v>
      </c>
      <c r="L71" s="114" t="str">
        <f t="shared" si="18"/>
        <v>S2A</v>
      </c>
      <c r="M71" s="114">
        <f t="shared" si="19"/>
        <v>42939</v>
      </c>
      <c r="N71" s="213"/>
      <c r="O71" s="95"/>
      <c r="P71" s="305">
        <v>221136</v>
      </c>
      <c r="Q71" s="301">
        <v>42939</v>
      </c>
      <c r="R71" s="300" t="s">
        <v>532</v>
      </c>
      <c r="S71" s="296">
        <v>221136</v>
      </c>
      <c r="T71" s="296" t="s">
        <v>527</v>
      </c>
      <c r="U71" s="294">
        <v>42893</v>
      </c>
      <c r="V71" s="117" t="s">
        <v>628</v>
      </c>
      <c r="W71" s="295">
        <f t="shared" ca="1" si="20"/>
        <v>40</v>
      </c>
      <c r="X71" s="295">
        <v>221136</v>
      </c>
      <c r="Y71" s="295" t="s">
        <v>94</v>
      </c>
      <c r="Z71" s="294">
        <v>42899</v>
      </c>
      <c r="AA71" s="295" t="s">
        <v>734</v>
      </c>
      <c r="AB71" s="295">
        <v>221136</v>
      </c>
      <c r="AC71" s="294">
        <v>42934</v>
      </c>
      <c r="AD71" s="295" t="s">
        <v>95</v>
      </c>
      <c r="AE71" s="295">
        <f t="shared" si="21"/>
        <v>28965</v>
      </c>
      <c r="AF71" s="295">
        <f t="shared" ca="1" si="22"/>
        <v>34</v>
      </c>
      <c r="AG71" s="295">
        <v>221136</v>
      </c>
      <c r="AH71" s="295" t="s">
        <v>97</v>
      </c>
      <c r="AI71" s="294">
        <v>42899</v>
      </c>
      <c r="AJ71" s="295" t="s">
        <v>734</v>
      </c>
      <c r="AK71" s="295">
        <v>221136</v>
      </c>
      <c r="AL71" s="294">
        <v>42988</v>
      </c>
      <c r="AM71" s="295" t="s">
        <v>102</v>
      </c>
      <c r="AN71" s="295">
        <f t="shared" si="23"/>
        <v>28965</v>
      </c>
      <c r="AO71" s="295">
        <f t="shared" ca="1" si="24"/>
        <v>34</v>
      </c>
      <c r="AP71" s="157" t="e">
        <f>#REF!-1</f>
        <v>#REF!</v>
      </c>
      <c r="AQ71" s="100" t="str">
        <f>VLOOKUP(AK71,'Pad Planner - DO NOT AMEND'!A:M,12,FALSE)</f>
        <v>CHECKED</v>
      </c>
      <c r="AR71" s="100" t="str">
        <f>VLOOKUP(AK71,'Pad Planner - DO NOT AMEND'!A:M,13,FALSE)</f>
        <v>9166462</v>
      </c>
    </row>
    <row r="72" spans="1:44">
      <c r="A72" s="88">
        <v>221137</v>
      </c>
      <c r="B72" s="95"/>
      <c r="C72" s="19"/>
      <c r="D72" s="108">
        <v>42941</v>
      </c>
      <c r="E72" s="19" t="s">
        <v>95</v>
      </c>
      <c r="F72" s="96">
        <f t="shared" si="25"/>
        <v>3884952</v>
      </c>
      <c r="G72" s="21">
        <f t="shared" si="17"/>
        <v>12673</v>
      </c>
      <c r="H72" s="395">
        <v>42910</v>
      </c>
      <c r="I72" s="396" t="s">
        <v>787</v>
      </c>
      <c r="J72" s="22"/>
      <c r="K72" s="99">
        <f>'Mileages EOD'!B73</f>
        <v>3872279</v>
      </c>
      <c r="L72" s="114" t="str">
        <f t="shared" si="18"/>
        <v>S2A</v>
      </c>
      <c r="M72" s="114">
        <f t="shared" si="19"/>
        <v>42942</v>
      </c>
      <c r="N72" s="213"/>
      <c r="O72" s="95"/>
      <c r="P72" s="306">
        <v>221137</v>
      </c>
      <c r="Q72" s="299">
        <v>42942</v>
      </c>
      <c r="R72" s="302" t="s">
        <v>532</v>
      </c>
      <c r="S72" s="296">
        <v>221137</v>
      </c>
      <c r="T72" s="296" t="s">
        <v>527</v>
      </c>
      <c r="U72" s="294">
        <v>42900</v>
      </c>
      <c r="V72" s="117" t="s">
        <v>639</v>
      </c>
      <c r="W72" s="295">
        <f t="shared" ca="1" si="20"/>
        <v>33</v>
      </c>
      <c r="X72" s="295">
        <v>221137</v>
      </c>
      <c r="Y72" s="295" t="s">
        <v>94</v>
      </c>
      <c r="Z72" s="294">
        <v>42910</v>
      </c>
      <c r="AA72" s="295" t="s">
        <v>787</v>
      </c>
      <c r="AB72" s="295">
        <v>221137</v>
      </c>
      <c r="AC72" s="294">
        <v>42941</v>
      </c>
      <c r="AD72" s="295" t="s">
        <v>95</v>
      </c>
      <c r="AE72" s="295">
        <f t="shared" si="21"/>
        <v>17657</v>
      </c>
      <c r="AF72" s="295">
        <f t="shared" ca="1" si="22"/>
        <v>23</v>
      </c>
      <c r="AG72" s="295">
        <v>221137</v>
      </c>
      <c r="AH72" s="295" t="s">
        <v>97</v>
      </c>
      <c r="AI72" s="294">
        <v>42902</v>
      </c>
      <c r="AJ72" s="295" t="s">
        <v>741</v>
      </c>
      <c r="AK72" s="295">
        <v>221137</v>
      </c>
      <c r="AL72" s="294">
        <v>42991</v>
      </c>
      <c r="AM72" s="295" t="s">
        <v>102</v>
      </c>
      <c r="AN72" s="295">
        <f t="shared" si="23"/>
        <v>24427</v>
      </c>
      <c r="AO72" s="295">
        <f t="shared" ca="1" si="24"/>
        <v>31</v>
      </c>
      <c r="AP72" s="157" t="e">
        <f>#REF!-1</f>
        <v>#REF!</v>
      </c>
      <c r="AQ72" s="100" t="str">
        <f>VLOOKUP(AK72,'Pad Planner - DO NOT AMEND'!A:M,12,FALSE)</f>
        <v/>
      </c>
      <c r="AR72" s="100" t="str">
        <f>VLOOKUP(AK72,'Pad Planner - DO NOT AMEND'!A:M,13,FALSE)</f>
        <v/>
      </c>
    </row>
    <row r="73" spans="1:44">
      <c r="A73" s="88">
        <v>221138</v>
      </c>
      <c r="B73" s="95"/>
      <c r="C73" s="19"/>
      <c r="D73" s="108">
        <v>42952</v>
      </c>
      <c r="E73" s="19" t="s">
        <v>527</v>
      </c>
      <c r="F73" s="96">
        <f t="shared" si="25"/>
        <v>3866095</v>
      </c>
      <c r="G73" s="21">
        <f>F73-K73</f>
        <v>26291</v>
      </c>
      <c r="H73" s="395">
        <v>42928</v>
      </c>
      <c r="I73" s="396" t="s">
        <v>937</v>
      </c>
      <c r="J73" s="22"/>
      <c r="K73" s="99">
        <f>'Mileages EOD'!B74</f>
        <v>3839804</v>
      </c>
      <c r="L73" s="114" t="str">
        <f t="shared" si="18"/>
        <v>S1A</v>
      </c>
      <c r="M73" s="114">
        <f t="shared" si="19"/>
        <v>42952</v>
      </c>
      <c r="N73" s="213"/>
      <c r="O73" s="95"/>
      <c r="P73" s="305">
        <v>221138</v>
      </c>
      <c r="Q73" s="301">
        <v>42952</v>
      </c>
      <c r="R73" s="300" t="s">
        <v>527</v>
      </c>
      <c r="S73" s="296">
        <v>221138</v>
      </c>
      <c r="T73" s="296" t="s">
        <v>533</v>
      </c>
      <c r="U73" s="294">
        <v>42906</v>
      </c>
      <c r="V73" s="117" t="s">
        <v>714</v>
      </c>
      <c r="W73" s="295">
        <f t="shared" ca="1" si="20"/>
        <v>27</v>
      </c>
      <c r="X73" s="295">
        <v>221138</v>
      </c>
      <c r="Y73" s="295" t="s">
        <v>93</v>
      </c>
      <c r="Z73" s="294">
        <v>42928</v>
      </c>
      <c r="AA73" s="295" t="s">
        <v>937</v>
      </c>
      <c r="AB73" s="295">
        <v>221138</v>
      </c>
      <c r="AC73" s="294">
        <v>42962</v>
      </c>
      <c r="AD73" s="295" t="s">
        <v>94</v>
      </c>
      <c r="AE73" s="295">
        <f t="shared" si="21"/>
        <v>4039</v>
      </c>
      <c r="AF73" s="295">
        <f t="shared" ca="1" si="22"/>
        <v>5</v>
      </c>
      <c r="AG73" s="295">
        <v>221138</v>
      </c>
      <c r="AH73" s="295" t="s">
        <v>116</v>
      </c>
      <c r="AI73" s="294">
        <v>42867</v>
      </c>
      <c r="AJ73" s="295" t="s">
        <v>633</v>
      </c>
      <c r="AK73" s="295">
        <v>221138</v>
      </c>
      <c r="AL73" s="294">
        <v>42957</v>
      </c>
      <c r="AM73" s="295" t="s">
        <v>97</v>
      </c>
      <c r="AN73" s="295">
        <f t="shared" si="23"/>
        <v>61249</v>
      </c>
      <c r="AO73" s="295">
        <f t="shared" ca="1" si="24"/>
        <v>66</v>
      </c>
      <c r="AP73" s="157" t="e">
        <f>#REF!-1</f>
        <v>#REF!</v>
      </c>
      <c r="AQ73" s="100" t="str">
        <f>VLOOKUP(AK73,'Pad Planner - DO NOT AMEND'!A:M,12,FALSE)</f>
        <v/>
      </c>
      <c r="AR73" s="100" t="str">
        <f>VLOOKUP(AK73,'Pad Planner - DO NOT AMEND'!A:M,13,FALSE)</f>
        <v/>
      </c>
    </row>
    <row r="74" spans="1:44">
      <c r="A74" s="88">
        <v>221139</v>
      </c>
      <c r="B74" s="95"/>
      <c r="C74" s="19"/>
      <c r="D74" s="108">
        <v>42942</v>
      </c>
      <c r="E74" s="19" t="s">
        <v>95</v>
      </c>
      <c r="F74" s="96">
        <f t="shared" si="25"/>
        <v>3835316</v>
      </c>
      <c r="G74" s="21">
        <f>F74-K74</f>
        <v>12809</v>
      </c>
      <c r="H74" s="395">
        <v>42908</v>
      </c>
      <c r="I74" s="396" t="s">
        <v>797</v>
      </c>
      <c r="J74" s="22"/>
      <c r="K74" s="99">
        <f>'Mileages EOD'!B75</f>
        <v>3822507</v>
      </c>
      <c r="L74" s="114" t="str">
        <f t="shared" si="18"/>
        <v>S2A</v>
      </c>
      <c r="M74" s="114">
        <f t="shared" si="19"/>
        <v>42948</v>
      </c>
      <c r="N74" s="213"/>
      <c r="O74" s="95"/>
      <c r="P74" s="306">
        <v>221139</v>
      </c>
      <c r="Q74" s="299">
        <v>42948</v>
      </c>
      <c r="R74" s="302" t="s">
        <v>532</v>
      </c>
      <c r="S74" s="296">
        <v>221139</v>
      </c>
      <c r="T74" s="296" t="s">
        <v>527</v>
      </c>
      <c r="U74" s="294">
        <v>42902</v>
      </c>
      <c r="V74" s="117" t="s">
        <v>651</v>
      </c>
      <c r="W74" s="295">
        <f t="shared" ca="1" si="20"/>
        <v>31</v>
      </c>
      <c r="X74" s="295">
        <v>221139</v>
      </c>
      <c r="Y74" s="295" t="s">
        <v>94</v>
      </c>
      <c r="Z74" s="294">
        <v>42912</v>
      </c>
      <c r="AA74" s="295" t="s">
        <v>797</v>
      </c>
      <c r="AB74" s="295">
        <v>221139</v>
      </c>
      <c r="AC74" s="294">
        <v>42942</v>
      </c>
      <c r="AD74" s="295" t="s">
        <v>95</v>
      </c>
      <c r="AE74" s="295">
        <f t="shared" si="21"/>
        <v>17521</v>
      </c>
      <c r="AF74" s="295">
        <f t="shared" ca="1" si="22"/>
        <v>21</v>
      </c>
      <c r="AG74" s="295">
        <v>221139</v>
      </c>
      <c r="AH74" s="295" t="s">
        <v>97</v>
      </c>
      <c r="AI74" s="294">
        <v>42908</v>
      </c>
      <c r="AJ74" s="295" t="s">
        <v>797</v>
      </c>
      <c r="AK74" s="295">
        <v>221139</v>
      </c>
      <c r="AL74" s="294">
        <v>42998</v>
      </c>
      <c r="AM74" s="295" t="s">
        <v>102</v>
      </c>
      <c r="AN74" s="295">
        <f t="shared" si="23"/>
        <v>17521</v>
      </c>
      <c r="AO74" s="295">
        <f t="shared" ca="1" si="24"/>
        <v>25</v>
      </c>
      <c r="AP74" s="157" t="e">
        <f>#REF!-1</f>
        <v>#REF!</v>
      </c>
      <c r="AQ74" s="100" t="str">
        <f>VLOOKUP(AK74,'Pad Planner - DO NOT AMEND'!A:M,12,FALSE)</f>
        <v/>
      </c>
      <c r="AR74" s="100" t="str">
        <f>VLOOKUP(AK74,'Pad Planner - DO NOT AMEND'!A:M,13,FALSE)</f>
        <v/>
      </c>
    </row>
    <row r="75" spans="1:44">
      <c r="A75" s="88">
        <v>221140</v>
      </c>
      <c r="B75" s="95"/>
      <c r="C75" s="19"/>
      <c r="D75" s="108">
        <v>42940</v>
      </c>
      <c r="E75" s="19" t="s">
        <v>527</v>
      </c>
      <c r="F75" s="96">
        <f t="shared" si="25"/>
        <v>3877288</v>
      </c>
      <c r="G75" s="21">
        <f t="shared" si="17"/>
        <v>13774</v>
      </c>
      <c r="H75" s="395">
        <v>42914</v>
      </c>
      <c r="I75" s="396" t="s">
        <v>805</v>
      </c>
      <c r="J75" s="22"/>
      <c r="K75" s="99">
        <f>'Mileages EOD'!B76</f>
        <v>3863514</v>
      </c>
      <c r="L75" s="114" t="str">
        <f t="shared" si="18"/>
        <v>S1A</v>
      </c>
      <c r="M75" s="114">
        <f t="shared" si="19"/>
        <v>42940</v>
      </c>
      <c r="N75" s="213"/>
      <c r="O75" s="95"/>
      <c r="P75" s="305">
        <v>221140</v>
      </c>
      <c r="Q75" s="301">
        <v>42940</v>
      </c>
      <c r="R75" s="300" t="s">
        <v>527</v>
      </c>
      <c r="S75" s="296">
        <v>221140</v>
      </c>
      <c r="T75" s="296" t="s">
        <v>533</v>
      </c>
      <c r="U75" s="294">
        <v>42896</v>
      </c>
      <c r="V75" s="117" t="s">
        <v>690</v>
      </c>
      <c r="W75" s="295">
        <f t="shared" ca="1" si="20"/>
        <v>37</v>
      </c>
      <c r="X75" s="295">
        <v>221140</v>
      </c>
      <c r="Y75" s="295" t="s">
        <v>93</v>
      </c>
      <c r="Z75" s="294">
        <v>42914</v>
      </c>
      <c r="AA75" s="295" t="s">
        <v>805</v>
      </c>
      <c r="AB75" s="295">
        <v>221140</v>
      </c>
      <c r="AC75" s="294">
        <v>42948</v>
      </c>
      <c r="AD75" s="295" t="s">
        <v>94</v>
      </c>
      <c r="AE75" s="295">
        <f t="shared" si="21"/>
        <v>16556</v>
      </c>
      <c r="AF75" s="295">
        <f t="shared" ca="1" si="22"/>
        <v>19</v>
      </c>
      <c r="AG75" s="295">
        <v>221140</v>
      </c>
      <c r="AH75" s="295" t="s">
        <v>116</v>
      </c>
      <c r="AI75" s="294">
        <v>42861</v>
      </c>
      <c r="AJ75" s="295" t="s">
        <v>621</v>
      </c>
      <c r="AK75" s="295">
        <v>221140</v>
      </c>
      <c r="AL75" s="294">
        <v>42948</v>
      </c>
      <c r="AM75" s="295" t="s">
        <v>97</v>
      </c>
      <c r="AN75" s="295">
        <f t="shared" si="23"/>
        <v>66831</v>
      </c>
      <c r="AO75" s="295">
        <f t="shared" ca="1" si="24"/>
        <v>72</v>
      </c>
      <c r="AP75" s="157" t="e">
        <f>#REF!-1</f>
        <v>#REF!</v>
      </c>
      <c r="AQ75" s="100" t="str">
        <f>VLOOKUP(AK75,'Pad Planner - DO NOT AMEND'!A:M,12,FALSE)</f>
        <v/>
      </c>
      <c r="AR75" s="100" t="str">
        <f>VLOOKUP(AK75,'Pad Planner - DO NOT AMEND'!A:M,13,FALSE)</f>
        <v/>
      </c>
    </row>
    <row r="76" spans="1:44">
      <c r="A76" s="88">
        <v>221141</v>
      </c>
      <c r="B76" s="95"/>
      <c r="C76" s="19"/>
      <c r="D76" s="108">
        <v>42943</v>
      </c>
      <c r="E76" s="19" t="s">
        <v>527</v>
      </c>
      <c r="F76" s="96">
        <f t="shared" si="25"/>
        <v>3776603</v>
      </c>
      <c r="G76" s="21">
        <f t="shared" si="17"/>
        <v>21818</v>
      </c>
      <c r="H76" s="395">
        <v>42919</v>
      </c>
      <c r="I76" s="396" t="s">
        <v>850</v>
      </c>
      <c r="J76" s="22"/>
      <c r="K76" s="99">
        <f>'Mileages EOD'!B77</f>
        <v>3754785</v>
      </c>
      <c r="L76" s="114" t="str">
        <f t="shared" si="18"/>
        <v>S1A</v>
      </c>
      <c r="M76" s="114">
        <f t="shared" si="19"/>
        <v>42943</v>
      </c>
      <c r="N76" s="213"/>
      <c r="O76" s="95"/>
      <c r="P76" s="306">
        <v>221141</v>
      </c>
      <c r="Q76" s="299">
        <v>42943</v>
      </c>
      <c r="R76" s="302" t="s">
        <v>527</v>
      </c>
      <c r="S76" s="296">
        <v>221141</v>
      </c>
      <c r="T76" s="296" t="s">
        <v>533</v>
      </c>
      <c r="U76" s="294">
        <v>42897</v>
      </c>
      <c r="V76" s="117" t="s">
        <v>696</v>
      </c>
      <c r="W76" s="295">
        <f t="shared" ca="1" si="20"/>
        <v>36</v>
      </c>
      <c r="X76" s="295">
        <v>221141</v>
      </c>
      <c r="Y76" s="295" t="s">
        <v>93</v>
      </c>
      <c r="Z76" s="294">
        <v>42919</v>
      </c>
      <c r="AA76" s="295" t="s">
        <v>850</v>
      </c>
      <c r="AB76" s="295">
        <v>221141</v>
      </c>
      <c r="AC76" s="294">
        <v>42952</v>
      </c>
      <c r="AD76" s="295" t="s">
        <v>94</v>
      </c>
      <c r="AE76" s="295">
        <f t="shared" si="21"/>
        <v>8512</v>
      </c>
      <c r="AF76" s="295">
        <f t="shared" ca="1" si="22"/>
        <v>14</v>
      </c>
      <c r="AG76" s="295">
        <v>221141</v>
      </c>
      <c r="AH76" s="295" t="s">
        <v>116</v>
      </c>
      <c r="AI76" s="294">
        <v>42859</v>
      </c>
      <c r="AJ76" s="295" t="s">
        <v>589</v>
      </c>
      <c r="AK76" s="295">
        <v>221141</v>
      </c>
      <c r="AL76" s="294">
        <v>42951</v>
      </c>
      <c r="AM76" s="295" t="s">
        <v>97</v>
      </c>
      <c r="AN76" s="295">
        <f t="shared" si="23"/>
        <v>61544</v>
      </c>
      <c r="AO76" s="295">
        <f t="shared" ca="1" si="24"/>
        <v>74</v>
      </c>
      <c r="AP76" s="157" t="e">
        <f>#REF!-1</f>
        <v>#REF!</v>
      </c>
      <c r="AQ76" s="100" t="str">
        <f>VLOOKUP(AK76,'Pad Planner - DO NOT AMEND'!A:M,12,FALSE)</f>
        <v/>
      </c>
      <c r="AR76" s="100" t="str">
        <f>VLOOKUP(AK76,'Pad Planner - DO NOT AMEND'!A:M,13,FALSE)</f>
        <v/>
      </c>
    </row>
    <row r="77" spans="1:44">
      <c r="A77" s="88">
        <v>221142</v>
      </c>
      <c r="B77" s="95"/>
      <c r="C77" s="19"/>
      <c r="D77" s="108">
        <v>42941</v>
      </c>
      <c r="E77" s="19" t="s">
        <v>94</v>
      </c>
      <c r="F77" s="96">
        <f t="shared" si="25"/>
        <v>3872881</v>
      </c>
      <c r="G77" s="21">
        <f t="shared" si="17"/>
        <v>14978</v>
      </c>
      <c r="H77" s="395">
        <v>42913</v>
      </c>
      <c r="I77" s="396" t="s">
        <v>799</v>
      </c>
      <c r="J77" s="22"/>
      <c r="K77" s="99">
        <f>'Mileages EOD'!B78</f>
        <v>3857903</v>
      </c>
      <c r="L77" s="114" t="str">
        <f t="shared" si="18"/>
        <v>S2A</v>
      </c>
      <c r="M77" s="114">
        <f t="shared" si="19"/>
        <v>42951</v>
      </c>
      <c r="N77" s="213"/>
      <c r="O77" s="112"/>
      <c r="P77" s="305">
        <v>221142</v>
      </c>
      <c r="Q77" s="301">
        <v>42951</v>
      </c>
      <c r="R77" s="300" t="s">
        <v>532</v>
      </c>
      <c r="S77" s="296">
        <v>221142</v>
      </c>
      <c r="T77" s="296" t="s">
        <v>527</v>
      </c>
      <c r="U77" s="294">
        <v>42907</v>
      </c>
      <c r="V77" s="117" t="s">
        <v>662</v>
      </c>
      <c r="W77" s="295">
        <f t="shared" ca="1" si="20"/>
        <v>26</v>
      </c>
      <c r="X77" s="295">
        <v>221142</v>
      </c>
      <c r="Y77" s="295" t="s">
        <v>93</v>
      </c>
      <c r="Z77" s="294">
        <v>42913</v>
      </c>
      <c r="AA77" s="295" t="s">
        <v>799</v>
      </c>
      <c r="AB77" s="295">
        <v>221142</v>
      </c>
      <c r="AC77" s="294">
        <v>42941</v>
      </c>
      <c r="AD77" s="295" t="s">
        <v>94</v>
      </c>
      <c r="AE77" s="295">
        <f>K77-AA77</f>
        <v>15352</v>
      </c>
      <c r="AF77" s="295">
        <f ca="1">TODAY()-Z77</f>
        <v>20</v>
      </c>
      <c r="AG77" s="295">
        <v>221142</v>
      </c>
      <c r="AH77" s="295" t="s">
        <v>97</v>
      </c>
      <c r="AI77" s="294">
        <v>42913</v>
      </c>
      <c r="AJ77" s="295" t="s">
        <v>799</v>
      </c>
      <c r="AK77" s="295">
        <v>221142</v>
      </c>
      <c r="AL77" s="294">
        <v>43004</v>
      </c>
      <c r="AM77" s="295" t="s">
        <v>102</v>
      </c>
      <c r="AN77" s="295">
        <f>K77-AJ77</f>
        <v>15352</v>
      </c>
      <c r="AO77" s="295">
        <f ca="1">TODAY()-AI77</f>
        <v>20</v>
      </c>
      <c r="AP77" s="157" t="e">
        <f>#REF!-1</f>
        <v>#REF!</v>
      </c>
      <c r="AQ77" s="100" t="str">
        <f>VLOOKUP(AK77,'Pad Planner - DO NOT AMEND'!A:M,12,FALSE)</f>
        <v/>
      </c>
      <c r="AR77" s="100" t="str">
        <f>VLOOKUP(AK77,'Pad Planner - DO NOT AMEND'!A:M,13,FALSE)</f>
        <v/>
      </c>
    </row>
    <row r="78" spans="1:44">
      <c r="A78" s="88">
        <v>221143</v>
      </c>
      <c r="B78" s="95"/>
      <c r="C78" s="19"/>
      <c r="D78" s="108">
        <v>42951</v>
      </c>
      <c r="E78" s="19" t="s">
        <v>532</v>
      </c>
      <c r="F78" s="96">
        <f t="shared" si="25"/>
        <v>3895932</v>
      </c>
      <c r="G78" s="21">
        <f t="shared" si="17"/>
        <v>28608</v>
      </c>
      <c r="H78" s="395">
        <v>42932</v>
      </c>
      <c r="I78" s="396" t="s">
        <v>1035</v>
      </c>
      <c r="J78" s="22"/>
      <c r="K78" s="99">
        <f>'Mileages EOD'!B79</f>
        <v>3867324</v>
      </c>
      <c r="L78" s="114" t="str">
        <f t="shared" si="18"/>
        <v>S2A</v>
      </c>
      <c r="M78" s="114">
        <f t="shared" si="19"/>
        <v>42951</v>
      </c>
      <c r="N78" s="213"/>
      <c r="O78" s="112"/>
      <c r="P78" s="306">
        <v>221143</v>
      </c>
      <c r="Q78" s="301">
        <v>42951</v>
      </c>
      <c r="R78" s="302" t="s">
        <v>532</v>
      </c>
      <c r="S78" s="296">
        <v>221143</v>
      </c>
      <c r="T78" s="296" t="s">
        <v>527</v>
      </c>
      <c r="U78" s="294">
        <v>42905</v>
      </c>
      <c r="V78" s="117" t="s">
        <v>735</v>
      </c>
      <c r="W78" s="295">
        <f t="shared" ca="1" si="20"/>
        <v>28</v>
      </c>
      <c r="X78" s="295">
        <v>221143</v>
      </c>
      <c r="Y78" s="295" t="s">
        <v>94</v>
      </c>
      <c r="Z78" s="294">
        <v>42932</v>
      </c>
      <c r="AA78" s="295" t="s">
        <v>1035</v>
      </c>
      <c r="AB78" s="295">
        <v>221143</v>
      </c>
      <c r="AC78" s="294">
        <v>42962</v>
      </c>
      <c r="AD78" s="295" t="s">
        <v>95</v>
      </c>
      <c r="AE78" s="295">
        <f>K78-AA78</f>
        <v>1722</v>
      </c>
      <c r="AF78" s="295">
        <f ca="1">TODAY()-Z78</f>
        <v>1</v>
      </c>
      <c r="AG78" s="295">
        <v>221143</v>
      </c>
      <c r="AH78" s="295" t="s">
        <v>97</v>
      </c>
      <c r="AI78" s="294">
        <v>42878</v>
      </c>
      <c r="AJ78" s="295" t="s">
        <v>636</v>
      </c>
      <c r="AK78" s="295">
        <v>221143</v>
      </c>
      <c r="AL78" s="294">
        <v>42967</v>
      </c>
      <c r="AM78" s="295" t="s">
        <v>102</v>
      </c>
      <c r="AN78" s="295">
        <f>K78-AJ78</f>
        <v>46326</v>
      </c>
      <c r="AO78" s="295">
        <f ca="1">TODAY()-AI78</f>
        <v>55</v>
      </c>
      <c r="AP78" s="157" t="e">
        <f>#REF!-1</f>
        <v>#REF!</v>
      </c>
      <c r="AQ78" s="100" t="str">
        <f>VLOOKUP(AK78,'Pad Planner - DO NOT AMEND'!A:M,12,FALSE)</f>
        <v>TOPLAN</v>
      </c>
      <c r="AR78" s="100" t="str">
        <f>VLOOKUP(AK78,'Pad Planner - DO NOT AMEND'!A:M,13,FALSE)</f>
        <v>8722378</v>
      </c>
    </row>
    <row r="79" spans="1:44" ht="14.25" thickBot="1">
      <c r="A79" s="89">
        <v>221144</v>
      </c>
      <c r="B79" s="180"/>
      <c r="C79" s="24"/>
      <c r="F79" s="20">
        <f>I85+30330</f>
        <v>30330</v>
      </c>
      <c r="G79" s="25">
        <f>F79-K79</f>
        <v>-1884071</v>
      </c>
      <c r="H79" s="395">
        <v>41415</v>
      </c>
      <c r="I79" s="375"/>
      <c r="J79" s="25"/>
      <c r="K79" s="99">
        <f>'Mileages EOD'!B80</f>
        <v>1914401</v>
      </c>
      <c r="L79" s="181" t="e">
        <f t="shared" si="18"/>
        <v>#N/A</v>
      </c>
      <c r="M79" s="109" t="e">
        <f t="shared" si="19"/>
        <v>#N/A</v>
      </c>
      <c r="N79" s="214"/>
      <c r="O79" s="113"/>
      <c r="P79" s="306">
        <v>221143</v>
      </c>
      <c r="Q79" s="299">
        <v>42904</v>
      </c>
      <c r="R79" s="302" t="s">
        <v>527</v>
      </c>
      <c r="S79" s="297">
        <v>221144</v>
      </c>
      <c r="T79" s="297" t="s">
        <v>109</v>
      </c>
      <c r="U79" s="294">
        <v>41415</v>
      </c>
      <c r="W79" s="295">
        <f t="shared" ca="1" si="20"/>
        <v>1518</v>
      </c>
      <c r="X79" s="295">
        <v>221144</v>
      </c>
      <c r="Y79" s="295" t="s">
        <v>111</v>
      </c>
      <c r="Z79" s="294">
        <v>41415</v>
      </c>
      <c r="AA79" s="295"/>
      <c r="AB79" s="295"/>
      <c r="AC79" s="295"/>
      <c r="AD79" s="295"/>
      <c r="AE79" s="295"/>
      <c r="AF79" s="295"/>
      <c r="AG79" s="295"/>
      <c r="AH79" s="295"/>
      <c r="AI79" s="295"/>
      <c r="AJ79" s="295"/>
      <c r="AK79" s="295"/>
      <c r="AL79" s="295"/>
      <c r="AM79" s="295"/>
      <c r="AN79" s="295"/>
      <c r="AO79" s="295"/>
      <c r="AP79" s="155"/>
      <c r="AQ79" s="100"/>
    </row>
    <row r="80" spans="1:44">
      <c r="A80" s="15"/>
      <c r="B80" s="16"/>
      <c r="C80" s="16"/>
      <c r="F80" s="15"/>
      <c r="G80" s="46"/>
      <c r="H80" s="395"/>
      <c r="I80" s="375" t="s">
        <v>98</v>
      </c>
      <c r="J80" s="33"/>
      <c r="K80" s="34">
        <f>SUM(K2:K35)</f>
        <v>131993593</v>
      </c>
      <c r="L80" s="29" t="e">
        <f t="shared" si="18"/>
        <v>#N/A</v>
      </c>
      <c r="M80" s="34" t="e">
        <f t="shared" si="19"/>
        <v>#N/A</v>
      </c>
      <c r="N80" s="34"/>
      <c r="O80" s="16"/>
      <c r="P80" s="305">
        <v>221143</v>
      </c>
      <c r="Q80" s="301">
        <v>42904</v>
      </c>
      <c r="R80" s="300" t="s">
        <v>527</v>
      </c>
      <c r="AG80" s="295"/>
      <c r="AH80" s="295"/>
      <c r="AI80" s="295"/>
      <c r="AJ80" s="295"/>
      <c r="AP80" s="155"/>
    </row>
    <row r="81" spans="1:42">
      <c r="A81" s="35"/>
      <c r="F81" s="36"/>
      <c r="G81" s="16"/>
      <c r="H81" s="395">
        <v>37502</v>
      </c>
      <c r="I81" s="376" t="s">
        <v>98</v>
      </c>
      <c r="J81" s="33"/>
      <c r="K81" s="34">
        <f>SUM(K36:K79)</f>
        <v>171570299</v>
      </c>
      <c r="L81" s="29" t="e">
        <f t="shared" si="18"/>
        <v>#N/A</v>
      </c>
      <c r="M81" s="34" t="e">
        <f t="shared" si="19"/>
        <v>#N/A</v>
      </c>
      <c r="N81" s="34"/>
      <c r="AG81" s="295"/>
      <c r="AH81" s="295"/>
      <c r="AI81" s="295"/>
      <c r="AJ81" s="295"/>
      <c r="AP81" s="155"/>
    </row>
    <row r="82" spans="1:42" ht="14.25" thickBot="1">
      <c r="G82" s="23"/>
      <c r="H82" s="395"/>
      <c r="I82" s="396" t="s">
        <v>98</v>
      </c>
      <c r="J82" s="23"/>
      <c r="K82" s="15"/>
      <c r="L82" s="15"/>
      <c r="M82" s="15"/>
      <c r="N82" s="15"/>
      <c r="AG82" s="295"/>
      <c r="AH82" s="295"/>
      <c r="AI82" s="295"/>
      <c r="AJ82" s="295"/>
      <c r="AP82" s="155"/>
    </row>
    <row r="83" spans="1:42">
      <c r="A83" s="37"/>
      <c r="B83" s="37"/>
      <c r="C83" s="37"/>
      <c r="F83" s="37"/>
      <c r="G83" s="37"/>
      <c r="H83" s="395">
        <v>37517</v>
      </c>
      <c r="I83" s="396" t="s">
        <v>98</v>
      </c>
      <c r="J83" s="39"/>
      <c r="K83" s="40">
        <f>MAX(K2:K35)</f>
        <v>3947074</v>
      </c>
      <c r="L83" s="23"/>
      <c r="M83" s="23"/>
      <c r="N83" s="23"/>
      <c r="O83" s="37"/>
      <c r="AG83" s="295"/>
      <c r="AH83" s="295"/>
      <c r="AI83" s="295"/>
      <c r="AJ83" s="295"/>
      <c r="AP83" s="155"/>
    </row>
    <row r="84" spans="1:42" ht="14.25" thickBot="1">
      <c r="A84" s="37"/>
      <c r="B84" s="37"/>
      <c r="C84" s="37"/>
      <c r="F84" s="37"/>
      <c r="G84" s="37"/>
      <c r="H84" s="395"/>
      <c r="I84" s="396" t="s">
        <v>98</v>
      </c>
      <c r="J84" s="41"/>
      <c r="K84" s="42">
        <f>MIN(K2:K35)</f>
        <v>3652043</v>
      </c>
      <c r="L84" s="23"/>
      <c r="M84" s="23"/>
      <c r="N84" s="23"/>
      <c r="O84" s="37"/>
      <c r="AG84" s="295"/>
      <c r="AH84" s="295"/>
      <c r="AI84" s="295"/>
      <c r="AJ84" s="295"/>
      <c r="AP84" s="155"/>
    </row>
    <row r="85" spans="1:42">
      <c r="A85" s="37"/>
      <c r="B85" s="37"/>
      <c r="C85" s="37"/>
      <c r="F85" s="37"/>
      <c r="G85" s="37"/>
      <c r="H85" s="395">
        <v>37563</v>
      </c>
      <c r="I85" s="396" t="s">
        <v>98</v>
      </c>
      <c r="J85" s="43"/>
      <c r="K85" s="44">
        <f>MAX(K36:K79)</f>
        <v>4158241</v>
      </c>
      <c r="L85" s="23"/>
      <c r="M85" s="23"/>
      <c r="N85" s="23"/>
      <c r="O85" s="37"/>
      <c r="AG85" s="295"/>
      <c r="AH85" s="295"/>
      <c r="AI85" s="295"/>
      <c r="AJ85" s="295"/>
      <c r="AP85" s="155"/>
    </row>
    <row r="86" spans="1:42" ht="14.25" thickBot="1">
      <c r="A86" s="37"/>
      <c r="B86" s="37"/>
      <c r="C86" s="37"/>
      <c r="F86" s="37"/>
      <c r="G86" s="37"/>
      <c r="H86" s="101"/>
      <c r="I86" s="27"/>
      <c r="J86" s="41"/>
      <c r="K86" s="42">
        <f>MIN(K36:K79)</f>
        <v>1914401</v>
      </c>
      <c r="L86" s="23"/>
      <c r="M86" s="23"/>
      <c r="N86" s="23"/>
      <c r="O86" s="37"/>
      <c r="AG86" s="295"/>
      <c r="AH86" s="295"/>
      <c r="AI86" s="295"/>
      <c r="AJ86" s="295"/>
      <c r="AP86" s="155"/>
    </row>
    <row r="87" spans="1:42">
      <c r="A87" s="37"/>
      <c r="B87" s="37"/>
      <c r="C87" s="37"/>
      <c r="F87" s="37"/>
      <c r="G87" s="37"/>
      <c r="O87" s="37"/>
      <c r="AG87" s="295"/>
      <c r="AH87" s="295"/>
      <c r="AI87" s="295"/>
      <c r="AJ87" s="295"/>
      <c r="AP87" s="155"/>
    </row>
    <row r="88" spans="1:42">
      <c r="A88" s="37"/>
      <c r="B88" s="37"/>
      <c r="C88" s="37"/>
      <c r="F88" s="37"/>
      <c r="G88" s="37"/>
      <c r="H88" s="29"/>
      <c r="I88" s="38"/>
      <c r="O88" s="37"/>
      <c r="AG88" s="295"/>
      <c r="AH88" s="295"/>
      <c r="AI88" s="295"/>
      <c r="AJ88" s="295"/>
      <c r="AP88" s="155"/>
    </row>
    <row r="89" spans="1:42">
      <c r="A89" s="37"/>
      <c r="B89" s="37"/>
      <c r="C89" s="37"/>
      <c r="F89" s="37"/>
      <c r="G89" s="37"/>
      <c r="H89" s="29"/>
      <c r="I89" s="38"/>
      <c r="O89" s="37"/>
      <c r="AG89" s="295"/>
      <c r="AH89" s="295"/>
      <c r="AI89" s="295"/>
      <c r="AJ89" s="295"/>
      <c r="AP89" s="155"/>
    </row>
    <row r="90" spans="1:42">
      <c r="A90" s="37"/>
      <c r="B90" s="37"/>
      <c r="C90" s="37"/>
      <c r="F90" s="37"/>
      <c r="G90" s="37"/>
      <c r="H90" s="29"/>
      <c r="I90" s="38"/>
      <c r="O90" s="37"/>
      <c r="AG90" s="295"/>
      <c r="AH90" s="295"/>
      <c r="AI90" s="295"/>
      <c r="AJ90" s="295"/>
      <c r="AP90" s="155"/>
    </row>
    <row r="91" spans="1:42">
      <c r="A91" s="37"/>
      <c r="B91" s="37"/>
      <c r="C91" s="37"/>
      <c r="F91" s="37"/>
      <c r="G91" s="37"/>
      <c r="H91" s="102"/>
      <c r="I91" s="31"/>
      <c r="O91" s="37"/>
      <c r="AG91" s="295"/>
      <c r="AH91" s="295"/>
      <c r="AI91" s="295"/>
      <c r="AJ91" s="295"/>
      <c r="AP91" s="155"/>
    </row>
    <row r="92" spans="1:42">
      <c r="A92" s="37"/>
      <c r="B92" s="37"/>
      <c r="C92" s="37"/>
      <c r="F92" s="37"/>
      <c r="G92" s="37"/>
      <c r="H92" s="102"/>
      <c r="I92" s="31"/>
      <c r="O92" s="37"/>
      <c r="AG92" s="295"/>
      <c r="AH92" s="295"/>
      <c r="AI92" s="295"/>
      <c r="AJ92" s="295"/>
      <c r="AP92" s="155"/>
    </row>
    <row r="93" spans="1:42">
      <c r="A93" s="37"/>
      <c r="B93" s="37"/>
      <c r="C93" s="37"/>
      <c r="F93" s="37"/>
      <c r="G93" s="37"/>
      <c r="H93" s="102"/>
      <c r="I93" s="31"/>
      <c r="O93" s="37"/>
      <c r="AG93" s="295"/>
      <c r="AH93" s="295"/>
      <c r="AI93" s="295"/>
      <c r="AJ93" s="295"/>
      <c r="AP93" s="155"/>
    </row>
    <row r="94" spans="1:42">
      <c r="A94" s="37"/>
      <c r="B94" s="37"/>
      <c r="C94" s="37"/>
      <c r="F94" s="37"/>
      <c r="G94" s="37"/>
      <c r="H94" s="102"/>
      <c r="I94" s="31"/>
      <c r="O94" s="37"/>
      <c r="AG94" s="295"/>
      <c r="AH94" s="295"/>
      <c r="AI94" s="295"/>
      <c r="AJ94" s="295"/>
      <c r="AP94" s="155"/>
    </row>
    <row r="95" spans="1:42">
      <c r="A95" s="37"/>
      <c r="B95" s="37"/>
      <c r="C95" s="37"/>
      <c r="F95" s="37"/>
      <c r="G95" s="37"/>
      <c r="H95" s="102"/>
      <c r="I95" s="31"/>
      <c r="O95" s="37"/>
      <c r="AG95" s="295"/>
      <c r="AH95" s="295"/>
      <c r="AI95" s="295"/>
      <c r="AJ95" s="295"/>
      <c r="AP95" s="155"/>
    </row>
    <row r="96" spans="1:42">
      <c r="A96" s="37"/>
      <c r="B96" s="37"/>
      <c r="C96" s="37"/>
      <c r="F96" s="37"/>
      <c r="G96" s="37"/>
      <c r="H96" s="102"/>
      <c r="I96" s="31"/>
      <c r="O96" s="37"/>
      <c r="AG96" s="295"/>
      <c r="AH96" s="295"/>
      <c r="AI96" s="295"/>
      <c r="AJ96" s="295"/>
      <c r="AP96" s="155"/>
    </row>
    <row r="97" spans="1:42">
      <c r="A97" s="37"/>
      <c r="B97" s="37"/>
      <c r="C97" s="37"/>
      <c r="F97" s="37"/>
      <c r="G97" s="37"/>
      <c r="H97" s="102"/>
      <c r="I97" s="31"/>
      <c r="O97" s="37"/>
      <c r="AG97" s="295"/>
      <c r="AH97" s="295"/>
      <c r="AI97" s="295"/>
      <c r="AJ97" s="295"/>
      <c r="AP97" s="155"/>
    </row>
    <row r="98" spans="1:42">
      <c r="A98" s="37"/>
      <c r="B98" s="37"/>
      <c r="C98" s="37"/>
      <c r="F98" s="37"/>
      <c r="G98" s="37"/>
      <c r="H98" s="102"/>
      <c r="I98" s="31"/>
      <c r="O98" s="37"/>
      <c r="AG98" s="295"/>
      <c r="AH98" s="295"/>
      <c r="AI98" s="295"/>
      <c r="AJ98" s="295"/>
      <c r="AP98" s="155"/>
    </row>
    <row r="99" spans="1:42">
      <c r="A99" s="37"/>
      <c r="B99" s="37"/>
      <c r="C99" s="37"/>
      <c r="F99" s="37"/>
      <c r="G99" s="37"/>
      <c r="H99" s="102"/>
      <c r="I99" s="31"/>
      <c r="O99" s="37"/>
      <c r="AG99" s="295"/>
      <c r="AH99" s="295"/>
      <c r="AI99" s="295"/>
      <c r="AJ99" s="295"/>
      <c r="AP99" s="155"/>
    </row>
    <row r="100" spans="1:42">
      <c r="A100" s="37"/>
      <c r="B100" s="37"/>
      <c r="C100" s="37"/>
      <c r="D100" s="102"/>
      <c r="E100" s="16"/>
      <c r="F100" s="37"/>
      <c r="G100" s="37"/>
      <c r="H100" s="102"/>
      <c r="I100" s="31"/>
      <c r="O100" s="37"/>
      <c r="AG100" s="295"/>
      <c r="AH100" s="295"/>
      <c r="AI100" s="295"/>
      <c r="AJ100" s="295"/>
    </row>
    <row r="101" spans="1:42" ht="13.5" customHeight="1">
      <c r="A101" s="37"/>
      <c r="B101" s="37"/>
      <c r="C101" s="37"/>
      <c r="F101" s="37"/>
      <c r="G101" s="37"/>
      <c r="H101" s="102"/>
      <c r="I101" s="31"/>
      <c r="O101" s="37"/>
      <c r="AG101" s="295"/>
      <c r="AH101" s="295"/>
      <c r="AI101" s="295"/>
      <c r="AJ101" s="295"/>
    </row>
    <row r="102" spans="1:42" ht="13.5" customHeight="1">
      <c r="A102" s="37"/>
      <c r="B102" s="37"/>
      <c r="C102" s="37"/>
      <c r="F102" s="37"/>
      <c r="G102" s="37"/>
      <c r="H102" s="102"/>
      <c r="I102" s="31"/>
      <c r="O102" s="37"/>
      <c r="AG102" s="295"/>
      <c r="AH102" s="295"/>
      <c r="AI102" s="295"/>
      <c r="AJ102" s="295"/>
    </row>
    <row r="103" spans="1:42" ht="13.5" customHeight="1">
      <c r="A103" s="37"/>
      <c r="B103" s="37"/>
      <c r="C103" s="37"/>
      <c r="D103" s="93"/>
      <c r="E103" s="37"/>
      <c r="F103" s="37"/>
      <c r="G103" s="37"/>
      <c r="H103" s="102"/>
      <c r="I103" s="31"/>
      <c r="O103" s="37"/>
      <c r="AG103" s="295"/>
      <c r="AH103" s="295"/>
      <c r="AI103" s="295"/>
      <c r="AJ103" s="295"/>
    </row>
    <row r="104" spans="1:42" ht="13.5" customHeight="1">
      <c r="A104" s="37"/>
      <c r="B104" s="37"/>
      <c r="C104" s="37"/>
      <c r="D104" s="93"/>
      <c r="E104" s="37"/>
      <c r="F104" s="37"/>
      <c r="G104" s="37"/>
      <c r="H104" s="102"/>
      <c r="I104" s="31"/>
      <c r="O104" s="37"/>
      <c r="AG104" s="295"/>
      <c r="AH104" s="295"/>
      <c r="AI104" s="295"/>
      <c r="AJ104" s="295"/>
    </row>
    <row r="105" spans="1:42" ht="13.5" customHeight="1">
      <c r="A105" s="37"/>
      <c r="B105" s="37"/>
      <c r="C105" s="37"/>
      <c r="D105" s="93"/>
      <c r="E105" s="37"/>
      <c r="F105" s="37"/>
      <c r="G105" s="37"/>
      <c r="H105" s="102"/>
      <c r="I105" s="31"/>
      <c r="O105" s="37"/>
      <c r="AG105" s="295"/>
      <c r="AH105" s="295"/>
      <c r="AI105" s="295"/>
      <c r="AJ105" s="295"/>
    </row>
    <row r="106" spans="1:42" ht="13.5" customHeight="1">
      <c r="A106" s="37"/>
      <c r="B106" s="37"/>
      <c r="C106" s="37"/>
      <c r="D106" s="93"/>
      <c r="E106" s="37"/>
      <c r="F106" s="37"/>
      <c r="G106" s="37"/>
      <c r="H106" s="102"/>
      <c r="I106" s="31"/>
      <c r="O106" s="37"/>
      <c r="AG106" s="295"/>
      <c r="AH106" s="295"/>
      <c r="AI106" s="295"/>
      <c r="AJ106" s="295"/>
    </row>
    <row r="107" spans="1:42" ht="13.5" customHeight="1">
      <c r="A107" s="37"/>
      <c r="B107" s="37"/>
      <c r="C107" s="37"/>
      <c r="D107" s="93"/>
      <c r="E107" s="37"/>
      <c r="F107" s="37"/>
      <c r="G107" s="37"/>
      <c r="H107" s="102"/>
      <c r="I107" s="31"/>
      <c r="O107" s="37"/>
      <c r="AG107" s="295"/>
      <c r="AH107" s="295"/>
      <c r="AI107" s="295"/>
      <c r="AJ107" s="295"/>
    </row>
    <row r="108" spans="1:42" ht="13.5" customHeight="1">
      <c r="A108" s="37"/>
      <c r="B108" s="37"/>
      <c r="C108" s="37"/>
      <c r="D108" s="93"/>
      <c r="E108" s="37"/>
      <c r="F108" s="37"/>
      <c r="G108" s="37"/>
      <c r="H108" s="102"/>
      <c r="I108" s="31"/>
      <c r="O108" s="37"/>
      <c r="AG108" s="295"/>
      <c r="AH108" s="295"/>
      <c r="AI108" s="295"/>
      <c r="AJ108" s="295"/>
    </row>
    <row r="109" spans="1:42" ht="13.5" customHeight="1">
      <c r="A109" s="37"/>
      <c r="B109" s="37"/>
      <c r="C109" s="37"/>
      <c r="D109" s="93"/>
      <c r="E109" s="37"/>
      <c r="F109" s="37"/>
      <c r="G109" s="37"/>
      <c r="H109" s="102"/>
      <c r="I109" s="31"/>
      <c r="O109" s="37"/>
      <c r="AG109" s="295"/>
      <c r="AH109" s="295"/>
      <c r="AI109" s="295"/>
      <c r="AJ109" s="295"/>
    </row>
    <row r="110" spans="1:42" ht="13.5" customHeight="1">
      <c r="A110" s="37"/>
      <c r="B110" s="37"/>
      <c r="C110" s="37"/>
      <c r="D110" s="93"/>
      <c r="E110" s="37"/>
      <c r="F110" s="37"/>
      <c r="G110" s="37"/>
      <c r="H110" s="102"/>
      <c r="I110" s="31"/>
      <c r="O110" s="37"/>
      <c r="AG110" s="295"/>
      <c r="AH110" s="295"/>
      <c r="AI110" s="295"/>
      <c r="AJ110" s="295"/>
    </row>
    <row r="111" spans="1:42" ht="13.5" customHeight="1">
      <c r="A111" s="37"/>
      <c r="B111" s="37"/>
      <c r="C111" s="37"/>
      <c r="D111" s="93"/>
      <c r="E111" s="37"/>
      <c r="F111" s="37"/>
      <c r="G111" s="37"/>
      <c r="H111" s="102"/>
      <c r="I111" s="31"/>
      <c r="O111" s="37"/>
    </row>
    <row r="112" spans="1:42" ht="13.5" customHeight="1">
      <c r="A112" s="37"/>
      <c r="B112" s="37"/>
      <c r="C112" s="37"/>
      <c r="D112" s="93"/>
      <c r="E112" s="37"/>
      <c r="F112" s="37"/>
      <c r="G112" s="37"/>
      <c r="H112" s="102"/>
      <c r="I112" s="31"/>
      <c r="O112" s="37"/>
    </row>
    <row r="113" spans="1:15" ht="13.5" customHeight="1">
      <c r="A113" s="37"/>
      <c r="B113" s="37"/>
      <c r="C113" s="37"/>
      <c r="D113" s="93"/>
      <c r="E113" s="37"/>
      <c r="F113" s="37"/>
      <c r="G113" s="37"/>
      <c r="H113" s="102"/>
      <c r="I113" s="31"/>
      <c r="O113" s="37"/>
    </row>
    <row r="114" spans="1:15" ht="13.5" customHeight="1">
      <c r="A114" s="37"/>
      <c r="B114" s="37"/>
      <c r="C114" s="37"/>
      <c r="D114" s="93"/>
      <c r="E114" s="37"/>
      <c r="F114" s="37"/>
      <c r="G114" s="37"/>
      <c r="H114" s="102"/>
      <c r="I114" s="31"/>
      <c r="O114" s="37"/>
    </row>
    <row r="115" spans="1:15" ht="13.5" customHeight="1">
      <c r="A115" s="37"/>
      <c r="B115" s="37"/>
      <c r="C115" s="37"/>
      <c r="D115" s="93"/>
      <c r="E115" s="37"/>
      <c r="F115" s="37"/>
      <c r="G115" s="37"/>
      <c r="H115" s="102"/>
      <c r="I115" s="31"/>
      <c r="O115" s="37"/>
    </row>
    <row r="116" spans="1:15" ht="13.5" customHeight="1">
      <c r="A116" s="37"/>
      <c r="B116" s="37"/>
      <c r="C116" s="37"/>
      <c r="D116" s="93"/>
      <c r="E116" s="37"/>
      <c r="F116" s="37"/>
      <c r="G116" s="37"/>
      <c r="H116" s="102"/>
      <c r="I116" s="31"/>
      <c r="O116" s="37"/>
    </row>
    <row r="117" spans="1:15" ht="13.5" customHeight="1">
      <c r="A117" s="37"/>
      <c r="B117" s="37"/>
      <c r="C117" s="37"/>
      <c r="D117" s="93"/>
      <c r="E117" s="37"/>
      <c r="F117" s="37"/>
      <c r="G117" s="37"/>
      <c r="H117" s="102"/>
      <c r="I117" s="31"/>
      <c r="O117" s="37"/>
    </row>
    <row r="118" spans="1:15" ht="13.5" customHeight="1">
      <c r="A118" s="37"/>
      <c r="B118" s="37"/>
      <c r="C118" s="37"/>
      <c r="D118" s="93"/>
      <c r="E118" s="37"/>
      <c r="F118" s="37"/>
      <c r="G118" s="37"/>
      <c r="H118" s="102"/>
      <c r="I118" s="31"/>
      <c r="J118" s="45"/>
      <c r="K118" s="45"/>
      <c r="L118" s="45"/>
      <c r="M118" s="45"/>
      <c r="N118" s="45"/>
      <c r="O118" s="37"/>
    </row>
    <row r="119" spans="1:15" ht="13.5" customHeight="1">
      <c r="A119" s="37"/>
      <c r="B119" s="37"/>
      <c r="C119" s="37"/>
      <c r="D119" s="93"/>
      <c r="E119" s="37"/>
      <c r="F119" s="37"/>
      <c r="G119" s="37"/>
      <c r="H119" s="102"/>
      <c r="I119" s="31"/>
      <c r="J119" s="16"/>
      <c r="K119" s="16"/>
      <c r="L119" s="16"/>
      <c r="M119" s="16"/>
      <c r="N119" s="16"/>
      <c r="O119" s="37"/>
    </row>
    <row r="120" spans="1:15" ht="13.5" customHeight="1">
      <c r="A120" s="37"/>
      <c r="B120" s="37"/>
      <c r="C120" s="37"/>
      <c r="D120" s="93"/>
      <c r="E120" s="37"/>
      <c r="F120" s="37"/>
      <c r="G120" s="37"/>
      <c r="H120" s="102"/>
      <c r="I120" s="31"/>
      <c r="J120" s="16"/>
      <c r="K120" s="16"/>
      <c r="L120" s="16"/>
      <c r="M120" s="16"/>
      <c r="N120" s="16"/>
      <c r="O120" s="37"/>
    </row>
    <row r="121" spans="1:15" ht="13.5" customHeight="1">
      <c r="A121" s="37"/>
      <c r="B121" s="37"/>
      <c r="C121" s="37"/>
      <c r="D121" s="93"/>
      <c r="E121" s="37"/>
      <c r="F121" s="37"/>
      <c r="G121" s="37"/>
      <c r="H121" s="102"/>
      <c r="I121" s="31"/>
      <c r="J121" s="16"/>
      <c r="K121" s="16"/>
      <c r="L121" s="16"/>
      <c r="M121" s="16"/>
      <c r="N121" s="16"/>
      <c r="O121" s="37"/>
    </row>
    <row r="122" spans="1:15" ht="13.5" customHeight="1">
      <c r="A122" s="37"/>
      <c r="B122" s="37"/>
      <c r="C122" s="37"/>
      <c r="D122" s="93"/>
      <c r="E122" s="37"/>
      <c r="F122" s="37"/>
      <c r="G122" s="37"/>
      <c r="H122" s="102"/>
      <c r="I122" s="31"/>
      <c r="J122" s="16"/>
      <c r="K122" s="16"/>
      <c r="L122" s="16"/>
      <c r="M122" s="16"/>
      <c r="N122" s="16"/>
      <c r="O122" s="37"/>
    </row>
    <row r="123" spans="1:15" ht="13.5" customHeight="1">
      <c r="A123" s="37"/>
      <c r="B123" s="37"/>
      <c r="C123" s="37"/>
      <c r="D123" s="93"/>
      <c r="E123" s="37"/>
      <c r="F123" s="37"/>
      <c r="G123" s="37"/>
      <c r="H123" s="102"/>
      <c r="I123" s="31"/>
      <c r="J123" s="16"/>
      <c r="K123" s="16"/>
      <c r="L123" s="16"/>
      <c r="M123" s="16"/>
      <c r="N123" s="16"/>
      <c r="O123" s="37"/>
    </row>
    <row r="124" spans="1:15" ht="13.5" customHeight="1">
      <c r="A124" s="37"/>
      <c r="B124" s="37"/>
      <c r="C124" s="37"/>
      <c r="D124" s="93"/>
      <c r="E124" s="37"/>
      <c r="F124" s="37"/>
      <c r="G124" s="37"/>
      <c r="H124" s="102"/>
      <c r="I124" s="31"/>
      <c r="J124" s="16"/>
      <c r="K124" s="16"/>
      <c r="L124" s="16"/>
      <c r="M124" s="16"/>
      <c r="N124" s="16"/>
      <c r="O124" s="37"/>
    </row>
    <row r="125" spans="1:15" ht="13.5" customHeight="1">
      <c r="A125" s="37"/>
      <c r="B125" s="37"/>
      <c r="C125" s="37"/>
      <c r="D125" s="93"/>
      <c r="E125" s="37"/>
      <c r="F125" s="37"/>
      <c r="G125" s="37"/>
      <c r="H125" s="102"/>
      <c r="I125" s="31"/>
      <c r="J125" s="16"/>
      <c r="K125" s="16"/>
      <c r="L125" s="16"/>
      <c r="M125" s="16"/>
      <c r="N125" s="16"/>
      <c r="O125" s="37"/>
    </row>
    <row r="126" spans="1:15" ht="13.5" customHeight="1">
      <c r="A126" s="37"/>
      <c r="B126" s="37"/>
      <c r="C126" s="37"/>
      <c r="D126" s="93"/>
      <c r="E126" s="37"/>
      <c r="F126" s="37"/>
      <c r="G126" s="37"/>
      <c r="H126" s="102"/>
      <c r="I126" s="31"/>
      <c r="J126" s="16"/>
      <c r="K126" s="16"/>
      <c r="L126" s="16"/>
      <c r="M126" s="16"/>
      <c r="N126" s="16"/>
      <c r="O126" s="37"/>
    </row>
    <row r="127" spans="1:15" ht="13.5" customHeight="1">
      <c r="A127" s="37"/>
      <c r="B127" s="37"/>
      <c r="C127" s="37"/>
      <c r="D127" s="93"/>
      <c r="E127" s="37"/>
      <c r="F127" s="37"/>
      <c r="G127" s="37"/>
      <c r="H127" s="102"/>
      <c r="I127" s="31"/>
      <c r="J127" s="16"/>
      <c r="K127" s="16"/>
      <c r="L127" s="16"/>
      <c r="M127" s="16"/>
      <c r="N127" s="16"/>
      <c r="O127" s="37"/>
    </row>
    <row r="128" spans="1:15" ht="13.5" customHeight="1">
      <c r="A128" s="37"/>
      <c r="B128" s="37"/>
      <c r="C128" s="37"/>
      <c r="D128" s="93"/>
      <c r="E128" s="37"/>
      <c r="F128" s="37"/>
      <c r="G128" s="37"/>
      <c r="H128" s="102"/>
      <c r="I128" s="31"/>
      <c r="J128" s="16"/>
      <c r="K128" s="16"/>
      <c r="L128" s="16"/>
      <c r="M128" s="16"/>
      <c r="N128" s="16"/>
      <c r="O128" s="37"/>
    </row>
    <row r="129" spans="1:15" ht="13.5" customHeight="1">
      <c r="A129" s="37"/>
      <c r="B129" s="37"/>
      <c r="C129" s="37"/>
      <c r="D129" s="93"/>
      <c r="E129" s="37"/>
      <c r="F129" s="37"/>
      <c r="G129" s="37"/>
      <c r="H129" s="102"/>
      <c r="I129" s="31"/>
      <c r="J129" s="16"/>
      <c r="K129" s="16"/>
      <c r="L129" s="16"/>
      <c r="M129" s="16"/>
      <c r="N129" s="16"/>
      <c r="O129" s="37"/>
    </row>
    <row r="130" spans="1:15" ht="13.5" customHeight="1">
      <c r="A130" s="37"/>
      <c r="B130" s="37"/>
      <c r="C130" s="37"/>
      <c r="D130" s="93"/>
      <c r="E130" s="37"/>
      <c r="F130" s="37"/>
      <c r="G130" s="37"/>
      <c r="H130" s="102"/>
      <c r="I130" s="31"/>
      <c r="J130" s="16"/>
      <c r="K130" s="16"/>
      <c r="L130" s="16"/>
      <c r="M130" s="16"/>
      <c r="N130" s="16"/>
      <c r="O130" s="37"/>
    </row>
    <row r="131" spans="1:15" ht="13.5" customHeight="1">
      <c r="A131" s="37"/>
      <c r="B131" s="37"/>
      <c r="C131" s="37"/>
      <c r="D131" s="93"/>
      <c r="E131" s="37"/>
      <c r="F131" s="37"/>
      <c r="G131" s="37"/>
      <c r="H131" s="102"/>
      <c r="I131" s="31"/>
      <c r="J131" s="16"/>
      <c r="K131" s="16"/>
      <c r="L131" s="16"/>
      <c r="M131" s="16"/>
      <c r="N131" s="16"/>
      <c r="O131" s="37"/>
    </row>
    <row r="132" spans="1:15" ht="13.5" customHeight="1">
      <c r="A132" s="37"/>
      <c r="B132" s="37"/>
      <c r="C132" s="37"/>
      <c r="D132" s="93"/>
      <c r="E132" s="37"/>
      <c r="F132" s="37"/>
      <c r="G132" s="37"/>
      <c r="H132" s="102"/>
      <c r="I132" s="31"/>
      <c r="J132" s="16"/>
      <c r="K132" s="16"/>
      <c r="L132" s="16"/>
      <c r="M132" s="16"/>
      <c r="N132" s="16"/>
      <c r="O132" s="37"/>
    </row>
    <row r="133" spans="1:15" ht="13.5" customHeight="1">
      <c r="A133" s="37"/>
      <c r="B133" s="37"/>
      <c r="C133" s="37"/>
      <c r="D133" s="93"/>
      <c r="E133" s="37"/>
      <c r="F133" s="37"/>
      <c r="G133" s="37"/>
      <c r="H133" s="102"/>
      <c r="I133" s="31"/>
      <c r="J133" s="16"/>
      <c r="K133" s="16"/>
      <c r="L133" s="16"/>
      <c r="M133" s="16"/>
      <c r="N133" s="16"/>
      <c r="O133" s="37"/>
    </row>
    <row r="134" spans="1:15" ht="13.5" customHeight="1">
      <c r="A134" s="37"/>
      <c r="B134" s="37"/>
      <c r="C134" s="37"/>
      <c r="D134" s="93"/>
      <c r="E134" s="37"/>
      <c r="F134" s="37"/>
      <c r="G134" s="37"/>
      <c r="H134" s="102"/>
      <c r="I134" s="31"/>
      <c r="J134" s="16"/>
      <c r="K134" s="16"/>
      <c r="L134" s="16"/>
      <c r="M134" s="16"/>
      <c r="N134" s="16"/>
      <c r="O134" s="37"/>
    </row>
    <row r="135" spans="1:15" ht="13.5" customHeight="1">
      <c r="A135" s="37"/>
      <c r="B135" s="37"/>
      <c r="C135" s="37"/>
      <c r="D135" s="93"/>
      <c r="E135" s="37"/>
      <c r="F135" s="37"/>
      <c r="G135" s="37"/>
      <c r="H135" s="102"/>
      <c r="I135" s="31"/>
      <c r="J135" s="16"/>
      <c r="K135" s="16"/>
      <c r="L135" s="16"/>
      <c r="M135" s="16"/>
      <c r="N135" s="16"/>
      <c r="O135" s="37"/>
    </row>
    <row r="136" spans="1:15" ht="13.5" customHeight="1">
      <c r="A136" s="37"/>
      <c r="B136" s="37"/>
      <c r="C136" s="37"/>
      <c r="D136" s="93"/>
      <c r="E136" s="37"/>
      <c r="F136" s="37"/>
      <c r="G136" s="37"/>
      <c r="H136" s="102"/>
      <c r="I136" s="31"/>
      <c r="J136" s="16"/>
      <c r="K136" s="16"/>
      <c r="L136" s="16"/>
      <c r="M136" s="16"/>
      <c r="N136" s="16"/>
      <c r="O136" s="37"/>
    </row>
    <row r="137" spans="1:15" ht="13.5" customHeight="1">
      <c r="A137" s="37"/>
      <c r="B137" s="37"/>
      <c r="C137" s="37"/>
      <c r="D137" s="93"/>
      <c r="E137" s="37"/>
      <c r="F137" s="37"/>
      <c r="G137" s="37"/>
      <c r="H137" s="102"/>
      <c r="I137" s="31"/>
      <c r="J137" s="16"/>
      <c r="K137" s="16"/>
      <c r="L137" s="16"/>
      <c r="M137" s="16"/>
      <c r="N137" s="16"/>
      <c r="O137" s="37"/>
    </row>
    <row r="138" spans="1:15" ht="13.5" customHeight="1">
      <c r="A138" s="37"/>
      <c r="B138" s="37"/>
      <c r="C138" s="37"/>
      <c r="D138" s="93"/>
      <c r="E138" s="37"/>
      <c r="F138" s="37"/>
      <c r="G138" s="37"/>
      <c r="H138" s="102"/>
      <c r="I138" s="31"/>
      <c r="J138" s="16"/>
      <c r="K138" s="16"/>
      <c r="L138" s="16"/>
      <c r="M138" s="16"/>
      <c r="N138" s="16"/>
      <c r="O138" s="37"/>
    </row>
    <row r="139" spans="1:15" ht="13.5" customHeight="1">
      <c r="A139" s="37"/>
      <c r="B139" s="37"/>
      <c r="C139" s="37"/>
      <c r="D139" s="93"/>
      <c r="E139" s="37"/>
      <c r="F139" s="37"/>
      <c r="G139" s="37"/>
      <c r="H139" s="102"/>
      <c r="I139" s="31"/>
      <c r="J139" s="16"/>
      <c r="K139" s="16"/>
      <c r="L139" s="16"/>
      <c r="M139" s="16"/>
      <c r="N139" s="16"/>
      <c r="O139" s="37"/>
    </row>
    <row r="140" spans="1:15" ht="13.5" customHeight="1">
      <c r="A140" s="37"/>
      <c r="B140" s="37"/>
      <c r="C140" s="37"/>
      <c r="D140" s="93"/>
      <c r="E140" s="37"/>
      <c r="F140" s="37"/>
      <c r="G140" s="37"/>
      <c r="H140" s="102"/>
      <c r="I140" s="31"/>
      <c r="J140" s="16"/>
      <c r="K140" s="16"/>
      <c r="L140" s="16"/>
      <c r="M140" s="16"/>
      <c r="N140" s="16"/>
      <c r="O140" s="37"/>
    </row>
    <row r="141" spans="1:15" ht="13.5" customHeight="1">
      <c r="A141" s="37"/>
      <c r="B141" s="37"/>
      <c r="C141" s="37"/>
      <c r="D141" s="93"/>
      <c r="E141" s="37"/>
      <c r="F141" s="37"/>
      <c r="G141" s="37"/>
      <c r="H141" s="102"/>
      <c r="I141" s="31"/>
      <c r="J141" s="16"/>
      <c r="K141" s="16"/>
      <c r="L141" s="16"/>
      <c r="M141" s="16"/>
      <c r="N141" s="16"/>
      <c r="O141" s="37"/>
    </row>
    <row r="142" spans="1:15" ht="13.5" customHeight="1">
      <c r="A142" s="37"/>
      <c r="B142" s="37"/>
      <c r="C142" s="37"/>
      <c r="D142" s="93"/>
      <c r="E142" s="37"/>
      <c r="F142" s="37"/>
      <c r="G142" s="37"/>
      <c r="H142" s="102"/>
      <c r="I142" s="31"/>
      <c r="J142" s="16"/>
      <c r="K142" s="16"/>
      <c r="L142" s="16"/>
      <c r="M142" s="16"/>
      <c r="N142" s="16"/>
      <c r="O142" s="37"/>
    </row>
    <row r="143" spans="1:15" ht="13.5" customHeight="1">
      <c r="A143" s="37"/>
      <c r="B143" s="37"/>
      <c r="C143" s="37"/>
      <c r="D143" s="93"/>
      <c r="E143" s="37"/>
      <c r="F143" s="37"/>
      <c r="G143" s="37"/>
      <c r="H143" s="102"/>
      <c r="I143" s="31"/>
      <c r="J143" s="16"/>
      <c r="K143" s="16"/>
      <c r="L143" s="16"/>
      <c r="M143" s="16"/>
      <c r="N143" s="16"/>
      <c r="O143" s="37"/>
    </row>
    <row r="144" spans="1:15" ht="13.5" customHeight="1">
      <c r="A144" s="37"/>
      <c r="B144" s="37"/>
      <c r="C144" s="37"/>
      <c r="D144" s="93"/>
      <c r="E144" s="37"/>
      <c r="F144" s="37"/>
      <c r="G144" s="37"/>
      <c r="H144" s="102"/>
      <c r="I144" s="31"/>
      <c r="J144" s="16"/>
      <c r="K144" s="16"/>
      <c r="L144" s="16"/>
      <c r="M144" s="16"/>
      <c r="N144" s="16"/>
      <c r="O144" s="37"/>
    </row>
    <row r="145" spans="1:15" ht="13.5" customHeight="1">
      <c r="A145" s="37"/>
      <c r="B145" s="37"/>
      <c r="C145" s="37"/>
      <c r="D145" s="93"/>
      <c r="E145" s="37"/>
      <c r="F145" s="37"/>
      <c r="G145" s="37"/>
      <c r="H145" s="102"/>
      <c r="I145" s="31"/>
      <c r="J145" s="16"/>
      <c r="K145" s="16"/>
      <c r="L145" s="16"/>
      <c r="M145" s="16"/>
      <c r="N145" s="16"/>
      <c r="O145" s="37"/>
    </row>
    <row r="146" spans="1:15" ht="13.5" customHeight="1">
      <c r="A146" s="37"/>
      <c r="B146" s="37"/>
      <c r="C146" s="37"/>
      <c r="D146" s="93"/>
      <c r="E146" s="37"/>
      <c r="F146" s="37"/>
      <c r="G146" s="37"/>
      <c r="H146" s="102"/>
      <c r="I146" s="31"/>
      <c r="J146" s="16"/>
      <c r="K146" s="16"/>
      <c r="L146" s="16"/>
      <c r="M146" s="16"/>
      <c r="N146" s="16"/>
      <c r="O146" s="37"/>
    </row>
    <row r="147" spans="1:15" ht="13.5" customHeight="1">
      <c r="A147" s="37"/>
      <c r="B147" s="37"/>
      <c r="C147" s="37"/>
      <c r="D147" s="93"/>
      <c r="E147" s="37"/>
      <c r="F147" s="37"/>
      <c r="G147" s="37"/>
      <c r="H147" s="102"/>
      <c r="I147" s="31"/>
      <c r="J147" s="16"/>
      <c r="K147" s="16"/>
      <c r="L147" s="16"/>
      <c r="M147" s="16"/>
      <c r="N147" s="16"/>
      <c r="O147" s="37"/>
    </row>
    <row r="148" spans="1:15" ht="13.5" customHeight="1">
      <c r="A148" s="37"/>
      <c r="B148" s="37"/>
      <c r="C148" s="37"/>
      <c r="D148" s="93"/>
      <c r="E148" s="37"/>
      <c r="F148" s="37"/>
      <c r="G148" s="37"/>
      <c r="H148" s="102"/>
      <c r="I148" s="31"/>
      <c r="J148" s="16"/>
      <c r="K148" s="16"/>
      <c r="L148" s="16"/>
      <c r="M148" s="16"/>
      <c r="N148" s="16"/>
      <c r="O148" s="37"/>
    </row>
    <row r="149" spans="1:15" ht="13.5" customHeight="1">
      <c r="A149" s="37"/>
      <c r="B149" s="37"/>
      <c r="C149" s="37"/>
      <c r="D149" s="93"/>
      <c r="E149" s="37"/>
      <c r="F149" s="37"/>
      <c r="G149" s="37"/>
      <c r="H149" s="102"/>
      <c r="I149" s="31"/>
      <c r="J149" s="16"/>
      <c r="K149" s="16"/>
      <c r="L149" s="16"/>
      <c r="M149" s="16"/>
      <c r="N149" s="16"/>
      <c r="O149" s="37"/>
    </row>
    <row r="150" spans="1:15" ht="13.5" customHeight="1">
      <c r="A150" s="37"/>
      <c r="B150" s="37"/>
      <c r="C150" s="37"/>
      <c r="D150" s="93"/>
      <c r="E150" s="37"/>
      <c r="F150" s="37"/>
      <c r="G150" s="37"/>
      <c r="H150" s="102"/>
      <c r="I150" s="31"/>
      <c r="J150" s="16"/>
      <c r="K150" s="16"/>
      <c r="L150" s="16"/>
      <c r="M150" s="16"/>
      <c r="N150" s="16"/>
      <c r="O150" s="37"/>
    </row>
    <row r="151" spans="1:15" ht="13.5" customHeight="1">
      <c r="A151" s="37"/>
      <c r="B151" s="37"/>
      <c r="C151" s="37"/>
      <c r="D151" s="93"/>
      <c r="E151" s="37"/>
      <c r="F151" s="37"/>
      <c r="G151" s="37"/>
      <c r="H151" s="102"/>
      <c r="I151" s="31"/>
      <c r="J151" s="16"/>
      <c r="K151" s="16"/>
      <c r="L151" s="16"/>
      <c r="M151" s="16"/>
      <c r="N151" s="16"/>
      <c r="O151" s="37"/>
    </row>
    <row r="152" spans="1:15" ht="13.5" customHeight="1">
      <c r="A152" s="37"/>
      <c r="B152" s="37"/>
      <c r="C152" s="37"/>
      <c r="D152" s="93"/>
      <c r="E152" s="37"/>
      <c r="F152" s="37"/>
      <c r="G152" s="37"/>
      <c r="H152" s="102"/>
      <c r="I152" s="31"/>
      <c r="J152" s="16"/>
      <c r="K152" s="16"/>
      <c r="L152" s="16"/>
      <c r="M152" s="16"/>
      <c r="N152" s="16"/>
      <c r="O152" s="37"/>
    </row>
    <row r="153" spans="1:15" ht="13.5" customHeight="1">
      <c r="A153" s="37"/>
      <c r="B153" s="37"/>
      <c r="C153" s="37"/>
      <c r="D153" s="93"/>
      <c r="E153" s="37"/>
      <c r="F153" s="37"/>
      <c r="G153" s="37"/>
      <c r="H153" s="102"/>
      <c r="I153" s="31"/>
      <c r="J153" s="16"/>
      <c r="K153" s="16"/>
      <c r="L153" s="16"/>
      <c r="M153" s="16"/>
      <c r="N153" s="16"/>
      <c r="O153" s="37"/>
    </row>
    <row r="154" spans="1:15" ht="13.5" customHeight="1">
      <c r="A154" s="37"/>
      <c r="B154" s="37"/>
      <c r="C154" s="37"/>
      <c r="D154" s="93"/>
      <c r="E154" s="37"/>
      <c r="F154" s="37"/>
      <c r="G154" s="37"/>
      <c r="H154" s="102"/>
      <c r="I154" s="31"/>
      <c r="J154" s="16"/>
      <c r="K154" s="16"/>
      <c r="L154" s="16"/>
      <c r="M154" s="16"/>
      <c r="N154" s="16"/>
      <c r="O154" s="37"/>
    </row>
    <row r="155" spans="1:15" ht="13.5" customHeight="1">
      <c r="A155" s="37"/>
      <c r="B155" s="37"/>
      <c r="C155" s="37"/>
      <c r="D155" s="93"/>
      <c r="E155" s="37"/>
      <c r="F155" s="37"/>
      <c r="G155" s="37"/>
      <c r="H155" s="102"/>
      <c r="I155" s="31"/>
      <c r="J155" s="16"/>
      <c r="K155" s="16"/>
      <c r="L155" s="16"/>
      <c r="M155" s="16"/>
      <c r="N155" s="16"/>
      <c r="O155" s="37"/>
    </row>
    <row r="156" spans="1:15" ht="13.5" customHeight="1">
      <c r="A156" s="37"/>
      <c r="B156" s="37"/>
      <c r="C156" s="37"/>
      <c r="D156" s="93"/>
      <c r="E156" s="37"/>
      <c r="F156" s="37"/>
      <c r="G156" s="37"/>
      <c r="H156" s="102"/>
      <c r="I156" s="31"/>
      <c r="J156" s="16"/>
      <c r="K156" s="16"/>
      <c r="L156" s="16"/>
      <c r="M156" s="16"/>
      <c r="N156" s="16"/>
      <c r="O156" s="37"/>
    </row>
    <row r="157" spans="1:15" ht="13.5" customHeight="1">
      <c r="A157" s="37"/>
      <c r="B157" s="37"/>
      <c r="C157" s="37"/>
      <c r="D157" s="93"/>
      <c r="E157" s="37"/>
      <c r="F157" s="37"/>
      <c r="G157" s="37"/>
      <c r="H157" s="102"/>
      <c r="I157" s="31"/>
      <c r="J157" s="16"/>
      <c r="K157" s="16"/>
      <c r="L157" s="16"/>
      <c r="M157" s="16"/>
      <c r="N157" s="16"/>
      <c r="O157" s="37"/>
    </row>
    <row r="158" spans="1:15" ht="13.5" customHeight="1">
      <c r="A158" s="37"/>
      <c r="B158" s="37"/>
      <c r="C158" s="37"/>
      <c r="D158" s="93"/>
      <c r="E158" s="37"/>
      <c r="F158" s="37"/>
      <c r="G158" s="37"/>
      <c r="H158" s="102"/>
      <c r="I158" s="31"/>
      <c r="J158" s="16"/>
      <c r="K158" s="16"/>
      <c r="L158" s="16"/>
      <c r="M158" s="16"/>
      <c r="N158" s="16"/>
      <c r="O158" s="37"/>
    </row>
    <row r="159" spans="1:15" ht="13.5" customHeight="1">
      <c r="A159" s="37"/>
      <c r="B159" s="37"/>
      <c r="C159" s="37"/>
      <c r="D159" s="93"/>
      <c r="E159" s="37"/>
      <c r="F159" s="37"/>
      <c r="G159" s="37"/>
      <c r="H159" s="102"/>
      <c r="I159" s="31"/>
      <c r="J159" s="16"/>
      <c r="K159" s="16"/>
      <c r="L159" s="16"/>
      <c r="M159" s="16"/>
      <c r="N159" s="16"/>
      <c r="O159" s="37"/>
    </row>
    <row r="160" spans="1:15" ht="13.5" customHeight="1">
      <c r="A160" s="37"/>
      <c r="B160" s="37"/>
      <c r="C160" s="37"/>
      <c r="D160" s="93"/>
      <c r="E160" s="37"/>
      <c r="F160" s="37"/>
      <c r="G160" s="37"/>
      <c r="H160" s="102"/>
      <c r="I160" s="31"/>
      <c r="J160" s="16"/>
      <c r="K160" s="16"/>
      <c r="L160" s="16"/>
      <c r="M160" s="16"/>
      <c r="N160" s="16"/>
      <c r="O160" s="37"/>
    </row>
    <row r="161" spans="1:15" ht="13.5" customHeight="1">
      <c r="A161" s="37"/>
      <c r="B161" s="37"/>
      <c r="C161" s="37"/>
      <c r="D161" s="93"/>
      <c r="E161" s="37"/>
      <c r="F161" s="37"/>
      <c r="G161" s="37"/>
      <c r="H161" s="102"/>
      <c r="I161" s="31"/>
      <c r="O161" s="37"/>
    </row>
    <row r="162" spans="1:15" ht="13.5" customHeight="1">
      <c r="A162" s="37"/>
      <c r="B162" s="37"/>
      <c r="C162" s="37"/>
      <c r="D162" s="93"/>
      <c r="E162" s="37"/>
      <c r="F162" s="37"/>
      <c r="G162" s="37"/>
      <c r="H162" s="102"/>
      <c r="I162" s="31"/>
      <c r="O162" s="37"/>
    </row>
    <row r="163" spans="1:15" ht="13.5" customHeight="1">
      <c r="A163" s="37"/>
      <c r="B163" s="37"/>
      <c r="C163" s="37"/>
      <c r="D163" s="93"/>
      <c r="E163" s="37"/>
      <c r="F163" s="37"/>
      <c r="G163" s="37"/>
      <c r="I163" s="32"/>
      <c r="O163" s="37"/>
    </row>
    <row r="164" spans="1:15" ht="13.5" customHeight="1">
      <c r="A164" s="37"/>
      <c r="B164" s="37"/>
      <c r="C164" s="37"/>
      <c r="D164" s="93"/>
      <c r="E164" s="37"/>
      <c r="F164" s="37"/>
      <c r="G164" s="37"/>
      <c r="I164" s="32"/>
      <c r="O164" s="37"/>
    </row>
    <row r="165" spans="1:15" ht="13.5" customHeight="1">
      <c r="A165" s="37"/>
      <c r="B165" s="37"/>
      <c r="C165" s="37"/>
      <c r="D165" s="93"/>
      <c r="E165" s="37"/>
      <c r="F165" s="37"/>
      <c r="G165" s="37"/>
      <c r="I165" s="32"/>
      <c r="O165" s="37"/>
    </row>
    <row r="166" spans="1:15" ht="13.5" customHeight="1">
      <c r="A166" s="37"/>
      <c r="B166" s="37"/>
      <c r="C166" s="37"/>
      <c r="D166" s="93"/>
      <c r="E166" s="37"/>
      <c r="F166" s="37"/>
      <c r="G166" s="37"/>
      <c r="I166" s="32"/>
      <c r="O166" s="37"/>
    </row>
    <row r="167" spans="1:15" ht="13.5" customHeight="1">
      <c r="A167" s="37"/>
      <c r="B167" s="37"/>
      <c r="C167" s="37"/>
      <c r="D167" s="93"/>
      <c r="E167" s="37"/>
      <c r="F167" s="37"/>
      <c r="G167" s="37"/>
      <c r="I167" s="32"/>
      <c r="O167" s="37"/>
    </row>
    <row r="168" spans="1:15" ht="13.5" customHeight="1">
      <c r="A168" s="37"/>
      <c r="B168" s="37"/>
      <c r="C168" s="37"/>
      <c r="D168" s="93"/>
      <c r="E168" s="37"/>
      <c r="F168" s="37"/>
      <c r="G168" s="37"/>
      <c r="I168" s="32"/>
      <c r="O168" s="37"/>
    </row>
    <row r="169" spans="1:15" ht="13.5" customHeight="1">
      <c r="A169" s="37"/>
      <c r="B169" s="37"/>
      <c r="C169" s="37"/>
      <c r="D169" s="93"/>
      <c r="E169" s="37"/>
      <c r="F169" s="37"/>
      <c r="G169" s="37"/>
      <c r="I169" s="32"/>
      <c r="O169" s="37"/>
    </row>
    <row r="170" spans="1:15">
      <c r="D170" s="93"/>
      <c r="E170" s="37"/>
      <c r="I170" s="32"/>
    </row>
    <row r="171" spans="1:15">
      <c r="D171" s="93"/>
      <c r="E171" s="37"/>
      <c r="I171" s="32"/>
    </row>
    <row r="172" spans="1:15">
      <c r="D172" s="93"/>
      <c r="E172" s="37"/>
      <c r="I172" s="32"/>
    </row>
    <row r="173" spans="1:15">
      <c r="D173" s="93"/>
      <c r="E173" s="37"/>
      <c r="I173" s="32"/>
    </row>
    <row r="174" spans="1:15">
      <c r="D174" s="93"/>
      <c r="E174" s="37"/>
      <c r="I174" s="32"/>
    </row>
    <row r="175" spans="1:15">
      <c r="D175" s="93"/>
      <c r="E175" s="37"/>
    </row>
    <row r="176" spans="1:15">
      <c r="D176" s="93"/>
      <c r="E176" s="37"/>
    </row>
    <row r="177" spans="4:5">
      <c r="D177" s="93"/>
      <c r="E177" s="37"/>
    </row>
    <row r="178" spans="4:5">
      <c r="D178" s="93"/>
      <c r="E178" s="37"/>
    </row>
    <row r="179" spans="4:5">
      <c r="D179" s="93"/>
      <c r="E179" s="37"/>
    </row>
    <row r="180" spans="4:5">
      <c r="D180" s="93"/>
      <c r="E180" s="37"/>
    </row>
    <row r="181" spans="4:5">
      <c r="D181" s="93"/>
      <c r="E181" s="37"/>
    </row>
    <row r="182" spans="4:5">
      <c r="D182" s="93"/>
      <c r="E182" s="37"/>
    </row>
    <row r="183" spans="4:5">
      <c r="D183" s="93"/>
      <c r="E183" s="37"/>
    </row>
    <row r="184" spans="4:5">
      <c r="D184" s="93"/>
      <c r="E184" s="37"/>
    </row>
    <row r="185" spans="4:5">
      <c r="D185" s="93"/>
      <c r="E185" s="37"/>
    </row>
    <row r="186" spans="4:5">
      <c r="D186" s="93"/>
      <c r="E186" s="37"/>
    </row>
    <row r="187" spans="4:5">
      <c r="D187" s="93"/>
      <c r="E187" s="37"/>
    </row>
    <row r="188" spans="4:5">
      <c r="D188" s="93"/>
      <c r="E188" s="37"/>
    </row>
    <row r="189" spans="4:5">
      <c r="D189" s="93"/>
      <c r="E189" s="37"/>
    </row>
  </sheetData>
  <customSheetViews>
    <customSheetView guid="{C15AA83A-C5E4-4E5B-A8A6-80960211427D}" fitToPage="1" showAutoFilter="1" showRuler="0">
      <pane xSplit="4" ySplit="1" topLeftCell="X2" activePane="bottomRight" state="frozen"/>
      <selection pane="bottomRight" activeCell="AH9" sqref="AH9"/>
      <rowBreaks count="1" manualBreakCount="1">
        <brk id="79" max="16383" man="1"/>
      </rowBreaks>
      <colBreaks count="1" manualBreakCount="1">
        <brk id="26" max="1048575" man="1"/>
      </colBreaks>
      <pageMargins left="0" right="0" top="0" bottom="0" header="0.51181102362204722" footer="0.51181102362204722"/>
      <pageSetup paperSize="8" scale="74" orientation="portrait" r:id="rId1"/>
      <headerFooter alignWithMargins="0"/>
      <autoFilter ref="B1:F1"/>
    </customSheetView>
    <customSheetView guid="{11CCF7A5-863A-4058-B539-9256B5BB05DF}" fitToPage="1" showAutoFilter="1" showRuler="0">
      <pane xSplit="4" ySplit="1" topLeftCell="X2" activePane="bottomRight" state="frozen"/>
      <selection pane="bottomRight" activeCell="AH9" sqref="AH9"/>
      <rowBreaks count="1" manualBreakCount="1">
        <brk id="79" max="16383" man="1"/>
      </rowBreaks>
      <colBreaks count="1" manualBreakCount="1">
        <brk id="26" max="1048575" man="1"/>
      </colBreaks>
      <pageMargins left="0" right="0" top="0" bottom="0" header="0.51181102362204722" footer="0.51181102362204722"/>
      <pageSetup paperSize="8" scale="74" orientation="portrait" r:id="rId2"/>
      <headerFooter alignWithMargins="0"/>
      <autoFilter ref="B1:F1"/>
    </customSheetView>
    <customSheetView guid="{34EE28FF-C512-4229-98A0-90BCF91787C1}" fitToPage="1" printArea="1" showAutoFilter="1" showRuler="0">
      <pane xSplit="4" ySplit="1" topLeftCell="X2" activePane="bottomRight" state="frozen"/>
      <selection pane="bottomRight" activeCell="AH9" sqref="AH9"/>
      <rowBreaks count="1" manualBreakCount="1">
        <brk id="79" max="16383" man="1"/>
      </rowBreaks>
      <colBreaks count="1" manualBreakCount="1">
        <brk id="26" max="1048575" man="1"/>
      </colBreaks>
      <pageMargins left="0" right="0" top="0" bottom="0" header="0.51181102362204722" footer="0.51181102362204722"/>
      <pageSetup paperSize="8" scale="74" orientation="portrait" r:id="rId3"/>
      <headerFooter alignWithMargins="0"/>
      <autoFilter ref="B1:F1"/>
    </customSheetView>
  </customSheetViews>
  <phoneticPr fontId="0" type="noConversion"/>
  <conditionalFormatting sqref="H120:I120 H86:I87">
    <cfRule type="cellIs" dxfId="42" priority="52" stopIfTrue="1" operator="lessThan">
      <formula>2000</formula>
    </cfRule>
    <cfRule type="cellIs" dxfId="41" priority="53" stopIfTrue="1" operator="lessThan">
      <formula>4000</formula>
    </cfRule>
  </conditionalFormatting>
  <conditionalFormatting sqref="H120:I120">
    <cfRule type="cellIs" dxfId="40" priority="54" stopIfTrue="1" operator="lessThan">
      <formula>2000</formula>
    </cfRule>
    <cfRule type="cellIs" dxfId="39" priority="55" stopIfTrue="1" operator="lessThan">
      <formula>4000</formula>
    </cfRule>
  </conditionalFormatting>
  <pageMargins left="0" right="0" top="0" bottom="0" header="0" footer="0"/>
  <pageSetup paperSize="9"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1280" r:id="rId7" name="Button 256">
              <controlPr defaultSize="0" print="0" autoFill="0" autoPict="0">
                <anchor moveWithCells="1" sizeWithCells="1">
                  <from>
                    <xdr:col>1</xdr:col>
                    <xdr:colOff>0</xdr:colOff>
                    <xdr:row>1</xdr:row>
                    <xdr:rowOff>0</xdr:rowOff>
                  </from>
                  <to>
                    <xdr:col>1</xdr:col>
                    <xdr:colOff>0</xdr:colOff>
                    <xdr:row>1</xdr:row>
                    <xdr:rowOff>0</xdr:rowOff>
                  </to>
                </anchor>
              </controlPr>
            </control>
          </mc:Choice>
        </mc:AlternateContent>
        <mc:AlternateContent xmlns:mc="http://schemas.openxmlformats.org/markup-compatibility/2006">
          <mc:Choice Requires="x14">
            <control shapeId="1281" r:id="rId8" name="Button 257">
              <controlPr defaultSize="0" print="0" autoFill="0" autoPict="0" macro="[0]!Refresh">
                <anchor moveWithCells="1" sizeWithCells="1">
                  <from>
                    <xdr:col>1</xdr:col>
                    <xdr:colOff>104775</xdr:colOff>
                    <xdr:row>0</xdr:row>
                    <xdr:rowOff>19050</xdr:rowOff>
                  </from>
                  <to>
                    <xdr:col>2</xdr:col>
                    <xdr:colOff>495300</xdr:colOff>
                    <xdr:row>0</xdr:row>
                    <xdr:rowOff>447675</xdr:rowOff>
                  </to>
                </anchor>
              </controlPr>
            </control>
          </mc:Choice>
        </mc:AlternateContent>
      </controls>
    </mc:Choice>
  </mc:AlternateContent>
  <tableParts count="5">
    <tablePart r:id="rId9"/>
    <tablePart r:id="rId10"/>
    <tablePart r:id="rId11"/>
    <tablePart r:id="rId12"/>
    <tablePart r:id="rId1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M79"/>
  <sheetViews>
    <sheetView workbookViewId="0">
      <pane xSplit="1" ySplit="1" topLeftCell="E41" activePane="bottomRight" state="frozen"/>
      <selection pane="topRight" activeCell="B1" sqref="B1"/>
      <selection pane="bottomLeft" activeCell="A3" sqref="A3"/>
      <selection pane="bottomRight" activeCell="H7" sqref="H7"/>
    </sheetView>
  </sheetViews>
  <sheetFormatPr defaultRowHeight="12.75"/>
  <cols>
    <col min="1" max="1" width="8.85546875" style="117" bestFit="1" customWidth="1"/>
    <col min="2" max="2" width="12" style="117" bestFit="1" customWidth="1"/>
    <col min="3" max="3" width="13.85546875" style="117" bestFit="1" customWidth="1"/>
    <col min="4" max="4" width="12" style="117" bestFit="1" customWidth="1"/>
    <col min="5" max="5" width="16" style="117" bestFit="1" customWidth="1"/>
    <col min="6" max="6" width="12" style="117" bestFit="1" customWidth="1"/>
    <col min="7" max="7" width="12.85546875" style="117" bestFit="1" customWidth="1"/>
    <col min="8" max="9" width="37.140625" style="117" customWidth="1"/>
    <col min="10" max="11" width="9.85546875" style="117" customWidth="1"/>
    <col min="12" max="12" width="18.42578125" customWidth="1"/>
    <col min="13" max="13" width="14.85546875" style="117" customWidth="1"/>
  </cols>
  <sheetData>
    <row r="1" spans="1:13" ht="13.5" thickBot="1">
      <c r="A1" s="359" t="s">
        <v>0</v>
      </c>
      <c r="B1" s="360" t="s">
        <v>126</v>
      </c>
      <c r="C1" s="361" t="s">
        <v>88</v>
      </c>
      <c r="D1" s="360" t="s">
        <v>126</v>
      </c>
      <c r="E1" s="361" t="s">
        <v>91</v>
      </c>
      <c r="F1" s="360" t="s">
        <v>126</v>
      </c>
      <c r="G1" s="362" t="s">
        <v>125</v>
      </c>
      <c r="H1" s="398" t="s">
        <v>199</v>
      </c>
      <c r="I1" s="366" t="s">
        <v>196</v>
      </c>
      <c r="J1" s="366" t="s">
        <v>163</v>
      </c>
      <c r="K1" s="366" t="s">
        <v>0</v>
      </c>
      <c r="L1" s="400" t="s">
        <v>200</v>
      </c>
      <c r="M1" s="401" t="s">
        <v>201</v>
      </c>
    </row>
    <row r="2" spans="1:13">
      <c r="A2" s="355">
        <v>220001</v>
      </c>
      <c r="B2" s="356">
        <f ca="1">C2-TODAY()</f>
        <v>28</v>
      </c>
      <c r="C2" s="357">
        <f>VLOOKUP(A2,'220'!$X$2:$AF$79,6,FALSE)</f>
        <v>42961</v>
      </c>
      <c r="D2" s="356">
        <f ca="1">E2-TODAY()</f>
        <v>19</v>
      </c>
      <c r="E2" s="357">
        <f>VLOOKUP(A2,'220'!$P$2:$W$79,2,FALSE)</f>
        <v>42952</v>
      </c>
      <c r="F2" s="356">
        <f ca="1">G2-TODAY()</f>
        <v>29</v>
      </c>
      <c r="G2" s="358">
        <f>VLOOKUP(A2,'220'!$AK$2:$AO$78,2,FALSE)</f>
        <v>42962</v>
      </c>
      <c r="H2" s="399" t="str">
        <f>IFERROR(VLOOKUP(K2,'Brake Pad Workorders'!$X:$Y,2,FALSE),"")</f>
        <v/>
      </c>
      <c r="I2" s="397" t="s">
        <v>137</v>
      </c>
      <c r="J2" s="367">
        <v>220001</v>
      </c>
      <c r="K2" s="367" t="str">
        <f>CONCATENATE(I2,J2)</f>
        <v>220001</v>
      </c>
      <c r="L2" t="str">
        <f>H2</f>
        <v/>
      </c>
      <c r="M2" s="402" t="str">
        <f>IFERROR(VLOOKUP(K2,'Brake Pad Workorders'!$X:$Z,3,FALSE),"")</f>
        <v/>
      </c>
    </row>
    <row r="3" spans="1:13">
      <c r="A3" s="340">
        <v>220002</v>
      </c>
      <c r="B3" s="336">
        <f t="shared" ref="B3:B66" ca="1" si="0">C3-TODAY()</f>
        <v>22</v>
      </c>
      <c r="C3" s="337">
        <f>VLOOKUP(A3,'220'!$X$2:$AF$79,6,FALSE)</f>
        <v>42955</v>
      </c>
      <c r="D3" s="336">
        <f t="shared" ref="D3:D66" ca="1" si="1">E3-TODAY()</f>
        <v>11</v>
      </c>
      <c r="E3" s="337">
        <f>VLOOKUP(A3,'220'!$P$2:$W$79,2,FALSE)</f>
        <v>42944</v>
      </c>
      <c r="F3" s="336">
        <f t="shared" ref="F3:F66" ca="1" si="2">G3-TODAY()</f>
        <v>19</v>
      </c>
      <c r="G3" s="352">
        <f>VLOOKUP(A3,'220'!$AK$2:$AO$78,2,FALSE)</f>
        <v>42952</v>
      </c>
      <c r="H3" s="399" t="str">
        <f>IFERROR(VLOOKUP(K3,'Brake Pad Workorders'!$X:$Y,2,FALSE),"")</f>
        <v/>
      </c>
      <c r="I3" s="397" t="s">
        <v>137</v>
      </c>
      <c r="J3" s="355">
        <v>220002</v>
      </c>
      <c r="K3" s="367" t="str">
        <f t="shared" ref="K3:K66" si="3">CONCATENATE(I3,J3)</f>
        <v>220002</v>
      </c>
      <c r="L3" t="str">
        <f t="shared" ref="L3:L66" si="4">H3</f>
        <v/>
      </c>
      <c r="M3" s="402" t="str">
        <f>IFERROR(VLOOKUP(K3,'Brake Pad Workorders'!$X:$Z,3,FALSE),"")</f>
        <v/>
      </c>
    </row>
    <row r="4" spans="1:13">
      <c r="A4" s="340">
        <v>220003</v>
      </c>
      <c r="B4" s="336">
        <f t="shared" ca="1" si="0"/>
        <v>27</v>
      </c>
      <c r="C4" s="337">
        <f>VLOOKUP(A4,'220'!$X$2:$AF$79,6,FALSE)</f>
        <v>42960</v>
      </c>
      <c r="D4" s="336">
        <f t="shared" ca="1" si="1"/>
        <v>21</v>
      </c>
      <c r="E4" s="337">
        <f>VLOOKUP(A4,'220'!$P$2:$W$79,2,FALSE)</f>
        <v>42954</v>
      </c>
      <c r="F4" s="336">
        <f t="shared" ca="1" si="2"/>
        <v>30</v>
      </c>
      <c r="G4" s="352">
        <f>VLOOKUP(A4,'220'!$AK$2:$AO$78,2,FALSE)</f>
        <v>42963</v>
      </c>
      <c r="H4" s="399" t="str">
        <f>IFERROR(VLOOKUP(K4,'Brake Pad Workorders'!$X:$Y,2,FALSE),"")</f>
        <v/>
      </c>
      <c r="I4" s="397" t="s">
        <v>137</v>
      </c>
      <c r="J4" s="367">
        <v>220003</v>
      </c>
      <c r="K4" s="367" t="str">
        <f t="shared" si="3"/>
        <v>220003</v>
      </c>
      <c r="L4" t="str">
        <f t="shared" si="4"/>
        <v/>
      </c>
      <c r="M4" s="402" t="str">
        <f>IFERROR(VLOOKUP(K4,'Brake Pad Workorders'!$X:$Z,3,FALSE),"")</f>
        <v/>
      </c>
    </row>
    <row r="5" spans="1:13">
      <c r="A5" s="340">
        <v>220004</v>
      </c>
      <c r="B5" s="336">
        <f t="shared" ca="1" si="0"/>
        <v>29</v>
      </c>
      <c r="C5" s="337">
        <f>VLOOKUP(A5,'220'!$X$2:$AF$79,6,FALSE)</f>
        <v>42962</v>
      </c>
      <c r="D5" s="336">
        <f t="shared" ca="1" si="1"/>
        <v>11</v>
      </c>
      <c r="E5" s="337">
        <f>VLOOKUP(A5,'220'!$P$2:$W$79,2,FALSE)</f>
        <v>42944</v>
      </c>
      <c r="F5" s="336">
        <f t="shared" ca="1" si="2"/>
        <v>66</v>
      </c>
      <c r="G5" s="352">
        <f>VLOOKUP(A5,'220'!$AK$2:$AO$78,2,FALSE)</f>
        <v>42999</v>
      </c>
      <c r="H5" s="399" t="str">
        <f>IFERROR(VLOOKUP(K5,'Brake Pad Workorders'!$X:$Y,2,FALSE),"")</f>
        <v/>
      </c>
      <c r="I5" s="397" t="s">
        <v>137</v>
      </c>
      <c r="J5" s="355">
        <v>220004</v>
      </c>
      <c r="K5" s="367" t="str">
        <f t="shared" si="3"/>
        <v>220004</v>
      </c>
      <c r="L5" t="str">
        <f t="shared" si="4"/>
        <v/>
      </c>
      <c r="M5" s="402" t="str">
        <f>IFERROR(VLOOKUP(K5,'Brake Pad Workorders'!$X:$Z,3,FALSE),"")</f>
        <v/>
      </c>
    </row>
    <row r="6" spans="1:13">
      <c r="A6" s="340">
        <v>220005</v>
      </c>
      <c r="B6" s="336">
        <f t="shared" ca="1" si="0"/>
        <v>34</v>
      </c>
      <c r="C6" s="337">
        <f>VLOOKUP(A6,'220'!$X$2:$AF$79,6,FALSE)</f>
        <v>42967</v>
      </c>
      <c r="D6" s="336">
        <f t="shared" ca="1" si="1"/>
        <v>25</v>
      </c>
      <c r="E6" s="337">
        <f>VLOOKUP(A6,'220'!$P$2:$W$79,2,FALSE)</f>
        <v>42958</v>
      </c>
      <c r="F6" s="336">
        <f t="shared" ca="1" si="2"/>
        <v>36</v>
      </c>
      <c r="G6" s="352">
        <f>VLOOKUP(A6,'220'!$AK$2:$AO$78,2,FALSE)</f>
        <v>42969</v>
      </c>
      <c r="H6" s="399" t="str">
        <f>IFERROR(VLOOKUP(K6,'Brake Pad Workorders'!$X:$Y,2,FALSE),"")</f>
        <v/>
      </c>
      <c r="I6" s="397" t="s">
        <v>137</v>
      </c>
      <c r="J6" s="367">
        <v>220005</v>
      </c>
      <c r="K6" s="367" t="str">
        <f t="shared" si="3"/>
        <v>220005</v>
      </c>
      <c r="L6" t="str">
        <f t="shared" si="4"/>
        <v/>
      </c>
      <c r="M6" s="402" t="str">
        <f>IFERROR(VLOOKUP(K6,'Brake Pad Workorders'!$X:$Z,3,FALSE),"")</f>
        <v/>
      </c>
    </row>
    <row r="7" spans="1:13">
      <c r="A7" s="340">
        <v>220006</v>
      </c>
      <c r="B7" s="336">
        <f t="shared" ca="1" si="0"/>
        <v>5</v>
      </c>
      <c r="C7" s="337">
        <f>VLOOKUP(A7,'220'!$X$2:$AF$79,6,FALSE)</f>
        <v>42938</v>
      </c>
      <c r="D7" s="336">
        <f t="shared" ca="1" si="1"/>
        <v>5</v>
      </c>
      <c r="E7" s="337">
        <f>VLOOKUP(A7,'220'!$P$2:$W$79,2,FALSE)</f>
        <v>42938</v>
      </c>
      <c r="F7" s="336">
        <f t="shared" ca="1" si="2"/>
        <v>20</v>
      </c>
      <c r="G7" s="352">
        <f>VLOOKUP(A7,'220'!$AK$2:$AO$78,2,FALSE)</f>
        <v>42953</v>
      </c>
      <c r="H7" s="399" t="str">
        <f>IFERROR(VLOOKUP(K7,'Brake Pad Workorders'!$X:$Y,2,FALSE),"")</f>
        <v/>
      </c>
      <c r="I7" s="397" t="s">
        <v>137</v>
      </c>
      <c r="J7" s="355">
        <v>220006</v>
      </c>
      <c r="K7" s="367" t="str">
        <f t="shared" si="3"/>
        <v>220006</v>
      </c>
      <c r="L7" t="str">
        <f t="shared" si="4"/>
        <v/>
      </c>
      <c r="M7" s="402" t="str">
        <f>IFERROR(VLOOKUP(K7,'Brake Pad Workorders'!$X:$Z,3,FALSE),"")</f>
        <v/>
      </c>
    </row>
    <row r="8" spans="1:13">
      <c r="A8" s="340">
        <v>220007</v>
      </c>
      <c r="B8" s="336">
        <f t="shared" ca="1" si="0"/>
        <v>15</v>
      </c>
      <c r="C8" s="337">
        <f>VLOOKUP(A8,'220'!$X$2:$AF$79,6,FALSE)</f>
        <v>42948</v>
      </c>
      <c r="D8" s="336">
        <f t="shared" ca="1" si="1"/>
        <v>28</v>
      </c>
      <c r="E8" s="337">
        <f>VLOOKUP(A8,'220'!$P$2:$W$79,2,FALSE)</f>
        <v>42961</v>
      </c>
      <c r="F8" s="336">
        <f t="shared" ca="1" si="2"/>
        <v>33</v>
      </c>
      <c r="G8" s="352">
        <f>VLOOKUP(A8,'220'!$AK$2:$AO$78,2,FALSE)</f>
        <v>42966</v>
      </c>
      <c r="H8" s="399" t="str">
        <f>IFERROR(VLOOKUP(K8,'Brake Pad Workorders'!$X:$Y,2,FALSE),"")</f>
        <v>CHECKED</v>
      </c>
      <c r="I8" s="397" t="s">
        <v>137</v>
      </c>
      <c r="J8" s="367">
        <v>220007</v>
      </c>
      <c r="K8" s="367" t="str">
        <f t="shared" si="3"/>
        <v>220007</v>
      </c>
      <c r="L8" t="str">
        <f t="shared" si="4"/>
        <v>CHECKED</v>
      </c>
      <c r="M8" s="402" t="str">
        <f>IFERROR(VLOOKUP(K8,'Brake Pad Workorders'!$X:$Z,3,FALSE),"")</f>
        <v>9015052</v>
      </c>
    </row>
    <row r="9" spans="1:13">
      <c r="A9" s="340">
        <v>220008</v>
      </c>
      <c r="B9" s="336">
        <f t="shared" ca="1" si="0"/>
        <v>31</v>
      </c>
      <c r="C9" s="337">
        <f>VLOOKUP(A9,'220'!$X$2:$AF$79,6,FALSE)</f>
        <v>42964</v>
      </c>
      <c r="D9" s="336">
        <f t="shared" ca="1" si="1"/>
        <v>1</v>
      </c>
      <c r="E9" s="337">
        <f>VLOOKUP(A9,'220'!$P$2:$W$79,2,FALSE)</f>
        <v>42934</v>
      </c>
      <c r="F9" s="336">
        <f t="shared" ca="1" si="2"/>
        <v>49</v>
      </c>
      <c r="G9" s="352">
        <f>VLOOKUP(A9,'220'!$AK$2:$AO$78,2,FALSE)</f>
        <v>42982</v>
      </c>
      <c r="H9" s="399" t="str">
        <f>IFERROR(VLOOKUP(K9,'Brake Pad Workorders'!$X:$Y,2,FALSE),"")</f>
        <v>CHECKED</v>
      </c>
      <c r="I9" s="397" t="s">
        <v>137</v>
      </c>
      <c r="J9" s="355">
        <v>220008</v>
      </c>
      <c r="K9" s="367" t="str">
        <f t="shared" si="3"/>
        <v>220008</v>
      </c>
      <c r="L9" t="str">
        <f t="shared" si="4"/>
        <v>CHECKED</v>
      </c>
      <c r="M9" s="402" t="str">
        <f>IFERROR(VLOOKUP(K9,'Brake Pad Workorders'!$X:$Z,3,FALSE),"")</f>
        <v>9165904</v>
      </c>
    </row>
    <row r="10" spans="1:13">
      <c r="A10" s="340">
        <v>220009</v>
      </c>
      <c r="B10" s="336">
        <f t="shared" ca="1" si="0"/>
        <v>14</v>
      </c>
      <c r="C10" s="337">
        <f>VLOOKUP(A10,'220'!$X$2:$AF$79,6,FALSE)</f>
        <v>42947</v>
      </c>
      <c r="D10" s="336">
        <f t="shared" ca="1" si="1"/>
        <v>20</v>
      </c>
      <c r="E10" s="337">
        <f>VLOOKUP(A10,'220'!$P$2:$W$79,2,FALSE)</f>
        <v>42953</v>
      </c>
      <c r="F10" s="336">
        <f t="shared" ca="1" si="2"/>
        <v>73</v>
      </c>
      <c r="G10" s="352">
        <f>VLOOKUP(A10,'220'!$AK$2:$AO$78,2,FALSE)</f>
        <v>43006</v>
      </c>
      <c r="H10" s="399" t="str">
        <f>IFERROR(VLOOKUP(K10,'Brake Pad Workorders'!$X:$Y,2,FALSE),"")</f>
        <v/>
      </c>
      <c r="I10" s="397" t="s">
        <v>137</v>
      </c>
      <c r="J10" s="367">
        <v>220009</v>
      </c>
      <c r="K10" s="367" t="str">
        <f t="shared" si="3"/>
        <v>220009</v>
      </c>
      <c r="L10" t="str">
        <f t="shared" si="4"/>
        <v/>
      </c>
      <c r="M10" s="402" t="str">
        <f>IFERROR(VLOOKUP(K10,'Brake Pad Workorders'!$X:$Z,3,FALSE),"")</f>
        <v/>
      </c>
    </row>
    <row r="11" spans="1:13">
      <c r="A11" s="340">
        <v>220010</v>
      </c>
      <c r="B11" s="336">
        <f t="shared" ca="1" si="0"/>
        <v>5</v>
      </c>
      <c r="C11" s="337">
        <f>VLOOKUP(A11,'220'!$X$2:$AF$79,6,FALSE)</f>
        <v>42938</v>
      </c>
      <c r="D11" s="336">
        <f t="shared" ca="1" si="1"/>
        <v>46</v>
      </c>
      <c r="E11" s="337">
        <f>VLOOKUP(A11,'220'!$P$2:$W$79,2,FALSE)</f>
        <v>42979</v>
      </c>
      <c r="F11" s="336">
        <f t="shared" ca="1" si="2"/>
        <v>5</v>
      </c>
      <c r="G11" s="352">
        <f>VLOOKUP(A11,'220'!$AK$2:$AO$78,2,FALSE)</f>
        <v>42938</v>
      </c>
      <c r="H11" s="399" t="str">
        <f>IFERROR(VLOOKUP(K11,'Brake Pad Workorders'!$X:$Y,2,FALSE),"")</f>
        <v/>
      </c>
      <c r="I11" s="397" t="s">
        <v>137</v>
      </c>
      <c r="J11" s="355">
        <v>220010</v>
      </c>
      <c r="K11" s="367" t="str">
        <f t="shared" si="3"/>
        <v>220010</v>
      </c>
      <c r="L11" t="str">
        <f t="shared" si="4"/>
        <v/>
      </c>
      <c r="M11" s="402" t="str">
        <f>IFERROR(VLOOKUP(K11,'Brake Pad Workorders'!$X:$Z,3,FALSE),"")</f>
        <v/>
      </c>
    </row>
    <row r="12" spans="1:13">
      <c r="A12" s="340">
        <v>220011</v>
      </c>
      <c r="B12" s="336">
        <f t="shared" ca="1" si="0"/>
        <v>31</v>
      </c>
      <c r="C12" s="337">
        <f>VLOOKUP(A12,'220'!$X$2:$AF$79,6,FALSE)</f>
        <v>42964</v>
      </c>
      <c r="D12" s="336">
        <f t="shared" ca="1" si="1"/>
        <v>27</v>
      </c>
      <c r="E12" s="337">
        <f>VLOOKUP(A12,'220'!$P$2:$W$79,2,FALSE)</f>
        <v>42960</v>
      </c>
      <c r="F12" s="336">
        <f t="shared" ca="1" si="2"/>
        <v>31</v>
      </c>
      <c r="G12" s="352">
        <f>VLOOKUP(A12,'220'!$AK$2:$AO$78,2,FALSE)</f>
        <v>42964</v>
      </c>
      <c r="H12" s="399" t="str">
        <f>IFERROR(VLOOKUP(K12,'Brake Pad Workorders'!$X:$Y,2,FALSE),"")</f>
        <v/>
      </c>
      <c r="I12" s="397" t="s">
        <v>137</v>
      </c>
      <c r="J12" s="367">
        <v>220011</v>
      </c>
      <c r="K12" s="367" t="str">
        <f t="shared" si="3"/>
        <v>220011</v>
      </c>
      <c r="L12" t="str">
        <f t="shared" si="4"/>
        <v/>
      </c>
      <c r="M12" s="402" t="str">
        <f>IFERROR(VLOOKUP(K12,'Brake Pad Workorders'!$X:$Z,3,FALSE),"")</f>
        <v/>
      </c>
    </row>
    <row r="13" spans="1:13">
      <c r="A13" s="340">
        <v>220012</v>
      </c>
      <c r="B13" s="336">
        <f t="shared" ca="1" si="0"/>
        <v>17</v>
      </c>
      <c r="C13" s="337">
        <f>VLOOKUP(A13,'220'!$X$2:$AF$79,6,FALSE)</f>
        <v>42950</v>
      </c>
      <c r="D13" s="336">
        <f t="shared" ca="1" si="1"/>
        <v>44</v>
      </c>
      <c r="E13" s="337">
        <f>VLOOKUP(A13,'220'!$P$2:$W$79,2,FALSE)</f>
        <v>42977</v>
      </c>
      <c r="F13" s="336">
        <f t="shared" ca="1" si="2"/>
        <v>50</v>
      </c>
      <c r="G13" s="352">
        <f>VLOOKUP(A13,'220'!$AK$2:$AO$78,2,FALSE)</f>
        <v>42983</v>
      </c>
      <c r="H13" s="399" t="str">
        <f>IFERROR(VLOOKUP(K13,'Brake Pad Workorders'!$X:$Y,2,FALSE),"")</f>
        <v/>
      </c>
      <c r="I13" s="397" t="s">
        <v>137</v>
      </c>
      <c r="J13" s="355">
        <v>220012</v>
      </c>
      <c r="K13" s="367" t="str">
        <f t="shared" si="3"/>
        <v>220012</v>
      </c>
      <c r="L13" t="str">
        <f t="shared" si="4"/>
        <v/>
      </c>
      <c r="M13" s="402" t="str">
        <f>IFERROR(VLOOKUP(K13,'Brake Pad Workorders'!$X:$Z,3,FALSE),"")</f>
        <v/>
      </c>
    </row>
    <row r="14" spans="1:13">
      <c r="A14" s="340">
        <v>220013</v>
      </c>
      <c r="B14" s="336">
        <f t="shared" ca="1" si="0"/>
        <v>4</v>
      </c>
      <c r="C14" s="337">
        <f>VLOOKUP(A14,'220'!$X$2:$AF$79,6,FALSE)</f>
        <v>42937</v>
      </c>
      <c r="D14" s="336">
        <f t="shared" ca="1" si="1"/>
        <v>31</v>
      </c>
      <c r="E14" s="337">
        <f>VLOOKUP(A14,'220'!$P$2:$W$79,2,FALSE)</f>
        <v>42964</v>
      </c>
      <c r="F14" s="336">
        <f t="shared" ca="1" si="2"/>
        <v>40</v>
      </c>
      <c r="G14" s="352">
        <f>VLOOKUP(A14,'220'!$AK$2:$AO$78,2,FALSE)</f>
        <v>42973</v>
      </c>
      <c r="H14" s="399" t="str">
        <f>IFERROR(VLOOKUP(K14,'Brake Pad Workorders'!$X:$Y,2,FALSE),"")</f>
        <v/>
      </c>
      <c r="I14" s="397" t="s">
        <v>137</v>
      </c>
      <c r="J14" s="367">
        <v>220013</v>
      </c>
      <c r="K14" s="367" t="str">
        <f t="shared" si="3"/>
        <v>220013</v>
      </c>
      <c r="L14" t="str">
        <f t="shared" si="4"/>
        <v/>
      </c>
      <c r="M14" s="402" t="str">
        <f>IFERROR(VLOOKUP(K14,'Brake Pad Workorders'!$X:$Z,3,FALSE),"")</f>
        <v/>
      </c>
    </row>
    <row r="15" spans="1:13">
      <c r="A15" s="340">
        <v>220014</v>
      </c>
      <c r="B15" s="336">
        <f t="shared" ca="1" si="0"/>
        <v>5</v>
      </c>
      <c r="C15" s="337">
        <f>VLOOKUP(A15,'220'!$X$2:$AF$79,6,FALSE)</f>
        <v>42938</v>
      </c>
      <c r="D15" s="336">
        <f t="shared" ca="1" si="1"/>
        <v>21</v>
      </c>
      <c r="E15" s="337">
        <f>VLOOKUP(A15,'220'!$P$2:$W$79,2,FALSE)</f>
        <v>42954</v>
      </c>
      <c r="F15" s="336">
        <f t="shared" ca="1" si="2"/>
        <v>76</v>
      </c>
      <c r="G15" s="352">
        <f>VLOOKUP(A15,'220'!$AK$2:$AO$78,2,FALSE)</f>
        <v>43009</v>
      </c>
      <c r="H15" s="399" t="str">
        <f>IFERROR(VLOOKUP(K15,'Brake Pad Workorders'!$X:$Y,2,FALSE),"")</f>
        <v>TOPLAN</v>
      </c>
      <c r="I15" s="397" t="s">
        <v>137</v>
      </c>
      <c r="J15" s="355">
        <v>220014</v>
      </c>
      <c r="K15" s="367" t="str">
        <f t="shared" si="3"/>
        <v>220014</v>
      </c>
      <c r="L15" t="str">
        <f t="shared" si="4"/>
        <v>TOPLAN</v>
      </c>
      <c r="M15" s="402" t="str">
        <f>IFERROR(VLOOKUP(K15,'Brake Pad Workorders'!$X:$Z,3,FALSE),"")</f>
        <v>8728965</v>
      </c>
    </row>
    <row r="16" spans="1:13">
      <c r="A16" s="340">
        <v>220015</v>
      </c>
      <c r="B16" s="336">
        <f t="shared" ca="1" si="0"/>
        <v>29</v>
      </c>
      <c r="C16" s="337">
        <f>VLOOKUP(A16,'220'!$X$2:$AF$79,6,FALSE)</f>
        <v>42962</v>
      </c>
      <c r="D16" s="336">
        <f t="shared" ca="1" si="1"/>
        <v>5</v>
      </c>
      <c r="E16" s="337">
        <f>VLOOKUP(A16,'220'!$P$2:$W$79,2,FALSE)</f>
        <v>42938</v>
      </c>
      <c r="F16" s="336">
        <f t="shared" ca="1" si="2"/>
        <v>17</v>
      </c>
      <c r="G16" s="352">
        <f>VLOOKUP(A16,'220'!$AK$2:$AO$78,2,FALSE)</f>
        <v>42950</v>
      </c>
      <c r="H16" s="399" t="str">
        <f>IFERROR(VLOOKUP(K16,'Brake Pad Workorders'!$X:$Y,2,FALSE),"")</f>
        <v/>
      </c>
      <c r="I16" s="397" t="s">
        <v>137</v>
      </c>
      <c r="J16" s="367">
        <v>220015</v>
      </c>
      <c r="K16" s="367" t="str">
        <f t="shared" si="3"/>
        <v>220015</v>
      </c>
      <c r="L16" t="str">
        <f t="shared" si="4"/>
        <v/>
      </c>
      <c r="M16" s="402" t="str">
        <f>IFERROR(VLOOKUP(K16,'Brake Pad Workorders'!$X:$Z,3,FALSE),"")</f>
        <v/>
      </c>
    </row>
    <row r="17" spans="1:13">
      <c r="A17" s="340">
        <v>220016</v>
      </c>
      <c r="B17" s="336">
        <f t="shared" ca="1" si="0"/>
        <v>16</v>
      </c>
      <c r="C17" s="337">
        <f>VLOOKUP(A17,'220'!$X$2:$AF$79,6,FALSE)</f>
        <v>42949</v>
      </c>
      <c r="D17" s="336">
        <f t="shared" ca="1" si="1"/>
        <v>36</v>
      </c>
      <c r="E17" s="337">
        <f>VLOOKUP(A17,'220'!$P$2:$W$79,2,FALSE)</f>
        <v>42969</v>
      </c>
      <c r="F17" s="336">
        <f t="shared" ca="1" si="2"/>
        <v>47</v>
      </c>
      <c r="G17" s="352">
        <f>VLOOKUP(A17,'220'!$AK$2:$AO$78,2,FALSE)</f>
        <v>42980</v>
      </c>
      <c r="H17" s="399" t="str">
        <f>IFERROR(VLOOKUP(K17,'Brake Pad Workorders'!$X:$Y,2,FALSE),"")</f>
        <v/>
      </c>
      <c r="I17" s="397" t="s">
        <v>137</v>
      </c>
      <c r="J17" s="355">
        <v>220016</v>
      </c>
      <c r="K17" s="367" t="str">
        <f t="shared" si="3"/>
        <v>220016</v>
      </c>
      <c r="L17" t="str">
        <f t="shared" si="4"/>
        <v/>
      </c>
      <c r="M17" s="402" t="str">
        <f>IFERROR(VLOOKUP(K17,'Brake Pad Workorders'!$X:$Z,3,FALSE),"")</f>
        <v/>
      </c>
    </row>
    <row r="18" spans="1:13">
      <c r="A18" s="340">
        <v>220017</v>
      </c>
      <c r="B18" s="336">
        <f t="shared" ca="1" si="0"/>
        <v>24</v>
      </c>
      <c r="C18" s="337">
        <f>VLOOKUP(A18,'220'!$X$2:$AF$79,6,FALSE)</f>
        <v>42957</v>
      </c>
      <c r="D18" s="336">
        <f t="shared" ca="1" si="1"/>
        <v>12</v>
      </c>
      <c r="E18" s="337">
        <f>VLOOKUP(A18,'220'!$P$2:$W$79,2,FALSE)</f>
        <v>42945</v>
      </c>
      <c r="F18" s="336">
        <f t="shared" ca="1" si="2"/>
        <v>22</v>
      </c>
      <c r="G18" s="352">
        <f>VLOOKUP(A18,'220'!$AK$2:$AO$78,2,FALSE)</f>
        <v>42955</v>
      </c>
      <c r="H18" s="399" t="str">
        <f>IFERROR(VLOOKUP(K18,'Brake Pad Workorders'!$X:$Y,2,FALSE),"")</f>
        <v/>
      </c>
      <c r="I18" s="397" t="s">
        <v>137</v>
      </c>
      <c r="J18" s="367">
        <v>220017</v>
      </c>
      <c r="K18" s="367" t="str">
        <f t="shared" si="3"/>
        <v>220017</v>
      </c>
      <c r="L18" t="str">
        <f t="shared" si="4"/>
        <v/>
      </c>
      <c r="M18" s="402" t="str">
        <f>IFERROR(VLOOKUP(K18,'Brake Pad Workorders'!$X:$Z,3,FALSE),"")</f>
        <v/>
      </c>
    </row>
    <row r="19" spans="1:13">
      <c r="A19" s="340">
        <v>220018</v>
      </c>
      <c r="B19" s="336">
        <f t="shared" ca="1" si="0"/>
        <v>3</v>
      </c>
      <c r="C19" s="337">
        <f>VLOOKUP(A19,'220'!$X$2:$AF$79,6,FALSE)</f>
        <v>42936</v>
      </c>
      <c r="D19" s="336">
        <f t="shared" ca="1" si="1"/>
        <v>30</v>
      </c>
      <c r="E19" s="337">
        <f>VLOOKUP(A19,'220'!$P$2:$W$79,2,FALSE)</f>
        <v>42963</v>
      </c>
      <c r="F19" s="336">
        <f t="shared" ca="1" si="2"/>
        <v>38</v>
      </c>
      <c r="G19" s="352">
        <f>VLOOKUP(A19,'220'!$AK$2:$AO$78,2,FALSE)</f>
        <v>42971</v>
      </c>
      <c r="H19" s="399" t="str">
        <f>IFERROR(VLOOKUP(K19,'Brake Pad Workorders'!$X:$Y,2,FALSE),"")</f>
        <v/>
      </c>
      <c r="I19" s="397" t="s">
        <v>137</v>
      </c>
      <c r="J19" s="355">
        <v>220018</v>
      </c>
      <c r="K19" s="367" t="str">
        <f t="shared" si="3"/>
        <v>220018</v>
      </c>
      <c r="L19" t="str">
        <f t="shared" si="4"/>
        <v/>
      </c>
      <c r="M19" s="402" t="str">
        <f>IFERROR(VLOOKUP(K19,'Brake Pad Workorders'!$X:$Z,3,FALSE),"")</f>
        <v/>
      </c>
    </row>
    <row r="20" spans="1:13">
      <c r="A20" s="340">
        <v>220019</v>
      </c>
      <c r="B20" s="336">
        <f t="shared" ca="1" si="0"/>
        <v>1</v>
      </c>
      <c r="C20" s="337">
        <f>VLOOKUP(A20,'220'!$X$2:$AF$79,6,FALSE)</f>
        <v>42934</v>
      </c>
      <c r="D20" s="336">
        <f t="shared" ca="1" si="1"/>
        <v>8</v>
      </c>
      <c r="E20" s="337">
        <f>VLOOKUP(A20,'220'!$P$2:$W$79,2,FALSE)</f>
        <v>42941</v>
      </c>
      <c r="F20" s="336">
        <f t="shared" ca="1" si="2"/>
        <v>64</v>
      </c>
      <c r="G20" s="352">
        <f>VLOOKUP(A20,'220'!$AK$2:$AO$78,2,FALSE)</f>
        <v>42997</v>
      </c>
      <c r="H20" s="399" t="str">
        <f>IFERROR(VLOOKUP(K20,'Brake Pad Workorders'!$X:$Y,2,FALSE),"")</f>
        <v>CHECKED</v>
      </c>
      <c r="I20" s="397" t="s">
        <v>137</v>
      </c>
      <c r="J20" s="367">
        <v>220019</v>
      </c>
      <c r="K20" s="367" t="str">
        <f t="shared" si="3"/>
        <v>220019</v>
      </c>
      <c r="L20" t="str">
        <f t="shared" si="4"/>
        <v>CHECKED</v>
      </c>
      <c r="M20" s="402">
        <f>IFERROR(VLOOKUP(K20,'Brake Pad Workorders'!$X:$Z,3,FALSE),"")</f>
        <v>0</v>
      </c>
    </row>
    <row r="21" spans="1:13">
      <c r="A21" s="340">
        <v>220020</v>
      </c>
      <c r="B21" s="336">
        <f t="shared" ca="1" si="0"/>
        <v>-2</v>
      </c>
      <c r="C21" s="337">
        <f>VLOOKUP(A21,'220'!$X$2:$AF$79,6,FALSE)</f>
        <v>42931</v>
      </c>
      <c r="D21" s="336">
        <f t="shared" ca="1" si="1"/>
        <v>1</v>
      </c>
      <c r="E21" s="337">
        <f>VLOOKUP(A21,'220'!$P$2:$W$79,2,FALSE)</f>
        <v>42934</v>
      </c>
      <c r="F21" s="336">
        <f t="shared" ca="1" si="2"/>
        <v>12</v>
      </c>
      <c r="G21" s="352">
        <f>VLOOKUP(A21,'220'!$AK$2:$AO$78,2,FALSE)</f>
        <v>42945</v>
      </c>
      <c r="H21" s="399" t="str">
        <f>IFERROR(VLOOKUP(K21,'Brake Pad Workorders'!$X:$Y,2,FALSE),"")</f>
        <v>CHECKED</v>
      </c>
      <c r="I21" s="397" t="s">
        <v>137</v>
      </c>
      <c r="J21" s="355">
        <v>220020</v>
      </c>
      <c r="K21" s="367" t="str">
        <f t="shared" si="3"/>
        <v>220020</v>
      </c>
      <c r="L21" t="str">
        <f t="shared" si="4"/>
        <v>CHECKED</v>
      </c>
      <c r="M21" s="402" t="str">
        <f>IFERROR(VLOOKUP(K21,'Brake Pad Workorders'!$X:$Z,3,FALSE),"")</f>
        <v>9164324</v>
      </c>
    </row>
    <row r="22" spans="1:13">
      <c r="A22" s="340">
        <v>220021</v>
      </c>
      <c r="B22" s="336">
        <f t="shared" ca="1" si="0"/>
        <v>27</v>
      </c>
      <c r="C22" s="337">
        <f>VLOOKUP(A22,'220'!$X$2:$AF$79,6,FALSE)</f>
        <v>42960</v>
      </c>
      <c r="D22" s="336">
        <f t="shared" ca="1" si="1"/>
        <v>44</v>
      </c>
      <c r="E22" s="337">
        <f>VLOOKUP(A22,'220'!$P$2:$W$79,2,FALSE)</f>
        <v>42977</v>
      </c>
      <c r="F22" s="336">
        <f t="shared" ca="1" si="2"/>
        <v>7</v>
      </c>
      <c r="G22" s="352">
        <f>VLOOKUP(A22,'220'!$AK$2:$AO$78,2,FALSE)</f>
        <v>42940</v>
      </c>
      <c r="H22" s="399" t="str">
        <f>IFERROR(VLOOKUP(K22,'Brake Pad Workorders'!$X:$Y,2,FALSE),"")</f>
        <v>TOPLAN</v>
      </c>
      <c r="I22" s="397" t="s">
        <v>137</v>
      </c>
      <c r="J22" s="367">
        <v>220021</v>
      </c>
      <c r="K22" s="367" t="str">
        <f t="shared" si="3"/>
        <v>220021</v>
      </c>
      <c r="L22" t="str">
        <f t="shared" si="4"/>
        <v>TOPLAN</v>
      </c>
      <c r="M22" s="402" t="str">
        <f>IFERROR(VLOOKUP(K22,'Brake Pad Workorders'!$X:$Z,3,FALSE),"")</f>
        <v>9142104</v>
      </c>
    </row>
    <row r="23" spans="1:13">
      <c r="A23" s="340">
        <v>220022</v>
      </c>
      <c r="B23" s="336">
        <f t="shared" ca="1" si="0"/>
        <v>20</v>
      </c>
      <c r="C23" s="337">
        <f>VLOOKUP(A23,'220'!$X$2:$AF$79,6,FALSE)</f>
        <v>42953</v>
      </c>
      <c r="D23" s="336">
        <f t="shared" ca="1" si="1"/>
        <v>25</v>
      </c>
      <c r="E23" s="337">
        <f>VLOOKUP(A23,'220'!$P$2:$W$79,2,FALSE)</f>
        <v>42958</v>
      </c>
      <c r="F23" s="336">
        <f t="shared" ca="1" si="2"/>
        <v>37</v>
      </c>
      <c r="G23" s="352">
        <f>VLOOKUP(A23,'220'!$AK$2:$AO$78,2,FALSE)</f>
        <v>42970</v>
      </c>
      <c r="H23" s="399" t="str">
        <f>IFERROR(VLOOKUP(K23,'Brake Pad Workorders'!$X:$Y,2,FALSE),"")</f>
        <v/>
      </c>
      <c r="I23" s="397" t="s">
        <v>137</v>
      </c>
      <c r="J23" s="355">
        <v>220022</v>
      </c>
      <c r="K23" s="367" t="str">
        <f t="shared" si="3"/>
        <v>220022</v>
      </c>
      <c r="L23" t="str">
        <f t="shared" si="4"/>
        <v/>
      </c>
      <c r="M23" s="402" t="str">
        <f>IFERROR(VLOOKUP(K23,'Brake Pad Workorders'!$X:$Z,3,FALSE),"")</f>
        <v/>
      </c>
    </row>
    <row r="24" spans="1:13">
      <c r="A24" s="340">
        <v>220023</v>
      </c>
      <c r="B24" s="336">
        <f t="shared" ca="1" si="0"/>
        <v>8</v>
      </c>
      <c r="C24" s="337">
        <f>VLOOKUP(A24,'220'!$X$2:$AF$79,6,FALSE)</f>
        <v>42941</v>
      </c>
      <c r="D24" s="336">
        <f t="shared" ca="1" si="1"/>
        <v>15</v>
      </c>
      <c r="E24" s="337">
        <f>VLOOKUP(A24,'220'!$P$2:$W$79,2,FALSE)</f>
        <v>42948</v>
      </c>
      <c r="F24" s="336">
        <f t="shared" ca="1" si="2"/>
        <v>63</v>
      </c>
      <c r="G24" s="352">
        <f>VLOOKUP(A24,'220'!$AK$2:$AO$78,2,FALSE)</f>
        <v>42996</v>
      </c>
      <c r="H24" s="399" t="str">
        <f>IFERROR(VLOOKUP(K24,'Brake Pad Workorders'!$X:$Y,2,FALSE),"")</f>
        <v/>
      </c>
      <c r="I24" s="397" t="s">
        <v>137</v>
      </c>
      <c r="J24" s="367">
        <v>220023</v>
      </c>
      <c r="K24" s="367" t="str">
        <f t="shared" si="3"/>
        <v>220023</v>
      </c>
      <c r="L24" t="str">
        <f t="shared" si="4"/>
        <v/>
      </c>
      <c r="M24" s="402" t="str">
        <f>IFERROR(VLOOKUP(K24,'Brake Pad Workorders'!$X:$Z,3,FALSE),"")</f>
        <v/>
      </c>
    </row>
    <row r="25" spans="1:13">
      <c r="A25" s="340">
        <v>220024</v>
      </c>
      <c r="B25" s="336">
        <f t="shared" ca="1" si="0"/>
        <v>13</v>
      </c>
      <c r="C25" s="337">
        <f>VLOOKUP(A25,'220'!$X$2:$AF$79,6,FALSE)</f>
        <v>42946</v>
      </c>
      <c r="D25" s="336">
        <f t="shared" ca="1" si="1"/>
        <v>17</v>
      </c>
      <c r="E25" s="337">
        <f>VLOOKUP(A25,'220'!$P$2:$W$79,2,FALSE)</f>
        <v>42950</v>
      </c>
      <c r="F25" s="336">
        <f t="shared" ca="1" si="2"/>
        <v>68</v>
      </c>
      <c r="G25" s="352">
        <f>VLOOKUP(A25,'220'!$AK$2:$AO$78,2,FALSE)</f>
        <v>43001</v>
      </c>
      <c r="H25" s="399" t="str">
        <f>IFERROR(VLOOKUP(K25,'Brake Pad Workorders'!$X:$Y,2,FALSE),"")</f>
        <v>TOPLAN</v>
      </c>
      <c r="I25" s="397" t="s">
        <v>137</v>
      </c>
      <c r="J25" s="355">
        <v>220024</v>
      </c>
      <c r="K25" s="367" t="str">
        <f t="shared" si="3"/>
        <v>220024</v>
      </c>
      <c r="L25" t="str">
        <f t="shared" si="4"/>
        <v>TOPLAN</v>
      </c>
      <c r="M25" s="402" t="str">
        <f>IFERROR(VLOOKUP(K25,'Brake Pad Workorders'!$X:$Z,3,FALSE),"")</f>
        <v>8707741</v>
      </c>
    </row>
    <row r="26" spans="1:13">
      <c r="A26" s="340">
        <v>220025</v>
      </c>
      <c r="B26" s="336">
        <f t="shared" ca="1" si="0"/>
        <v>25</v>
      </c>
      <c r="C26" s="337">
        <f>VLOOKUP(A26,'220'!$X$2:$AF$79,6,FALSE)</f>
        <v>42958</v>
      </c>
      <c r="D26" s="336">
        <f t="shared" ca="1" si="1"/>
        <v>40</v>
      </c>
      <c r="E26" s="337">
        <f>VLOOKUP(A26,'220'!$P$2:$W$79,2,FALSE)</f>
        <v>42973</v>
      </c>
      <c r="F26" s="336">
        <f t="shared" ca="1" si="2"/>
        <v>46</v>
      </c>
      <c r="G26" s="352">
        <f>VLOOKUP(A26,'220'!$AK$2:$AO$78,2,FALSE)</f>
        <v>42979</v>
      </c>
      <c r="H26" s="399" t="str">
        <f>IFERROR(VLOOKUP(K26,'Brake Pad Workorders'!$X:$Y,2,FALSE),"")</f>
        <v/>
      </c>
      <c r="I26" s="397" t="s">
        <v>137</v>
      </c>
      <c r="J26" s="367">
        <v>220025</v>
      </c>
      <c r="K26" s="367" t="str">
        <f t="shared" si="3"/>
        <v>220025</v>
      </c>
      <c r="L26" t="str">
        <f t="shared" si="4"/>
        <v/>
      </c>
      <c r="M26" s="402" t="str">
        <f>IFERROR(VLOOKUP(K26,'Brake Pad Workorders'!$X:$Z,3,FALSE),"")</f>
        <v/>
      </c>
    </row>
    <row r="27" spans="1:13">
      <c r="A27" s="340">
        <v>220026</v>
      </c>
      <c r="B27" s="336">
        <f t="shared" ca="1" si="0"/>
        <v>35</v>
      </c>
      <c r="C27" s="337">
        <f>VLOOKUP(A27,'220'!$X$2:$AF$79,6,FALSE)</f>
        <v>42968</v>
      </c>
      <c r="D27" s="336">
        <f t="shared" ca="1" si="1"/>
        <v>14</v>
      </c>
      <c r="E27" s="337">
        <f>VLOOKUP(A27,'220'!$P$2:$W$79,2,FALSE)</f>
        <v>42947</v>
      </c>
      <c r="F27" s="336">
        <f t="shared" ca="1" si="2"/>
        <v>74</v>
      </c>
      <c r="G27" s="352">
        <f>VLOOKUP(A27,'220'!$AK$2:$AO$78,2,FALSE)</f>
        <v>43007</v>
      </c>
      <c r="H27" s="399" t="str">
        <f>IFERROR(VLOOKUP(K27,'Brake Pad Workorders'!$X:$Y,2,FALSE),"")</f>
        <v/>
      </c>
      <c r="I27" s="397" t="s">
        <v>137</v>
      </c>
      <c r="J27" s="355">
        <v>220026</v>
      </c>
      <c r="K27" s="367" t="str">
        <f t="shared" si="3"/>
        <v>220026</v>
      </c>
      <c r="L27" t="str">
        <f t="shared" si="4"/>
        <v/>
      </c>
      <c r="M27" s="402" t="str">
        <f>IFERROR(VLOOKUP(K27,'Brake Pad Workorders'!$X:$Z,3,FALSE),"")</f>
        <v/>
      </c>
    </row>
    <row r="28" spans="1:13">
      <c r="A28" s="340">
        <v>220027</v>
      </c>
      <c r="B28" s="336">
        <f t="shared" ca="1" si="0"/>
        <v>30</v>
      </c>
      <c r="C28" s="337">
        <f>VLOOKUP(A28,'220'!$X$2:$AF$79,6,FALSE)</f>
        <v>42963</v>
      </c>
      <c r="D28" s="336">
        <f t="shared" ca="1" si="1"/>
        <v>35</v>
      </c>
      <c r="E28" s="337">
        <f>VLOOKUP(A28,'220'!$P$2:$W$79,2,FALSE)</f>
        <v>42968</v>
      </c>
      <c r="F28" s="336">
        <f t="shared" ca="1" si="2"/>
        <v>87</v>
      </c>
      <c r="G28" s="352">
        <f>VLOOKUP(A28,'220'!$AK$2:$AO$78,2,FALSE)</f>
        <v>43020</v>
      </c>
      <c r="H28" s="399" t="str">
        <f>IFERROR(VLOOKUP(K28,'Brake Pad Workorders'!$X:$Y,2,FALSE),"")</f>
        <v/>
      </c>
      <c r="I28" s="397" t="s">
        <v>137</v>
      </c>
      <c r="J28" s="367">
        <v>220027</v>
      </c>
      <c r="K28" s="367" t="str">
        <f t="shared" si="3"/>
        <v>220027</v>
      </c>
      <c r="L28" t="str">
        <f t="shared" si="4"/>
        <v/>
      </c>
      <c r="M28" s="402" t="str">
        <f>IFERROR(VLOOKUP(K28,'Brake Pad Workorders'!$X:$Z,3,FALSE),"")</f>
        <v/>
      </c>
    </row>
    <row r="29" spans="1:13">
      <c r="A29" s="340">
        <v>220028</v>
      </c>
      <c r="B29" s="336">
        <f t="shared" ca="1" si="0"/>
        <v>2</v>
      </c>
      <c r="C29" s="337">
        <f>VLOOKUP(A29,'220'!$X$2:$AF$79,6,FALSE)</f>
        <v>42935</v>
      </c>
      <c r="D29" s="336">
        <f t="shared" ca="1" si="1"/>
        <v>8</v>
      </c>
      <c r="E29" s="337">
        <f>VLOOKUP(A29,'220'!$P$2:$W$79,2,FALSE)</f>
        <v>42941</v>
      </c>
      <c r="F29" s="336">
        <f t="shared" ca="1" si="2"/>
        <v>57</v>
      </c>
      <c r="G29" s="352">
        <f>VLOOKUP(A29,'220'!$AK$2:$AO$78,2,FALSE)</f>
        <v>42990</v>
      </c>
      <c r="H29" s="399" t="str">
        <f>IFERROR(VLOOKUP(K29,'Brake Pad Workorders'!$X:$Y,2,FALSE),"")</f>
        <v>CHECKED</v>
      </c>
      <c r="I29" s="397" t="s">
        <v>137</v>
      </c>
      <c r="J29" s="355">
        <v>220028</v>
      </c>
      <c r="K29" s="367" t="str">
        <f t="shared" si="3"/>
        <v>220028</v>
      </c>
      <c r="L29" t="str">
        <f t="shared" si="4"/>
        <v>CHECKED</v>
      </c>
      <c r="M29" s="402" t="str">
        <f>IFERROR(VLOOKUP(K29,'Brake Pad Workorders'!$X:$Z,3,FALSE),"")</f>
        <v>9165973</v>
      </c>
    </row>
    <row r="30" spans="1:13">
      <c r="A30" s="340">
        <v>220029</v>
      </c>
      <c r="B30" s="336">
        <f t="shared" ca="1" si="0"/>
        <v>11</v>
      </c>
      <c r="C30" s="337">
        <f>VLOOKUP(A30,'220'!$X$2:$AF$79,6,FALSE)</f>
        <v>42944</v>
      </c>
      <c r="D30" s="336">
        <f t="shared" ca="1" si="1"/>
        <v>6</v>
      </c>
      <c r="E30" s="337">
        <f>VLOOKUP(A30,'220'!$P$2:$W$79,2,FALSE)</f>
        <v>42939</v>
      </c>
      <c r="F30" s="336">
        <f t="shared" ca="1" si="2"/>
        <v>9</v>
      </c>
      <c r="G30" s="352">
        <f>VLOOKUP(A30,'220'!$AK$2:$AO$78,2,FALSE)</f>
        <v>42942</v>
      </c>
      <c r="H30" s="399" t="str">
        <f>IFERROR(VLOOKUP(K30,'Brake Pad Workorders'!$X:$Y,2,FALSE),"")</f>
        <v>TOPLAN</v>
      </c>
      <c r="I30" s="397" t="s">
        <v>137</v>
      </c>
      <c r="J30" s="367">
        <v>220029</v>
      </c>
      <c r="K30" s="367" t="str">
        <f t="shared" si="3"/>
        <v>220029</v>
      </c>
      <c r="L30" t="str">
        <f t="shared" si="4"/>
        <v>TOPLAN</v>
      </c>
      <c r="M30" s="402" t="str">
        <f>IFERROR(VLOOKUP(K30,'Brake Pad Workorders'!$X:$Z,3,FALSE),"")</f>
        <v>9168749</v>
      </c>
    </row>
    <row r="31" spans="1:13">
      <c r="A31" s="340">
        <v>220030</v>
      </c>
      <c r="B31" s="336">
        <f t="shared" ca="1" si="0"/>
        <v>20</v>
      </c>
      <c r="C31" s="337">
        <f>VLOOKUP(A31,'220'!$X$2:$AF$79,6,FALSE)</f>
        <v>42953</v>
      </c>
      <c r="D31" s="336">
        <f t="shared" ca="1" si="1"/>
        <v>47</v>
      </c>
      <c r="E31" s="337">
        <f>VLOOKUP(A31,'220'!$P$2:$W$79,2,FALSE)</f>
        <v>42980</v>
      </c>
      <c r="F31" s="336">
        <f t="shared" ca="1" si="2"/>
        <v>54</v>
      </c>
      <c r="G31" s="352">
        <f>VLOOKUP(A31,'220'!$AK$2:$AO$78,2,FALSE)</f>
        <v>42987</v>
      </c>
      <c r="H31" s="399" t="str">
        <f>IFERROR(VLOOKUP(K31,'Brake Pad Workorders'!$X:$Y,2,FALSE),"")</f>
        <v/>
      </c>
      <c r="I31" s="397" t="s">
        <v>137</v>
      </c>
      <c r="J31" s="355">
        <v>220030</v>
      </c>
      <c r="K31" s="367" t="str">
        <f t="shared" si="3"/>
        <v>220030</v>
      </c>
      <c r="L31" t="str">
        <f t="shared" si="4"/>
        <v/>
      </c>
      <c r="M31" s="402" t="str">
        <f>IFERROR(VLOOKUP(K31,'Brake Pad Workorders'!$X:$Z,3,FALSE),"")</f>
        <v/>
      </c>
    </row>
    <row r="32" spans="1:13">
      <c r="A32" s="340">
        <v>220031</v>
      </c>
      <c r="B32" s="336">
        <f t="shared" ca="1" si="0"/>
        <v>0</v>
      </c>
      <c r="C32" s="337">
        <f>VLOOKUP(A32,'220'!$X$2:$AF$79,6,FALSE)</f>
        <v>42933</v>
      </c>
      <c r="D32" s="336">
        <f t="shared" ca="1" si="1"/>
        <v>43</v>
      </c>
      <c r="E32" s="337">
        <f>VLOOKUP(A32,'220'!$P$2:$W$79,2,FALSE)</f>
        <v>42976</v>
      </c>
      <c r="F32" s="336">
        <f t="shared" ca="1" si="2"/>
        <v>2</v>
      </c>
      <c r="G32" s="352">
        <f>VLOOKUP(A32,'220'!$AK$2:$AO$78,2,FALSE)</f>
        <v>42935</v>
      </c>
      <c r="H32" s="399" t="str">
        <f>IFERROR(VLOOKUP(K32,'Brake Pad Workorders'!$X:$Y,2,FALSE),"")</f>
        <v>TOPLAN</v>
      </c>
      <c r="I32" s="397" t="s">
        <v>137</v>
      </c>
      <c r="J32" s="367">
        <v>220031</v>
      </c>
      <c r="K32" s="367" t="str">
        <f t="shared" si="3"/>
        <v>220031</v>
      </c>
      <c r="L32" t="str">
        <f t="shared" si="4"/>
        <v>TOPLAN</v>
      </c>
      <c r="M32" s="402" t="str">
        <f>IFERROR(VLOOKUP(K32,'Brake Pad Workorders'!$X:$Z,3,FALSE),"")</f>
        <v>9164616</v>
      </c>
    </row>
    <row r="33" spans="1:13">
      <c r="A33" s="340">
        <v>220032</v>
      </c>
      <c r="B33" s="336">
        <f t="shared" ca="1" si="0"/>
        <v>13</v>
      </c>
      <c r="C33" s="337">
        <f>VLOOKUP(A33,'220'!$X$2:$AF$79,6,FALSE)</f>
        <v>42946</v>
      </c>
      <c r="D33" s="336">
        <f t="shared" ca="1" si="1"/>
        <v>42</v>
      </c>
      <c r="E33" s="337">
        <f>VLOOKUP(A33,'220'!$P$2:$W$79,2,FALSE)</f>
        <v>42975</v>
      </c>
      <c r="F33" s="336">
        <f t="shared" ca="1" si="2"/>
        <v>48</v>
      </c>
      <c r="G33" s="352">
        <f>VLOOKUP(A33,'220'!$AK$2:$AO$78,2,FALSE)</f>
        <v>42981</v>
      </c>
      <c r="H33" s="399" t="str">
        <f>IFERROR(VLOOKUP(K33,'Brake Pad Workorders'!$X:$Y,2,FALSE),"")</f>
        <v/>
      </c>
      <c r="I33" s="397" t="s">
        <v>137</v>
      </c>
      <c r="J33" s="355">
        <v>220032</v>
      </c>
      <c r="K33" s="367" t="str">
        <f t="shared" si="3"/>
        <v>220032</v>
      </c>
      <c r="L33" t="str">
        <f t="shared" si="4"/>
        <v/>
      </c>
      <c r="M33" s="402" t="str">
        <f>IFERROR(VLOOKUP(K33,'Brake Pad Workorders'!$X:$Z,3,FALSE),"")</f>
        <v/>
      </c>
    </row>
    <row r="34" spans="1:13">
      <c r="A34" s="340">
        <v>220033</v>
      </c>
      <c r="B34" s="336">
        <f t="shared" ca="1" si="0"/>
        <v>26</v>
      </c>
      <c r="C34" s="337">
        <f>VLOOKUP(A34,'220'!$X$2:$AF$79,6,FALSE)</f>
        <v>42959</v>
      </c>
      <c r="D34" s="336">
        <f t="shared" ca="1" si="1"/>
        <v>40</v>
      </c>
      <c r="E34" s="337">
        <f>VLOOKUP(A34,'220'!$P$2:$W$79,2,FALSE)</f>
        <v>42973</v>
      </c>
      <c r="F34" s="336">
        <f t="shared" ca="1" si="2"/>
        <v>10</v>
      </c>
      <c r="G34" s="352">
        <f>VLOOKUP(A34,'220'!$AK$2:$AO$78,2,FALSE)</f>
        <v>42943</v>
      </c>
      <c r="H34" s="399" t="str">
        <f>IFERROR(VLOOKUP(K34,'Brake Pad Workorders'!$X:$Y,2,FALSE),"")</f>
        <v/>
      </c>
      <c r="I34" s="397" t="s">
        <v>137</v>
      </c>
      <c r="J34" s="367">
        <v>220033</v>
      </c>
      <c r="K34" s="367" t="str">
        <f t="shared" si="3"/>
        <v>220033</v>
      </c>
      <c r="L34" t="str">
        <f t="shared" si="4"/>
        <v/>
      </c>
      <c r="M34" s="402" t="str">
        <f>IFERROR(VLOOKUP(K34,'Brake Pad Workorders'!$X:$Z,3,FALSE),"")</f>
        <v/>
      </c>
    </row>
    <row r="35" spans="1:13">
      <c r="A35" s="340">
        <v>220034</v>
      </c>
      <c r="B35" s="336">
        <f t="shared" ca="1" si="0"/>
        <v>13</v>
      </c>
      <c r="C35" s="337">
        <f>VLOOKUP(A35,'220'!$X$2:$AF$79,6,FALSE)</f>
        <v>42946</v>
      </c>
      <c r="D35" s="336">
        <f t="shared" ca="1" si="1"/>
        <v>14</v>
      </c>
      <c r="E35" s="337">
        <f>VLOOKUP(A35,'220'!$P$2:$W$79,2,FALSE)</f>
        <v>42947</v>
      </c>
      <c r="F35" s="336">
        <f t="shared" ca="1" si="2"/>
        <v>26</v>
      </c>
      <c r="G35" s="352">
        <f>VLOOKUP(A35,'220'!$AK$2:$AO$78,2,FALSE)</f>
        <v>42959</v>
      </c>
      <c r="H35" s="399" t="str">
        <f>IFERROR(VLOOKUP(K35,'Brake Pad Workorders'!$X:$Y,2,FALSE),"")</f>
        <v/>
      </c>
      <c r="I35" s="397" t="s">
        <v>137</v>
      </c>
      <c r="J35" s="355">
        <v>220034</v>
      </c>
      <c r="K35" s="367" t="str">
        <f t="shared" si="3"/>
        <v>220034</v>
      </c>
      <c r="L35" t="str">
        <f t="shared" si="4"/>
        <v/>
      </c>
      <c r="M35" s="402" t="str">
        <f>IFERROR(VLOOKUP(K35,'Brake Pad Workorders'!$X:$Z,3,FALSE),"")</f>
        <v/>
      </c>
    </row>
    <row r="36" spans="1:13">
      <c r="A36" s="340">
        <v>221101</v>
      </c>
      <c r="B36" s="336">
        <f t="shared" ca="1" si="0"/>
        <v>-6</v>
      </c>
      <c r="C36" s="337">
        <f>VLOOKUP(A36,'220'!$X$2:$AF$79,6,FALSE)</f>
        <v>42927</v>
      </c>
      <c r="D36" s="336">
        <f t="shared" ca="1" si="1"/>
        <v>5</v>
      </c>
      <c r="E36" s="337">
        <f>VLOOKUP(A36,'220'!$P$2:$W$79,2,FALSE)</f>
        <v>42938</v>
      </c>
      <c r="F36" s="336">
        <f t="shared" ca="1" si="2"/>
        <v>62</v>
      </c>
      <c r="G36" s="352">
        <f>VLOOKUP(A36,'220'!$AK$2:$AO$78,2,FALSE)</f>
        <v>42995</v>
      </c>
      <c r="H36" s="399" t="str">
        <f>IFERROR(VLOOKUP(K36,'Brake Pad Workorders'!$X:$Y,2,FALSE),"")</f>
        <v/>
      </c>
      <c r="I36" s="397" t="s">
        <v>137</v>
      </c>
      <c r="J36" s="340">
        <v>221101</v>
      </c>
      <c r="K36" s="367" t="str">
        <f t="shared" si="3"/>
        <v>221101</v>
      </c>
      <c r="L36" t="str">
        <f t="shared" si="4"/>
        <v/>
      </c>
      <c r="M36" s="402" t="str">
        <f>IFERROR(VLOOKUP(K36,'Brake Pad Workorders'!$X:$Z,3,FALSE),"")</f>
        <v/>
      </c>
    </row>
    <row r="37" spans="1:13">
      <c r="A37" s="340">
        <v>221102</v>
      </c>
      <c r="B37" s="336">
        <f t="shared" ca="1" si="0"/>
        <v>15</v>
      </c>
      <c r="C37" s="337">
        <f>VLOOKUP(A37,'220'!$X$2:$AF$79,6,FALSE)</f>
        <v>42948</v>
      </c>
      <c r="D37" s="336">
        <f t="shared" ca="1" si="1"/>
        <v>9</v>
      </c>
      <c r="E37" s="337">
        <f>VLOOKUP(A37,'220'!$P$2:$W$79,2,FALSE)</f>
        <v>42942</v>
      </c>
      <c r="F37" s="336">
        <f t="shared" ca="1" si="2"/>
        <v>16</v>
      </c>
      <c r="G37" s="352">
        <f>VLOOKUP(A37,'220'!$AK$2:$AO$78,2,FALSE)</f>
        <v>42949</v>
      </c>
      <c r="H37" s="399" t="str">
        <f>IFERROR(VLOOKUP(K37,'Brake Pad Workorders'!$X:$Y,2,FALSE),"")</f>
        <v/>
      </c>
      <c r="I37" s="397" t="s">
        <v>137</v>
      </c>
      <c r="J37" s="340">
        <v>221102</v>
      </c>
      <c r="K37" s="367" t="str">
        <f t="shared" si="3"/>
        <v>221102</v>
      </c>
      <c r="L37" t="str">
        <f t="shared" si="4"/>
        <v/>
      </c>
      <c r="M37" s="402" t="str">
        <f>IFERROR(VLOOKUP(K37,'Brake Pad Workorders'!$X:$Z,3,FALSE),"")</f>
        <v/>
      </c>
    </row>
    <row r="38" spans="1:13">
      <c r="A38" s="340">
        <v>221103</v>
      </c>
      <c r="B38" s="336">
        <f t="shared" ca="1" si="0"/>
        <v>27</v>
      </c>
      <c r="C38" s="337">
        <f>VLOOKUP(A38,'220'!$X$2:$AF$79,6,FALSE)</f>
        <v>42960</v>
      </c>
      <c r="D38" s="336">
        <f t="shared" ca="1" si="1"/>
        <v>16</v>
      </c>
      <c r="E38" s="337">
        <f>VLOOKUP(A38,'220'!$P$2:$W$79,2,FALSE)</f>
        <v>42949</v>
      </c>
      <c r="F38" s="336">
        <f t="shared" ca="1" si="2"/>
        <v>25</v>
      </c>
      <c r="G38" s="352">
        <f>VLOOKUP(A38,'220'!$AK$2:$AO$78,2,FALSE)</f>
        <v>42958</v>
      </c>
      <c r="H38" s="399" t="str">
        <f>IFERROR(VLOOKUP(K38,'Brake Pad Workorders'!$X:$Y,2,FALSE),"")</f>
        <v/>
      </c>
      <c r="I38" s="397" t="s">
        <v>137</v>
      </c>
      <c r="J38" s="340">
        <v>221103</v>
      </c>
      <c r="K38" s="367" t="str">
        <f t="shared" si="3"/>
        <v>221103</v>
      </c>
      <c r="L38" t="str">
        <f t="shared" si="4"/>
        <v/>
      </c>
      <c r="M38" s="402" t="str">
        <f>IFERROR(VLOOKUP(K38,'Brake Pad Workorders'!$X:$Z,3,FALSE),"")</f>
        <v/>
      </c>
    </row>
    <row r="39" spans="1:13">
      <c r="A39" s="340">
        <v>221104</v>
      </c>
      <c r="B39" s="336">
        <f t="shared" ca="1" si="0"/>
        <v>29</v>
      </c>
      <c r="C39" s="337">
        <f>VLOOKUP(A39,'220'!$X$2:$AF$79,6,FALSE)</f>
        <v>42962</v>
      </c>
      <c r="D39" s="336">
        <f t="shared" ca="1" si="1"/>
        <v>39</v>
      </c>
      <c r="E39" s="337">
        <f>VLOOKUP(A39,'220'!$P$2:$W$79,2,FALSE)</f>
        <v>42972</v>
      </c>
      <c r="F39" s="336">
        <f t="shared" ca="1" si="2"/>
        <v>1</v>
      </c>
      <c r="G39" s="352">
        <f>VLOOKUP(A39,'220'!$AK$2:$AO$78,2,FALSE)</f>
        <v>42934</v>
      </c>
      <c r="H39" s="399" t="str">
        <f>IFERROR(VLOOKUP(K39,'Brake Pad Workorders'!$X:$Y,2,FALSE),"")</f>
        <v>CHECKED</v>
      </c>
      <c r="I39" s="397" t="s">
        <v>137</v>
      </c>
      <c r="J39" s="340">
        <v>221104</v>
      </c>
      <c r="K39" s="367" t="str">
        <f t="shared" si="3"/>
        <v>221104</v>
      </c>
      <c r="L39" t="str">
        <f t="shared" si="4"/>
        <v>CHECKED</v>
      </c>
      <c r="M39" s="402" t="str">
        <f>IFERROR(VLOOKUP(K39,'Brake Pad Workorders'!$X:$Z,3,FALSE),"")</f>
        <v>9136268</v>
      </c>
    </row>
    <row r="40" spans="1:13">
      <c r="A40" s="340">
        <v>221105</v>
      </c>
      <c r="B40" s="336">
        <f t="shared" ca="1" si="0"/>
        <v>19</v>
      </c>
      <c r="C40" s="337">
        <f>VLOOKUP(A40,'220'!$X$2:$AF$79,6,FALSE)</f>
        <v>42952</v>
      </c>
      <c r="D40" s="336">
        <f t="shared" ca="1" si="1"/>
        <v>31</v>
      </c>
      <c r="E40" s="337">
        <f>VLOOKUP(A40,'220'!$P$2:$W$79,2,FALSE)</f>
        <v>42964</v>
      </c>
      <c r="F40" s="336">
        <f t="shared" ca="1" si="2"/>
        <v>-7</v>
      </c>
      <c r="G40" s="352">
        <f>VLOOKUP(A40,'220'!$AK$2:$AO$78,2,FALSE)</f>
        <v>42926</v>
      </c>
      <c r="H40" s="399" t="str">
        <f>IFERROR(VLOOKUP(K40,'Brake Pad Workorders'!$X:$Y,2,FALSE),"")</f>
        <v/>
      </c>
      <c r="I40" s="397" t="s">
        <v>137</v>
      </c>
      <c r="J40" s="340">
        <v>221105</v>
      </c>
      <c r="K40" s="367" t="str">
        <f t="shared" si="3"/>
        <v>221105</v>
      </c>
      <c r="L40" t="str">
        <f t="shared" si="4"/>
        <v/>
      </c>
      <c r="M40" s="402" t="str">
        <f>IFERROR(VLOOKUP(K40,'Brake Pad Workorders'!$X:$Z,3,FALSE),"")</f>
        <v/>
      </c>
    </row>
    <row r="41" spans="1:13">
      <c r="A41" s="340">
        <v>221106</v>
      </c>
      <c r="B41" s="336">
        <f t="shared" ca="1" si="0"/>
        <v>24</v>
      </c>
      <c r="C41" s="337">
        <f>VLOOKUP(A41,'220'!$X$2:$AF$79,6,FALSE)</f>
        <v>42957</v>
      </c>
      <c r="D41" s="336">
        <f t="shared" ca="1" si="1"/>
        <v>32</v>
      </c>
      <c r="E41" s="337">
        <f>VLOOKUP(A41,'220'!$P$2:$W$79,2,FALSE)</f>
        <v>42965</v>
      </c>
      <c r="F41" s="336">
        <f t="shared" ca="1" si="2"/>
        <v>-2</v>
      </c>
      <c r="G41" s="352">
        <f>VLOOKUP(A41,'220'!$AK$2:$AO$78,2,FALSE)</f>
        <v>42931</v>
      </c>
      <c r="H41" s="399" t="str">
        <f>IFERROR(VLOOKUP(K41,'Brake Pad Workorders'!$X:$Y,2,FALSE),"")</f>
        <v>TOPLAN</v>
      </c>
      <c r="I41" s="397" t="s">
        <v>137</v>
      </c>
      <c r="J41" s="340">
        <v>221106</v>
      </c>
      <c r="K41" s="367" t="str">
        <f t="shared" si="3"/>
        <v>221106</v>
      </c>
      <c r="L41" t="str">
        <f t="shared" si="4"/>
        <v>TOPLAN</v>
      </c>
      <c r="M41" s="402" t="str">
        <f>IFERROR(VLOOKUP(K41,'Brake Pad Workorders'!$X:$Z,3,FALSE),"")</f>
        <v>9140348</v>
      </c>
    </row>
    <row r="42" spans="1:13">
      <c r="A42" s="340">
        <v>221107</v>
      </c>
      <c r="B42" s="336">
        <f t="shared" ca="1" si="0"/>
        <v>-1</v>
      </c>
      <c r="C42" s="337">
        <f>VLOOKUP(A42,'220'!$X$2:$AF$79,6,FALSE)</f>
        <v>42932</v>
      </c>
      <c r="D42" s="336">
        <f t="shared" ca="1" si="1"/>
        <v>24</v>
      </c>
      <c r="E42" s="337">
        <f>VLOOKUP(A42,'220'!$P$2:$W$79,2,FALSE)</f>
        <v>42957</v>
      </c>
      <c r="F42" s="336">
        <f t="shared" ca="1" si="2"/>
        <v>32</v>
      </c>
      <c r="G42" s="352">
        <f>VLOOKUP(A42,'220'!$AK$2:$AO$78,2,FALSE)</f>
        <v>42965</v>
      </c>
      <c r="H42" s="399" t="str">
        <f>IFERROR(VLOOKUP(K42,'Brake Pad Workorders'!$X:$Y,2,FALSE),"")</f>
        <v>TOPLAN</v>
      </c>
      <c r="I42" s="397" t="s">
        <v>137</v>
      </c>
      <c r="J42" s="340">
        <v>221107</v>
      </c>
      <c r="K42" s="367" t="str">
        <f t="shared" si="3"/>
        <v>221107</v>
      </c>
      <c r="L42" t="str">
        <f t="shared" si="4"/>
        <v>TOPLAN</v>
      </c>
      <c r="M42" s="402" t="str">
        <f>IFERROR(VLOOKUP(K42,'Brake Pad Workorders'!$X:$Z,3,FALSE),"")</f>
        <v>9166972</v>
      </c>
    </row>
    <row r="43" spans="1:13">
      <c r="A43" s="340">
        <v>221108</v>
      </c>
      <c r="B43" s="336">
        <f t="shared" ca="1" si="0"/>
        <v>17</v>
      </c>
      <c r="C43" s="337">
        <f>VLOOKUP(A43,'220'!$X$2:$AF$79,6,FALSE)</f>
        <v>42950</v>
      </c>
      <c r="D43" s="336">
        <f t="shared" ca="1" si="1"/>
        <v>27</v>
      </c>
      <c r="E43" s="337">
        <f>VLOOKUP(A43,'220'!$P$2:$W$79,2,FALSE)</f>
        <v>42960</v>
      </c>
      <c r="F43" s="336">
        <f t="shared" ca="1" si="2"/>
        <v>81</v>
      </c>
      <c r="G43" s="352">
        <f>VLOOKUP(A43,'220'!$AK$2:$AO$78,2,FALSE)</f>
        <v>43014</v>
      </c>
      <c r="H43" s="399" t="str">
        <f>IFERROR(VLOOKUP(K43,'Brake Pad Workorders'!$X:$Y,2,FALSE),"")</f>
        <v/>
      </c>
      <c r="I43" s="397" t="s">
        <v>137</v>
      </c>
      <c r="J43" s="340">
        <v>221108</v>
      </c>
      <c r="K43" s="367" t="str">
        <f t="shared" si="3"/>
        <v>221108</v>
      </c>
      <c r="L43" t="str">
        <f t="shared" si="4"/>
        <v/>
      </c>
      <c r="M43" s="402" t="str">
        <f>IFERROR(VLOOKUP(K43,'Brake Pad Workorders'!$X:$Z,3,FALSE),"")</f>
        <v/>
      </c>
    </row>
    <row r="44" spans="1:13">
      <c r="A44" s="340">
        <v>221109</v>
      </c>
      <c r="B44" s="336">
        <f t="shared" ca="1" si="0"/>
        <v>18</v>
      </c>
      <c r="C44" s="337">
        <f>VLOOKUP(A44,'220'!$X$2:$AF$79,6,FALSE)</f>
        <v>42951</v>
      </c>
      <c r="D44" s="336">
        <f t="shared" ca="1" si="1"/>
        <v>25</v>
      </c>
      <c r="E44" s="337">
        <f>VLOOKUP(A44,'220'!$P$2:$W$79,2,FALSE)</f>
        <v>42958</v>
      </c>
      <c r="F44" s="336">
        <f t="shared" ca="1" si="2"/>
        <v>77</v>
      </c>
      <c r="G44" s="352">
        <f>VLOOKUP(A44,'220'!$AK$2:$AO$78,2,FALSE)</f>
        <v>43010</v>
      </c>
      <c r="H44" s="399" t="str">
        <f>IFERROR(VLOOKUP(K44,'Brake Pad Workorders'!$X:$Y,2,FALSE),"")</f>
        <v/>
      </c>
      <c r="I44" s="397" t="s">
        <v>137</v>
      </c>
      <c r="J44" s="340">
        <v>221109</v>
      </c>
      <c r="K44" s="367" t="str">
        <f t="shared" si="3"/>
        <v>221109</v>
      </c>
      <c r="L44" t="str">
        <f t="shared" si="4"/>
        <v/>
      </c>
      <c r="M44" s="402" t="str">
        <f>IFERROR(VLOOKUP(K44,'Brake Pad Workorders'!$X:$Z,3,FALSE),"")</f>
        <v/>
      </c>
    </row>
    <row r="45" spans="1:13">
      <c r="A45" s="340">
        <v>221110</v>
      </c>
      <c r="B45" s="336">
        <f t="shared" ca="1" si="0"/>
        <v>25</v>
      </c>
      <c r="C45" s="337">
        <f>VLOOKUP(A45,'220'!$X$2:$AF$79,6,FALSE)</f>
        <v>42958</v>
      </c>
      <c r="D45" s="336">
        <f t="shared" ca="1" si="1"/>
        <v>33</v>
      </c>
      <c r="E45" s="337">
        <f>VLOOKUP(A45,'220'!$P$2:$W$79,2,FALSE)</f>
        <v>42966</v>
      </c>
      <c r="F45" s="336">
        <f t="shared" ca="1" si="2"/>
        <v>83</v>
      </c>
      <c r="G45" s="352">
        <f>VLOOKUP(A45,'220'!$AK$2:$AO$78,2,FALSE)</f>
        <v>43016</v>
      </c>
      <c r="H45" s="399" t="str">
        <f>IFERROR(VLOOKUP(K45,'Brake Pad Workorders'!$X:$Y,2,FALSE),"")</f>
        <v/>
      </c>
      <c r="I45" s="397" t="s">
        <v>137</v>
      </c>
      <c r="J45" s="340">
        <v>221110</v>
      </c>
      <c r="K45" s="367" t="str">
        <f t="shared" si="3"/>
        <v>221110</v>
      </c>
      <c r="L45" t="str">
        <f t="shared" si="4"/>
        <v/>
      </c>
      <c r="M45" s="402" t="str">
        <f>IFERROR(VLOOKUP(K45,'Brake Pad Workorders'!$X:$Z,3,FALSE),"")</f>
        <v/>
      </c>
    </row>
    <row r="46" spans="1:13">
      <c r="A46" s="340">
        <v>221111</v>
      </c>
      <c r="B46" s="336">
        <f t="shared" ca="1" si="0"/>
        <v>3</v>
      </c>
      <c r="C46" s="337">
        <f>VLOOKUP(A46,'220'!$X$2:$AF$79,6,FALSE)</f>
        <v>42936</v>
      </c>
      <c r="D46" s="336">
        <f t="shared" ca="1" si="1"/>
        <v>46</v>
      </c>
      <c r="E46" s="337">
        <f>VLOOKUP(A46,'220'!$P$2:$W$79,2,FALSE)</f>
        <v>42979</v>
      </c>
      <c r="F46" s="336">
        <f t="shared" ca="1" si="2"/>
        <v>8</v>
      </c>
      <c r="G46" s="352">
        <f>VLOOKUP(A46,'220'!$AK$2:$AO$78,2,FALSE)</f>
        <v>42941</v>
      </c>
      <c r="H46" s="399" t="str">
        <f>IFERROR(VLOOKUP(K46,'Brake Pad Workorders'!$X:$Y,2,FALSE),"")</f>
        <v>TOPLAN</v>
      </c>
      <c r="I46" s="397" t="s">
        <v>137</v>
      </c>
      <c r="J46" s="340">
        <v>221111</v>
      </c>
      <c r="K46" s="367" t="str">
        <f t="shared" si="3"/>
        <v>221111</v>
      </c>
      <c r="L46" t="str">
        <f t="shared" si="4"/>
        <v>TOPLAN</v>
      </c>
      <c r="M46" s="402" t="str">
        <f>IFERROR(VLOOKUP(K46,'Brake Pad Workorders'!$X:$Z,3,FALSE),"")</f>
        <v>9168833</v>
      </c>
    </row>
    <row r="47" spans="1:13">
      <c r="A47" s="340">
        <v>221112</v>
      </c>
      <c r="B47" s="336">
        <f t="shared" ca="1" si="0"/>
        <v>17</v>
      </c>
      <c r="C47" s="337">
        <f>VLOOKUP(A47,'220'!$X$2:$AF$79,6,FALSE)</f>
        <v>42950</v>
      </c>
      <c r="D47" s="336">
        <f t="shared" ca="1" si="1"/>
        <v>14</v>
      </c>
      <c r="E47" s="337">
        <f>VLOOKUP(A47,'220'!$P$2:$W$79,2,FALSE)</f>
        <v>42947</v>
      </c>
      <c r="F47" s="336">
        <f t="shared" ca="1" si="2"/>
        <v>23</v>
      </c>
      <c r="G47" s="352">
        <f>VLOOKUP(A47,'220'!$AK$2:$AO$78,2,FALSE)</f>
        <v>42956</v>
      </c>
      <c r="H47" s="399" t="str">
        <f>IFERROR(VLOOKUP(K47,'Brake Pad Workorders'!$X:$Y,2,FALSE),"")</f>
        <v/>
      </c>
      <c r="I47" s="397" t="s">
        <v>137</v>
      </c>
      <c r="J47" s="340">
        <v>221112</v>
      </c>
      <c r="K47" s="367" t="str">
        <f t="shared" si="3"/>
        <v>221112</v>
      </c>
      <c r="L47" t="str">
        <f t="shared" si="4"/>
        <v/>
      </c>
      <c r="M47" s="402" t="str">
        <f>IFERROR(VLOOKUP(K47,'Brake Pad Workorders'!$X:$Z,3,FALSE),"")</f>
        <v/>
      </c>
    </row>
    <row r="48" spans="1:13">
      <c r="A48" s="340">
        <v>221113</v>
      </c>
      <c r="B48" s="336">
        <f t="shared" ca="1" si="0"/>
        <v>8</v>
      </c>
      <c r="C48" s="337">
        <f>VLOOKUP(A48,'220'!$X$2:$AF$79,6,FALSE)</f>
        <v>42941</v>
      </c>
      <c r="D48" s="336">
        <f t="shared" ca="1" si="1"/>
        <v>29</v>
      </c>
      <c r="E48" s="337">
        <f>VLOOKUP(A48,'220'!$P$2:$W$79,2,FALSE)</f>
        <v>42962</v>
      </c>
      <c r="F48" s="336">
        <f t="shared" ca="1" si="2"/>
        <v>39</v>
      </c>
      <c r="G48" s="352">
        <f>VLOOKUP(A48,'220'!$AK$2:$AO$78,2,FALSE)</f>
        <v>42972</v>
      </c>
      <c r="H48" s="399" t="str">
        <f>IFERROR(VLOOKUP(K48,'Brake Pad Workorders'!$X:$Y,2,FALSE),"")</f>
        <v/>
      </c>
      <c r="I48" s="397" t="s">
        <v>137</v>
      </c>
      <c r="J48" s="340">
        <v>221113</v>
      </c>
      <c r="K48" s="367" t="str">
        <f t="shared" si="3"/>
        <v>221113</v>
      </c>
      <c r="L48" t="str">
        <f t="shared" si="4"/>
        <v/>
      </c>
      <c r="M48" s="402" t="str">
        <f>IFERROR(VLOOKUP(K48,'Brake Pad Workorders'!$X:$Z,3,FALSE),"")</f>
        <v/>
      </c>
    </row>
    <row r="49" spans="1:13">
      <c r="A49" s="340">
        <v>221114</v>
      </c>
      <c r="B49" s="336">
        <f t="shared" ca="1" si="0"/>
        <v>6</v>
      </c>
      <c r="C49" s="337">
        <f>VLOOKUP(A49,'220'!$X$2:$AF$79,6,FALSE)</f>
        <v>42939</v>
      </c>
      <c r="D49" s="336">
        <f t="shared" ca="1" si="1"/>
        <v>1</v>
      </c>
      <c r="E49" s="337">
        <f>VLOOKUP(A49,'220'!$P$2:$W$79,2,FALSE)</f>
        <v>42934</v>
      </c>
      <c r="F49" s="336">
        <f t="shared" ca="1" si="2"/>
        <v>6</v>
      </c>
      <c r="G49" s="352">
        <f>VLOOKUP(A49,'220'!$AK$2:$AO$78,2,FALSE)</f>
        <v>42939</v>
      </c>
      <c r="H49" s="399" t="str">
        <f>IFERROR(VLOOKUP(K49,'Brake Pad Workorders'!$X:$Y,2,FALSE),"")</f>
        <v>TOPLAN</v>
      </c>
      <c r="I49" s="397" t="s">
        <v>137</v>
      </c>
      <c r="J49" s="340">
        <v>221114</v>
      </c>
      <c r="K49" s="367" t="str">
        <f t="shared" si="3"/>
        <v>221114</v>
      </c>
      <c r="L49" t="str">
        <f t="shared" si="4"/>
        <v>TOPLAN</v>
      </c>
      <c r="M49" s="402" t="str">
        <f>IFERROR(VLOOKUP(K49,'Brake Pad Workorders'!$X:$Z,3,FALSE),"")</f>
        <v>9162774</v>
      </c>
    </row>
    <row r="50" spans="1:13">
      <c r="A50" s="340">
        <v>221115</v>
      </c>
      <c r="B50" s="336">
        <f t="shared" ca="1" si="0"/>
        <v>11</v>
      </c>
      <c r="C50" s="337">
        <f>VLOOKUP(A50,'220'!$X$2:$AF$79,6,FALSE)</f>
        <v>42944</v>
      </c>
      <c r="D50" s="336">
        <f t="shared" ca="1" si="1"/>
        <v>37</v>
      </c>
      <c r="E50" s="337">
        <f>VLOOKUP(A50,'220'!$P$2:$W$79,2,FALSE)</f>
        <v>42970</v>
      </c>
      <c r="F50" s="336">
        <f t="shared" ca="1" si="2"/>
        <v>41</v>
      </c>
      <c r="G50" s="352">
        <f>VLOOKUP(A50,'220'!$AK$2:$AO$78,2,FALSE)</f>
        <v>42974</v>
      </c>
      <c r="H50" s="399" t="str">
        <f>IFERROR(VLOOKUP(K50,'Brake Pad Workorders'!$X:$Y,2,FALSE),"")</f>
        <v/>
      </c>
      <c r="I50" s="397" t="s">
        <v>137</v>
      </c>
      <c r="J50" s="340">
        <v>221115</v>
      </c>
      <c r="K50" s="367" t="str">
        <f t="shared" si="3"/>
        <v>221115</v>
      </c>
      <c r="L50" t="str">
        <f t="shared" si="4"/>
        <v/>
      </c>
      <c r="M50" s="402" t="str">
        <f>IFERROR(VLOOKUP(K50,'Brake Pad Workorders'!$X:$Z,3,FALSE),"")</f>
        <v/>
      </c>
    </row>
    <row r="51" spans="1:13">
      <c r="A51" s="340">
        <v>221116</v>
      </c>
      <c r="B51" s="336">
        <f t="shared" ca="1" si="0"/>
        <v>-2</v>
      </c>
      <c r="C51" s="337">
        <f>VLOOKUP(A51,'220'!$X$2:$AF$79,6,FALSE)</f>
        <v>42931</v>
      </c>
      <c r="D51" s="336">
        <f t="shared" ca="1" si="1"/>
        <v>8</v>
      </c>
      <c r="E51" s="337">
        <f>VLOOKUP(A51,'220'!$P$2:$W$79,2,FALSE)</f>
        <v>42941</v>
      </c>
      <c r="F51" s="336">
        <f t="shared" ca="1" si="2"/>
        <v>60</v>
      </c>
      <c r="G51" s="352">
        <f>VLOOKUP(A51,'220'!$AK$2:$AO$78,2,FALSE)</f>
        <v>42993</v>
      </c>
      <c r="H51" s="399" t="str">
        <f>IFERROR(VLOOKUP(K51,'Brake Pad Workorders'!$X:$Y,2,FALSE),"")</f>
        <v>CHECKED</v>
      </c>
      <c r="I51" s="397" t="s">
        <v>137</v>
      </c>
      <c r="J51" s="340">
        <v>221116</v>
      </c>
      <c r="K51" s="367" t="str">
        <f t="shared" si="3"/>
        <v>221116</v>
      </c>
      <c r="L51" t="str">
        <f t="shared" si="4"/>
        <v>CHECKED</v>
      </c>
      <c r="M51" s="402" t="str">
        <f>IFERROR(VLOOKUP(K51,'Brake Pad Workorders'!$X:$Z,3,FALSE),"")</f>
        <v>9161060</v>
      </c>
    </row>
    <row r="52" spans="1:13">
      <c r="A52" s="340">
        <v>221117</v>
      </c>
      <c r="B52" s="336">
        <f t="shared" ca="1" si="0"/>
        <v>31</v>
      </c>
      <c r="C52" s="337">
        <f>VLOOKUP(A52,'220'!$X$2:$AF$79,6,FALSE)</f>
        <v>42964</v>
      </c>
      <c r="D52" s="336">
        <f t="shared" ca="1" si="1"/>
        <v>2</v>
      </c>
      <c r="E52" s="337">
        <f>VLOOKUP(A52,'220'!$P$2:$W$79,2,FALSE)</f>
        <v>42935</v>
      </c>
      <c r="F52" s="336">
        <f t="shared" ca="1" si="2"/>
        <v>53</v>
      </c>
      <c r="G52" s="352">
        <f>VLOOKUP(A52,'220'!$AK$2:$AO$78,2,FALSE)</f>
        <v>42986</v>
      </c>
      <c r="H52" s="399" t="str">
        <f>IFERROR(VLOOKUP(K52,'Brake Pad Workorders'!$X:$Y,2,FALSE),"")</f>
        <v>TOPLAN</v>
      </c>
      <c r="I52" s="397" t="s">
        <v>137</v>
      </c>
      <c r="J52" s="340">
        <v>221117</v>
      </c>
      <c r="K52" s="367" t="str">
        <f t="shared" si="3"/>
        <v>221117</v>
      </c>
      <c r="L52" t="str">
        <f t="shared" si="4"/>
        <v>TOPLAN</v>
      </c>
      <c r="M52" s="402" t="str">
        <f>IFERROR(VLOOKUP(K52,'Brake Pad Workorders'!$X:$Z,3,FALSE),"")</f>
        <v>8728044</v>
      </c>
    </row>
    <row r="53" spans="1:13">
      <c r="A53" s="340">
        <v>221118</v>
      </c>
      <c r="B53" s="336">
        <f t="shared" ca="1" si="0"/>
        <v>6</v>
      </c>
      <c r="C53" s="337">
        <f>VLOOKUP(A53,'220'!$X$2:$AF$79,6,FALSE)</f>
        <v>42939</v>
      </c>
      <c r="D53" s="336">
        <f t="shared" ca="1" si="1"/>
        <v>16</v>
      </c>
      <c r="E53" s="337">
        <f>VLOOKUP(A53,'220'!$P$2:$W$79,2,FALSE)</f>
        <v>42949</v>
      </c>
      <c r="F53" s="336">
        <f t="shared" ca="1" si="2"/>
        <v>72</v>
      </c>
      <c r="G53" s="352">
        <f>VLOOKUP(A53,'220'!$AK$2:$AO$78,2,FALSE)</f>
        <v>43005</v>
      </c>
      <c r="H53" s="399" t="str">
        <f>IFERROR(VLOOKUP(K53,'Brake Pad Workorders'!$X:$Y,2,FALSE),"")</f>
        <v/>
      </c>
      <c r="I53" s="397" t="s">
        <v>137</v>
      </c>
      <c r="J53" s="340">
        <v>221118</v>
      </c>
      <c r="K53" s="367" t="str">
        <f t="shared" si="3"/>
        <v>221118</v>
      </c>
      <c r="L53" t="str">
        <f t="shared" si="4"/>
        <v/>
      </c>
      <c r="M53" s="402" t="str">
        <f>IFERROR(VLOOKUP(K53,'Brake Pad Workorders'!$X:$Z,3,FALSE),"")</f>
        <v/>
      </c>
    </row>
    <row r="54" spans="1:13">
      <c r="A54" s="340">
        <v>221119</v>
      </c>
      <c r="B54" s="336">
        <f t="shared" ca="1" si="0"/>
        <v>12</v>
      </c>
      <c r="C54" s="337">
        <f>VLOOKUP(A54,'220'!$X$2:$AF$79,6,FALSE)</f>
        <v>42945</v>
      </c>
      <c r="D54" s="336">
        <f t="shared" ca="1" si="1"/>
        <v>1</v>
      </c>
      <c r="E54" s="337">
        <f>VLOOKUP(A54,'220'!$P$2:$W$79,2,FALSE)</f>
        <v>42934</v>
      </c>
      <c r="F54" s="336">
        <f t="shared" ca="1" si="2"/>
        <v>13</v>
      </c>
      <c r="G54" s="352">
        <f>VLOOKUP(A54,'220'!$AK$2:$AO$78,2,FALSE)</f>
        <v>42946</v>
      </c>
      <c r="H54" s="399" t="str">
        <f>IFERROR(VLOOKUP(K54,'Brake Pad Workorders'!$X:$Y,2,FALSE),"")</f>
        <v>CHECKED</v>
      </c>
      <c r="I54" s="397" t="s">
        <v>137</v>
      </c>
      <c r="J54" s="340">
        <v>221119</v>
      </c>
      <c r="K54" s="367" t="str">
        <f t="shared" si="3"/>
        <v>221119</v>
      </c>
      <c r="L54" t="str">
        <f t="shared" si="4"/>
        <v>CHECKED</v>
      </c>
      <c r="M54" s="402" t="str">
        <f>IFERROR(VLOOKUP(K54,'Brake Pad Workorders'!$X:$Z,3,FALSE),"")</f>
        <v>9161930</v>
      </c>
    </row>
    <row r="55" spans="1:13">
      <c r="A55" s="340">
        <v>221120</v>
      </c>
      <c r="B55" s="336">
        <f t="shared" ca="1" si="0"/>
        <v>8</v>
      </c>
      <c r="C55" s="337">
        <f>VLOOKUP(A55,'220'!$X$2:$AF$79,6,FALSE)</f>
        <v>42941</v>
      </c>
      <c r="D55" s="336">
        <f t="shared" ca="1" si="1"/>
        <v>10</v>
      </c>
      <c r="E55" s="337">
        <f>VLOOKUP(A55,'220'!$P$2:$W$79,2,FALSE)</f>
        <v>42943</v>
      </c>
      <c r="F55" s="336">
        <f t="shared" ca="1" si="2"/>
        <v>61</v>
      </c>
      <c r="G55" s="352">
        <f>VLOOKUP(A55,'220'!$AK$2:$AO$78,2,FALSE)</f>
        <v>42994</v>
      </c>
      <c r="H55" s="399" t="str">
        <f>IFERROR(VLOOKUP(K55,'Brake Pad Workorders'!$X:$Y,2,FALSE),"")</f>
        <v/>
      </c>
      <c r="I55" s="397" t="s">
        <v>137</v>
      </c>
      <c r="J55" s="340">
        <v>221120</v>
      </c>
      <c r="K55" s="367" t="str">
        <f t="shared" si="3"/>
        <v>221120</v>
      </c>
      <c r="L55" t="str">
        <f t="shared" si="4"/>
        <v/>
      </c>
      <c r="M55" s="402" t="str">
        <f>IFERROR(VLOOKUP(K55,'Brake Pad Workorders'!$X:$Z,3,FALSE),"")</f>
        <v/>
      </c>
    </row>
    <row r="56" spans="1:13">
      <c r="A56" s="340">
        <v>221121</v>
      </c>
      <c r="B56" s="336">
        <f t="shared" ca="1" si="0"/>
        <v>28</v>
      </c>
      <c r="C56" s="337">
        <f>VLOOKUP(A56,'220'!$X$2:$AF$79,6,FALSE)</f>
        <v>42961</v>
      </c>
      <c r="D56" s="336">
        <f t="shared" ca="1" si="1"/>
        <v>12</v>
      </c>
      <c r="E56" s="337">
        <f>VLOOKUP(A56,'220'!$P$2:$W$79,2,FALSE)</f>
        <v>42945</v>
      </c>
      <c r="F56" s="336">
        <f t="shared" ca="1" si="2"/>
        <v>67</v>
      </c>
      <c r="G56" s="352">
        <f>VLOOKUP(A56,'220'!$AK$2:$AO$78,2,FALSE)</f>
        <v>43000</v>
      </c>
      <c r="H56" s="399" t="str">
        <f>IFERROR(VLOOKUP(K56,'Brake Pad Workorders'!$X:$Y,2,FALSE),"")</f>
        <v>TOPLAN</v>
      </c>
      <c r="I56" s="397" t="s">
        <v>137</v>
      </c>
      <c r="J56" s="340">
        <v>221121</v>
      </c>
      <c r="K56" s="367" t="str">
        <f t="shared" si="3"/>
        <v>221121</v>
      </c>
      <c r="L56" t="str">
        <f t="shared" si="4"/>
        <v>TOPLAN</v>
      </c>
      <c r="M56" s="402" t="str">
        <f>IFERROR(VLOOKUP(K56,'Brake Pad Workorders'!$X:$Z,3,FALSE),"")</f>
        <v>8705342</v>
      </c>
    </row>
    <row r="57" spans="1:13">
      <c r="A57" s="340">
        <v>221122</v>
      </c>
      <c r="B57" s="336">
        <f t="shared" ca="1" si="0"/>
        <v>22</v>
      </c>
      <c r="C57" s="337">
        <f>VLOOKUP(A57,'220'!$X$2:$AF$79,6,FALSE)</f>
        <v>42955</v>
      </c>
      <c r="D57" s="336">
        <f t="shared" ca="1" si="1"/>
        <v>27</v>
      </c>
      <c r="E57" s="337">
        <f>VLOOKUP(A57,'220'!$P$2:$W$79,2,FALSE)</f>
        <v>42960</v>
      </c>
      <c r="F57" s="336">
        <f t="shared" ca="1" si="2"/>
        <v>80</v>
      </c>
      <c r="G57" s="352">
        <f>VLOOKUP(A57,'220'!$AK$2:$AO$78,2,FALSE)</f>
        <v>43013</v>
      </c>
      <c r="H57" s="399" t="str">
        <f>IFERROR(VLOOKUP(K57,'Brake Pad Workorders'!$X:$Y,2,FALSE),"")</f>
        <v/>
      </c>
      <c r="I57" s="397" t="s">
        <v>137</v>
      </c>
      <c r="J57" s="340">
        <v>221122</v>
      </c>
      <c r="K57" s="367" t="str">
        <f t="shared" si="3"/>
        <v>221122</v>
      </c>
      <c r="L57" t="str">
        <f t="shared" si="4"/>
        <v/>
      </c>
      <c r="M57" s="402" t="str">
        <f>IFERROR(VLOOKUP(K57,'Brake Pad Workorders'!$X:$Z,3,FALSE),"")</f>
        <v/>
      </c>
    </row>
    <row r="58" spans="1:13">
      <c r="A58" s="340">
        <v>221123</v>
      </c>
      <c r="B58" s="336">
        <f t="shared" ca="1" si="0"/>
        <v>23</v>
      </c>
      <c r="C58" s="337">
        <f>VLOOKUP(A58,'220'!$X$2:$AF$79,6,FALSE)</f>
        <v>42956</v>
      </c>
      <c r="D58" s="336">
        <f t="shared" ca="1" si="1"/>
        <v>29</v>
      </c>
      <c r="E58" s="337">
        <f>VLOOKUP(A58,'220'!$P$2:$W$79,2,FALSE)</f>
        <v>42962</v>
      </c>
      <c r="F58" s="336">
        <f t="shared" ca="1" si="2"/>
        <v>86</v>
      </c>
      <c r="G58" s="352">
        <f>VLOOKUP(A58,'220'!$AK$2:$AO$78,2,FALSE)</f>
        <v>43019</v>
      </c>
      <c r="H58" s="399" t="str">
        <f>IFERROR(VLOOKUP(K58,'Brake Pad Workorders'!$X:$Y,2,FALSE),"")</f>
        <v/>
      </c>
      <c r="I58" s="397" t="s">
        <v>137</v>
      </c>
      <c r="J58" s="340">
        <v>221123</v>
      </c>
      <c r="K58" s="367" t="str">
        <f t="shared" si="3"/>
        <v>221123</v>
      </c>
      <c r="L58" t="str">
        <f t="shared" si="4"/>
        <v/>
      </c>
      <c r="M58" s="402" t="str">
        <f>IFERROR(VLOOKUP(K58,'Brake Pad Workorders'!$X:$Z,3,FALSE),"")</f>
        <v/>
      </c>
    </row>
    <row r="59" spans="1:13">
      <c r="A59" s="340">
        <v>221124</v>
      </c>
      <c r="B59" s="336">
        <f t="shared" ca="1" si="0"/>
        <v>23</v>
      </c>
      <c r="C59" s="337">
        <f>VLOOKUP(A59,'220'!$X$2:$AF$79,6,FALSE)</f>
        <v>42956</v>
      </c>
      <c r="D59" s="336">
        <f t="shared" ca="1" si="1"/>
        <v>28</v>
      </c>
      <c r="E59" s="337">
        <f>VLOOKUP(A59,'220'!$P$2:$W$79,2,FALSE)</f>
        <v>42961</v>
      </c>
      <c r="F59" s="336">
        <f t="shared" ca="1" si="2"/>
        <v>84</v>
      </c>
      <c r="G59" s="352">
        <f>VLOOKUP(A59,'220'!$AK$2:$AO$78,2,FALSE)</f>
        <v>43017</v>
      </c>
      <c r="H59" s="399" t="str">
        <f>IFERROR(VLOOKUP(K59,'Brake Pad Workorders'!$X:$Y,2,FALSE),"")</f>
        <v/>
      </c>
      <c r="I59" s="397" t="s">
        <v>137</v>
      </c>
      <c r="J59" s="340">
        <v>221124</v>
      </c>
      <c r="K59" s="367" t="str">
        <f t="shared" si="3"/>
        <v>221124</v>
      </c>
      <c r="L59" t="str">
        <f t="shared" si="4"/>
        <v/>
      </c>
      <c r="M59" s="402" t="str">
        <f>IFERROR(VLOOKUP(K59,'Brake Pad Workorders'!$X:$Z,3,FALSE),"")</f>
        <v/>
      </c>
    </row>
    <row r="60" spans="1:13">
      <c r="A60" s="340">
        <v>221125</v>
      </c>
      <c r="B60" s="336">
        <f t="shared" ca="1" si="0"/>
        <v>18</v>
      </c>
      <c r="C60" s="337">
        <f>VLOOKUP(A60,'220'!$X$2:$AF$79,6,FALSE)</f>
        <v>42951</v>
      </c>
      <c r="D60" s="336">
        <f t="shared" ca="1" si="1"/>
        <v>34</v>
      </c>
      <c r="E60" s="337">
        <f>VLOOKUP(A60,'220'!$P$2:$W$79,2,FALSE)</f>
        <v>42967</v>
      </c>
      <c r="F60" s="336">
        <f t="shared" ca="1" si="2"/>
        <v>0</v>
      </c>
      <c r="G60" s="352">
        <f>VLOOKUP(A60,'220'!$AK$2:$AO$78,2,FALSE)</f>
        <v>42933</v>
      </c>
      <c r="H60" s="399" t="str">
        <f>IFERROR(VLOOKUP(K60,'Brake Pad Workorders'!$X:$Y,2,FALSE),"")</f>
        <v>CHECKED</v>
      </c>
      <c r="I60" s="397" t="s">
        <v>137</v>
      </c>
      <c r="J60" s="340">
        <v>221125</v>
      </c>
      <c r="K60" s="367" t="str">
        <f t="shared" si="3"/>
        <v>221125</v>
      </c>
      <c r="L60" t="str">
        <f t="shared" si="4"/>
        <v>CHECKED</v>
      </c>
      <c r="M60" s="402" t="str">
        <f>IFERROR(VLOOKUP(K60,'Brake Pad Workorders'!$X:$Z,3,FALSE),"")</f>
        <v>9156420</v>
      </c>
    </row>
    <row r="61" spans="1:13">
      <c r="A61" s="340">
        <v>221126</v>
      </c>
      <c r="B61" s="336">
        <f t="shared" ca="1" si="0"/>
        <v>29</v>
      </c>
      <c r="C61" s="337">
        <f>VLOOKUP(A61,'220'!$X$2:$AF$79,6,FALSE)</f>
        <v>42962</v>
      </c>
      <c r="D61" s="336">
        <f t="shared" ca="1" si="1"/>
        <v>36</v>
      </c>
      <c r="E61" s="337">
        <f>VLOOKUP(A61,'220'!$P$2:$W$79,2,FALSE)</f>
        <v>42969</v>
      </c>
      <c r="F61" s="336">
        <f t="shared" ca="1" si="2"/>
        <v>-4</v>
      </c>
      <c r="G61" s="352">
        <f>VLOOKUP(A61,'220'!$AK$2:$AO$78,2,FALSE)</f>
        <v>42929</v>
      </c>
      <c r="H61" s="399" t="str">
        <f>IFERROR(VLOOKUP(K61,'Brake Pad Workorders'!$X:$Y,2,FALSE),"")</f>
        <v/>
      </c>
      <c r="I61" s="397" t="s">
        <v>137</v>
      </c>
      <c r="J61" s="340">
        <v>221126</v>
      </c>
      <c r="K61" s="367" t="str">
        <f t="shared" si="3"/>
        <v>221126</v>
      </c>
      <c r="L61" t="str">
        <f t="shared" si="4"/>
        <v/>
      </c>
      <c r="M61" s="402" t="str">
        <f>IFERROR(VLOOKUP(K61,'Brake Pad Workorders'!$X:$Z,3,FALSE),"")</f>
        <v/>
      </c>
    </row>
    <row r="62" spans="1:13">
      <c r="A62" s="340">
        <v>221127</v>
      </c>
      <c r="B62" s="336">
        <f t="shared" ca="1" si="0"/>
        <v>1</v>
      </c>
      <c r="C62" s="337">
        <f>VLOOKUP(A62,'220'!$X$2:$AF$79,6,FALSE)</f>
        <v>42934</v>
      </c>
      <c r="D62" s="336">
        <f t="shared" ca="1" si="1"/>
        <v>17</v>
      </c>
      <c r="E62" s="337">
        <f>VLOOKUP(A62,'220'!$P$2:$W$79,2,FALSE)</f>
        <v>42950</v>
      </c>
      <c r="F62" s="336">
        <f t="shared" ca="1" si="2"/>
        <v>78</v>
      </c>
      <c r="G62" s="352">
        <f>VLOOKUP(A62,'220'!$AK$2:$AO$78,2,FALSE)</f>
        <v>43011</v>
      </c>
      <c r="H62" s="399" t="str">
        <f>IFERROR(VLOOKUP(K62,'Brake Pad Workorders'!$X:$Y,2,FALSE),"")</f>
        <v>TOPLAN</v>
      </c>
      <c r="I62" s="397" t="s">
        <v>137</v>
      </c>
      <c r="J62" s="340">
        <v>221127</v>
      </c>
      <c r="K62" s="367" t="str">
        <f t="shared" si="3"/>
        <v>221127</v>
      </c>
      <c r="L62" t="str">
        <f t="shared" si="4"/>
        <v>TOPLAN</v>
      </c>
      <c r="M62" s="402" t="str">
        <f>IFERROR(VLOOKUP(K62,'Brake Pad Workorders'!$X:$Z,3,FALSE),"")</f>
        <v>9168664</v>
      </c>
    </row>
    <row r="63" spans="1:13">
      <c r="A63" s="340">
        <v>221128</v>
      </c>
      <c r="B63" s="336">
        <f t="shared" ca="1" si="0"/>
        <v>23</v>
      </c>
      <c r="C63" s="337">
        <f>VLOOKUP(A63,'220'!$X$2:$AF$79,6,FALSE)</f>
        <v>42956</v>
      </c>
      <c r="D63" s="336">
        <f t="shared" ca="1" si="1"/>
        <v>4</v>
      </c>
      <c r="E63" s="337">
        <f>VLOOKUP(A63,'220'!$P$2:$W$79,2,FALSE)</f>
        <v>42937</v>
      </c>
      <c r="F63" s="336">
        <f t="shared" ca="1" si="2"/>
        <v>56</v>
      </c>
      <c r="G63" s="352">
        <f>VLOOKUP(A63,'220'!$AK$2:$AO$78,2,FALSE)</f>
        <v>42989</v>
      </c>
      <c r="H63" s="399" t="str">
        <f>IFERROR(VLOOKUP(K63,'Brake Pad Workorders'!$X:$Y,2,FALSE),"")</f>
        <v/>
      </c>
      <c r="I63" s="397" t="s">
        <v>137</v>
      </c>
      <c r="J63" s="340">
        <v>221128</v>
      </c>
      <c r="K63" s="367" t="str">
        <f t="shared" si="3"/>
        <v>221128</v>
      </c>
      <c r="L63" t="str">
        <f t="shared" si="4"/>
        <v/>
      </c>
      <c r="M63" s="402" t="str">
        <f>IFERROR(VLOOKUP(K63,'Brake Pad Workorders'!$X:$Z,3,FALSE),"")</f>
        <v/>
      </c>
    </row>
    <row r="64" spans="1:13">
      <c r="A64" s="340">
        <v>221129</v>
      </c>
      <c r="B64" s="336">
        <f t="shared" ca="1" si="0"/>
        <v>18</v>
      </c>
      <c r="C64" s="337">
        <f>VLOOKUP(A64,'220'!$X$2:$AF$79,6,FALSE)</f>
        <v>42951</v>
      </c>
      <c r="D64" s="336">
        <f t="shared" ca="1" si="1"/>
        <v>46</v>
      </c>
      <c r="E64" s="337">
        <f>VLOOKUP(A64,'220'!$P$2:$W$79,2,FALSE)</f>
        <v>42979</v>
      </c>
      <c r="F64" s="336">
        <f t="shared" ca="1" si="2"/>
        <v>51</v>
      </c>
      <c r="G64" s="352">
        <f>VLOOKUP(A64,'220'!$AK$2:$AO$78,2,FALSE)</f>
        <v>42984</v>
      </c>
      <c r="H64" s="399" t="str">
        <f>IFERROR(VLOOKUP(K64,'Brake Pad Workorders'!$X:$Y,2,FALSE),"")</f>
        <v/>
      </c>
      <c r="I64" s="397" t="s">
        <v>137</v>
      </c>
      <c r="J64" s="340">
        <v>221129</v>
      </c>
      <c r="K64" s="367" t="str">
        <f t="shared" si="3"/>
        <v>221129</v>
      </c>
      <c r="L64" t="str">
        <f t="shared" si="4"/>
        <v/>
      </c>
      <c r="M64" s="402" t="str">
        <f>IFERROR(VLOOKUP(K64,'Brake Pad Workorders'!$X:$Z,3,FALSE),"")</f>
        <v/>
      </c>
    </row>
    <row r="65" spans="1:13">
      <c r="A65" s="340">
        <v>221130</v>
      </c>
      <c r="B65" s="336">
        <f t="shared" ca="1" si="0"/>
        <v>6</v>
      </c>
      <c r="C65" s="337">
        <f>VLOOKUP(A65,'220'!$X$2:$AF$79,6,FALSE)</f>
        <v>42939</v>
      </c>
      <c r="D65" s="336">
        <f t="shared" ca="1" si="1"/>
        <v>22</v>
      </c>
      <c r="E65" s="337">
        <f>VLOOKUP(A65,'220'!$P$2:$W$79,2,FALSE)</f>
        <v>42955</v>
      </c>
      <c r="F65" s="336">
        <f t="shared" ca="1" si="2"/>
        <v>79</v>
      </c>
      <c r="G65" s="352">
        <f>VLOOKUP(A65,'220'!$AK$2:$AO$78,2,FALSE)</f>
        <v>43012</v>
      </c>
      <c r="H65" s="399" t="str">
        <f>IFERROR(VLOOKUP(K65,'Brake Pad Workorders'!$X:$Y,2,FALSE),"")</f>
        <v/>
      </c>
      <c r="I65" s="397" t="s">
        <v>137</v>
      </c>
      <c r="J65" s="340">
        <v>221130</v>
      </c>
      <c r="K65" s="367" t="str">
        <f t="shared" si="3"/>
        <v>221130</v>
      </c>
      <c r="L65" t="str">
        <f t="shared" si="4"/>
        <v/>
      </c>
      <c r="M65" s="402" t="str">
        <f>IFERROR(VLOOKUP(K65,'Brake Pad Workorders'!$X:$Z,3,FALSE),"")</f>
        <v/>
      </c>
    </row>
    <row r="66" spans="1:13">
      <c r="A66" s="340">
        <v>221131</v>
      </c>
      <c r="B66" s="336">
        <f t="shared" ca="1" si="0"/>
        <v>17</v>
      </c>
      <c r="C66" s="337">
        <f>VLOOKUP(A66,'220'!$X$2:$AF$79,6,FALSE)</f>
        <v>42950</v>
      </c>
      <c r="D66" s="336">
        <f t="shared" ca="1" si="1"/>
        <v>33</v>
      </c>
      <c r="E66" s="337">
        <f>VLOOKUP(A66,'220'!$P$2:$W$79,2,FALSE)</f>
        <v>42966</v>
      </c>
      <c r="F66" s="336">
        <f t="shared" ca="1" si="2"/>
        <v>-1</v>
      </c>
      <c r="G66" s="352">
        <f>VLOOKUP(A66,'220'!$AK$2:$AO$78,2,FALSE)</f>
        <v>42932</v>
      </c>
      <c r="H66" s="399" t="str">
        <f>IFERROR(VLOOKUP(K66,'Brake Pad Workorders'!$X:$Y,2,FALSE),"")</f>
        <v>CHECKED</v>
      </c>
      <c r="I66" s="397" t="s">
        <v>137</v>
      </c>
      <c r="J66" s="340">
        <v>221131</v>
      </c>
      <c r="K66" s="367" t="str">
        <f t="shared" si="3"/>
        <v>221131</v>
      </c>
      <c r="L66" t="str">
        <f t="shared" si="4"/>
        <v>CHECKED</v>
      </c>
      <c r="M66" s="402" t="str">
        <f>IFERROR(VLOOKUP(K66,'Brake Pad Workorders'!$X:$Z,3,FALSE),"")</f>
        <v>9140133</v>
      </c>
    </row>
    <row r="67" spans="1:13">
      <c r="A67" s="340">
        <v>221132</v>
      </c>
      <c r="B67" s="336">
        <f t="shared" ref="B67:B79" ca="1" si="5">C67-TODAY()</f>
        <v>3</v>
      </c>
      <c r="C67" s="337">
        <f>VLOOKUP(A67,'220'!$X$2:$AF$79,6,FALSE)</f>
        <v>42936</v>
      </c>
      <c r="D67" s="336">
        <f t="shared" ref="D67:D79" ca="1" si="6">E67-TODAY()</f>
        <v>23</v>
      </c>
      <c r="E67" s="337">
        <f>VLOOKUP(A67,'220'!$P$2:$W$79,2,FALSE)</f>
        <v>42956</v>
      </c>
      <c r="F67" s="336">
        <f t="shared" ref="F67:F79" ca="1" si="7">G67-TODAY()</f>
        <v>75</v>
      </c>
      <c r="G67" s="352">
        <f>VLOOKUP(A67,'220'!$AK$2:$AO$78,2,FALSE)</f>
        <v>43008</v>
      </c>
      <c r="H67" s="399" t="str">
        <f>IFERROR(VLOOKUP(K67,'Brake Pad Workorders'!$X:$Y,2,FALSE),"")</f>
        <v/>
      </c>
      <c r="I67" s="397" t="s">
        <v>137</v>
      </c>
      <c r="J67" s="340">
        <v>221132</v>
      </c>
      <c r="K67" s="367" t="str">
        <f t="shared" ref="K67:K79" si="8">CONCATENATE(I67,J67)</f>
        <v>221132</v>
      </c>
      <c r="L67" t="str">
        <f t="shared" ref="L67:L79" si="9">H67</f>
        <v/>
      </c>
      <c r="M67" s="402" t="str">
        <f>IFERROR(VLOOKUP(K67,'Brake Pad Workorders'!$X:$Z,3,FALSE),"")</f>
        <v/>
      </c>
    </row>
    <row r="68" spans="1:13">
      <c r="A68" s="340">
        <v>221133</v>
      </c>
      <c r="B68" s="336">
        <f t="shared" ca="1" si="5"/>
        <v>30</v>
      </c>
      <c r="C68" s="337">
        <f>VLOOKUP(A68,'220'!$X$2:$AF$79,6,FALSE)</f>
        <v>42963</v>
      </c>
      <c r="D68" s="336">
        <f t="shared" ca="1" si="6"/>
        <v>29</v>
      </c>
      <c r="E68" s="337">
        <f>VLOOKUP(A68,'220'!$P$2:$W$79,2,FALSE)</f>
        <v>42962</v>
      </c>
      <c r="F68" s="336">
        <f t="shared" ca="1" si="7"/>
        <v>42</v>
      </c>
      <c r="G68" s="352">
        <f>VLOOKUP(A68,'220'!$AK$2:$AO$78,2,FALSE)</f>
        <v>42975</v>
      </c>
      <c r="H68" s="399" t="str">
        <f>IFERROR(VLOOKUP(K68,'Brake Pad Workorders'!$X:$Y,2,FALSE),"")</f>
        <v/>
      </c>
      <c r="I68" s="397" t="s">
        <v>137</v>
      </c>
      <c r="J68" s="340">
        <v>221133</v>
      </c>
      <c r="K68" s="367" t="str">
        <f t="shared" si="8"/>
        <v>221133</v>
      </c>
      <c r="L68" t="str">
        <f t="shared" si="9"/>
        <v/>
      </c>
      <c r="M68" s="402" t="str">
        <f>IFERROR(VLOOKUP(K68,'Brake Pad Workorders'!$X:$Z,3,FALSE),"")</f>
        <v/>
      </c>
    </row>
    <row r="69" spans="1:13">
      <c r="A69" s="340">
        <v>221134</v>
      </c>
      <c r="B69" s="336">
        <f t="shared" ca="1" si="5"/>
        <v>5</v>
      </c>
      <c r="C69" s="337">
        <f>VLOOKUP(A69,'220'!$X$2:$AF$79,6,FALSE)</f>
        <v>42938</v>
      </c>
      <c r="D69" s="336">
        <f t="shared" ca="1" si="6"/>
        <v>45</v>
      </c>
      <c r="E69" s="337">
        <f>VLOOKUP(A69,'220'!$P$2:$W$79,2,FALSE)</f>
        <v>42978</v>
      </c>
      <c r="F69" s="336">
        <f t="shared" ca="1" si="7"/>
        <v>3</v>
      </c>
      <c r="G69" s="352">
        <f>VLOOKUP(A69,'220'!$AK$2:$AO$78,2,FALSE)</f>
        <v>42936</v>
      </c>
      <c r="H69" s="399" t="str">
        <f>IFERROR(VLOOKUP(K69,'Brake Pad Workorders'!$X:$Y,2,FALSE),"")</f>
        <v>TOPLAN</v>
      </c>
      <c r="I69" s="397" t="s">
        <v>137</v>
      </c>
      <c r="J69" s="340">
        <v>221134</v>
      </c>
      <c r="K69" s="367" t="str">
        <f t="shared" si="8"/>
        <v>221134</v>
      </c>
      <c r="L69" t="str">
        <f t="shared" si="9"/>
        <v>TOPLAN</v>
      </c>
      <c r="M69" s="402" t="str">
        <f>IFERROR(VLOOKUP(K69,'Brake Pad Workorders'!$X:$Z,3,FALSE),"")</f>
        <v>9159567</v>
      </c>
    </row>
    <row r="70" spans="1:13">
      <c r="A70" s="340">
        <v>221135</v>
      </c>
      <c r="B70" s="336">
        <f t="shared" ca="1" si="5"/>
        <v>18</v>
      </c>
      <c r="C70" s="337">
        <f>VLOOKUP(A70,'220'!$X$2:$AF$79,6,FALSE)</f>
        <v>42951</v>
      </c>
      <c r="D70" s="336">
        <f t="shared" ca="1" si="6"/>
        <v>18</v>
      </c>
      <c r="E70" s="337">
        <f>VLOOKUP(A70,'220'!$P$2:$W$79,2,FALSE)</f>
        <v>42951</v>
      </c>
      <c r="F70" s="336">
        <f t="shared" ca="1" si="7"/>
        <v>27</v>
      </c>
      <c r="G70" s="352">
        <f>VLOOKUP(A70,'220'!$AK$2:$AO$78,2,FALSE)</f>
        <v>42960</v>
      </c>
      <c r="H70" s="399" t="str">
        <f>IFERROR(VLOOKUP(K70,'Brake Pad Workorders'!$X:$Y,2,FALSE),"")</f>
        <v/>
      </c>
      <c r="I70" s="397" t="s">
        <v>137</v>
      </c>
      <c r="J70" s="340">
        <v>221135</v>
      </c>
      <c r="K70" s="367" t="str">
        <f t="shared" si="8"/>
        <v>221135</v>
      </c>
      <c r="L70" t="str">
        <f t="shared" si="9"/>
        <v/>
      </c>
      <c r="M70" s="402" t="str">
        <f>IFERROR(VLOOKUP(K70,'Brake Pad Workorders'!$X:$Z,3,FALSE),"")</f>
        <v/>
      </c>
    </row>
    <row r="71" spans="1:13">
      <c r="A71" s="340">
        <v>221136</v>
      </c>
      <c r="B71" s="336">
        <f t="shared" ca="1" si="5"/>
        <v>1</v>
      </c>
      <c r="C71" s="337">
        <f>VLOOKUP(A71,'220'!$X$2:$AF$79,6,FALSE)</f>
        <v>42934</v>
      </c>
      <c r="D71" s="336">
        <f t="shared" ca="1" si="6"/>
        <v>6</v>
      </c>
      <c r="E71" s="337">
        <f>VLOOKUP(A71,'220'!$P$2:$W$79,2,FALSE)</f>
        <v>42939</v>
      </c>
      <c r="F71" s="336">
        <f t="shared" ca="1" si="7"/>
        <v>55</v>
      </c>
      <c r="G71" s="352">
        <f>VLOOKUP(A71,'220'!$AK$2:$AO$78,2,FALSE)</f>
        <v>42988</v>
      </c>
      <c r="H71" s="399" t="str">
        <f>IFERROR(VLOOKUP(K71,'Brake Pad Workorders'!$X:$Y,2,FALSE),"")</f>
        <v>CHECKED</v>
      </c>
      <c r="I71" s="397" t="s">
        <v>137</v>
      </c>
      <c r="J71" s="340">
        <v>221136</v>
      </c>
      <c r="K71" s="367" t="str">
        <f t="shared" si="8"/>
        <v>221136</v>
      </c>
      <c r="L71" t="str">
        <f t="shared" si="9"/>
        <v>CHECKED</v>
      </c>
      <c r="M71" s="402" t="str">
        <f>IFERROR(VLOOKUP(K71,'Brake Pad Workorders'!$X:$Z,3,FALSE),"")</f>
        <v>9166462</v>
      </c>
    </row>
    <row r="72" spans="1:13">
      <c r="A72" s="340">
        <v>221137</v>
      </c>
      <c r="B72" s="336">
        <f t="shared" ca="1" si="5"/>
        <v>8</v>
      </c>
      <c r="C72" s="337">
        <f>VLOOKUP(A72,'220'!$X$2:$AF$79,6,FALSE)</f>
        <v>42941</v>
      </c>
      <c r="D72" s="336">
        <f t="shared" ca="1" si="6"/>
        <v>9</v>
      </c>
      <c r="E72" s="337">
        <f>VLOOKUP(A72,'220'!$P$2:$W$79,2,FALSE)</f>
        <v>42942</v>
      </c>
      <c r="F72" s="336">
        <f t="shared" ca="1" si="7"/>
        <v>58</v>
      </c>
      <c r="G72" s="352">
        <f>VLOOKUP(A72,'220'!$AK$2:$AO$78,2,FALSE)</f>
        <v>42991</v>
      </c>
      <c r="H72" s="399" t="str">
        <f>IFERROR(VLOOKUP(K72,'Brake Pad Workorders'!$X:$Y,2,FALSE),"")</f>
        <v/>
      </c>
      <c r="I72" s="397" t="s">
        <v>137</v>
      </c>
      <c r="J72" s="340">
        <v>221137</v>
      </c>
      <c r="K72" s="367" t="str">
        <f t="shared" si="8"/>
        <v>221137</v>
      </c>
      <c r="L72" t="str">
        <f t="shared" si="9"/>
        <v/>
      </c>
      <c r="M72" s="402" t="str">
        <f>IFERROR(VLOOKUP(K72,'Brake Pad Workorders'!$X:$Z,3,FALSE),"")</f>
        <v/>
      </c>
    </row>
    <row r="73" spans="1:13">
      <c r="A73" s="340">
        <v>221138</v>
      </c>
      <c r="B73" s="336">
        <f t="shared" ca="1" si="5"/>
        <v>29</v>
      </c>
      <c r="C73" s="337">
        <f>VLOOKUP(A73,'220'!$X$2:$AF$79,6,FALSE)</f>
        <v>42962</v>
      </c>
      <c r="D73" s="336">
        <f t="shared" ca="1" si="6"/>
        <v>19</v>
      </c>
      <c r="E73" s="337">
        <f>VLOOKUP(A73,'220'!$P$2:$W$79,2,FALSE)</f>
        <v>42952</v>
      </c>
      <c r="F73" s="336">
        <f t="shared" ca="1" si="7"/>
        <v>24</v>
      </c>
      <c r="G73" s="352">
        <f>VLOOKUP(A73,'220'!$AK$2:$AO$78,2,FALSE)</f>
        <v>42957</v>
      </c>
      <c r="H73" s="399" t="str">
        <f>IFERROR(VLOOKUP(K73,'Brake Pad Workorders'!$X:$Y,2,FALSE),"")</f>
        <v/>
      </c>
      <c r="I73" s="397" t="s">
        <v>137</v>
      </c>
      <c r="J73" s="340">
        <v>221138</v>
      </c>
      <c r="K73" s="367" t="str">
        <f t="shared" si="8"/>
        <v>221138</v>
      </c>
      <c r="L73" t="str">
        <f t="shared" si="9"/>
        <v/>
      </c>
      <c r="M73" s="402" t="str">
        <f>IFERROR(VLOOKUP(K73,'Brake Pad Workorders'!$X:$Z,3,FALSE),"")</f>
        <v/>
      </c>
    </row>
    <row r="74" spans="1:13">
      <c r="A74" s="340">
        <v>221139</v>
      </c>
      <c r="B74" s="336">
        <f t="shared" ca="1" si="5"/>
        <v>9</v>
      </c>
      <c r="C74" s="337">
        <f>VLOOKUP(A74,'220'!$X$2:$AF$79,6,FALSE)</f>
        <v>42942</v>
      </c>
      <c r="D74" s="336">
        <f t="shared" ca="1" si="6"/>
        <v>15</v>
      </c>
      <c r="E74" s="337">
        <f>VLOOKUP(A74,'220'!$P$2:$W$79,2,FALSE)</f>
        <v>42948</v>
      </c>
      <c r="F74" s="336">
        <f t="shared" ca="1" si="7"/>
        <v>65</v>
      </c>
      <c r="G74" s="352">
        <f>VLOOKUP(A74,'220'!$AK$2:$AO$78,2,FALSE)</f>
        <v>42998</v>
      </c>
      <c r="H74" s="399" t="str">
        <f>IFERROR(VLOOKUP(K74,'Brake Pad Workorders'!$X:$Y,2,FALSE),"")</f>
        <v/>
      </c>
      <c r="I74" s="397" t="s">
        <v>137</v>
      </c>
      <c r="J74" s="340">
        <v>221139</v>
      </c>
      <c r="K74" s="367" t="str">
        <f t="shared" si="8"/>
        <v>221139</v>
      </c>
      <c r="L74" t="str">
        <f t="shared" si="9"/>
        <v/>
      </c>
      <c r="M74" s="402" t="str">
        <f>IFERROR(VLOOKUP(K74,'Brake Pad Workorders'!$X:$Z,3,FALSE),"")</f>
        <v/>
      </c>
    </row>
    <row r="75" spans="1:13">
      <c r="A75" s="340">
        <v>221140</v>
      </c>
      <c r="B75" s="336">
        <f t="shared" ca="1" si="5"/>
        <v>15</v>
      </c>
      <c r="C75" s="337">
        <f>VLOOKUP(A75,'220'!$X$2:$AF$79,6,FALSE)</f>
        <v>42948</v>
      </c>
      <c r="D75" s="336">
        <f t="shared" ca="1" si="6"/>
        <v>7</v>
      </c>
      <c r="E75" s="337">
        <f>VLOOKUP(A75,'220'!$P$2:$W$79,2,FALSE)</f>
        <v>42940</v>
      </c>
      <c r="F75" s="336">
        <f t="shared" ca="1" si="7"/>
        <v>15</v>
      </c>
      <c r="G75" s="352">
        <f>VLOOKUP(A75,'220'!$AK$2:$AO$78,2,FALSE)</f>
        <v>42948</v>
      </c>
      <c r="H75" s="399" t="str">
        <f>IFERROR(VLOOKUP(K75,'Brake Pad Workorders'!$X:$Y,2,FALSE),"")</f>
        <v/>
      </c>
      <c r="I75" s="397" t="s">
        <v>137</v>
      </c>
      <c r="J75" s="340">
        <v>221140</v>
      </c>
      <c r="K75" s="367" t="str">
        <f t="shared" si="8"/>
        <v>221140</v>
      </c>
      <c r="L75" t="str">
        <f t="shared" si="9"/>
        <v/>
      </c>
      <c r="M75" s="402" t="str">
        <f>IFERROR(VLOOKUP(K75,'Brake Pad Workorders'!$X:$Z,3,FALSE),"")</f>
        <v/>
      </c>
    </row>
    <row r="76" spans="1:13">
      <c r="A76" s="340">
        <v>221141</v>
      </c>
      <c r="B76" s="336">
        <f t="shared" ca="1" si="5"/>
        <v>19</v>
      </c>
      <c r="C76" s="337">
        <f>VLOOKUP(A76,'220'!$X$2:$AF$79,6,FALSE)</f>
        <v>42952</v>
      </c>
      <c r="D76" s="336">
        <f t="shared" ca="1" si="6"/>
        <v>10</v>
      </c>
      <c r="E76" s="337">
        <f>VLOOKUP(A76,'220'!$P$2:$W$79,2,FALSE)</f>
        <v>42943</v>
      </c>
      <c r="F76" s="336">
        <f t="shared" ca="1" si="7"/>
        <v>18</v>
      </c>
      <c r="G76" s="352">
        <f>VLOOKUP(A76,'220'!$AK$2:$AO$78,2,FALSE)</f>
        <v>42951</v>
      </c>
      <c r="H76" s="399" t="str">
        <f>IFERROR(VLOOKUP(K76,'Brake Pad Workorders'!$X:$Y,2,FALSE),"")</f>
        <v/>
      </c>
      <c r="I76" s="397" t="s">
        <v>137</v>
      </c>
      <c r="J76" s="340">
        <v>221141</v>
      </c>
      <c r="K76" s="367" t="str">
        <f t="shared" si="8"/>
        <v>221141</v>
      </c>
      <c r="L76" t="str">
        <f t="shared" si="9"/>
        <v/>
      </c>
      <c r="M76" s="402" t="str">
        <f>IFERROR(VLOOKUP(K76,'Brake Pad Workorders'!$X:$Z,3,FALSE),"")</f>
        <v/>
      </c>
    </row>
    <row r="77" spans="1:13">
      <c r="A77" s="340">
        <v>221142</v>
      </c>
      <c r="B77" s="336">
        <f t="shared" ca="1" si="5"/>
        <v>8</v>
      </c>
      <c r="C77" s="337">
        <f>VLOOKUP(A77,'220'!$X$2:$AF$79,6,FALSE)</f>
        <v>42941</v>
      </c>
      <c r="D77" s="336">
        <f t="shared" ca="1" si="6"/>
        <v>18</v>
      </c>
      <c r="E77" s="337">
        <f>VLOOKUP(A77,'220'!$P$2:$W$79,2,FALSE)</f>
        <v>42951</v>
      </c>
      <c r="F77" s="336">
        <f t="shared" ca="1" si="7"/>
        <v>71</v>
      </c>
      <c r="G77" s="352">
        <f>VLOOKUP(A77,'220'!$AK$2:$AO$78,2,FALSE)</f>
        <v>43004</v>
      </c>
      <c r="H77" s="399" t="str">
        <f>IFERROR(VLOOKUP(K77,'Brake Pad Workorders'!$X:$Y,2,FALSE),"")</f>
        <v/>
      </c>
      <c r="I77" s="397" t="s">
        <v>137</v>
      </c>
      <c r="J77" s="340">
        <v>221142</v>
      </c>
      <c r="K77" s="367" t="str">
        <f t="shared" si="8"/>
        <v>221142</v>
      </c>
      <c r="L77" t="str">
        <f t="shared" si="9"/>
        <v/>
      </c>
      <c r="M77" s="402" t="str">
        <f>IFERROR(VLOOKUP(K77,'Brake Pad Workorders'!$X:$Z,3,FALSE),"")</f>
        <v/>
      </c>
    </row>
    <row r="78" spans="1:13">
      <c r="A78" s="340">
        <v>221143</v>
      </c>
      <c r="B78" s="336">
        <f t="shared" ca="1" si="5"/>
        <v>29</v>
      </c>
      <c r="C78" s="337">
        <f>VLOOKUP(A78,'220'!$X$2:$AF$79,6,FALSE)</f>
        <v>42962</v>
      </c>
      <c r="D78" s="336">
        <f t="shared" ca="1" si="6"/>
        <v>18</v>
      </c>
      <c r="E78" s="337">
        <f>VLOOKUP(A78,'220'!$P$2:$W$79,2,FALSE)</f>
        <v>42951</v>
      </c>
      <c r="F78" s="336">
        <f t="shared" ca="1" si="7"/>
        <v>34</v>
      </c>
      <c r="G78" s="352">
        <f>VLOOKUP(A78,'220'!$AK$2:$AO$78,2,FALSE)</f>
        <v>42967</v>
      </c>
      <c r="H78" s="399" t="str">
        <f>IFERROR(VLOOKUP(K78,'Brake Pad Workorders'!$X:$Y,2,FALSE),"")</f>
        <v>TOPLAN</v>
      </c>
      <c r="I78" s="397" t="s">
        <v>137</v>
      </c>
      <c r="J78" s="340">
        <v>221143</v>
      </c>
      <c r="K78" s="367" t="str">
        <f t="shared" si="8"/>
        <v>221143</v>
      </c>
      <c r="L78" t="str">
        <f t="shared" si="9"/>
        <v>TOPLAN</v>
      </c>
      <c r="M78" s="402" t="str">
        <f>IFERROR(VLOOKUP(K78,'Brake Pad Workorders'!$X:$Z,3,FALSE),"")</f>
        <v>8722378</v>
      </c>
    </row>
    <row r="79" spans="1:13" ht="13.5" thickBot="1">
      <c r="A79" s="341">
        <v>221144</v>
      </c>
      <c r="B79" s="338">
        <f t="shared" ca="1" si="5"/>
        <v>-42933</v>
      </c>
      <c r="C79" s="339">
        <f>VLOOKUP(A79,'220'!$X$2:$AF$79,6,FALSE)</f>
        <v>0</v>
      </c>
      <c r="D79" s="338" t="e">
        <f t="shared" ca="1" si="6"/>
        <v>#N/A</v>
      </c>
      <c r="E79" s="339" t="e">
        <f>VLOOKUP(A79,'220'!$P$2:$W$79,2,FALSE)</f>
        <v>#N/A</v>
      </c>
      <c r="F79" s="338" t="e">
        <f t="shared" ca="1" si="7"/>
        <v>#N/A</v>
      </c>
      <c r="G79" s="353" t="e">
        <f>VLOOKUP(A79,'220'!$AK$2:$AO$78,2,FALSE)</f>
        <v>#N/A</v>
      </c>
      <c r="H79" s="399" t="str">
        <f>IFERROR(VLOOKUP(K79,'Brake Pad Workorders'!$X:$Y,2,FALSE),"")</f>
        <v/>
      </c>
      <c r="I79" s="397" t="s">
        <v>137</v>
      </c>
      <c r="J79" s="354">
        <v>221144</v>
      </c>
      <c r="K79" s="367" t="str">
        <f t="shared" si="8"/>
        <v>221144</v>
      </c>
      <c r="L79" t="str">
        <f t="shared" si="9"/>
        <v/>
      </c>
      <c r="M79" s="402" t="str">
        <f>IFERROR(VLOOKUP(K79,'Brake Pad Workorders'!$X:$Z,3,FALSE),"")</f>
        <v/>
      </c>
    </row>
  </sheetData>
  <autoFilter ref="A1:K79"/>
  <phoneticPr fontId="96" type="noConversion"/>
  <conditionalFormatting sqref="H2:H79">
    <cfRule type="containsText" dxfId="5" priority="2" stopIfTrue="1" operator="containsText" text="Checked">
      <formula>NOT(ISERROR(SEARCH("Checked",H2)))</formula>
    </cfRule>
    <cfRule type="containsText" dxfId="4" priority="3" stopIfTrue="1" operator="containsText" text="TO BE PLANNED">
      <formula>NOT(ISERROR(SEARCH("TO BE PLANNED",H2)))</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1409"/>
  <sheetViews>
    <sheetView topLeftCell="C1" workbookViewId="0">
      <selection activeCell="G40" sqref="G40"/>
    </sheetView>
  </sheetViews>
  <sheetFormatPr defaultRowHeight="12.75"/>
  <cols>
    <col min="1" max="1" width="7.7109375" bestFit="1" customWidth="1"/>
    <col min="3" max="3" width="7" bestFit="1" customWidth="1"/>
    <col min="4" max="4" width="8.85546875" bestFit="1" customWidth="1"/>
    <col min="5" max="5" width="19.140625" bestFit="1" customWidth="1"/>
    <col min="6" max="6" width="6.7109375" bestFit="1" customWidth="1"/>
    <col min="7" max="7" width="11.7109375" bestFit="1" customWidth="1"/>
    <col min="8" max="9" width="8.85546875" bestFit="1" customWidth="1"/>
    <col min="10" max="12" width="12" bestFit="1" customWidth="1"/>
    <col min="13" max="13" width="6.7109375" bestFit="1" customWidth="1"/>
    <col min="14" max="14" width="7" bestFit="1" customWidth="1"/>
    <col min="15" max="16" width="9.140625" style="348"/>
  </cols>
  <sheetData>
    <row r="1" spans="1:16" ht="15">
      <c r="A1" s="342" t="s">
        <v>127</v>
      </c>
      <c r="B1" s="342"/>
      <c r="C1" s="342" t="s">
        <v>0</v>
      </c>
      <c r="D1" s="342" t="s">
        <v>128</v>
      </c>
      <c r="E1" s="342" t="s">
        <v>129</v>
      </c>
      <c r="F1" s="342" t="s">
        <v>130</v>
      </c>
      <c r="G1" s="342" t="s">
        <v>131</v>
      </c>
      <c r="H1" s="342" t="s">
        <v>132</v>
      </c>
      <c r="I1" s="342" t="s">
        <v>133</v>
      </c>
      <c r="J1" s="342" t="s">
        <v>134</v>
      </c>
      <c r="K1" s="342" t="s">
        <v>135</v>
      </c>
      <c r="L1" s="343" t="s">
        <v>136</v>
      </c>
      <c r="M1" s="342" t="s">
        <v>130</v>
      </c>
      <c r="N1" s="342" t="s">
        <v>0</v>
      </c>
      <c r="O1" s="349" t="s">
        <v>148</v>
      </c>
      <c r="P1" s="349" t="s">
        <v>153</v>
      </c>
    </row>
    <row r="2" spans="1:16" ht="15">
      <c r="A2" s="344">
        <v>60301</v>
      </c>
      <c r="B2" s="345" t="s">
        <v>137</v>
      </c>
      <c r="C2" s="344">
        <v>220001</v>
      </c>
      <c r="D2" s="344" t="str">
        <f>CONCATENATE(B2,C2)</f>
        <v>220001</v>
      </c>
      <c r="E2" s="346" t="s">
        <v>138</v>
      </c>
      <c r="F2" s="344" t="s">
        <v>139</v>
      </c>
      <c r="G2" s="344" t="str">
        <f>CONCATENATE(A2,F2)</f>
        <v>60301AXLE 1</v>
      </c>
      <c r="H2" s="344">
        <v>16</v>
      </c>
      <c r="I2" s="344">
        <v>1</v>
      </c>
      <c r="J2" s="344">
        <v>1</v>
      </c>
      <c r="K2" s="344">
        <v>8</v>
      </c>
      <c r="L2" t="str">
        <f>CONCATENATE(A2,B2)</f>
        <v>60301</v>
      </c>
      <c r="M2" s="344" t="s">
        <v>139</v>
      </c>
      <c r="N2" s="344">
        <v>220001</v>
      </c>
      <c r="O2" s="351" t="s">
        <v>154</v>
      </c>
      <c r="P2" s="347" t="s">
        <v>150</v>
      </c>
    </row>
    <row r="3" spans="1:16" ht="15">
      <c r="A3" s="344">
        <v>60301</v>
      </c>
      <c r="B3" s="345" t="s">
        <v>137</v>
      </c>
      <c r="C3" s="344">
        <v>220001</v>
      </c>
      <c r="D3" s="344" t="str">
        <f t="shared" ref="D3:D66" si="0">CONCATENATE(B3,C3)</f>
        <v>220001</v>
      </c>
      <c r="E3" s="346" t="s">
        <v>140</v>
      </c>
      <c r="F3" s="344" t="s">
        <v>141</v>
      </c>
      <c r="G3" s="344" t="str">
        <f t="shared" ref="G3:G66" si="1">CONCATENATE(A3,F3)</f>
        <v>60301AXLE 2</v>
      </c>
      <c r="H3" s="344">
        <v>15</v>
      </c>
      <c r="I3" s="344">
        <v>2</v>
      </c>
      <c r="J3" s="344">
        <v>2</v>
      </c>
      <c r="K3" s="344">
        <v>7</v>
      </c>
      <c r="L3" t="str">
        <f t="shared" ref="L3:L66" si="2">CONCATENATE(A3,B3)</f>
        <v>60301</v>
      </c>
      <c r="M3" s="344" t="s">
        <v>141</v>
      </c>
      <c r="N3" s="344">
        <v>220001</v>
      </c>
      <c r="O3" s="351" t="s">
        <v>161</v>
      </c>
      <c r="P3" s="347" t="s">
        <v>150</v>
      </c>
    </row>
    <row r="4" spans="1:16" ht="15">
      <c r="A4" s="344">
        <v>60301</v>
      </c>
      <c r="B4" s="345" t="s">
        <v>137</v>
      </c>
      <c r="C4" s="344">
        <v>220001</v>
      </c>
      <c r="D4" s="344" t="str">
        <f t="shared" si="0"/>
        <v>220001</v>
      </c>
      <c r="E4" s="346" t="s">
        <v>142</v>
      </c>
      <c r="F4" s="344" t="s">
        <v>143</v>
      </c>
      <c r="G4" s="344" t="str">
        <f t="shared" si="1"/>
        <v>60301AXLE 3</v>
      </c>
      <c r="H4" s="344">
        <v>14</v>
      </c>
      <c r="I4" s="344">
        <v>3</v>
      </c>
      <c r="J4" s="344">
        <v>3</v>
      </c>
      <c r="K4" s="344">
        <v>6</v>
      </c>
      <c r="L4" t="str">
        <f t="shared" si="2"/>
        <v>60301</v>
      </c>
      <c r="M4" s="344" t="s">
        <v>143</v>
      </c>
      <c r="N4" s="344">
        <v>220001</v>
      </c>
      <c r="O4" s="351" t="s">
        <v>155</v>
      </c>
      <c r="P4" s="347" t="s">
        <v>149</v>
      </c>
    </row>
    <row r="5" spans="1:16" ht="15">
      <c r="A5" s="344">
        <v>60301</v>
      </c>
      <c r="B5" s="345" t="s">
        <v>137</v>
      </c>
      <c r="C5" s="344">
        <v>220001</v>
      </c>
      <c r="D5" s="344" t="str">
        <f t="shared" si="0"/>
        <v>220001</v>
      </c>
      <c r="E5" s="346" t="s">
        <v>144</v>
      </c>
      <c r="F5" s="344" t="s">
        <v>145</v>
      </c>
      <c r="G5" s="344" t="str">
        <f t="shared" si="1"/>
        <v>60301AXLE 4</v>
      </c>
      <c r="H5" s="344">
        <v>13</v>
      </c>
      <c r="I5" s="344">
        <v>4</v>
      </c>
      <c r="J5" s="344">
        <v>4</v>
      </c>
      <c r="K5" s="344">
        <v>5</v>
      </c>
      <c r="L5" t="str">
        <f t="shared" si="2"/>
        <v>60301</v>
      </c>
      <c r="M5" s="344" t="s">
        <v>145</v>
      </c>
      <c r="N5" s="344">
        <v>220001</v>
      </c>
      <c r="O5" s="351" t="s">
        <v>160</v>
      </c>
      <c r="P5" s="347" t="s">
        <v>149</v>
      </c>
    </row>
    <row r="6" spans="1:16" ht="15">
      <c r="A6" s="344">
        <v>60701</v>
      </c>
      <c r="B6" s="345" t="s">
        <v>137</v>
      </c>
      <c r="C6" s="344">
        <v>220001</v>
      </c>
      <c r="D6" s="344" t="str">
        <f t="shared" si="0"/>
        <v>220001</v>
      </c>
      <c r="E6" s="346" t="s">
        <v>144</v>
      </c>
      <c r="F6" s="344" t="s">
        <v>139</v>
      </c>
      <c r="G6" s="344" t="str">
        <f t="shared" si="1"/>
        <v>60701AXLE 1</v>
      </c>
      <c r="H6" s="344">
        <v>9</v>
      </c>
      <c r="I6" s="344">
        <v>8</v>
      </c>
      <c r="J6" s="344">
        <v>1</v>
      </c>
      <c r="K6" s="344">
        <v>8</v>
      </c>
      <c r="L6" t="str">
        <f t="shared" si="2"/>
        <v>60701</v>
      </c>
      <c r="M6" s="344" t="s">
        <v>139</v>
      </c>
      <c r="N6" s="344">
        <v>220001</v>
      </c>
      <c r="O6" s="351" t="s">
        <v>156</v>
      </c>
      <c r="P6" s="347" t="s">
        <v>151</v>
      </c>
    </row>
    <row r="7" spans="1:16" ht="15">
      <c r="A7" s="344">
        <v>60701</v>
      </c>
      <c r="B7" s="345" t="s">
        <v>137</v>
      </c>
      <c r="C7" s="344">
        <v>220001</v>
      </c>
      <c r="D7" s="344" t="str">
        <f t="shared" si="0"/>
        <v>220001</v>
      </c>
      <c r="E7" s="346" t="s">
        <v>140</v>
      </c>
      <c r="F7" s="344" t="s">
        <v>141</v>
      </c>
      <c r="G7" s="344" t="str">
        <f t="shared" si="1"/>
        <v>60701AXLE 2</v>
      </c>
      <c r="H7" s="344">
        <v>10</v>
      </c>
      <c r="I7" s="344">
        <v>7</v>
      </c>
      <c r="J7" s="344">
        <v>2</v>
      </c>
      <c r="K7" s="344">
        <v>7</v>
      </c>
      <c r="L7" t="str">
        <f t="shared" si="2"/>
        <v>60701</v>
      </c>
      <c r="M7" s="344" t="s">
        <v>141</v>
      </c>
      <c r="N7" s="344">
        <v>220001</v>
      </c>
      <c r="O7" s="351" t="s">
        <v>159</v>
      </c>
      <c r="P7" s="347" t="s">
        <v>151</v>
      </c>
    </row>
    <row r="8" spans="1:16" ht="15">
      <c r="A8" s="344">
        <v>60701</v>
      </c>
      <c r="B8" s="345" t="s">
        <v>137</v>
      </c>
      <c r="C8" s="344">
        <v>220001</v>
      </c>
      <c r="D8" s="344" t="str">
        <f t="shared" si="0"/>
        <v>220001</v>
      </c>
      <c r="E8" s="346" t="s">
        <v>140</v>
      </c>
      <c r="F8" s="344" t="s">
        <v>143</v>
      </c>
      <c r="G8" s="344" t="str">
        <f t="shared" si="1"/>
        <v>60701AXLE 3</v>
      </c>
      <c r="H8" s="344">
        <v>11</v>
      </c>
      <c r="I8" s="344">
        <v>6</v>
      </c>
      <c r="J8" s="344">
        <v>3</v>
      </c>
      <c r="K8" s="344">
        <v>6</v>
      </c>
      <c r="L8" t="str">
        <f t="shared" si="2"/>
        <v>60701</v>
      </c>
      <c r="M8" s="344" t="s">
        <v>143</v>
      </c>
      <c r="N8" s="344">
        <v>220001</v>
      </c>
      <c r="O8" s="351" t="s">
        <v>157</v>
      </c>
      <c r="P8" s="350" t="s">
        <v>152</v>
      </c>
    </row>
    <row r="9" spans="1:16" ht="15">
      <c r="A9" s="344">
        <v>60701</v>
      </c>
      <c r="B9" s="345" t="s">
        <v>137</v>
      </c>
      <c r="C9" s="344">
        <v>220001</v>
      </c>
      <c r="D9" s="344" t="str">
        <f t="shared" si="0"/>
        <v>220001</v>
      </c>
      <c r="E9" s="346" t="s">
        <v>144</v>
      </c>
      <c r="F9" s="344" t="s">
        <v>145</v>
      </c>
      <c r="G9" s="344" t="str">
        <f t="shared" si="1"/>
        <v>60701AXLE 4</v>
      </c>
      <c r="H9" s="344">
        <v>12</v>
      </c>
      <c r="I9" s="344">
        <v>5</v>
      </c>
      <c r="J9" s="344">
        <v>4</v>
      </c>
      <c r="K9" s="344">
        <v>5</v>
      </c>
      <c r="L9" t="str">
        <f t="shared" si="2"/>
        <v>60701</v>
      </c>
      <c r="M9" s="344" t="s">
        <v>145</v>
      </c>
      <c r="N9" s="344">
        <v>220001</v>
      </c>
      <c r="O9" s="351" t="s">
        <v>158</v>
      </c>
      <c r="P9" s="350" t="s">
        <v>152</v>
      </c>
    </row>
    <row r="10" spans="1:16" ht="15">
      <c r="A10" s="344">
        <v>60201</v>
      </c>
      <c r="B10" s="345" t="s">
        <v>137</v>
      </c>
      <c r="C10" s="344">
        <v>220001</v>
      </c>
      <c r="D10" s="344" t="str">
        <f t="shared" si="0"/>
        <v>220001</v>
      </c>
      <c r="E10" s="346" t="s">
        <v>144</v>
      </c>
      <c r="F10" s="344" t="s">
        <v>139</v>
      </c>
      <c r="G10" s="344" t="str">
        <f t="shared" si="1"/>
        <v>60201AXLE 1</v>
      </c>
      <c r="H10" s="344">
        <v>5</v>
      </c>
      <c r="I10" s="344">
        <v>12</v>
      </c>
      <c r="J10" s="344">
        <v>1</v>
      </c>
      <c r="K10" s="344">
        <v>8</v>
      </c>
      <c r="L10" t="str">
        <f t="shared" si="2"/>
        <v>60201</v>
      </c>
      <c r="M10" s="344" t="s">
        <v>139</v>
      </c>
      <c r="N10" s="344">
        <v>220001</v>
      </c>
    </row>
    <row r="11" spans="1:16" ht="15">
      <c r="A11" s="344">
        <v>60201</v>
      </c>
      <c r="B11" s="345" t="s">
        <v>137</v>
      </c>
      <c r="C11" s="344">
        <v>220001</v>
      </c>
      <c r="D11" s="344" t="str">
        <f t="shared" si="0"/>
        <v>220001</v>
      </c>
      <c r="E11" s="346" t="s">
        <v>140</v>
      </c>
      <c r="F11" s="344" t="s">
        <v>141</v>
      </c>
      <c r="G11" s="344" t="str">
        <f t="shared" si="1"/>
        <v>60201AXLE 2</v>
      </c>
      <c r="H11" s="344">
        <v>6</v>
      </c>
      <c r="I11" s="344">
        <v>11</v>
      </c>
      <c r="J11" s="344">
        <v>2</v>
      </c>
      <c r="K11" s="344">
        <v>7</v>
      </c>
      <c r="L11" t="str">
        <f t="shared" si="2"/>
        <v>60201</v>
      </c>
      <c r="M11" s="344" t="s">
        <v>141</v>
      </c>
      <c r="N11" s="344">
        <v>220001</v>
      </c>
    </row>
    <row r="12" spans="1:16" ht="15">
      <c r="A12" s="344">
        <v>60201</v>
      </c>
      <c r="B12" s="345" t="s">
        <v>137</v>
      </c>
      <c r="C12" s="344">
        <v>220001</v>
      </c>
      <c r="D12" s="344" t="str">
        <f t="shared" si="0"/>
        <v>220001</v>
      </c>
      <c r="E12" s="346" t="s">
        <v>140</v>
      </c>
      <c r="F12" s="344" t="s">
        <v>143</v>
      </c>
      <c r="G12" s="344" t="str">
        <f t="shared" si="1"/>
        <v>60201AXLE 3</v>
      </c>
      <c r="H12" s="344">
        <v>7</v>
      </c>
      <c r="I12" s="344">
        <v>10</v>
      </c>
      <c r="J12" s="344">
        <v>3</v>
      </c>
      <c r="K12" s="344">
        <v>6</v>
      </c>
      <c r="L12" t="str">
        <f t="shared" si="2"/>
        <v>60201</v>
      </c>
      <c r="M12" s="344" t="s">
        <v>143</v>
      </c>
      <c r="N12" s="344">
        <v>220001</v>
      </c>
    </row>
    <row r="13" spans="1:16" ht="15">
      <c r="A13" s="344">
        <v>60201</v>
      </c>
      <c r="B13" s="345" t="s">
        <v>137</v>
      </c>
      <c r="C13" s="344">
        <v>220001</v>
      </c>
      <c r="D13" s="344" t="str">
        <f t="shared" si="0"/>
        <v>220001</v>
      </c>
      <c r="E13" s="346" t="s">
        <v>144</v>
      </c>
      <c r="F13" s="344" t="s">
        <v>145</v>
      </c>
      <c r="G13" s="344" t="str">
        <f t="shared" si="1"/>
        <v>60201AXLE 4</v>
      </c>
      <c r="H13" s="344">
        <v>8</v>
      </c>
      <c r="I13" s="344">
        <v>9</v>
      </c>
      <c r="J13" s="344">
        <v>4</v>
      </c>
      <c r="K13" s="344">
        <v>5</v>
      </c>
      <c r="L13" t="str">
        <f t="shared" si="2"/>
        <v>60201</v>
      </c>
      <c r="M13" s="344" t="s">
        <v>145</v>
      </c>
      <c r="N13" s="344">
        <v>220001</v>
      </c>
    </row>
    <row r="14" spans="1:16" ht="15">
      <c r="A14" s="344">
        <v>60401</v>
      </c>
      <c r="B14" s="345" t="s">
        <v>137</v>
      </c>
      <c r="C14" s="344">
        <v>220001</v>
      </c>
      <c r="D14" s="344" t="str">
        <f t="shared" si="0"/>
        <v>220001</v>
      </c>
      <c r="E14" s="346" t="s">
        <v>138</v>
      </c>
      <c r="F14" s="344" t="s">
        <v>139</v>
      </c>
      <c r="G14" s="344" t="str">
        <f t="shared" si="1"/>
        <v>60401AXLE 1</v>
      </c>
      <c r="H14" s="344">
        <v>1</v>
      </c>
      <c r="I14" s="344">
        <v>16</v>
      </c>
      <c r="J14" s="344">
        <v>1</v>
      </c>
      <c r="K14" s="344">
        <v>8</v>
      </c>
      <c r="L14" t="str">
        <f t="shared" si="2"/>
        <v>60401</v>
      </c>
      <c r="M14" s="344" t="s">
        <v>139</v>
      </c>
      <c r="N14" s="344">
        <v>220001</v>
      </c>
    </row>
    <row r="15" spans="1:16" ht="15">
      <c r="A15" s="344">
        <v>60401</v>
      </c>
      <c r="B15" s="345" t="s">
        <v>137</v>
      </c>
      <c r="C15" s="344">
        <v>220001</v>
      </c>
      <c r="D15" s="344" t="str">
        <f t="shared" si="0"/>
        <v>220001</v>
      </c>
      <c r="E15" s="346" t="s">
        <v>140</v>
      </c>
      <c r="F15" s="344" t="s">
        <v>141</v>
      </c>
      <c r="G15" s="344" t="str">
        <f t="shared" si="1"/>
        <v>60401AXLE 2</v>
      </c>
      <c r="H15" s="344">
        <v>2</v>
      </c>
      <c r="I15" s="344">
        <v>15</v>
      </c>
      <c r="J15" s="344">
        <v>2</v>
      </c>
      <c r="K15" s="344">
        <v>7</v>
      </c>
      <c r="L15" t="str">
        <f t="shared" si="2"/>
        <v>60401</v>
      </c>
      <c r="M15" s="344" t="s">
        <v>141</v>
      </c>
      <c r="N15" s="344">
        <v>220001</v>
      </c>
    </row>
    <row r="16" spans="1:16" ht="15">
      <c r="A16" s="344">
        <v>60401</v>
      </c>
      <c r="B16" s="345" t="s">
        <v>137</v>
      </c>
      <c r="C16" s="344">
        <v>220001</v>
      </c>
      <c r="D16" s="344" t="str">
        <f t="shared" si="0"/>
        <v>220001</v>
      </c>
      <c r="E16" s="346" t="s">
        <v>142</v>
      </c>
      <c r="F16" s="344" t="s">
        <v>143</v>
      </c>
      <c r="G16" s="344" t="str">
        <f t="shared" si="1"/>
        <v>60401AXLE 3</v>
      </c>
      <c r="H16" s="344">
        <v>3</v>
      </c>
      <c r="I16" s="344">
        <v>14</v>
      </c>
      <c r="J16" s="344">
        <v>3</v>
      </c>
      <c r="K16" s="344">
        <v>6</v>
      </c>
      <c r="L16" t="str">
        <f t="shared" si="2"/>
        <v>60401</v>
      </c>
      <c r="M16" s="344" t="s">
        <v>143</v>
      </c>
      <c r="N16" s="344">
        <v>220001</v>
      </c>
    </row>
    <row r="17" spans="1:14" ht="15">
      <c r="A17" s="344">
        <v>60401</v>
      </c>
      <c r="B17" s="345" t="s">
        <v>137</v>
      </c>
      <c r="C17" s="344">
        <v>220001</v>
      </c>
      <c r="D17" s="344" t="str">
        <f t="shared" si="0"/>
        <v>220001</v>
      </c>
      <c r="E17" s="346" t="s">
        <v>144</v>
      </c>
      <c r="F17" s="344" t="s">
        <v>145</v>
      </c>
      <c r="G17" s="344" t="str">
        <f t="shared" si="1"/>
        <v>60401AXLE 4</v>
      </c>
      <c r="H17" s="344">
        <v>4</v>
      </c>
      <c r="I17" s="344">
        <v>13</v>
      </c>
      <c r="J17" s="344">
        <v>4</v>
      </c>
      <c r="K17" s="344">
        <v>5</v>
      </c>
      <c r="L17" t="str">
        <f t="shared" si="2"/>
        <v>60401</v>
      </c>
      <c r="M17" s="344" t="s">
        <v>145</v>
      </c>
      <c r="N17" s="344">
        <v>220001</v>
      </c>
    </row>
    <row r="18" spans="1:14" ht="15">
      <c r="A18" s="344">
        <v>60302</v>
      </c>
      <c r="B18" s="345" t="s">
        <v>137</v>
      </c>
      <c r="C18" s="344">
        <v>220002</v>
      </c>
      <c r="D18" s="344" t="str">
        <f t="shared" si="0"/>
        <v>220002</v>
      </c>
      <c r="E18" s="346" t="s">
        <v>138</v>
      </c>
      <c r="F18" s="344" t="s">
        <v>139</v>
      </c>
      <c r="G18" s="344" t="str">
        <f t="shared" si="1"/>
        <v>60302AXLE 1</v>
      </c>
      <c r="H18" s="344">
        <v>16</v>
      </c>
      <c r="I18" s="344">
        <v>1</v>
      </c>
      <c r="J18" s="344">
        <v>1</v>
      </c>
      <c r="K18" s="344">
        <v>8</v>
      </c>
      <c r="L18" t="str">
        <f t="shared" si="2"/>
        <v>60302</v>
      </c>
      <c r="M18" s="344" t="s">
        <v>139</v>
      </c>
      <c r="N18" s="344">
        <v>220002</v>
      </c>
    </row>
    <row r="19" spans="1:14" ht="15">
      <c r="A19" s="344">
        <v>60302</v>
      </c>
      <c r="B19" s="345" t="s">
        <v>137</v>
      </c>
      <c r="C19" s="344">
        <v>220002</v>
      </c>
      <c r="D19" s="344" t="str">
        <f t="shared" si="0"/>
        <v>220002</v>
      </c>
      <c r="E19" s="346" t="s">
        <v>140</v>
      </c>
      <c r="F19" s="344" t="s">
        <v>141</v>
      </c>
      <c r="G19" s="344" t="str">
        <f t="shared" si="1"/>
        <v>60302AXLE 2</v>
      </c>
      <c r="H19" s="344">
        <v>15</v>
      </c>
      <c r="I19" s="344">
        <v>2</v>
      </c>
      <c r="J19" s="344">
        <v>2</v>
      </c>
      <c r="K19" s="344">
        <v>7</v>
      </c>
      <c r="L19" t="str">
        <f t="shared" si="2"/>
        <v>60302</v>
      </c>
      <c r="M19" s="344" t="s">
        <v>141</v>
      </c>
      <c r="N19" s="344">
        <v>220002</v>
      </c>
    </row>
    <row r="20" spans="1:14" ht="15">
      <c r="A20" s="344">
        <v>60302</v>
      </c>
      <c r="B20" s="345" t="s">
        <v>137</v>
      </c>
      <c r="C20" s="344">
        <v>220002</v>
      </c>
      <c r="D20" s="344" t="str">
        <f t="shared" si="0"/>
        <v>220002</v>
      </c>
      <c r="E20" s="346" t="s">
        <v>142</v>
      </c>
      <c r="F20" s="344" t="s">
        <v>143</v>
      </c>
      <c r="G20" s="344" t="str">
        <f t="shared" si="1"/>
        <v>60302AXLE 3</v>
      </c>
      <c r="H20" s="344">
        <v>14</v>
      </c>
      <c r="I20" s="344">
        <v>3</v>
      </c>
      <c r="J20" s="344">
        <v>3</v>
      </c>
      <c r="K20" s="344">
        <v>6</v>
      </c>
      <c r="L20" t="str">
        <f t="shared" si="2"/>
        <v>60302</v>
      </c>
      <c r="M20" s="344" t="s">
        <v>143</v>
      </c>
      <c r="N20" s="344">
        <v>220002</v>
      </c>
    </row>
    <row r="21" spans="1:14" ht="15">
      <c r="A21" s="344">
        <v>60302</v>
      </c>
      <c r="B21" s="345" t="s">
        <v>137</v>
      </c>
      <c r="C21" s="344">
        <v>220002</v>
      </c>
      <c r="D21" s="344" t="str">
        <f t="shared" si="0"/>
        <v>220002</v>
      </c>
      <c r="E21" s="346" t="s">
        <v>144</v>
      </c>
      <c r="F21" s="344" t="s">
        <v>145</v>
      </c>
      <c r="G21" s="344" t="str">
        <f t="shared" si="1"/>
        <v>60302AXLE 4</v>
      </c>
      <c r="H21" s="344">
        <v>13</v>
      </c>
      <c r="I21" s="344">
        <v>4</v>
      </c>
      <c r="J21" s="344">
        <v>4</v>
      </c>
      <c r="K21" s="344">
        <v>5</v>
      </c>
      <c r="L21" t="str">
        <f t="shared" si="2"/>
        <v>60302</v>
      </c>
      <c r="M21" s="344" t="s">
        <v>145</v>
      </c>
      <c r="N21" s="344">
        <v>220002</v>
      </c>
    </row>
    <row r="22" spans="1:14" ht="15">
      <c r="A22" s="344">
        <v>60702</v>
      </c>
      <c r="B22" s="345" t="s">
        <v>137</v>
      </c>
      <c r="C22" s="344">
        <v>220002</v>
      </c>
      <c r="D22" s="344" t="str">
        <f t="shared" si="0"/>
        <v>220002</v>
      </c>
      <c r="E22" s="346" t="s">
        <v>144</v>
      </c>
      <c r="F22" s="344" t="s">
        <v>139</v>
      </c>
      <c r="G22" s="344" t="str">
        <f t="shared" si="1"/>
        <v>60702AXLE 1</v>
      </c>
      <c r="H22" s="344">
        <v>9</v>
      </c>
      <c r="I22" s="344">
        <v>8</v>
      </c>
      <c r="J22" s="344">
        <v>1</v>
      </c>
      <c r="K22" s="344">
        <v>8</v>
      </c>
      <c r="L22" t="str">
        <f t="shared" si="2"/>
        <v>60702</v>
      </c>
      <c r="M22" s="344" t="s">
        <v>139</v>
      </c>
      <c r="N22" s="344">
        <v>220002</v>
      </c>
    </row>
    <row r="23" spans="1:14" ht="15">
      <c r="A23" s="344">
        <v>60702</v>
      </c>
      <c r="B23" s="345" t="s">
        <v>137</v>
      </c>
      <c r="C23" s="344">
        <v>220002</v>
      </c>
      <c r="D23" s="344" t="str">
        <f t="shared" si="0"/>
        <v>220002</v>
      </c>
      <c r="E23" s="346" t="s">
        <v>140</v>
      </c>
      <c r="F23" s="344" t="s">
        <v>141</v>
      </c>
      <c r="G23" s="344" t="str">
        <f t="shared" si="1"/>
        <v>60702AXLE 2</v>
      </c>
      <c r="H23" s="344">
        <v>10</v>
      </c>
      <c r="I23" s="344">
        <v>7</v>
      </c>
      <c r="J23" s="344">
        <v>2</v>
      </c>
      <c r="K23" s="344">
        <v>7</v>
      </c>
      <c r="L23" t="str">
        <f t="shared" si="2"/>
        <v>60702</v>
      </c>
      <c r="M23" s="344" t="s">
        <v>141</v>
      </c>
      <c r="N23" s="344">
        <v>220002</v>
      </c>
    </row>
    <row r="24" spans="1:14" ht="15">
      <c r="A24" s="344">
        <v>60702</v>
      </c>
      <c r="B24" s="345" t="s">
        <v>137</v>
      </c>
      <c r="C24" s="344">
        <v>220002</v>
      </c>
      <c r="D24" s="344" t="str">
        <f t="shared" si="0"/>
        <v>220002</v>
      </c>
      <c r="E24" s="346" t="s">
        <v>140</v>
      </c>
      <c r="F24" s="344" t="s">
        <v>143</v>
      </c>
      <c r="G24" s="344" t="str">
        <f t="shared" si="1"/>
        <v>60702AXLE 3</v>
      </c>
      <c r="H24" s="344">
        <v>11</v>
      </c>
      <c r="I24" s="344">
        <v>6</v>
      </c>
      <c r="J24" s="344">
        <v>3</v>
      </c>
      <c r="K24" s="344">
        <v>6</v>
      </c>
      <c r="L24" t="str">
        <f t="shared" si="2"/>
        <v>60702</v>
      </c>
      <c r="M24" s="344" t="s">
        <v>143</v>
      </c>
      <c r="N24" s="344">
        <v>220002</v>
      </c>
    </row>
    <row r="25" spans="1:14" ht="15">
      <c r="A25" s="344">
        <v>60702</v>
      </c>
      <c r="B25" s="345" t="s">
        <v>137</v>
      </c>
      <c r="C25" s="344">
        <v>220002</v>
      </c>
      <c r="D25" s="344" t="str">
        <f t="shared" si="0"/>
        <v>220002</v>
      </c>
      <c r="E25" s="346" t="s">
        <v>144</v>
      </c>
      <c r="F25" s="344" t="s">
        <v>145</v>
      </c>
      <c r="G25" s="344" t="str">
        <f t="shared" si="1"/>
        <v>60702AXLE 4</v>
      </c>
      <c r="H25" s="344">
        <v>12</v>
      </c>
      <c r="I25" s="344">
        <v>5</v>
      </c>
      <c r="J25" s="344">
        <v>4</v>
      </c>
      <c r="K25" s="344">
        <v>5</v>
      </c>
      <c r="L25" t="str">
        <f t="shared" si="2"/>
        <v>60702</v>
      </c>
      <c r="M25" s="344" t="s">
        <v>145</v>
      </c>
      <c r="N25" s="344">
        <v>220002</v>
      </c>
    </row>
    <row r="26" spans="1:14" ht="15">
      <c r="A26" s="344">
        <v>60202</v>
      </c>
      <c r="B26" s="345" t="s">
        <v>137</v>
      </c>
      <c r="C26" s="344">
        <v>220002</v>
      </c>
      <c r="D26" s="344" t="str">
        <f t="shared" si="0"/>
        <v>220002</v>
      </c>
      <c r="E26" s="346" t="s">
        <v>144</v>
      </c>
      <c r="F26" s="344" t="s">
        <v>139</v>
      </c>
      <c r="G26" s="344" t="str">
        <f t="shared" si="1"/>
        <v>60202AXLE 1</v>
      </c>
      <c r="H26" s="344">
        <v>5</v>
      </c>
      <c r="I26" s="344">
        <v>12</v>
      </c>
      <c r="J26" s="344">
        <v>1</v>
      </c>
      <c r="K26" s="344">
        <v>8</v>
      </c>
      <c r="L26" t="str">
        <f t="shared" si="2"/>
        <v>60202</v>
      </c>
      <c r="M26" s="344" t="s">
        <v>139</v>
      </c>
      <c r="N26" s="344">
        <v>220002</v>
      </c>
    </row>
    <row r="27" spans="1:14" ht="15">
      <c r="A27" s="344">
        <v>60202</v>
      </c>
      <c r="B27" s="345" t="s">
        <v>137</v>
      </c>
      <c r="C27" s="344">
        <v>220002</v>
      </c>
      <c r="D27" s="344" t="str">
        <f t="shared" si="0"/>
        <v>220002</v>
      </c>
      <c r="E27" s="346" t="s">
        <v>140</v>
      </c>
      <c r="F27" s="344" t="s">
        <v>141</v>
      </c>
      <c r="G27" s="344" t="str">
        <f t="shared" si="1"/>
        <v>60202AXLE 2</v>
      </c>
      <c r="H27" s="344">
        <v>6</v>
      </c>
      <c r="I27" s="344">
        <v>11</v>
      </c>
      <c r="J27" s="344">
        <v>2</v>
      </c>
      <c r="K27" s="344">
        <v>7</v>
      </c>
      <c r="L27" t="str">
        <f t="shared" si="2"/>
        <v>60202</v>
      </c>
      <c r="M27" s="344" t="s">
        <v>141</v>
      </c>
      <c r="N27" s="344">
        <v>220002</v>
      </c>
    </row>
    <row r="28" spans="1:14" ht="15">
      <c r="A28" s="344">
        <v>60202</v>
      </c>
      <c r="B28" s="345" t="s">
        <v>137</v>
      </c>
      <c r="C28" s="344">
        <v>220002</v>
      </c>
      <c r="D28" s="344" t="str">
        <f t="shared" si="0"/>
        <v>220002</v>
      </c>
      <c r="E28" s="346" t="s">
        <v>140</v>
      </c>
      <c r="F28" s="344" t="s">
        <v>143</v>
      </c>
      <c r="G28" s="344" t="str">
        <f t="shared" si="1"/>
        <v>60202AXLE 3</v>
      </c>
      <c r="H28" s="344">
        <v>7</v>
      </c>
      <c r="I28" s="344">
        <v>10</v>
      </c>
      <c r="J28" s="344">
        <v>3</v>
      </c>
      <c r="K28" s="344">
        <v>6</v>
      </c>
      <c r="L28" t="str">
        <f t="shared" si="2"/>
        <v>60202</v>
      </c>
      <c r="M28" s="344" t="s">
        <v>143</v>
      </c>
      <c r="N28" s="344">
        <v>220002</v>
      </c>
    </row>
    <row r="29" spans="1:14" ht="15">
      <c r="A29" s="344">
        <v>60202</v>
      </c>
      <c r="B29" s="345" t="s">
        <v>137</v>
      </c>
      <c r="C29" s="344">
        <v>220002</v>
      </c>
      <c r="D29" s="344" t="str">
        <f t="shared" si="0"/>
        <v>220002</v>
      </c>
      <c r="E29" s="346" t="s">
        <v>144</v>
      </c>
      <c r="F29" s="344" t="s">
        <v>145</v>
      </c>
      <c r="G29" s="344" t="str">
        <f t="shared" si="1"/>
        <v>60202AXLE 4</v>
      </c>
      <c r="H29" s="344">
        <v>8</v>
      </c>
      <c r="I29" s="344">
        <v>9</v>
      </c>
      <c r="J29" s="344">
        <v>4</v>
      </c>
      <c r="K29" s="344">
        <v>5</v>
      </c>
      <c r="L29" t="str">
        <f t="shared" si="2"/>
        <v>60202</v>
      </c>
      <c r="M29" s="344" t="s">
        <v>145</v>
      </c>
      <c r="N29" s="344">
        <v>220002</v>
      </c>
    </row>
    <row r="30" spans="1:14" ht="15">
      <c r="A30" s="344">
        <v>60402</v>
      </c>
      <c r="B30" s="345" t="s">
        <v>137</v>
      </c>
      <c r="C30" s="344">
        <v>220002</v>
      </c>
      <c r="D30" s="344" t="str">
        <f t="shared" si="0"/>
        <v>220002</v>
      </c>
      <c r="E30" s="346" t="s">
        <v>138</v>
      </c>
      <c r="F30" s="344" t="s">
        <v>139</v>
      </c>
      <c r="G30" s="344" t="str">
        <f t="shared" si="1"/>
        <v>60402AXLE 1</v>
      </c>
      <c r="H30" s="344">
        <v>1</v>
      </c>
      <c r="I30" s="344">
        <v>16</v>
      </c>
      <c r="J30" s="344">
        <v>1</v>
      </c>
      <c r="K30" s="344">
        <v>8</v>
      </c>
      <c r="L30" t="str">
        <f t="shared" si="2"/>
        <v>60402</v>
      </c>
      <c r="M30" s="344" t="s">
        <v>139</v>
      </c>
      <c r="N30" s="344">
        <v>220002</v>
      </c>
    </row>
    <row r="31" spans="1:14" ht="15">
      <c r="A31" s="344">
        <v>60402</v>
      </c>
      <c r="B31" s="345" t="s">
        <v>137</v>
      </c>
      <c r="C31" s="344">
        <v>220002</v>
      </c>
      <c r="D31" s="344" t="str">
        <f t="shared" si="0"/>
        <v>220002</v>
      </c>
      <c r="E31" s="346" t="s">
        <v>140</v>
      </c>
      <c r="F31" s="344" t="s">
        <v>141</v>
      </c>
      <c r="G31" s="344" t="str">
        <f t="shared" si="1"/>
        <v>60402AXLE 2</v>
      </c>
      <c r="H31" s="344">
        <v>2</v>
      </c>
      <c r="I31" s="344">
        <v>15</v>
      </c>
      <c r="J31" s="344">
        <v>2</v>
      </c>
      <c r="K31" s="344">
        <v>7</v>
      </c>
      <c r="L31" t="str">
        <f t="shared" si="2"/>
        <v>60402</v>
      </c>
      <c r="M31" s="344" t="s">
        <v>141</v>
      </c>
      <c r="N31" s="344">
        <v>220002</v>
      </c>
    </row>
    <row r="32" spans="1:14" ht="15">
      <c r="A32" s="344">
        <v>60402</v>
      </c>
      <c r="B32" s="345" t="s">
        <v>137</v>
      </c>
      <c r="C32" s="344">
        <v>220002</v>
      </c>
      <c r="D32" s="344" t="str">
        <f t="shared" si="0"/>
        <v>220002</v>
      </c>
      <c r="E32" s="346" t="s">
        <v>142</v>
      </c>
      <c r="F32" s="344" t="s">
        <v>143</v>
      </c>
      <c r="G32" s="344" t="str">
        <f t="shared" si="1"/>
        <v>60402AXLE 3</v>
      </c>
      <c r="H32" s="344">
        <v>3</v>
      </c>
      <c r="I32" s="344">
        <v>14</v>
      </c>
      <c r="J32" s="344">
        <v>3</v>
      </c>
      <c r="K32" s="344">
        <v>6</v>
      </c>
      <c r="L32" t="str">
        <f t="shared" si="2"/>
        <v>60402</v>
      </c>
      <c r="M32" s="344" t="s">
        <v>143</v>
      </c>
      <c r="N32" s="344">
        <v>220002</v>
      </c>
    </row>
    <row r="33" spans="1:14" ht="15">
      <c r="A33" s="344">
        <v>60402</v>
      </c>
      <c r="B33" s="345" t="s">
        <v>137</v>
      </c>
      <c r="C33" s="344">
        <v>220002</v>
      </c>
      <c r="D33" s="344" t="str">
        <f t="shared" si="0"/>
        <v>220002</v>
      </c>
      <c r="E33" s="346" t="s">
        <v>144</v>
      </c>
      <c r="F33" s="344" t="s">
        <v>145</v>
      </c>
      <c r="G33" s="344" t="str">
        <f t="shared" si="1"/>
        <v>60402AXLE 4</v>
      </c>
      <c r="H33" s="344">
        <v>4</v>
      </c>
      <c r="I33" s="344">
        <v>13</v>
      </c>
      <c r="J33" s="344">
        <v>4</v>
      </c>
      <c r="K33" s="344">
        <v>5</v>
      </c>
      <c r="L33" t="str">
        <f t="shared" si="2"/>
        <v>60402</v>
      </c>
      <c r="M33" s="344" t="s">
        <v>145</v>
      </c>
      <c r="N33" s="344">
        <v>220002</v>
      </c>
    </row>
    <row r="34" spans="1:14" ht="15">
      <c r="A34" s="344">
        <v>60303</v>
      </c>
      <c r="B34" s="345" t="s">
        <v>137</v>
      </c>
      <c r="C34" s="344">
        <v>220003</v>
      </c>
      <c r="D34" s="344" t="str">
        <f t="shared" si="0"/>
        <v>220003</v>
      </c>
      <c r="E34" s="346" t="s">
        <v>138</v>
      </c>
      <c r="F34" s="344" t="s">
        <v>139</v>
      </c>
      <c r="G34" s="344" t="str">
        <f t="shared" si="1"/>
        <v>60303AXLE 1</v>
      </c>
      <c r="H34" s="344">
        <v>16</v>
      </c>
      <c r="I34" s="344">
        <v>1</v>
      </c>
      <c r="J34" s="344">
        <v>1</v>
      </c>
      <c r="K34" s="344">
        <v>8</v>
      </c>
      <c r="L34" t="str">
        <f t="shared" si="2"/>
        <v>60303</v>
      </c>
      <c r="M34" s="344" t="s">
        <v>139</v>
      </c>
      <c r="N34" s="344">
        <v>220003</v>
      </c>
    </row>
    <row r="35" spans="1:14" ht="15">
      <c r="A35" s="344">
        <v>60303</v>
      </c>
      <c r="B35" s="345" t="s">
        <v>137</v>
      </c>
      <c r="C35" s="344">
        <v>220003</v>
      </c>
      <c r="D35" s="344" t="str">
        <f t="shared" si="0"/>
        <v>220003</v>
      </c>
      <c r="E35" s="346" t="s">
        <v>140</v>
      </c>
      <c r="F35" s="344" t="s">
        <v>141</v>
      </c>
      <c r="G35" s="344" t="str">
        <f t="shared" si="1"/>
        <v>60303AXLE 2</v>
      </c>
      <c r="H35" s="344">
        <v>15</v>
      </c>
      <c r="I35" s="344">
        <v>2</v>
      </c>
      <c r="J35" s="344">
        <v>2</v>
      </c>
      <c r="K35" s="344">
        <v>7</v>
      </c>
      <c r="L35" t="str">
        <f t="shared" si="2"/>
        <v>60303</v>
      </c>
      <c r="M35" s="344" t="s">
        <v>141</v>
      </c>
      <c r="N35" s="344">
        <v>220003</v>
      </c>
    </row>
    <row r="36" spans="1:14" ht="15">
      <c r="A36" s="344">
        <v>60303</v>
      </c>
      <c r="B36" s="345" t="s">
        <v>137</v>
      </c>
      <c r="C36" s="344">
        <v>220003</v>
      </c>
      <c r="D36" s="344" t="str">
        <f t="shared" si="0"/>
        <v>220003</v>
      </c>
      <c r="E36" s="346" t="s">
        <v>142</v>
      </c>
      <c r="F36" s="344" t="s">
        <v>143</v>
      </c>
      <c r="G36" s="344" t="str">
        <f t="shared" si="1"/>
        <v>60303AXLE 3</v>
      </c>
      <c r="H36" s="344">
        <v>14</v>
      </c>
      <c r="I36" s="344">
        <v>3</v>
      </c>
      <c r="J36" s="344">
        <v>3</v>
      </c>
      <c r="K36" s="344">
        <v>6</v>
      </c>
      <c r="L36" t="str">
        <f t="shared" si="2"/>
        <v>60303</v>
      </c>
      <c r="M36" s="344" t="s">
        <v>143</v>
      </c>
      <c r="N36" s="344">
        <v>220003</v>
      </c>
    </row>
    <row r="37" spans="1:14" ht="15">
      <c r="A37" s="344">
        <v>60303</v>
      </c>
      <c r="B37" s="345" t="s">
        <v>137</v>
      </c>
      <c r="C37" s="344">
        <v>220003</v>
      </c>
      <c r="D37" s="344" t="str">
        <f t="shared" si="0"/>
        <v>220003</v>
      </c>
      <c r="E37" s="346" t="s">
        <v>144</v>
      </c>
      <c r="F37" s="344" t="s">
        <v>145</v>
      </c>
      <c r="G37" s="344" t="str">
        <f t="shared" si="1"/>
        <v>60303AXLE 4</v>
      </c>
      <c r="H37" s="344">
        <v>13</v>
      </c>
      <c r="I37" s="344">
        <v>4</v>
      </c>
      <c r="J37" s="344">
        <v>4</v>
      </c>
      <c r="K37" s="344">
        <v>5</v>
      </c>
      <c r="L37" t="str">
        <f t="shared" si="2"/>
        <v>60303</v>
      </c>
      <c r="M37" s="344" t="s">
        <v>145</v>
      </c>
      <c r="N37" s="344">
        <v>220003</v>
      </c>
    </row>
    <row r="38" spans="1:14" ht="15">
      <c r="A38" s="344">
        <v>60703</v>
      </c>
      <c r="B38" s="345" t="s">
        <v>137</v>
      </c>
      <c r="C38" s="344">
        <v>220003</v>
      </c>
      <c r="D38" s="344" t="str">
        <f t="shared" si="0"/>
        <v>220003</v>
      </c>
      <c r="E38" s="346" t="s">
        <v>144</v>
      </c>
      <c r="F38" s="344" t="s">
        <v>139</v>
      </c>
      <c r="G38" s="344" t="str">
        <f t="shared" si="1"/>
        <v>60703AXLE 1</v>
      </c>
      <c r="H38" s="344">
        <v>9</v>
      </c>
      <c r="I38" s="344">
        <v>8</v>
      </c>
      <c r="J38" s="344">
        <v>1</v>
      </c>
      <c r="K38" s="344">
        <v>8</v>
      </c>
      <c r="L38" t="str">
        <f t="shared" si="2"/>
        <v>60703</v>
      </c>
      <c r="M38" s="344" t="s">
        <v>139</v>
      </c>
      <c r="N38" s="344">
        <v>220003</v>
      </c>
    </row>
    <row r="39" spans="1:14" ht="15">
      <c r="A39" s="344">
        <v>60703</v>
      </c>
      <c r="B39" s="345" t="s">
        <v>137</v>
      </c>
      <c r="C39" s="344">
        <v>220003</v>
      </c>
      <c r="D39" s="344" t="str">
        <f t="shared" si="0"/>
        <v>220003</v>
      </c>
      <c r="E39" s="346" t="s">
        <v>140</v>
      </c>
      <c r="F39" s="344" t="s">
        <v>141</v>
      </c>
      <c r="G39" s="344" t="str">
        <f t="shared" si="1"/>
        <v>60703AXLE 2</v>
      </c>
      <c r="H39" s="344">
        <v>10</v>
      </c>
      <c r="I39" s="344">
        <v>7</v>
      </c>
      <c r="J39" s="344">
        <v>2</v>
      </c>
      <c r="K39" s="344">
        <v>7</v>
      </c>
      <c r="L39" t="str">
        <f t="shared" si="2"/>
        <v>60703</v>
      </c>
      <c r="M39" s="344" t="s">
        <v>141</v>
      </c>
      <c r="N39" s="344">
        <v>220003</v>
      </c>
    </row>
    <row r="40" spans="1:14" ht="15">
      <c r="A40" s="344">
        <v>60703</v>
      </c>
      <c r="B40" s="345" t="s">
        <v>137</v>
      </c>
      <c r="C40" s="344">
        <v>220003</v>
      </c>
      <c r="D40" s="344" t="str">
        <f t="shared" si="0"/>
        <v>220003</v>
      </c>
      <c r="E40" s="346" t="s">
        <v>140</v>
      </c>
      <c r="F40" s="344" t="s">
        <v>143</v>
      </c>
      <c r="G40" s="344" t="str">
        <f t="shared" si="1"/>
        <v>60703AXLE 3</v>
      </c>
      <c r="H40" s="344">
        <v>11</v>
      </c>
      <c r="I40" s="344">
        <v>6</v>
      </c>
      <c r="J40" s="344">
        <v>3</v>
      </c>
      <c r="K40" s="344">
        <v>6</v>
      </c>
      <c r="L40" t="str">
        <f t="shared" si="2"/>
        <v>60703</v>
      </c>
      <c r="M40" s="344" t="s">
        <v>143</v>
      </c>
      <c r="N40" s="344">
        <v>220003</v>
      </c>
    </row>
    <row r="41" spans="1:14" ht="15">
      <c r="A41" s="344">
        <v>60703</v>
      </c>
      <c r="B41" s="345" t="s">
        <v>137</v>
      </c>
      <c r="C41" s="344">
        <v>220003</v>
      </c>
      <c r="D41" s="344" t="str">
        <f t="shared" si="0"/>
        <v>220003</v>
      </c>
      <c r="E41" s="346" t="s">
        <v>144</v>
      </c>
      <c r="F41" s="344" t="s">
        <v>145</v>
      </c>
      <c r="G41" s="344" t="str">
        <f t="shared" si="1"/>
        <v>60703AXLE 4</v>
      </c>
      <c r="H41" s="344">
        <v>12</v>
      </c>
      <c r="I41" s="344">
        <v>5</v>
      </c>
      <c r="J41" s="344">
        <v>4</v>
      </c>
      <c r="K41" s="344">
        <v>5</v>
      </c>
      <c r="L41" t="str">
        <f t="shared" si="2"/>
        <v>60703</v>
      </c>
      <c r="M41" s="344" t="s">
        <v>145</v>
      </c>
      <c r="N41" s="344">
        <v>220003</v>
      </c>
    </row>
    <row r="42" spans="1:14" ht="15">
      <c r="A42" s="344">
        <v>60203</v>
      </c>
      <c r="B42" s="345" t="s">
        <v>137</v>
      </c>
      <c r="C42" s="344">
        <v>220003</v>
      </c>
      <c r="D42" s="344" t="str">
        <f t="shared" si="0"/>
        <v>220003</v>
      </c>
      <c r="E42" s="346" t="s">
        <v>144</v>
      </c>
      <c r="F42" s="344" t="s">
        <v>139</v>
      </c>
      <c r="G42" s="344" t="str">
        <f t="shared" si="1"/>
        <v>60203AXLE 1</v>
      </c>
      <c r="H42" s="344">
        <v>5</v>
      </c>
      <c r="I42" s="344">
        <v>12</v>
      </c>
      <c r="J42" s="344">
        <v>1</v>
      </c>
      <c r="K42" s="344">
        <v>8</v>
      </c>
      <c r="L42" t="str">
        <f t="shared" si="2"/>
        <v>60203</v>
      </c>
      <c r="M42" s="344" t="s">
        <v>139</v>
      </c>
      <c r="N42" s="344">
        <v>220003</v>
      </c>
    </row>
    <row r="43" spans="1:14" ht="15">
      <c r="A43" s="344">
        <v>60203</v>
      </c>
      <c r="B43" s="345" t="s">
        <v>137</v>
      </c>
      <c r="C43" s="344">
        <v>220003</v>
      </c>
      <c r="D43" s="344" t="str">
        <f t="shared" si="0"/>
        <v>220003</v>
      </c>
      <c r="E43" s="346" t="s">
        <v>140</v>
      </c>
      <c r="F43" s="344" t="s">
        <v>141</v>
      </c>
      <c r="G43" s="344" t="str">
        <f t="shared" si="1"/>
        <v>60203AXLE 2</v>
      </c>
      <c r="H43" s="344">
        <v>6</v>
      </c>
      <c r="I43" s="344">
        <v>11</v>
      </c>
      <c r="J43" s="344">
        <v>2</v>
      </c>
      <c r="K43" s="344">
        <v>7</v>
      </c>
      <c r="L43" t="str">
        <f t="shared" si="2"/>
        <v>60203</v>
      </c>
      <c r="M43" s="344" t="s">
        <v>141</v>
      </c>
      <c r="N43" s="344">
        <v>220003</v>
      </c>
    </row>
    <row r="44" spans="1:14" ht="15">
      <c r="A44" s="344">
        <v>60203</v>
      </c>
      <c r="B44" s="345" t="s">
        <v>137</v>
      </c>
      <c r="C44" s="344">
        <v>220003</v>
      </c>
      <c r="D44" s="344" t="str">
        <f t="shared" si="0"/>
        <v>220003</v>
      </c>
      <c r="E44" s="346" t="s">
        <v>140</v>
      </c>
      <c r="F44" s="344" t="s">
        <v>143</v>
      </c>
      <c r="G44" s="344" t="str">
        <f t="shared" si="1"/>
        <v>60203AXLE 3</v>
      </c>
      <c r="H44" s="344">
        <v>7</v>
      </c>
      <c r="I44" s="344">
        <v>10</v>
      </c>
      <c r="J44" s="344">
        <v>3</v>
      </c>
      <c r="K44" s="344">
        <v>6</v>
      </c>
      <c r="L44" t="str">
        <f t="shared" si="2"/>
        <v>60203</v>
      </c>
      <c r="M44" s="344" t="s">
        <v>143</v>
      </c>
      <c r="N44" s="344">
        <v>220003</v>
      </c>
    </row>
    <row r="45" spans="1:14" ht="15">
      <c r="A45" s="344">
        <v>60203</v>
      </c>
      <c r="B45" s="345" t="s">
        <v>137</v>
      </c>
      <c r="C45" s="344">
        <v>220003</v>
      </c>
      <c r="D45" s="344" t="str">
        <f t="shared" si="0"/>
        <v>220003</v>
      </c>
      <c r="E45" s="346" t="s">
        <v>144</v>
      </c>
      <c r="F45" s="344" t="s">
        <v>145</v>
      </c>
      <c r="G45" s="344" t="str">
        <f t="shared" si="1"/>
        <v>60203AXLE 4</v>
      </c>
      <c r="H45" s="344">
        <v>8</v>
      </c>
      <c r="I45" s="344">
        <v>9</v>
      </c>
      <c r="J45" s="344">
        <v>4</v>
      </c>
      <c r="K45" s="344">
        <v>5</v>
      </c>
      <c r="L45" t="str">
        <f t="shared" si="2"/>
        <v>60203</v>
      </c>
      <c r="M45" s="344" t="s">
        <v>145</v>
      </c>
      <c r="N45" s="344">
        <v>220003</v>
      </c>
    </row>
    <row r="46" spans="1:14" ht="15">
      <c r="A46" s="344">
        <v>60403</v>
      </c>
      <c r="B46" s="345" t="s">
        <v>137</v>
      </c>
      <c r="C46" s="344">
        <v>220003</v>
      </c>
      <c r="D46" s="344" t="str">
        <f t="shared" si="0"/>
        <v>220003</v>
      </c>
      <c r="E46" s="346" t="s">
        <v>138</v>
      </c>
      <c r="F46" s="344" t="s">
        <v>139</v>
      </c>
      <c r="G46" s="344" t="str">
        <f t="shared" si="1"/>
        <v>60403AXLE 1</v>
      </c>
      <c r="H46" s="344">
        <v>1</v>
      </c>
      <c r="I46" s="344">
        <v>16</v>
      </c>
      <c r="J46" s="344">
        <v>1</v>
      </c>
      <c r="K46" s="344">
        <v>8</v>
      </c>
      <c r="L46" t="str">
        <f t="shared" si="2"/>
        <v>60403</v>
      </c>
      <c r="M46" s="344" t="s">
        <v>139</v>
      </c>
      <c r="N46" s="344">
        <v>220003</v>
      </c>
    </row>
    <row r="47" spans="1:14" ht="15">
      <c r="A47" s="344">
        <v>60403</v>
      </c>
      <c r="B47" s="345" t="s">
        <v>137</v>
      </c>
      <c r="C47" s="344">
        <v>220003</v>
      </c>
      <c r="D47" s="344" t="str">
        <f t="shared" si="0"/>
        <v>220003</v>
      </c>
      <c r="E47" s="346" t="s">
        <v>140</v>
      </c>
      <c r="F47" s="344" t="s">
        <v>141</v>
      </c>
      <c r="G47" s="344" t="str">
        <f t="shared" si="1"/>
        <v>60403AXLE 2</v>
      </c>
      <c r="H47" s="344">
        <v>2</v>
      </c>
      <c r="I47" s="344">
        <v>15</v>
      </c>
      <c r="J47" s="344">
        <v>2</v>
      </c>
      <c r="K47" s="344">
        <v>7</v>
      </c>
      <c r="L47" t="str">
        <f t="shared" si="2"/>
        <v>60403</v>
      </c>
      <c r="M47" s="344" t="s">
        <v>141</v>
      </c>
      <c r="N47" s="344">
        <v>220003</v>
      </c>
    </row>
    <row r="48" spans="1:14" ht="15">
      <c r="A48" s="344">
        <v>60403</v>
      </c>
      <c r="B48" s="345" t="s">
        <v>137</v>
      </c>
      <c r="C48" s="344">
        <v>220003</v>
      </c>
      <c r="D48" s="344" t="str">
        <f t="shared" si="0"/>
        <v>220003</v>
      </c>
      <c r="E48" s="346" t="s">
        <v>142</v>
      </c>
      <c r="F48" s="344" t="s">
        <v>143</v>
      </c>
      <c r="G48" s="344" t="str">
        <f t="shared" si="1"/>
        <v>60403AXLE 3</v>
      </c>
      <c r="H48" s="344">
        <v>3</v>
      </c>
      <c r="I48" s="344">
        <v>14</v>
      </c>
      <c r="J48" s="344">
        <v>3</v>
      </c>
      <c r="K48" s="344">
        <v>6</v>
      </c>
      <c r="L48" t="str">
        <f t="shared" si="2"/>
        <v>60403</v>
      </c>
      <c r="M48" s="344" t="s">
        <v>143</v>
      </c>
      <c r="N48" s="344">
        <v>220003</v>
      </c>
    </row>
    <row r="49" spans="1:14" ht="15">
      <c r="A49" s="344">
        <v>60403</v>
      </c>
      <c r="B49" s="345" t="s">
        <v>137</v>
      </c>
      <c r="C49" s="344">
        <v>220003</v>
      </c>
      <c r="D49" s="344" t="str">
        <f t="shared" si="0"/>
        <v>220003</v>
      </c>
      <c r="E49" s="346" t="s">
        <v>144</v>
      </c>
      <c r="F49" s="344" t="s">
        <v>145</v>
      </c>
      <c r="G49" s="344" t="str">
        <f t="shared" si="1"/>
        <v>60403AXLE 4</v>
      </c>
      <c r="H49" s="344">
        <v>4</v>
      </c>
      <c r="I49" s="344">
        <v>13</v>
      </c>
      <c r="J49" s="344">
        <v>4</v>
      </c>
      <c r="K49" s="344">
        <v>5</v>
      </c>
      <c r="L49" t="str">
        <f t="shared" si="2"/>
        <v>60403</v>
      </c>
      <c r="M49" s="344" t="s">
        <v>145</v>
      </c>
      <c r="N49" s="344">
        <v>220003</v>
      </c>
    </row>
    <row r="50" spans="1:14" ht="15">
      <c r="A50" s="344">
        <v>60304</v>
      </c>
      <c r="B50" s="345" t="s">
        <v>137</v>
      </c>
      <c r="C50" s="344">
        <v>220004</v>
      </c>
      <c r="D50" s="344" t="str">
        <f t="shared" si="0"/>
        <v>220004</v>
      </c>
      <c r="E50" s="346" t="s">
        <v>138</v>
      </c>
      <c r="F50" s="344" t="s">
        <v>139</v>
      </c>
      <c r="G50" s="344" t="str">
        <f t="shared" si="1"/>
        <v>60304AXLE 1</v>
      </c>
      <c r="H50" s="344">
        <v>16</v>
      </c>
      <c r="I50" s="344">
        <v>1</v>
      </c>
      <c r="J50" s="344">
        <v>1</v>
      </c>
      <c r="K50" s="344">
        <v>8</v>
      </c>
      <c r="L50" t="str">
        <f t="shared" si="2"/>
        <v>60304</v>
      </c>
      <c r="M50" s="344" t="s">
        <v>139</v>
      </c>
      <c r="N50" s="344">
        <v>220004</v>
      </c>
    </row>
    <row r="51" spans="1:14" ht="15">
      <c r="A51" s="344">
        <v>60304</v>
      </c>
      <c r="B51" s="345" t="s">
        <v>137</v>
      </c>
      <c r="C51" s="344">
        <v>220004</v>
      </c>
      <c r="D51" s="344" t="str">
        <f t="shared" si="0"/>
        <v>220004</v>
      </c>
      <c r="E51" s="346" t="s">
        <v>140</v>
      </c>
      <c r="F51" s="344" t="s">
        <v>141</v>
      </c>
      <c r="G51" s="344" t="str">
        <f t="shared" si="1"/>
        <v>60304AXLE 2</v>
      </c>
      <c r="H51" s="344">
        <v>15</v>
      </c>
      <c r="I51" s="344">
        <v>2</v>
      </c>
      <c r="J51" s="344">
        <v>2</v>
      </c>
      <c r="K51" s="344">
        <v>7</v>
      </c>
      <c r="L51" t="str">
        <f t="shared" si="2"/>
        <v>60304</v>
      </c>
      <c r="M51" s="344" t="s">
        <v>141</v>
      </c>
      <c r="N51" s="344">
        <v>220004</v>
      </c>
    </row>
    <row r="52" spans="1:14" ht="15">
      <c r="A52" s="344">
        <v>60304</v>
      </c>
      <c r="B52" s="345" t="s">
        <v>137</v>
      </c>
      <c r="C52" s="344">
        <v>220004</v>
      </c>
      <c r="D52" s="344" t="str">
        <f t="shared" si="0"/>
        <v>220004</v>
      </c>
      <c r="E52" s="346" t="s">
        <v>142</v>
      </c>
      <c r="F52" s="344" t="s">
        <v>143</v>
      </c>
      <c r="G52" s="344" t="str">
        <f t="shared" si="1"/>
        <v>60304AXLE 3</v>
      </c>
      <c r="H52" s="344">
        <v>14</v>
      </c>
      <c r="I52" s="344">
        <v>3</v>
      </c>
      <c r="J52" s="344">
        <v>3</v>
      </c>
      <c r="K52" s="344">
        <v>6</v>
      </c>
      <c r="L52" t="str">
        <f t="shared" si="2"/>
        <v>60304</v>
      </c>
      <c r="M52" s="344" t="s">
        <v>143</v>
      </c>
      <c r="N52" s="344">
        <v>220004</v>
      </c>
    </row>
    <row r="53" spans="1:14" ht="15">
      <c r="A53" s="344">
        <v>60304</v>
      </c>
      <c r="B53" s="345" t="s">
        <v>137</v>
      </c>
      <c r="C53" s="344">
        <v>220004</v>
      </c>
      <c r="D53" s="344" t="str">
        <f t="shared" si="0"/>
        <v>220004</v>
      </c>
      <c r="E53" s="346" t="s">
        <v>144</v>
      </c>
      <c r="F53" s="344" t="s">
        <v>145</v>
      </c>
      <c r="G53" s="344" t="str">
        <f t="shared" si="1"/>
        <v>60304AXLE 4</v>
      </c>
      <c r="H53" s="344">
        <v>13</v>
      </c>
      <c r="I53" s="344">
        <v>4</v>
      </c>
      <c r="J53" s="344">
        <v>4</v>
      </c>
      <c r="K53" s="344">
        <v>5</v>
      </c>
      <c r="L53" t="str">
        <f t="shared" si="2"/>
        <v>60304</v>
      </c>
      <c r="M53" s="344" t="s">
        <v>145</v>
      </c>
      <c r="N53" s="344">
        <v>220004</v>
      </c>
    </row>
    <row r="54" spans="1:14" ht="15">
      <c r="A54" s="344">
        <v>60704</v>
      </c>
      <c r="B54" s="345" t="s">
        <v>137</v>
      </c>
      <c r="C54" s="344">
        <v>220004</v>
      </c>
      <c r="D54" s="344" t="str">
        <f t="shared" si="0"/>
        <v>220004</v>
      </c>
      <c r="E54" s="346" t="s">
        <v>144</v>
      </c>
      <c r="F54" s="344" t="s">
        <v>139</v>
      </c>
      <c r="G54" s="344" t="str">
        <f t="shared" si="1"/>
        <v>60704AXLE 1</v>
      </c>
      <c r="H54" s="344">
        <v>9</v>
      </c>
      <c r="I54" s="344">
        <v>8</v>
      </c>
      <c r="J54" s="344">
        <v>1</v>
      </c>
      <c r="K54" s="344">
        <v>8</v>
      </c>
      <c r="L54" t="str">
        <f t="shared" si="2"/>
        <v>60704</v>
      </c>
      <c r="M54" s="344" t="s">
        <v>139</v>
      </c>
      <c r="N54" s="344">
        <v>220004</v>
      </c>
    </row>
    <row r="55" spans="1:14" ht="15">
      <c r="A55" s="344">
        <v>60704</v>
      </c>
      <c r="B55" s="345" t="s">
        <v>137</v>
      </c>
      <c r="C55" s="344">
        <v>220004</v>
      </c>
      <c r="D55" s="344" t="str">
        <f t="shared" si="0"/>
        <v>220004</v>
      </c>
      <c r="E55" s="346" t="s">
        <v>140</v>
      </c>
      <c r="F55" s="344" t="s">
        <v>141</v>
      </c>
      <c r="G55" s="344" t="str">
        <f t="shared" si="1"/>
        <v>60704AXLE 2</v>
      </c>
      <c r="H55" s="344">
        <v>10</v>
      </c>
      <c r="I55" s="344">
        <v>7</v>
      </c>
      <c r="J55" s="344">
        <v>2</v>
      </c>
      <c r="K55" s="344">
        <v>7</v>
      </c>
      <c r="L55" t="str">
        <f t="shared" si="2"/>
        <v>60704</v>
      </c>
      <c r="M55" s="344" t="s">
        <v>141</v>
      </c>
      <c r="N55" s="344">
        <v>220004</v>
      </c>
    </row>
    <row r="56" spans="1:14" ht="15">
      <c r="A56" s="344">
        <v>60704</v>
      </c>
      <c r="B56" s="345" t="s">
        <v>137</v>
      </c>
      <c r="C56" s="344">
        <v>220004</v>
      </c>
      <c r="D56" s="344" t="str">
        <f t="shared" si="0"/>
        <v>220004</v>
      </c>
      <c r="E56" s="346" t="s">
        <v>140</v>
      </c>
      <c r="F56" s="344" t="s">
        <v>143</v>
      </c>
      <c r="G56" s="344" t="str">
        <f t="shared" si="1"/>
        <v>60704AXLE 3</v>
      </c>
      <c r="H56" s="344">
        <v>11</v>
      </c>
      <c r="I56" s="344">
        <v>6</v>
      </c>
      <c r="J56" s="344">
        <v>3</v>
      </c>
      <c r="K56" s="344">
        <v>6</v>
      </c>
      <c r="L56" t="str">
        <f t="shared" si="2"/>
        <v>60704</v>
      </c>
      <c r="M56" s="344" t="s">
        <v>143</v>
      </c>
      <c r="N56" s="344">
        <v>220004</v>
      </c>
    </row>
    <row r="57" spans="1:14" ht="15">
      <c r="A57" s="344">
        <v>60704</v>
      </c>
      <c r="B57" s="345" t="s">
        <v>137</v>
      </c>
      <c r="C57" s="344">
        <v>220004</v>
      </c>
      <c r="D57" s="344" t="str">
        <f t="shared" si="0"/>
        <v>220004</v>
      </c>
      <c r="E57" s="346" t="s">
        <v>144</v>
      </c>
      <c r="F57" s="344" t="s">
        <v>145</v>
      </c>
      <c r="G57" s="344" t="str">
        <f t="shared" si="1"/>
        <v>60704AXLE 4</v>
      </c>
      <c r="H57" s="344">
        <v>12</v>
      </c>
      <c r="I57" s="344">
        <v>5</v>
      </c>
      <c r="J57" s="344">
        <v>4</v>
      </c>
      <c r="K57" s="344">
        <v>5</v>
      </c>
      <c r="L57" t="str">
        <f t="shared" si="2"/>
        <v>60704</v>
      </c>
      <c r="M57" s="344" t="s">
        <v>145</v>
      </c>
      <c r="N57" s="344">
        <v>220004</v>
      </c>
    </row>
    <row r="58" spans="1:14" ht="15">
      <c r="A58" s="344">
        <v>60204</v>
      </c>
      <c r="B58" s="345" t="s">
        <v>137</v>
      </c>
      <c r="C58" s="344">
        <v>220004</v>
      </c>
      <c r="D58" s="344" t="str">
        <f t="shared" si="0"/>
        <v>220004</v>
      </c>
      <c r="E58" s="346" t="s">
        <v>144</v>
      </c>
      <c r="F58" s="344" t="s">
        <v>139</v>
      </c>
      <c r="G58" s="344" t="str">
        <f t="shared" si="1"/>
        <v>60204AXLE 1</v>
      </c>
      <c r="H58" s="344">
        <v>5</v>
      </c>
      <c r="I58" s="344">
        <v>12</v>
      </c>
      <c r="J58" s="344">
        <v>1</v>
      </c>
      <c r="K58" s="344">
        <v>8</v>
      </c>
      <c r="L58" t="str">
        <f t="shared" si="2"/>
        <v>60204</v>
      </c>
      <c r="M58" s="344" t="s">
        <v>139</v>
      </c>
      <c r="N58" s="344">
        <v>220004</v>
      </c>
    </row>
    <row r="59" spans="1:14" ht="15">
      <c r="A59" s="344">
        <v>60204</v>
      </c>
      <c r="B59" s="345" t="s">
        <v>137</v>
      </c>
      <c r="C59" s="344">
        <v>220004</v>
      </c>
      <c r="D59" s="344" t="str">
        <f t="shared" si="0"/>
        <v>220004</v>
      </c>
      <c r="E59" s="346" t="s">
        <v>140</v>
      </c>
      <c r="F59" s="344" t="s">
        <v>141</v>
      </c>
      <c r="G59" s="344" t="str">
        <f t="shared" si="1"/>
        <v>60204AXLE 2</v>
      </c>
      <c r="H59" s="344">
        <v>6</v>
      </c>
      <c r="I59" s="344">
        <v>11</v>
      </c>
      <c r="J59" s="344">
        <v>2</v>
      </c>
      <c r="K59" s="344">
        <v>7</v>
      </c>
      <c r="L59" t="str">
        <f t="shared" si="2"/>
        <v>60204</v>
      </c>
      <c r="M59" s="344" t="s">
        <v>141</v>
      </c>
      <c r="N59" s="344">
        <v>220004</v>
      </c>
    </row>
    <row r="60" spans="1:14" ht="15">
      <c r="A60" s="344">
        <v>60204</v>
      </c>
      <c r="B60" s="345" t="s">
        <v>137</v>
      </c>
      <c r="C60" s="344">
        <v>220004</v>
      </c>
      <c r="D60" s="344" t="str">
        <f t="shared" si="0"/>
        <v>220004</v>
      </c>
      <c r="E60" s="346" t="s">
        <v>140</v>
      </c>
      <c r="F60" s="344" t="s">
        <v>143</v>
      </c>
      <c r="G60" s="344" t="str">
        <f t="shared" si="1"/>
        <v>60204AXLE 3</v>
      </c>
      <c r="H60" s="344">
        <v>7</v>
      </c>
      <c r="I60" s="344">
        <v>10</v>
      </c>
      <c r="J60" s="344">
        <v>3</v>
      </c>
      <c r="K60" s="344">
        <v>6</v>
      </c>
      <c r="L60" t="str">
        <f t="shared" si="2"/>
        <v>60204</v>
      </c>
      <c r="M60" s="344" t="s">
        <v>143</v>
      </c>
      <c r="N60" s="344">
        <v>220004</v>
      </c>
    </row>
    <row r="61" spans="1:14" ht="15">
      <c r="A61" s="344">
        <v>60204</v>
      </c>
      <c r="B61" s="345" t="s">
        <v>137</v>
      </c>
      <c r="C61" s="344">
        <v>220004</v>
      </c>
      <c r="D61" s="344" t="str">
        <f t="shared" si="0"/>
        <v>220004</v>
      </c>
      <c r="E61" s="346" t="s">
        <v>144</v>
      </c>
      <c r="F61" s="344" t="s">
        <v>145</v>
      </c>
      <c r="G61" s="344" t="str">
        <f t="shared" si="1"/>
        <v>60204AXLE 4</v>
      </c>
      <c r="H61" s="344">
        <v>8</v>
      </c>
      <c r="I61" s="344">
        <v>9</v>
      </c>
      <c r="J61" s="344">
        <v>4</v>
      </c>
      <c r="K61" s="344">
        <v>5</v>
      </c>
      <c r="L61" t="str">
        <f t="shared" si="2"/>
        <v>60204</v>
      </c>
      <c r="M61" s="344" t="s">
        <v>145</v>
      </c>
      <c r="N61" s="344">
        <v>220004</v>
      </c>
    </row>
    <row r="62" spans="1:14" ht="15">
      <c r="A62" s="344">
        <v>60404</v>
      </c>
      <c r="B62" s="345" t="s">
        <v>137</v>
      </c>
      <c r="C62" s="344">
        <v>220004</v>
      </c>
      <c r="D62" s="344" t="str">
        <f t="shared" si="0"/>
        <v>220004</v>
      </c>
      <c r="E62" s="346" t="s">
        <v>138</v>
      </c>
      <c r="F62" s="344" t="s">
        <v>139</v>
      </c>
      <c r="G62" s="344" t="str">
        <f t="shared" si="1"/>
        <v>60404AXLE 1</v>
      </c>
      <c r="H62" s="344">
        <v>1</v>
      </c>
      <c r="I62" s="344">
        <v>16</v>
      </c>
      <c r="J62" s="344">
        <v>1</v>
      </c>
      <c r="K62" s="344">
        <v>8</v>
      </c>
      <c r="L62" t="str">
        <f t="shared" si="2"/>
        <v>60404</v>
      </c>
      <c r="M62" s="344" t="s">
        <v>139</v>
      </c>
      <c r="N62" s="344">
        <v>220004</v>
      </c>
    </row>
    <row r="63" spans="1:14" ht="15">
      <c r="A63" s="344">
        <v>60404</v>
      </c>
      <c r="B63" s="345" t="s">
        <v>137</v>
      </c>
      <c r="C63" s="344">
        <v>220004</v>
      </c>
      <c r="D63" s="344" t="str">
        <f t="shared" si="0"/>
        <v>220004</v>
      </c>
      <c r="E63" s="346" t="s">
        <v>140</v>
      </c>
      <c r="F63" s="344" t="s">
        <v>141</v>
      </c>
      <c r="G63" s="344" t="str">
        <f t="shared" si="1"/>
        <v>60404AXLE 2</v>
      </c>
      <c r="H63" s="344">
        <v>2</v>
      </c>
      <c r="I63" s="344">
        <v>15</v>
      </c>
      <c r="J63" s="344">
        <v>2</v>
      </c>
      <c r="K63" s="344">
        <v>7</v>
      </c>
      <c r="L63" t="str">
        <f t="shared" si="2"/>
        <v>60404</v>
      </c>
      <c r="M63" s="344" t="s">
        <v>141</v>
      </c>
      <c r="N63" s="344">
        <v>220004</v>
      </c>
    </row>
    <row r="64" spans="1:14" ht="15">
      <c r="A64" s="344">
        <v>60404</v>
      </c>
      <c r="B64" s="345" t="s">
        <v>137</v>
      </c>
      <c r="C64" s="344">
        <v>220004</v>
      </c>
      <c r="D64" s="344" t="str">
        <f t="shared" si="0"/>
        <v>220004</v>
      </c>
      <c r="E64" s="346" t="s">
        <v>142</v>
      </c>
      <c r="F64" s="344" t="s">
        <v>143</v>
      </c>
      <c r="G64" s="344" t="str">
        <f t="shared" si="1"/>
        <v>60404AXLE 3</v>
      </c>
      <c r="H64" s="344">
        <v>3</v>
      </c>
      <c r="I64" s="344">
        <v>14</v>
      </c>
      <c r="J64" s="344">
        <v>3</v>
      </c>
      <c r="K64" s="344">
        <v>6</v>
      </c>
      <c r="L64" t="str">
        <f t="shared" si="2"/>
        <v>60404</v>
      </c>
      <c r="M64" s="344" t="s">
        <v>143</v>
      </c>
      <c r="N64" s="344">
        <v>220004</v>
      </c>
    </row>
    <row r="65" spans="1:14" ht="15">
      <c r="A65" s="344">
        <v>60404</v>
      </c>
      <c r="B65" s="345" t="s">
        <v>137</v>
      </c>
      <c r="C65" s="344">
        <v>220004</v>
      </c>
      <c r="D65" s="344" t="str">
        <f t="shared" si="0"/>
        <v>220004</v>
      </c>
      <c r="E65" s="346" t="s">
        <v>144</v>
      </c>
      <c r="F65" s="344" t="s">
        <v>145</v>
      </c>
      <c r="G65" s="344" t="str">
        <f t="shared" si="1"/>
        <v>60404AXLE 4</v>
      </c>
      <c r="H65" s="344">
        <v>4</v>
      </c>
      <c r="I65" s="344">
        <v>13</v>
      </c>
      <c r="J65" s="344">
        <v>4</v>
      </c>
      <c r="K65" s="344">
        <v>5</v>
      </c>
      <c r="L65" t="str">
        <f t="shared" si="2"/>
        <v>60404</v>
      </c>
      <c r="M65" s="344" t="s">
        <v>145</v>
      </c>
      <c r="N65" s="344">
        <v>220004</v>
      </c>
    </row>
    <row r="66" spans="1:14" ht="15">
      <c r="A66" s="344">
        <v>60305</v>
      </c>
      <c r="B66" s="345" t="s">
        <v>137</v>
      </c>
      <c r="C66" s="344">
        <v>220005</v>
      </c>
      <c r="D66" s="344" t="str">
        <f t="shared" si="0"/>
        <v>220005</v>
      </c>
      <c r="E66" s="346" t="s">
        <v>138</v>
      </c>
      <c r="F66" s="344" t="s">
        <v>139</v>
      </c>
      <c r="G66" s="344" t="str">
        <f t="shared" si="1"/>
        <v>60305AXLE 1</v>
      </c>
      <c r="H66" s="344">
        <v>16</v>
      </c>
      <c r="I66" s="344">
        <v>1</v>
      </c>
      <c r="J66" s="344">
        <v>1</v>
      </c>
      <c r="K66" s="344">
        <v>8</v>
      </c>
      <c r="L66" t="str">
        <f t="shared" si="2"/>
        <v>60305</v>
      </c>
      <c r="M66" s="344" t="s">
        <v>139</v>
      </c>
      <c r="N66" s="344">
        <v>220005</v>
      </c>
    </row>
    <row r="67" spans="1:14" ht="15">
      <c r="A67" s="344">
        <v>60305</v>
      </c>
      <c r="B67" s="345" t="s">
        <v>137</v>
      </c>
      <c r="C67" s="344">
        <v>220005</v>
      </c>
      <c r="D67" s="344" t="str">
        <f t="shared" ref="D67:D130" si="3">CONCATENATE(B67,C67)</f>
        <v>220005</v>
      </c>
      <c r="E67" s="346" t="s">
        <v>140</v>
      </c>
      <c r="F67" s="344" t="s">
        <v>141</v>
      </c>
      <c r="G67" s="344" t="str">
        <f t="shared" ref="G67:G130" si="4">CONCATENATE(A67,F67)</f>
        <v>60305AXLE 2</v>
      </c>
      <c r="H67" s="344">
        <v>15</v>
      </c>
      <c r="I67" s="344">
        <v>2</v>
      </c>
      <c r="J67" s="344">
        <v>2</v>
      </c>
      <c r="K67" s="344">
        <v>7</v>
      </c>
      <c r="L67" t="str">
        <f t="shared" ref="L67:L130" si="5">CONCATENATE(A67,B67)</f>
        <v>60305</v>
      </c>
      <c r="M67" s="344" t="s">
        <v>141</v>
      </c>
      <c r="N67" s="344">
        <v>220005</v>
      </c>
    </row>
    <row r="68" spans="1:14" ht="15">
      <c r="A68" s="344">
        <v>60305</v>
      </c>
      <c r="B68" s="345" t="s">
        <v>137</v>
      </c>
      <c r="C68" s="344">
        <v>220005</v>
      </c>
      <c r="D68" s="344" t="str">
        <f t="shared" si="3"/>
        <v>220005</v>
      </c>
      <c r="E68" s="346" t="s">
        <v>142</v>
      </c>
      <c r="F68" s="344" t="s">
        <v>143</v>
      </c>
      <c r="G68" s="344" t="str">
        <f t="shared" si="4"/>
        <v>60305AXLE 3</v>
      </c>
      <c r="H68" s="344">
        <v>14</v>
      </c>
      <c r="I68" s="344">
        <v>3</v>
      </c>
      <c r="J68" s="344">
        <v>3</v>
      </c>
      <c r="K68" s="344">
        <v>6</v>
      </c>
      <c r="L68" t="str">
        <f t="shared" si="5"/>
        <v>60305</v>
      </c>
      <c r="M68" s="344" t="s">
        <v>143</v>
      </c>
      <c r="N68" s="344">
        <v>220005</v>
      </c>
    </row>
    <row r="69" spans="1:14" ht="15">
      <c r="A69" s="344">
        <v>60305</v>
      </c>
      <c r="B69" s="345" t="s">
        <v>137</v>
      </c>
      <c r="C69" s="344">
        <v>220005</v>
      </c>
      <c r="D69" s="344" t="str">
        <f t="shared" si="3"/>
        <v>220005</v>
      </c>
      <c r="E69" s="346" t="s">
        <v>144</v>
      </c>
      <c r="F69" s="344" t="s">
        <v>145</v>
      </c>
      <c r="G69" s="344" t="str">
        <f t="shared" si="4"/>
        <v>60305AXLE 4</v>
      </c>
      <c r="H69" s="344">
        <v>13</v>
      </c>
      <c r="I69" s="344">
        <v>4</v>
      </c>
      <c r="J69" s="344">
        <v>4</v>
      </c>
      <c r="K69" s="344">
        <v>5</v>
      </c>
      <c r="L69" t="str">
        <f t="shared" si="5"/>
        <v>60305</v>
      </c>
      <c r="M69" s="344" t="s">
        <v>145</v>
      </c>
      <c r="N69" s="344">
        <v>220005</v>
      </c>
    </row>
    <row r="70" spans="1:14" ht="15">
      <c r="A70" s="344">
        <v>60705</v>
      </c>
      <c r="B70" s="345" t="s">
        <v>137</v>
      </c>
      <c r="C70" s="344">
        <v>220005</v>
      </c>
      <c r="D70" s="344" t="str">
        <f t="shared" si="3"/>
        <v>220005</v>
      </c>
      <c r="E70" s="346" t="s">
        <v>144</v>
      </c>
      <c r="F70" s="344" t="s">
        <v>139</v>
      </c>
      <c r="G70" s="344" t="str">
        <f t="shared" si="4"/>
        <v>60705AXLE 1</v>
      </c>
      <c r="H70" s="344">
        <v>9</v>
      </c>
      <c r="I70" s="344">
        <v>8</v>
      </c>
      <c r="J70" s="344">
        <v>1</v>
      </c>
      <c r="K70" s="344">
        <v>8</v>
      </c>
      <c r="L70" t="str">
        <f t="shared" si="5"/>
        <v>60705</v>
      </c>
      <c r="M70" s="344" t="s">
        <v>139</v>
      </c>
      <c r="N70" s="344">
        <v>220005</v>
      </c>
    </row>
    <row r="71" spans="1:14" ht="15">
      <c r="A71" s="344">
        <v>60705</v>
      </c>
      <c r="B71" s="345" t="s">
        <v>137</v>
      </c>
      <c r="C71" s="344">
        <v>220005</v>
      </c>
      <c r="D71" s="344" t="str">
        <f t="shared" si="3"/>
        <v>220005</v>
      </c>
      <c r="E71" s="346" t="s">
        <v>140</v>
      </c>
      <c r="F71" s="344" t="s">
        <v>141</v>
      </c>
      <c r="G71" s="344" t="str">
        <f t="shared" si="4"/>
        <v>60705AXLE 2</v>
      </c>
      <c r="H71" s="344">
        <v>10</v>
      </c>
      <c r="I71" s="344">
        <v>7</v>
      </c>
      <c r="J71" s="344">
        <v>2</v>
      </c>
      <c r="K71" s="344">
        <v>7</v>
      </c>
      <c r="L71" t="str">
        <f t="shared" si="5"/>
        <v>60705</v>
      </c>
      <c r="M71" s="344" t="s">
        <v>141</v>
      </c>
      <c r="N71" s="344">
        <v>220005</v>
      </c>
    </row>
    <row r="72" spans="1:14" ht="15">
      <c r="A72" s="344">
        <v>60705</v>
      </c>
      <c r="B72" s="345" t="s">
        <v>137</v>
      </c>
      <c r="C72" s="344">
        <v>220005</v>
      </c>
      <c r="D72" s="344" t="str">
        <f t="shared" si="3"/>
        <v>220005</v>
      </c>
      <c r="E72" s="346" t="s">
        <v>140</v>
      </c>
      <c r="F72" s="344" t="s">
        <v>143</v>
      </c>
      <c r="G72" s="344" t="str">
        <f t="shared" si="4"/>
        <v>60705AXLE 3</v>
      </c>
      <c r="H72" s="344">
        <v>11</v>
      </c>
      <c r="I72" s="344">
        <v>6</v>
      </c>
      <c r="J72" s="344">
        <v>3</v>
      </c>
      <c r="K72" s="344">
        <v>6</v>
      </c>
      <c r="L72" t="str">
        <f t="shared" si="5"/>
        <v>60705</v>
      </c>
      <c r="M72" s="344" t="s">
        <v>143</v>
      </c>
      <c r="N72" s="344">
        <v>220005</v>
      </c>
    </row>
    <row r="73" spans="1:14" ht="15">
      <c r="A73" s="344">
        <v>60705</v>
      </c>
      <c r="B73" s="345" t="s">
        <v>137</v>
      </c>
      <c r="C73" s="344">
        <v>220005</v>
      </c>
      <c r="D73" s="344" t="str">
        <f t="shared" si="3"/>
        <v>220005</v>
      </c>
      <c r="E73" s="346" t="s">
        <v>144</v>
      </c>
      <c r="F73" s="344" t="s">
        <v>145</v>
      </c>
      <c r="G73" s="344" t="str">
        <f t="shared" si="4"/>
        <v>60705AXLE 4</v>
      </c>
      <c r="H73" s="344">
        <v>12</v>
      </c>
      <c r="I73" s="344">
        <v>5</v>
      </c>
      <c r="J73" s="344">
        <v>4</v>
      </c>
      <c r="K73" s="344">
        <v>5</v>
      </c>
      <c r="L73" t="str">
        <f t="shared" si="5"/>
        <v>60705</v>
      </c>
      <c r="M73" s="344" t="s">
        <v>145</v>
      </c>
      <c r="N73" s="344">
        <v>220005</v>
      </c>
    </row>
    <row r="74" spans="1:14" ht="15">
      <c r="A74" s="344">
        <v>60205</v>
      </c>
      <c r="B74" s="345" t="s">
        <v>137</v>
      </c>
      <c r="C74" s="344">
        <v>220005</v>
      </c>
      <c r="D74" s="344" t="str">
        <f t="shared" si="3"/>
        <v>220005</v>
      </c>
      <c r="E74" s="346" t="s">
        <v>144</v>
      </c>
      <c r="F74" s="344" t="s">
        <v>139</v>
      </c>
      <c r="G74" s="344" t="str">
        <f t="shared" si="4"/>
        <v>60205AXLE 1</v>
      </c>
      <c r="H74" s="344">
        <v>5</v>
      </c>
      <c r="I74" s="344">
        <v>12</v>
      </c>
      <c r="J74" s="344">
        <v>1</v>
      </c>
      <c r="K74" s="344">
        <v>8</v>
      </c>
      <c r="L74" t="str">
        <f t="shared" si="5"/>
        <v>60205</v>
      </c>
      <c r="M74" s="344" t="s">
        <v>139</v>
      </c>
      <c r="N74" s="344">
        <v>220005</v>
      </c>
    </row>
    <row r="75" spans="1:14" ht="15">
      <c r="A75" s="344">
        <v>60205</v>
      </c>
      <c r="B75" s="345" t="s">
        <v>137</v>
      </c>
      <c r="C75" s="344">
        <v>220005</v>
      </c>
      <c r="D75" s="344" t="str">
        <f t="shared" si="3"/>
        <v>220005</v>
      </c>
      <c r="E75" s="346" t="s">
        <v>140</v>
      </c>
      <c r="F75" s="344" t="s">
        <v>141</v>
      </c>
      <c r="G75" s="344" t="str">
        <f t="shared" si="4"/>
        <v>60205AXLE 2</v>
      </c>
      <c r="H75" s="344">
        <v>6</v>
      </c>
      <c r="I75" s="344">
        <v>11</v>
      </c>
      <c r="J75" s="344">
        <v>2</v>
      </c>
      <c r="K75" s="344">
        <v>7</v>
      </c>
      <c r="L75" t="str">
        <f t="shared" si="5"/>
        <v>60205</v>
      </c>
      <c r="M75" s="344" t="s">
        <v>141</v>
      </c>
      <c r="N75" s="344">
        <v>220005</v>
      </c>
    </row>
    <row r="76" spans="1:14" ht="15">
      <c r="A76" s="344">
        <v>60205</v>
      </c>
      <c r="B76" s="345" t="s">
        <v>137</v>
      </c>
      <c r="C76" s="344">
        <v>220005</v>
      </c>
      <c r="D76" s="344" t="str">
        <f t="shared" si="3"/>
        <v>220005</v>
      </c>
      <c r="E76" s="346" t="s">
        <v>140</v>
      </c>
      <c r="F76" s="344" t="s">
        <v>143</v>
      </c>
      <c r="G76" s="344" t="str">
        <f t="shared" si="4"/>
        <v>60205AXLE 3</v>
      </c>
      <c r="H76" s="344">
        <v>7</v>
      </c>
      <c r="I76" s="344">
        <v>10</v>
      </c>
      <c r="J76" s="344">
        <v>3</v>
      </c>
      <c r="K76" s="344">
        <v>6</v>
      </c>
      <c r="L76" t="str">
        <f t="shared" si="5"/>
        <v>60205</v>
      </c>
      <c r="M76" s="344" t="s">
        <v>143</v>
      </c>
      <c r="N76" s="344">
        <v>220005</v>
      </c>
    </row>
    <row r="77" spans="1:14" ht="15">
      <c r="A77" s="344">
        <v>60205</v>
      </c>
      <c r="B77" s="345" t="s">
        <v>137</v>
      </c>
      <c r="C77" s="344">
        <v>220005</v>
      </c>
      <c r="D77" s="344" t="str">
        <f t="shared" si="3"/>
        <v>220005</v>
      </c>
      <c r="E77" s="346" t="s">
        <v>144</v>
      </c>
      <c r="F77" s="344" t="s">
        <v>145</v>
      </c>
      <c r="G77" s="344" t="str">
        <f t="shared" si="4"/>
        <v>60205AXLE 4</v>
      </c>
      <c r="H77" s="344">
        <v>8</v>
      </c>
      <c r="I77" s="344">
        <v>9</v>
      </c>
      <c r="J77" s="344">
        <v>4</v>
      </c>
      <c r="K77" s="344">
        <v>5</v>
      </c>
      <c r="L77" t="str">
        <f t="shared" si="5"/>
        <v>60205</v>
      </c>
      <c r="M77" s="344" t="s">
        <v>145</v>
      </c>
      <c r="N77" s="344">
        <v>220005</v>
      </c>
    </row>
    <row r="78" spans="1:14" ht="15">
      <c r="A78" s="344">
        <v>60405</v>
      </c>
      <c r="B78" s="345" t="s">
        <v>137</v>
      </c>
      <c r="C78" s="344">
        <v>220005</v>
      </c>
      <c r="D78" s="344" t="str">
        <f t="shared" si="3"/>
        <v>220005</v>
      </c>
      <c r="E78" s="346" t="s">
        <v>138</v>
      </c>
      <c r="F78" s="344" t="s">
        <v>139</v>
      </c>
      <c r="G78" s="344" t="str">
        <f t="shared" si="4"/>
        <v>60405AXLE 1</v>
      </c>
      <c r="H78" s="344">
        <v>1</v>
      </c>
      <c r="I78" s="344">
        <v>16</v>
      </c>
      <c r="J78" s="344">
        <v>1</v>
      </c>
      <c r="K78" s="344">
        <v>8</v>
      </c>
      <c r="L78" t="str">
        <f t="shared" si="5"/>
        <v>60405</v>
      </c>
      <c r="M78" s="344" t="s">
        <v>139</v>
      </c>
      <c r="N78" s="344">
        <v>220005</v>
      </c>
    </row>
    <row r="79" spans="1:14" ht="15">
      <c r="A79" s="344">
        <v>60405</v>
      </c>
      <c r="B79" s="345" t="s">
        <v>137</v>
      </c>
      <c r="C79" s="344">
        <v>220005</v>
      </c>
      <c r="D79" s="344" t="str">
        <f t="shared" si="3"/>
        <v>220005</v>
      </c>
      <c r="E79" s="346" t="s">
        <v>140</v>
      </c>
      <c r="F79" s="344" t="s">
        <v>141</v>
      </c>
      <c r="G79" s="344" t="str">
        <f t="shared" si="4"/>
        <v>60405AXLE 2</v>
      </c>
      <c r="H79" s="344">
        <v>2</v>
      </c>
      <c r="I79" s="344">
        <v>15</v>
      </c>
      <c r="J79" s="344">
        <v>2</v>
      </c>
      <c r="K79" s="344">
        <v>7</v>
      </c>
      <c r="L79" t="str">
        <f t="shared" si="5"/>
        <v>60405</v>
      </c>
      <c r="M79" s="344" t="s">
        <v>141</v>
      </c>
      <c r="N79" s="344">
        <v>220005</v>
      </c>
    </row>
    <row r="80" spans="1:14" ht="15">
      <c r="A80" s="344">
        <v>60405</v>
      </c>
      <c r="B80" s="345" t="s">
        <v>137</v>
      </c>
      <c r="C80" s="344">
        <v>220005</v>
      </c>
      <c r="D80" s="344" t="str">
        <f t="shared" si="3"/>
        <v>220005</v>
      </c>
      <c r="E80" s="346" t="s">
        <v>142</v>
      </c>
      <c r="F80" s="344" t="s">
        <v>143</v>
      </c>
      <c r="G80" s="344" t="str">
        <f t="shared" si="4"/>
        <v>60405AXLE 3</v>
      </c>
      <c r="H80" s="344">
        <v>3</v>
      </c>
      <c r="I80" s="344">
        <v>14</v>
      </c>
      <c r="J80" s="344">
        <v>3</v>
      </c>
      <c r="K80" s="344">
        <v>6</v>
      </c>
      <c r="L80" t="str">
        <f t="shared" si="5"/>
        <v>60405</v>
      </c>
      <c r="M80" s="344" t="s">
        <v>143</v>
      </c>
      <c r="N80" s="344">
        <v>220005</v>
      </c>
    </row>
    <row r="81" spans="1:14" ht="15">
      <c r="A81" s="344">
        <v>60405</v>
      </c>
      <c r="B81" s="345" t="s">
        <v>137</v>
      </c>
      <c r="C81" s="344">
        <v>220005</v>
      </c>
      <c r="D81" s="344" t="str">
        <f t="shared" si="3"/>
        <v>220005</v>
      </c>
      <c r="E81" s="346" t="s">
        <v>144</v>
      </c>
      <c r="F81" s="344" t="s">
        <v>145</v>
      </c>
      <c r="G81" s="344" t="str">
        <f t="shared" si="4"/>
        <v>60405AXLE 4</v>
      </c>
      <c r="H81" s="344">
        <v>4</v>
      </c>
      <c r="I81" s="344">
        <v>13</v>
      </c>
      <c r="J81" s="344">
        <v>4</v>
      </c>
      <c r="K81" s="344">
        <v>5</v>
      </c>
      <c r="L81" t="str">
        <f t="shared" si="5"/>
        <v>60405</v>
      </c>
      <c r="M81" s="344" t="s">
        <v>145</v>
      </c>
      <c r="N81" s="344">
        <v>220005</v>
      </c>
    </row>
    <row r="82" spans="1:14" ht="15">
      <c r="A82" s="344">
        <v>60306</v>
      </c>
      <c r="B82" s="345" t="s">
        <v>137</v>
      </c>
      <c r="C82" s="344">
        <v>220006</v>
      </c>
      <c r="D82" s="344" t="str">
        <f t="shared" si="3"/>
        <v>220006</v>
      </c>
      <c r="E82" s="346" t="s">
        <v>138</v>
      </c>
      <c r="F82" s="344" t="s">
        <v>139</v>
      </c>
      <c r="G82" s="344" t="str">
        <f t="shared" si="4"/>
        <v>60306AXLE 1</v>
      </c>
      <c r="H82" s="344">
        <v>16</v>
      </c>
      <c r="I82" s="344">
        <v>1</v>
      </c>
      <c r="J82" s="344">
        <v>1</v>
      </c>
      <c r="K82" s="344">
        <v>8</v>
      </c>
      <c r="L82" t="str">
        <f t="shared" si="5"/>
        <v>60306</v>
      </c>
      <c r="M82" s="344" t="s">
        <v>139</v>
      </c>
      <c r="N82" s="344">
        <v>220006</v>
      </c>
    </row>
    <row r="83" spans="1:14" ht="15">
      <c r="A83" s="344">
        <v>60306</v>
      </c>
      <c r="B83" s="345" t="s">
        <v>137</v>
      </c>
      <c r="C83" s="344">
        <v>220006</v>
      </c>
      <c r="D83" s="344" t="str">
        <f t="shared" si="3"/>
        <v>220006</v>
      </c>
      <c r="E83" s="346" t="s">
        <v>140</v>
      </c>
      <c r="F83" s="344" t="s">
        <v>141</v>
      </c>
      <c r="G83" s="344" t="str">
        <f t="shared" si="4"/>
        <v>60306AXLE 2</v>
      </c>
      <c r="H83" s="344">
        <v>15</v>
      </c>
      <c r="I83" s="344">
        <v>2</v>
      </c>
      <c r="J83" s="344">
        <v>2</v>
      </c>
      <c r="K83" s="344">
        <v>7</v>
      </c>
      <c r="L83" t="str">
        <f t="shared" si="5"/>
        <v>60306</v>
      </c>
      <c r="M83" s="344" t="s">
        <v>141</v>
      </c>
      <c r="N83" s="344">
        <v>220006</v>
      </c>
    </row>
    <row r="84" spans="1:14" ht="15">
      <c r="A84" s="344">
        <v>60306</v>
      </c>
      <c r="B84" s="345" t="s">
        <v>137</v>
      </c>
      <c r="C84" s="344">
        <v>220006</v>
      </c>
      <c r="D84" s="344" t="str">
        <f t="shared" si="3"/>
        <v>220006</v>
      </c>
      <c r="E84" s="346" t="s">
        <v>142</v>
      </c>
      <c r="F84" s="344" t="s">
        <v>143</v>
      </c>
      <c r="G84" s="344" t="str">
        <f t="shared" si="4"/>
        <v>60306AXLE 3</v>
      </c>
      <c r="H84" s="344">
        <v>14</v>
      </c>
      <c r="I84" s="344">
        <v>3</v>
      </c>
      <c r="J84" s="344">
        <v>3</v>
      </c>
      <c r="K84" s="344">
        <v>6</v>
      </c>
      <c r="L84" t="str">
        <f t="shared" si="5"/>
        <v>60306</v>
      </c>
      <c r="M84" s="344" t="s">
        <v>143</v>
      </c>
      <c r="N84" s="344">
        <v>220006</v>
      </c>
    </row>
    <row r="85" spans="1:14" ht="15">
      <c r="A85" s="344">
        <v>60306</v>
      </c>
      <c r="B85" s="345" t="s">
        <v>137</v>
      </c>
      <c r="C85" s="344">
        <v>220006</v>
      </c>
      <c r="D85" s="344" t="str">
        <f t="shared" si="3"/>
        <v>220006</v>
      </c>
      <c r="E85" s="346" t="s">
        <v>144</v>
      </c>
      <c r="F85" s="344" t="s">
        <v>145</v>
      </c>
      <c r="G85" s="344" t="str">
        <f t="shared" si="4"/>
        <v>60306AXLE 4</v>
      </c>
      <c r="H85" s="344">
        <v>13</v>
      </c>
      <c r="I85" s="344">
        <v>4</v>
      </c>
      <c r="J85" s="344">
        <v>4</v>
      </c>
      <c r="K85" s="344">
        <v>5</v>
      </c>
      <c r="L85" t="str">
        <f t="shared" si="5"/>
        <v>60306</v>
      </c>
      <c r="M85" s="344" t="s">
        <v>145</v>
      </c>
      <c r="N85" s="344">
        <v>220006</v>
      </c>
    </row>
    <row r="86" spans="1:14" ht="15">
      <c r="A86" s="344">
        <v>60706</v>
      </c>
      <c r="B86" s="345" t="s">
        <v>137</v>
      </c>
      <c r="C86" s="344">
        <v>220006</v>
      </c>
      <c r="D86" s="344" t="str">
        <f t="shared" si="3"/>
        <v>220006</v>
      </c>
      <c r="E86" s="346" t="s">
        <v>144</v>
      </c>
      <c r="F86" s="344" t="s">
        <v>139</v>
      </c>
      <c r="G86" s="344" t="str">
        <f t="shared" si="4"/>
        <v>60706AXLE 1</v>
      </c>
      <c r="H86" s="344">
        <v>9</v>
      </c>
      <c r="I86" s="344">
        <v>8</v>
      </c>
      <c r="J86" s="344">
        <v>1</v>
      </c>
      <c r="K86" s="344">
        <v>8</v>
      </c>
      <c r="L86" t="str">
        <f t="shared" si="5"/>
        <v>60706</v>
      </c>
      <c r="M86" s="344" t="s">
        <v>139</v>
      </c>
      <c r="N86" s="344">
        <v>220006</v>
      </c>
    </row>
    <row r="87" spans="1:14" ht="15">
      <c r="A87" s="344">
        <v>60706</v>
      </c>
      <c r="B87" s="345" t="s">
        <v>137</v>
      </c>
      <c r="C87" s="344">
        <v>220006</v>
      </c>
      <c r="D87" s="344" t="str">
        <f t="shared" si="3"/>
        <v>220006</v>
      </c>
      <c r="E87" s="346" t="s">
        <v>140</v>
      </c>
      <c r="F87" s="344" t="s">
        <v>141</v>
      </c>
      <c r="G87" s="344" t="str">
        <f t="shared" si="4"/>
        <v>60706AXLE 2</v>
      </c>
      <c r="H87" s="344">
        <v>10</v>
      </c>
      <c r="I87" s="344">
        <v>7</v>
      </c>
      <c r="J87" s="344">
        <v>2</v>
      </c>
      <c r="K87" s="344">
        <v>7</v>
      </c>
      <c r="L87" t="str">
        <f t="shared" si="5"/>
        <v>60706</v>
      </c>
      <c r="M87" s="344" t="s">
        <v>141</v>
      </c>
      <c r="N87" s="344">
        <v>220006</v>
      </c>
    </row>
    <row r="88" spans="1:14" ht="15">
      <c r="A88" s="344">
        <v>60706</v>
      </c>
      <c r="B88" s="345" t="s">
        <v>137</v>
      </c>
      <c r="C88" s="344">
        <v>220006</v>
      </c>
      <c r="D88" s="344" t="str">
        <f t="shared" si="3"/>
        <v>220006</v>
      </c>
      <c r="E88" s="346" t="s">
        <v>140</v>
      </c>
      <c r="F88" s="344" t="s">
        <v>143</v>
      </c>
      <c r="G88" s="344" t="str">
        <f t="shared" si="4"/>
        <v>60706AXLE 3</v>
      </c>
      <c r="H88" s="344">
        <v>11</v>
      </c>
      <c r="I88" s="344">
        <v>6</v>
      </c>
      <c r="J88" s="344">
        <v>3</v>
      </c>
      <c r="K88" s="344">
        <v>6</v>
      </c>
      <c r="L88" t="str">
        <f t="shared" si="5"/>
        <v>60706</v>
      </c>
      <c r="M88" s="344" t="s">
        <v>143</v>
      </c>
      <c r="N88" s="344">
        <v>220006</v>
      </c>
    </row>
    <row r="89" spans="1:14" ht="15">
      <c r="A89" s="344">
        <v>60706</v>
      </c>
      <c r="B89" s="345" t="s">
        <v>137</v>
      </c>
      <c r="C89" s="344">
        <v>220006</v>
      </c>
      <c r="D89" s="344" t="str">
        <f t="shared" si="3"/>
        <v>220006</v>
      </c>
      <c r="E89" s="346" t="s">
        <v>144</v>
      </c>
      <c r="F89" s="344" t="s">
        <v>145</v>
      </c>
      <c r="G89" s="344" t="str">
        <f t="shared" si="4"/>
        <v>60706AXLE 4</v>
      </c>
      <c r="H89" s="344">
        <v>12</v>
      </c>
      <c r="I89" s="344">
        <v>5</v>
      </c>
      <c r="J89" s="344">
        <v>4</v>
      </c>
      <c r="K89" s="344">
        <v>5</v>
      </c>
      <c r="L89" t="str">
        <f t="shared" si="5"/>
        <v>60706</v>
      </c>
      <c r="M89" s="344" t="s">
        <v>145</v>
      </c>
      <c r="N89" s="344">
        <v>220006</v>
      </c>
    </row>
    <row r="90" spans="1:14" ht="15">
      <c r="A90" s="344">
        <v>60206</v>
      </c>
      <c r="B90" s="345" t="s">
        <v>137</v>
      </c>
      <c r="C90" s="344">
        <v>220006</v>
      </c>
      <c r="D90" s="344" t="str">
        <f t="shared" si="3"/>
        <v>220006</v>
      </c>
      <c r="E90" s="346" t="s">
        <v>144</v>
      </c>
      <c r="F90" s="344" t="s">
        <v>139</v>
      </c>
      <c r="G90" s="344" t="str">
        <f t="shared" si="4"/>
        <v>60206AXLE 1</v>
      </c>
      <c r="H90" s="344">
        <v>5</v>
      </c>
      <c r="I90" s="344">
        <v>12</v>
      </c>
      <c r="J90" s="344">
        <v>1</v>
      </c>
      <c r="K90" s="344">
        <v>8</v>
      </c>
      <c r="L90" t="str">
        <f t="shared" si="5"/>
        <v>60206</v>
      </c>
      <c r="M90" s="344" t="s">
        <v>139</v>
      </c>
      <c r="N90" s="344">
        <v>220006</v>
      </c>
    </row>
    <row r="91" spans="1:14" ht="15">
      <c r="A91" s="344">
        <v>60206</v>
      </c>
      <c r="B91" s="345" t="s">
        <v>137</v>
      </c>
      <c r="C91" s="344">
        <v>220006</v>
      </c>
      <c r="D91" s="344" t="str">
        <f t="shared" si="3"/>
        <v>220006</v>
      </c>
      <c r="E91" s="346" t="s">
        <v>140</v>
      </c>
      <c r="F91" s="344" t="s">
        <v>141</v>
      </c>
      <c r="G91" s="344" t="str">
        <f t="shared" si="4"/>
        <v>60206AXLE 2</v>
      </c>
      <c r="H91" s="344">
        <v>6</v>
      </c>
      <c r="I91" s="344">
        <v>11</v>
      </c>
      <c r="J91" s="344">
        <v>2</v>
      </c>
      <c r="K91" s="344">
        <v>7</v>
      </c>
      <c r="L91" t="str">
        <f t="shared" si="5"/>
        <v>60206</v>
      </c>
      <c r="M91" s="344" t="s">
        <v>141</v>
      </c>
      <c r="N91" s="344">
        <v>220006</v>
      </c>
    </row>
    <row r="92" spans="1:14" ht="15">
      <c r="A92" s="344">
        <v>60206</v>
      </c>
      <c r="B92" s="345" t="s">
        <v>137</v>
      </c>
      <c r="C92" s="344">
        <v>220006</v>
      </c>
      <c r="D92" s="344" t="str">
        <f t="shared" si="3"/>
        <v>220006</v>
      </c>
      <c r="E92" s="346" t="s">
        <v>140</v>
      </c>
      <c r="F92" s="344" t="s">
        <v>143</v>
      </c>
      <c r="G92" s="344" t="str">
        <f t="shared" si="4"/>
        <v>60206AXLE 3</v>
      </c>
      <c r="H92" s="344">
        <v>7</v>
      </c>
      <c r="I92" s="344">
        <v>10</v>
      </c>
      <c r="J92" s="344">
        <v>3</v>
      </c>
      <c r="K92" s="344">
        <v>6</v>
      </c>
      <c r="L92" t="str">
        <f t="shared" si="5"/>
        <v>60206</v>
      </c>
      <c r="M92" s="344" t="s">
        <v>143</v>
      </c>
      <c r="N92" s="344">
        <v>220006</v>
      </c>
    </row>
    <row r="93" spans="1:14" ht="15">
      <c r="A93" s="344">
        <v>60206</v>
      </c>
      <c r="B93" s="345" t="s">
        <v>137</v>
      </c>
      <c r="C93" s="344">
        <v>220006</v>
      </c>
      <c r="D93" s="344" t="str">
        <f t="shared" si="3"/>
        <v>220006</v>
      </c>
      <c r="E93" s="346" t="s">
        <v>144</v>
      </c>
      <c r="F93" s="344" t="s">
        <v>145</v>
      </c>
      <c r="G93" s="344" t="str">
        <f t="shared" si="4"/>
        <v>60206AXLE 4</v>
      </c>
      <c r="H93" s="344">
        <v>8</v>
      </c>
      <c r="I93" s="344">
        <v>9</v>
      </c>
      <c r="J93" s="344">
        <v>4</v>
      </c>
      <c r="K93" s="344">
        <v>5</v>
      </c>
      <c r="L93" t="str">
        <f t="shared" si="5"/>
        <v>60206</v>
      </c>
      <c r="M93" s="344" t="s">
        <v>145</v>
      </c>
      <c r="N93" s="344">
        <v>220006</v>
      </c>
    </row>
    <row r="94" spans="1:14" ht="15">
      <c r="A94" s="344">
        <v>60406</v>
      </c>
      <c r="B94" s="345" t="s">
        <v>137</v>
      </c>
      <c r="C94" s="344">
        <v>220006</v>
      </c>
      <c r="D94" s="344" t="str">
        <f t="shared" si="3"/>
        <v>220006</v>
      </c>
      <c r="E94" s="346" t="s">
        <v>138</v>
      </c>
      <c r="F94" s="344" t="s">
        <v>139</v>
      </c>
      <c r="G94" s="344" t="str">
        <f t="shared" si="4"/>
        <v>60406AXLE 1</v>
      </c>
      <c r="H94" s="344">
        <v>1</v>
      </c>
      <c r="I94" s="344">
        <v>16</v>
      </c>
      <c r="J94" s="344">
        <v>1</v>
      </c>
      <c r="K94" s="344">
        <v>8</v>
      </c>
      <c r="L94" t="str">
        <f t="shared" si="5"/>
        <v>60406</v>
      </c>
      <c r="M94" s="344" t="s">
        <v>139</v>
      </c>
      <c r="N94" s="344">
        <v>220006</v>
      </c>
    </row>
    <row r="95" spans="1:14" ht="15">
      <c r="A95" s="344">
        <v>60406</v>
      </c>
      <c r="B95" s="345" t="s">
        <v>137</v>
      </c>
      <c r="C95" s="344">
        <v>220006</v>
      </c>
      <c r="D95" s="344" t="str">
        <f t="shared" si="3"/>
        <v>220006</v>
      </c>
      <c r="E95" s="346" t="s">
        <v>140</v>
      </c>
      <c r="F95" s="344" t="s">
        <v>141</v>
      </c>
      <c r="G95" s="344" t="str">
        <f t="shared" si="4"/>
        <v>60406AXLE 2</v>
      </c>
      <c r="H95" s="344">
        <v>2</v>
      </c>
      <c r="I95" s="344">
        <v>15</v>
      </c>
      <c r="J95" s="344">
        <v>2</v>
      </c>
      <c r="K95" s="344">
        <v>7</v>
      </c>
      <c r="L95" t="str">
        <f t="shared" si="5"/>
        <v>60406</v>
      </c>
      <c r="M95" s="344" t="s">
        <v>141</v>
      </c>
      <c r="N95" s="344">
        <v>220006</v>
      </c>
    </row>
    <row r="96" spans="1:14" ht="15">
      <c r="A96" s="344">
        <v>60406</v>
      </c>
      <c r="B96" s="345" t="s">
        <v>137</v>
      </c>
      <c r="C96" s="344">
        <v>220006</v>
      </c>
      <c r="D96" s="344" t="str">
        <f t="shared" si="3"/>
        <v>220006</v>
      </c>
      <c r="E96" s="346" t="s">
        <v>142</v>
      </c>
      <c r="F96" s="344" t="s">
        <v>143</v>
      </c>
      <c r="G96" s="344" t="str">
        <f t="shared" si="4"/>
        <v>60406AXLE 3</v>
      </c>
      <c r="H96" s="344">
        <v>3</v>
      </c>
      <c r="I96" s="344">
        <v>14</v>
      </c>
      <c r="J96" s="344">
        <v>3</v>
      </c>
      <c r="K96" s="344">
        <v>6</v>
      </c>
      <c r="L96" t="str">
        <f t="shared" si="5"/>
        <v>60406</v>
      </c>
      <c r="M96" s="344" t="s">
        <v>143</v>
      </c>
      <c r="N96" s="344">
        <v>220006</v>
      </c>
    </row>
    <row r="97" spans="1:14" ht="15">
      <c r="A97" s="344">
        <v>60406</v>
      </c>
      <c r="B97" s="345" t="s">
        <v>137</v>
      </c>
      <c r="C97" s="344">
        <v>220006</v>
      </c>
      <c r="D97" s="344" t="str">
        <f t="shared" si="3"/>
        <v>220006</v>
      </c>
      <c r="E97" s="346" t="s">
        <v>144</v>
      </c>
      <c r="F97" s="344" t="s">
        <v>145</v>
      </c>
      <c r="G97" s="344" t="str">
        <f t="shared" si="4"/>
        <v>60406AXLE 4</v>
      </c>
      <c r="H97" s="344">
        <v>4</v>
      </c>
      <c r="I97" s="344">
        <v>13</v>
      </c>
      <c r="J97" s="344">
        <v>4</v>
      </c>
      <c r="K97" s="344">
        <v>5</v>
      </c>
      <c r="L97" t="str">
        <f t="shared" si="5"/>
        <v>60406</v>
      </c>
      <c r="M97" s="344" t="s">
        <v>145</v>
      </c>
      <c r="N97" s="344">
        <v>220006</v>
      </c>
    </row>
    <row r="98" spans="1:14" ht="15">
      <c r="A98" s="344">
        <v>60307</v>
      </c>
      <c r="B98" s="345" t="s">
        <v>137</v>
      </c>
      <c r="C98" s="344">
        <v>220007</v>
      </c>
      <c r="D98" s="344" t="str">
        <f t="shared" si="3"/>
        <v>220007</v>
      </c>
      <c r="E98" s="346" t="s">
        <v>138</v>
      </c>
      <c r="F98" s="344" t="s">
        <v>139</v>
      </c>
      <c r="G98" s="344" t="str">
        <f t="shared" si="4"/>
        <v>60307AXLE 1</v>
      </c>
      <c r="H98" s="344">
        <v>16</v>
      </c>
      <c r="I98" s="344">
        <v>1</v>
      </c>
      <c r="J98" s="344">
        <v>1</v>
      </c>
      <c r="K98" s="344">
        <v>8</v>
      </c>
      <c r="L98" t="str">
        <f t="shared" si="5"/>
        <v>60307</v>
      </c>
      <c r="M98" s="344" t="s">
        <v>139</v>
      </c>
      <c r="N98" s="344">
        <v>220007</v>
      </c>
    </row>
    <row r="99" spans="1:14" ht="15">
      <c r="A99" s="344">
        <v>60307</v>
      </c>
      <c r="B99" s="345" t="s">
        <v>137</v>
      </c>
      <c r="C99" s="344">
        <v>220007</v>
      </c>
      <c r="D99" s="344" t="str">
        <f t="shared" si="3"/>
        <v>220007</v>
      </c>
      <c r="E99" s="346" t="s">
        <v>140</v>
      </c>
      <c r="F99" s="344" t="s">
        <v>141</v>
      </c>
      <c r="G99" s="344" t="str">
        <f t="shared" si="4"/>
        <v>60307AXLE 2</v>
      </c>
      <c r="H99" s="344">
        <v>15</v>
      </c>
      <c r="I99" s="344">
        <v>2</v>
      </c>
      <c r="J99" s="344">
        <v>2</v>
      </c>
      <c r="K99" s="344">
        <v>7</v>
      </c>
      <c r="L99" t="str">
        <f t="shared" si="5"/>
        <v>60307</v>
      </c>
      <c r="M99" s="344" t="s">
        <v>141</v>
      </c>
      <c r="N99" s="344">
        <v>220007</v>
      </c>
    </row>
    <row r="100" spans="1:14" ht="15">
      <c r="A100" s="344">
        <v>60307</v>
      </c>
      <c r="B100" s="345" t="s">
        <v>137</v>
      </c>
      <c r="C100" s="344">
        <v>220007</v>
      </c>
      <c r="D100" s="344" t="str">
        <f t="shared" si="3"/>
        <v>220007</v>
      </c>
      <c r="E100" s="346" t="s">
        <v>142</v>
      </c>
      <c r="F100" s="344" t="s">
        <v>143</v>
      </c>
      <c r="G100" s="344" t="str">
        <f t="shared" si="4"/>
        <v>60307AXLE 3</v>
      </c>
      <c r="H100" s="344">
        <v>14</v>
      </c>
      <c r="I100" s="344">
        <v>3</v>
      </c>
      <c r="J100" s="344">
        <v>3</v>
      </c>
      <c r="K100" s="344">
        <v>6</v>
      </c>
      <c r="L100" t="str">
        <f t="shared" si="5"/>
        <v>60307</v>
      </c>
      <c r="M100" s="344" t="s">
        <v>143</v>
      </c>
      <c r="N100" s="344">
        <v>220007</v>
      </c>
    </row>
    <row r="101" spans="1:14" ht="15">
      <c r="A101" s="344">
        <v>60307</v>
      </c>
      <c r="B101" s="345" t="s">
        <v>137</v>
      </c>
      <c r="C101" s="344">
        <v>220007</v>
      </c>
      <c r="D101" s="344" t="str">
        <f t="shared" si="3"/>
        <v>220007</v>
      </c>
      <c r="E101" s="346" t="s">
        <v>144</v>
      </c>
      <c r="F101" s="344" t="s">
        <v>145</v>
      </c>
      <c r="G101" s="344" t="str">
        <f t="shared" si="4"/>
        <v>60307AXLE 4</v>
      </c>
      <c r="H101" s="344">
        <v>13</v>
      </c>
      <c r="I101" s="344">
        <v>4</v>
      </c>
      <c r="J101" s="344">
        <v>4</v>
      </c>
      <c r="K101" s="344">
        <v>5</v>
      </c>
      <c r="L101" t="str">
        <f t="shared" si="5"/>
        <v>60307</v>
      </c>
      <c r="M101" s="344" t="s">
        <v>145</v>
      </c>
      <c r="N101" s="344">
        <v>220007</v>
      </c>
    </row>
    <row r="102" spans="1:14" ht="15">
      <c r="A102" s="344">
        <v>60707</v>
      </c>
      <c r="B102" s="345" t="s">
        <v>137</v>
      </c>
      <c r="C102" s="344">
        <v>220007</v>
      </c>
      <c r="D102" s="344" t="str">
        <f t="shared" si="3"/>
        <v>220007</v>
      </c>
      <c r="E102" s="346" t="s">
        <v>144</v>
      </c>
      <c r="F102" s="344" t="s">
        <v>139</v>
      </c>
      <c r="G102" s="344" t="str">
        <f t="shared" si="4"/>
        <v>60707AXLE 1</v>
      </c>
      <c r="H102" s="344">
        <v>9</v>
      </c>
      <c r="I102" s="344">
        <v>8</v>
      </c>
      <c r="J102" s="344">
        <v>1</v>
      </c>
      <c r="K102" s="344">
        <v>8</v>
      </c>
      <c r="L102" t="str">
        <f t="shared" si="5"/>
        <v>60707</v>
      </c>
      <c r="M102" s="344" t="s">
        <v>139</v>
      </c>
      <c r="N102" s="344">
        <v>220007</v>
      </c>
    </row>
    <row r="103" spans="1:14" ht="15">
      <c r="A103" s="344">
        <v>60707</v>
      </c>
      <c r="B103" s="345" t="s">
        <v>137</v>
      </c>
      <c r="C103" s="344">
        <v>220007</v>
      </c>
      <c r="D103" s="344" t="str">
        <f t="shared" si="3"/>
        <v>220007</v>
      </c>
      <c r="E103" s="346" t="s">
        <v>140</v>
      </c>
      <c r="F103" s="344" t="s">
        <v>141</v>
      </c>
      <c r="G103" s="344" t="str">
        <f t="shared" si="4"/>
        <v>60707AXLE 2</v>
      </c>
      <c r="H103" s="344">
        <v>10</v>
      </c>
      <c r="I103" s="344">
        <v>7</v>
      </c>
      <c r="J103" s="344">
        <v>2</v>
      </c>
      <c r="K103" s="344">
        <v>7</v>
      </c>
      <c r="L103" t="str">
        <f t="shared" si="5"/>
        <v>60707</v>
      </c>
      <c r="M103" s="344" t="s">
        <v>141</v>
      </c>
      <c r="N103" s="344">
        <v>220007</v>
      </c>
    </row>
    <row r="104" spans="1:14" ht="15">
      <c r="A104" s="344">
        <v>60707</v>
      </c>
      <c r="B104" s="345" t="s">
        <v>137</v>
      </c>
      <c r="C104" s="344">
        <v>220007</v>
      </c>
      <c r="D104" s="344" t="str">
        <f t="shared" si="3"/>
        <v>220007</v>
      </c>
      <c r="E104" s="346" t="s">
        <v>140</v>
      </c>
      <c r="F104" s="344" t="s">
        <v>143</v>
      </c>
      <c r="G104" s="344" t="str">
        <f t="shared" si="4"/>
        <v>60707AXLE 3</v>
      </c>
      <c r="H104" s="344">
        <v>11</v>
      </c>
      <c r="I104" s="344">
        <v>6</v>
      </c>
      <c r="J104" s="344">
        <v>3</v>
      </c>
      <c r="K104" s="344">
        <v>6</v>
      </c>
      <c r="L104" t="str">
        <f t="shared" si="5"/>
        <v>60707</v>
      </c>
      <c r="M104" s="344" t="s">
        <v>143</v>
      </c>
      <c r="N104" s="344">
        <v>220007</v>
      </c>
    </row>
    <row r="105" spans="1:14" ht="15">
      <c r="A105" s="344">
        <v>60707</v>
      </c>
      <c r="B105" s="345" t="s">
        <v>137</v>
      </c>
      <c r="C105" s="344">
        <v>220007</v>
      </c>
      <c r="D105" s="344" t="str">
        <f t="shared" si="3"/>
        <v>220007</v>
      </c>
      <c r="E105" s="346" t="s">
        <v>144</v>
      </c>
      <c r="F105" s="344" t="s">
        <v>145</v>
      </c>
      <c r="G105" s="344" t="str">
        <f t="shared" si="4"/>
        <v>60707AXLE 4</v>
      </c>
      <c r="H105" s="344">
        <v>12</v>
      </c>
      <c r="I105" s="344">
        <v>5</v>
      </c>
      <c r="J105" s="344">
        <v>4</v>
      </c>
      <c r="K105" s="344">
        <v>5</v>
      </c>
      <c r="L105" t="str">
        <f t="shared" si="5"/>
        <v>60707</v>
      </c>
      <c r="M105" s="344" t="s">
        <v>145</v>
      </c>
      <c r="N105" s="344">
        <v>220007</v>
      </c>
    </row>
    <row r="106" spans="1:14" ht="15">
      <c r="A106" s="344">
        <v>60207</v>
      </c>
      <c r="B106" s="345" t="s">
        <v>137</v>
      </c>
      <c r="C106" s="344">
        <v>220007</v>
      </c>
      <c r="D106" s="344" t="str">
        <f t="shared" si="3"/>
        <v>220007</v>
      </c>
      <c r="E106" s="346" t="s">
        <v>144</v>
      </c>
      <c r="F106" s="344" t="s">
        <v>139</v>
      </c>
      <c r="G106" s="344" t="str">
        <f t="shared" si="4"/>
        <v>60207AXLE 1</v>
      </c>
      <c r="H106" s="344">
        <v>5</v>
      </c>
      <c r="I106" s="344">
        <v>12</v>
      </c>
      <c r="J106" s="344">
        <v>1</v>
      </c>
      <c r="K106" s="344">
        <v>8</v>
      </c>
      <c r="L106" t="str">
        <f t="shared" si="5"/>
        <v>60207</v>
      </c>
      <c r="M106" s="344" t="s">
        <v>139</v>
      </c>
      <c r="N106" s="344">
        <v>220007</v>
      </c>
    </row>
    <row r="107" spans="1:14" ht="15">
      <c r="A107" s="344">
        <v>60207</v>
      </c>
      <c r="B107" s="345" t="s">
        <v>137</v>
      </c>
      <c r="C107" s="344">
        <v>220007</v>
      </c>
      <c r="D107" s="344" t="str">
        <f t="shared" si="3"/>
        <v>220007</v>
      </c>
      <c r="E107" s="346" t="s">
        <v>140</v>
      </c>
      <c r="F107" s="344" t="s">
        <v>141</v>
      </c>
      <c r="G107" s="344" t="str">
        <f t="shared" si="4"/>
        <v>60207AXLE 2</v>
      </c>
      <c r="H107" s="344">
        <v>6</v>
      </c>
      <c r="I107" s="344">
        <v>11</v>
      </c>
      <c r="J107" s="344">
        <v>2</v>
      </c>
      <c r="K107" s="344">
        <v>7</v>
      </c>
      <c r="L107" t="str">
        <f t="shared" si="5"/>
        <v>60207</v>
      </c>
      <c r="M107" s="344" t="s">
        <v>141</v>
      </c>
      <c r="N107" s="344">
        <v>220007</v>
      </c>
    </row>
    <row r="108" spans="1:14" ht="15">
      <c r="A108" s="344">
        <v>60207</v>
      </c>
      <c r="B108" s="345" t="s">
        <v>137</v>
      </c>
      <c r="C108" s="344">
        <v>220007</v>
      </c>
      <c r="D108" s="344" t="str">
        <f t="shared" si="3"/>
        <v>220007</v>
      </c>
      <c r="E108" s="346" t="s">
        <v>140</v>
      </c>
      <c r="F108" s="344" t="s">
        <v>143</v>
      </c>
      <c r="G108" s="344" t="str">
        <f t="shared" si="4"/>
        <v>60207AXLE 3</v>
      </c>
      <c r="H108" s="344">
        <v>7</v>
      </c>
      <c r="I108" s="344">
        <v>10</v>
      </c>
      <c r="J108" s="344">
        <v>3</v>
      </c>
      <c r="K108" s="344">
        <v>6</v>
      </c>
      <c r="L108" t="str">
        <f t="shared" si="5"/>
        <v>60207</v>
      </c>
      <c r="M108" s="344" t="s">
        <v>143</v>
      </c>
      <c r="N108" s="344">
        <v>220007</v>
      </c>
    </row>
    <row r="109" spans="1:14" ht="15">
      <c r="A109" s="344">
        <v>60207</v>
      </c>
      <c r="B109" s="345" t="s">
        <v>137</v>
      </c>
      <c r="C109" s="344">
        <v>220007</v>
      </c>
      <c r="D109" s="344" t="str">
        <f t="shared" si="3"/>
        <v>220007</v>
      </c>
      <c r="E109" s="346" t="s">
        <v>144</v>
      </c>
      <c r="F109" s="344" t="s">
        <v>145</v>
      </c>
      <c r="G109" s="344" t="str">
        <f t="shared" si="4"/>
        <v>60207AXLE 4</v>
      </c>
      <c r="H109" s="344">
        <v>8</v>
      </c>
      <c r="I109" s="344">
        <v>9</v>
      </c>
      <c r="J109" s="344">
        <v>4</v>
      </c>
      <c r="K109" s="344">
        <v>5</v>
      </c>
      <c r="L109" t="str">
        <f t="shared" si="5"/>
        <v>60207</v>
      </c>
      <c r="M109" s="344" t="s">
        <v>145</v>
      </c>
      <c r="N109" s="344">
        <v>220007</v>
      </c>
    </row>
    <row r="110" spans="1:14" ht="15">
      <c r="A110" s="344">
        <v>60407</v>
      </c>
      <c r="B110" s="345" t="s">
        <v>137</v>
      </c>
      <c r="C110" s="344">
        <v>220007</v>
      </c>
      <c r="D110" s="344" t="str">
        <f t="shared" si="3"/>
        <v>220007</v>
      </c>
      <c r="E110" s="346" t="s">
        <v>138</v>
      </c>
      <c r="F110" s="344" t="s">
        <v>139</v>
      </c>
      <c r="G110" s="344" t="str">
        <f t="shared" si="4"/>
        <v>60407AXLE 1</v>
      </c>
      <c r="H110" s="344">
        <v>1</v>
      </c>
      <c r="I110" s="344">
        <v>16</v>
      </c>
      <c r="J110" s="344">
        <v>1</v>
      </c>
      <c r="K110" s="344">
        <v>8</v>
      </c>
      <c r="L110" t="str">
        <f t="shared" si="5"/>
        <v>60407</v>
      </c>
      <c r="M110" s="344" t="s">
        <v>139</v>
      </c>
      <c r="N110" s="344">
        <v>220007</v>
      </c>
    </row>
    <row r="111" spans="1:14" ht="15">
      <c r="A111" s="344">
        <v>60407</v>
      </c>
      <c r="B111" s="345" t="s">
        <v>137</v>
      </c>
      <c r="C111" s="344">
        <v>220007</v>
      </c>
      <c r="D111" s="344" t="str">
        <f t="shared" si="3"/>
        <v>220007</v>
      </c>
      <c r="E111" s="346" t="s">
        <v>140</v>
      </c>
      <c r="F111" s="344" t="s">
        <v>141</v>
      </c>
      <c r="G111" s="344" t="str">
        <f t="shared" si="4"/>
        <v>60407AXLE 2</v>
      </c>
      <c r="H111" s="344">
        <v>2</v>
      </c>
      <c r="I111" s="344">
        <v>15</v>
      </c>
      <c r="J111" s="344">
        <v>2</v>
      </c>
      <c r="K111" s="344">
        <v>7</v>
      </c>
      <c r="L111" t="str">
        <f t="shared" si="5"/>
        <v>60407</v>
      </c>
      <c r="M111" s="344" t="s">
        <v>141</v>
      </c>
      <c r="N111" s="344">
        <v>220007</v>
      </c>
    </row>
    <row r="112" spans="1:14" ht="15">
      <c r="A112" s="344">
        <v>60407</v>
      </c>
      <c r="B112" s="345" t="s">
        <v>137</v>
      </c>
      <c r="C112" s="344">
        <v>220007</v>
      </c>
      <c r="D112" s="344" t="str">
        <f t="shared" si="3"/>
        <v>220007</v>
      </c>
      <c r="E112" s="346" t="s">
        <v>142</v>
      </c>
      <c r="F112" s="344" t="s">
        <v>143</v>
      </c>
      <c r="G112" s="344" t="str">
        <f t="shared" si="4"/>
        <v>60407AXLE 3</v>
      </c>
      <c r="H112" s="344">
        <v>3</v>
      </c>
      <c r="I112" s="344">
        <v>14</v>
      </c>
      <c r="J112" s="344">
        <v>3</v>
      </c>
      <c r="K112" s="344">
        <v>6</v>
      </c>
      <c r="L112" t="str">
        <f t="shared" si="5"/>
        <v>60407</v>
      </c>
      <c r="M112" s="344" t="s">
        <v>143</v>
      </c>
      <c r="N112" s="344">
        <v>220007</v>
      </c>
    </row>
    <row r="113" spans="1:14" ht="15">
      <c r="A113" s="344">
        <v>60407</v>
      </c>
      <c r="B113" s="345" t="s">
        <v>137</v>
      </c>
      <c r="C113" s="344">
        <v>220007</v>
      </c>
      <c r="D113" s="344" t="str">
        <f t="shared" si="3"/>
        <v>220007</v>
      </c>
      <c r="E113" s="346" t="s">
        <v>144</v>
      </c>
      <c r="F113" s="344" t="s">
        <v>145</v>
      </c>
      <c r="G113" s="344" t="str">
        <f t="shared" si="4"/>
        <v>60407AXLE 4</v>
      </c>
      <c r="H113" s="344">
        <v>4</v>
      </c>
      <c r="I113" s="344">
        <v>13</v>
      </c>
      <c r="J113" s="344">
        <v>4</v>
      </c>
      <c r="K113" s="344">
        <v>5</v>
      </c>
      <c r="L113" t="str">
        <f t="shared" si="5"/>
        <v>60407</v>
      </c>
      <c r="M113" s="344" t="s">
        <v>145</v>
      </c>
      <c r="N113" s="344">
        <v>220007</v>
      </c>
    </row>
    <row r="114" spans="1:14" ht="15">
      <c r="A114" s="344">
        <v>60308</v>
      </c>
      <c r="B114" s="345" t="s">
        <v>137</v>
      </c>
      <c r="C114" s="344">
        <v>220008</v>
      </c>
      <c r="D114" s="344" t="str">
        <f t="shared" si="3"/>
        <v>220008</v>
      </c>
      <c r="E114" s="346" t="s">
        <v>138</v>
      </c>
      <c r="F114" s="344" t="s">
        <v>139</v>
      </c>
      <c r="G114" s="344" t="str">
        <f t="shared" si="4"/>
        <v>60308AXLE 1</v>
      </c>
      <c r="H114" s="344">
        <v>16</v>
      </c>
      <c r="I114" s="344">
        <v>1</v>
      </c>
      <c r="J114" s="344">
        <v>1</v>
      </c>
      <c r="K114" s="344">
        <v>8</v>
      </c>
      <c r="L114" t="str">
        <f t="shared" si="5"/>
        <v>60308</v>
      </c>
      <c r="M114" s="344" t="s">
        <v>139</v>
      </c>
      <c r="N114" s="344">
        <v>220008</v>
      </c>
    </row>
    <row r="115" spans="1:14" ht="15">
      <c r="A115" s="344">
        <v>60308</v>
      </c>
      <c r="B115" s="345" t="s">
        <v>137</v>
      </c>
      <c r="C115" s="344">
        <v>220008</v>
      </c>
      <c r="D115" s="344" t="str">
        <f t="shared" si="3"/>
        <v>220008</v>
      </c>
      <c r="E115" s="346" t="s">
        <v>140</v>
      </c>
      <c r="F115" s="344" t="s">
        <v>141</v>
      </c>
      <c r="G115" s="344" t="str">
        <f t="shared" si="4"/>
        <v>60308AXLE 2</v>
      </c>
      <c r="H115" s="344">
        <v>15</v>
      </c>
      <c r="I115" s="344">
        <v>2</v>
      </c>
      <c r="J115" s="344">
        <v>2</v>
      </c>
      <c r="K115" s="344">
        <v>7</v>
      </c>
      <c r="L115" t="str">
        <f t="shared" si="5"/>
        <v>60308</v>
      </c>
      <c r="M115" s="344" t="s">
        <v>141</v>
      </c>
      <c r="N115" s="344">
        <v>220008</v>
      </c>
    </row>
    <row r="116" spans="1:14" ht="15">
      <c r="A116" s="344">
        <v>60308</v>
      </c>
      <c r="B116" s="345" t="s">
        <v>137</v>
      </c>
      <c r="C116" s="344">
        <v>220008</v>
      </c>
      <c r="D116" s="344" t="str">
        <f t="shared" si="3"/>
        <v>220008</v>
      </c>
      <c r="E116" s="346" t="s">
        <v>142</v>
      </c>
      <c r="F116" s="344" t="s">
        <v>143</v>
      </c>
      <c r="G116" s="344" t="str">
        <f t="shared" si="4"/>
        <v>60308AXLE 3</v>
      </c>
      <c r="H116" s="344">
        <v>14</v>
      </c>
      <c r="I116" s="344">
        <v>3</v>
      </c>
      <c r="J116" s="344">
        <v>3</v>
      </c>
      <c r="K116" s="344">
        <v>6</v>
      </c>
      <c r="L116" t="str">
        <f t="shared" si="5"/>
        <v>60308</v>
      </c>
      <c r="M116" s="344" t="s">
        <v>143</v>
      </c>
      <c r="N116" s="344">
        <v>220008</v>
      </c>
    </row>
    <row r="117" spans="1:14" ht="15">
      <c r="A117" s="344">
        <v>60308</v>
      </c>
      <c r="B117" s="345" t="s">
        <v>137</v>
      </c>
      <c r="C117" s="344">
        <v>220008</v>
      </c>
      <c r="D117" s="344" t="str">
        <f t="shared" si="3"/>
        <v>220008</v>
      </c>
      <c r="E117" s="346" t="s">
        <v>144</v>
      </c>
      <c r="F117" s="344" t="s">
        <v>145</v>
      </c>
      <c r="G117" s="344" t="str">
        <f t="shared" si="4"/>
        <v>60308AXLE 4</v>
      </c>
      <c r="H117" s="344">
        <v>13</v>
      </c>
      <c r="I117" s="344">
        <v>4</v>
      </c>
      <c r="J117" s="344">
        <v>4</v>
      </c>
      <c r="K117" s="344">
        <v>5</v>
      </c>
      <c r="L117" t="str">
        <f t="shared" si="5"/>
        <v>60308</v>
      </c>
      <c r="M117" s="344" t="s">
        <v>145</v>
      </c>
      <c r="N117" s="344">
        <v>220008</v>
      </c>
    </row>
    <row r="118" spans="1:14" ht="15">
      <c r="A118" s="344">
        <v>60708</v>
      </c>
      <c r="B118" s="345" t="s">
        <v>137</v>
      </c>
      <c r="C118" s="344">
        <v>220008</v>
      </c>
      <c r="D118" s="344" t="str">
        <f t="shared" si="3"/>
        <v>220008</v>
      </c>
      <c r="E118" s="346" t="s">
        <v>144</v>
      </c>
      <c r="F118" s="344" t="s">
        <v>139</v>
      </c>
      <c r="G118" s="344" t="str">
        <f t="shared" si="4"/>
        <v>60708AXLE 1</v>
      </c>
      <c r="H118" s="344">
        <v>9</v>
      </c>
      <c r="I118" s="344">
        <v>8</v>
      </c>
      <c r="J118" s="344">
        <v>1</v>
      </c>
      <c r="K118" s="344">
        <v>8</v>
      </c>
      <c r="L118" t="str">
        <f t="shared" si="5"/>
        <v>60708</v>
      </c>
      <c r="M118" s="344" t="s">
        <v>139</v>
      </c>
      <c r="N118" s="344">
        <v>220008</v>
      </c>
    </row>
    <row r="119" spans="1:14" ht="15">
      <c r="A119" s="344">
        <v>60708</v>
      </c>
      <c r="B119" s="345" t="s">
        <v>137</v>
      </c>
      <c r="C119" s="344">
        <v>220008</v>
      </c>
      <c r="D119" s="344" t="str">
        <f t="shared" si="3"/>
        <v>220008</v>
      </c>
      <c r="E119" s="346" t="s">
        <v>140</v>
      </c>
      <c r="F119" s="344" t="s">
        <v>141</v>
      </c>
      <c r="G119" s="344" t="str">
        <f t="shared" si="4"/>
        <v>60708AXLE 2</v>
      </c>
      <c r="H119" s="344">
        <v>10</v>
      </c>
      <c r="I119" s="344">
        <v>7</v>
      </c>
      <c r="J119" s="344">
        <v>2</v>
      </c>
      <c r="K119" s="344">
        <v>7</v>
      </c>
      <c r="L119" t="str">
        <f t="shared" si="5"/>
        <v>60708</v>
      </c>
      <c r="M119" s="344" t="s">
        <v>141</v>
      </c>
      <c r="N119" s="344">
        <v>220008</v>
      </c>
    </row>
    <row r="120" spans="1:14" ht="15">
      <c r="A120" s="344">
        <v>60708</v>
      </c>
      <c r="B120" s="345" t="s">
        <v>137</v>
      </c>
      <c r="C120" s="344">
        <v>220008</v>
      </c>
      <c r="D120" s="344" t="str">
        <f t="shared" si="3"/>
        <v>220008</v>
      </c>
      <c r="E120" s="346" t="s">
        <v>140</v>
      </c>
      <c r="F120" s="344" t="s">
        <v>143</v>
      </c>
      <c r="G120" s="344" t="str">
        <f t="shared" si="4"/>
        <v>60708AXLE 3</v>
      </c>
      <c r="H120" s="344">
        <v>11</v>
      </c>
      <c r="I120" s="344">
        <v>6</v>
      </c>
      <c r="J120" s="344">
        <v>3</v>
      </c>
      <c r="K120" s="344">
        <v>6</v>
      </c>
      <c r="L120" t="str">
        <f t="shared" si="5"/>
        <v>60708</v>
      </c>
      <c r="M120" s="344" t="s">
        <v>143</v>
      </c>
      <c r="N120" s="344">
        <v>220008</v>
      </c>
    </row>
    <row r="121" spans="1:14" ht="15">
      <c r="A121" s="344">
        <v>60708</v>
      </c>
      <c r="B121" s="345" t="s">
        <v>137</v>
      </c>
      <c r="C121" s="344">
        <v>220008</v>
      </c>
      <c r="D121" s="344" t="str">
        <f t="shared" si="3"/>
        <v>220008</v>
      </c>
      <c r="E121" s="346" t="s">
        <v>144</v>
      </c>
      <c r="F121" s="344" t="s">
        <v>145</v>
      </c>
      <c r="G121" s="344" t="str">
        <f t="shared" si="4"/>
        <v>60708AXLE 4</v>
      </c>
      <c r="H121" s="344">
        <v>12</v>
      </c>
      <c r="I121" s="344">
        <v>5</v>
      </c>
      <c r="J121" s="344">
        <v>4</v>
      </c>
      <c r="K121" s="344">
        <v>5</v>
      </c>
      <c r="L121" t="str">
        <f t="shared" si="5"/>
        <v>60708</v>
      </c>
      <c r="M121" s="344" t="s">
        <v>145</v>
      </c>
      <c r="N121" s="344">
        <v>220008</v>
      </c>
    </row>
    <row r="122" spans="1:14" ht="15">
      <c r="A122" s="344">
        <v>60208</v>
      </c>
      <c r="B122" s="345" t="s">
        <v>137</v>
      </c>
      <c r="C122" s="344">
        <v>220008</v>
      </c>
      <c r="D122" s="344" t="str">
        <f t="shared" si="3"/>
        <v>220008</v>
      </c>
      <c r="E122" s="346" t="s">
        <v>144</v>
      </c>
      <c r="F122" s="344" t="s">
        <v>139</v>
      </c>
      <c r="G122" s="344" t="str">
        <f t="shared" si="4"/>
        <v>60208AXLE 1</v>
      </c>
      <c r="H122" s="344">
        <v>5</v>
      </c>
      <c r="I122" s="344">
        <v>12</v>
      </c>
      <c r="J122" s="344">
        <v>1</v>
      </c>
      <c r="K122" s="344">
        <v>8</v>
      </c>
      <c r="L122" t="str">
        <f t="shared" si="5"/>
        <v>60208</v>
      </c>
      <c r="M122" s="344" t="s">
        <v>139</v>
      </c>
      <c r="N122" s="344">
        <v>220008</v>
      </c>
    </row>
    <row r="123" spans="1:14" ht="15">
      <c r="A123" s="344">
        <v>60208</v>
      </c>
      <c r="B123" s="345" t="s">
        <v>137</v>
      </c>
      <c r="C123" s="344">
        <v>220008</v>
      </c>
      <c r="D123" s="344" t="str">
        <f t="shared" si="3"/>
        <v>220008</v>
      </c>
      <c r="E123" s="346" t="s">
        <v>140</v>
      </c>
      <c r="F123" s="344" t="s">
        <v>141</v>
      </c>
      <c r="G123" s="344" t="str">
        <f t="shared" si="4"/>
        <v>60208AXLE 2</v>
      </c>
      <c r="H123" s="344">
        <v>6</v>
      </c>
      <c r="I123" s="344">
        <v>11</v>
      </c>
      <c r="J123" s="344">
        <v>2</v>
      </c>
      <c r="K123" s="344">
        <v>7</v>
      </c>
      <c r="L123" t="str">
        <f t="shared" si="5"/>
        <v>60208</v>
      </c>
      <c r="M123" s="344" t="s">
        <v>141</v>
      </c>
      <c r="N123" s="344">
        <v>220008</v>
      </c>
    </row>
    <row r="124" spans="1:14" ht="15">
      <c r="A124" s="344">
        <v>60208</v>
      </c>
      <c r="B124" s="345" t="s">
        <v>137</v>
      </c>
      <c r="C124" s="344">
        <v>220008</v>
      </c>
      <c r="D124" s="344" t="str">
        <f t="shared" si="3"/>
        <v>220008</v>
      </c>
      <c r="E124" s="346" t="s">
        <v>140</v>
      </c>
      <c r="F124" s="344" t="s">
        <v>143</v>
      </c>
      <c r="G124" s="344" t="str">
        <f t="shared" si="4"/>
        <v>60208AXLE 3</v>
      </c>
      <c r="H124" s="344">
        <v>7</v>
      </c>
      <c r="I124" s="344">
        <v>10</v>
      </c>
      <c r="J124" s="344">
        <v>3</v>
      </c>
      <c r="K124" s="344">
        <v>6</v>
      </c>
      <c r="L124" t="str">
        <f t="shared" si="5"/>
        <v>60208</v>
      </c>
      <c r="M124" s="344" t="s">
        <v>143</v>
      </c>
      <c r="N124" s="344">
        <v>220008</v>
      </c>
    </row>
    <row r="125" spans="1:14" ht="15">
      <c r="A125" s="344">
        <v>60208</v>
      </c>
      <c r="B125" s="345" t="s">
        <v>137</v>
      </c>
      <c r="C125" s="344">
        <v>220008</v>
      </c>
      <c r="D125" s="344" t="str">
        <f t="shared" si="3"/>
        <v>220008</v>
      </c>
      <c r="E125" s="346" t="s">
        <v>144</v>
      </c>
      <c r="F125" s="344" t="s">
        <v>145</v>
      </c>
      <c r="G125" s="344" t="str">
        <f t="shared" si="4"/>
        <v>60208AXLE 4</v>
      </c>
      <c r="H125" s="344">
        <v>8</v>
      </c>
      <c r="I125" s="344">
        <v>9</v>
      </c>
      <c r="J125" s="344">
        <v>4</v>
      </c>
      <c r="K125" s="344">
        <v>5</v>
      </c>
      <c r="L125" t="str">
        <f t="shared" si="5"/>
        <v>60208</v>
      </c>
      <c r="M125" s="344" t="s">
        <v>145</v>
      </c>
      <c r="N125" s="344">
        <v>220008</v>
      </c>
    </row>
    <row r="126" spans="1:14" ht="15">
      <c r="A126" s="344">
        <v>60408</v>
      </c>
      <c r="B126" s="345" t="s">
        <v>137</v>
      </c>
      <c r="C126" s="344">
        <v>220008</v>
      </c>
      <c r="D126" s="344" t="str">
        <f t="shared" si="3"/>
        <v>220008</v>
      </c>
      <c r="E126" s="346" t="s">
        <v>138</v>
      </c>
      <c r="F126" s="344" t="s">
        <v>139</v>
      </c>
      <c r="G126" s="344" t="str">
        <f t="shared" si="4"/>
        <v>60408AXLE 1</v>
      </c>
      <c r="H126" s="344">
        <v>1</v>
      </c>
      <c r="I126" s="344">
        <v>16</v>
      </c>
      <c r="J126" s="344">
        <v>1</v>
      </c>
      <c r="K126" s="344">
        <v>8</v>
      </c>
      <c r="L126" t="str">
        <f t="shared" si="5"/>
        <v>60408</v>
      </c>
      <c r="M126" s="344" t="s">
        <v>139</v>
      </c>
      <c r="N126" s="344">
        <v>220008</v>
      </c>
    </row>
    <row r="127" spans="1:14" ht="15">
      <c r="A127" s="344">
        <v>60408</v>
      </c>
      <c r="B127" s="345" t="s">
        <v>137</v>
      </c>
      <c r="C127" s="344">
        <v>220008</v>
      </c>
      <c r="D127" s="344" t="str">
        <f t="shared" si="3"/>
        <v>220008</v>
      </c>
      <c r="E127" s="346" t="s">
        <v>140</v>
      </c>
      <c r="F127" s="344" t="s">
        <v>141</v>
      </c>
      <c r="G127" s="344" t="str">
        <f t="shared" si="4"/>
        <v>60408AXLE 2</v>
      </c>
      <c r="H127" s="344">
        <v>2</v>
      </c>
      <c r="I127" s="344">
        <v>15</v>
      </c>
      <c r="J127" s="344">
        <v>2</v>
      </c>
      <c r="K127" s="344">
        <v>7</v>
      </c>
      <c r="L127" t="str">
        <f t="shared" si="5"/>
        <v>60408</v>
      </c>
      <c r="M127" s="344" t="s">
        <v>141</v>
      </c>
      <c r="N127" s="344">
        <v>220008</v>
      </c>
    </row>
    <row r="128" spans="1:14" ht="15">
      <c r="A128" s="344">
        <v>60408</v>
      </c>
      <c r="B128" s="345" t="s">
        <v>137</v>
      </c>
      <c r="C128" s="344">
        <v>220008</v>
      </c>
      <c r="D128" s="344" t="str">
        <f t="shared" si="3"/>
        <v>220008</v>
      </c>
      <c r="E128" s="346" t="s">
        <v>142</v>
      </c>
      <c r="F128" s="344" t="s">
        <v>143</v>
      </c>
      <c r="G128" s="344" t="str">
        <f t="shared" si="4"/>
        <v>60408AXLE 3</v>
      </c>
      <c r="H128" s="344">
        <v>3</v>
      </c>
      <c r="I128" s="344">
        <v>14</v>
      </c>
      <c r="J128" s="344">
        <v>3</v>
      </c>
      <c r="K128" s="344">
        <v>6</v>
      </c>
      <c r="L128" t="str">
        <f t="shared" si="5"/>
        <v>60408</v>
      </c>
      <c r="M128" s="344" t="s">
        <v>143</v>
      </c>
      <c r="N128" s="344">
        <v>220008</v>
      </c>
    </row>
    <row r="129" spans="1:14" ht="15">
      <c r="A129" s="344">
        <v>60408</v>
      </c>
      <c r="B129" s="345" t="s">
        <v>137</v>
      </c>
      <c r="C129" s="344">
        <v>220008</v>
      </c>
      <c r="D129" s="344" t="str">
        <f t="shared" si="3"/>
        <v>220008</v>
      </c>
      <c r="E129" s="346" t="s">
        <v>144</v>
      </c>
      <c r="F129" s="344" t="s">
        <v>145</v>
      </c>
      <c r="G129" s="344" t="str">
        <f t="shared" si="4"/>
        <v>60408AXLE 4</v>
      </c>
      <c r="H129" s="344">
        <v>4</v>
      </c>
      <c r="I129" s="344">
        <v>13</v>
      </c>
      <c r="J129" s="344">
        <v>4</v>
      </c>
      <c r="K129" s="344">
        <v>5</v>
      </c>
      <c r="L129" t="str">
        <f t="shared" si="5"/>
        <v>60408</v>
      </c>
      <c r="M129" s="344" t="s">
        <v>145</v>
      </c>
      <c r="N129" s="344">
        <v>220008</v>
      </c>
    </row>
    <row r="130" spans="1:14" ht="15">
      <c r="A130" s="344">
        <v>60309</v>
      </c>
      <c r="B130" s="345" t="s">
        <v>137</v>
      </c>
      <c r="C130" s="344">
        <v>220009</v>
      </c>
      <c r="D130" s="344" t="str">
        <f t="shared" si="3"/>
        <v>220009</v>
      </c>
      <c r="E130" s="346" t="s">
        <v>138</v>
      </c>
      <c r="F130" s="344" t="s">
        <v>139</v>
      </c>
      <c r="G130" s="344" t="str">
        <f t="shared" si="4"/>
        <v>60309AXLE 1</v>
      </c>
      <c r="H130" s="344">
        <v>16</v>
      </c>
      <c r="I130" s="344">
        <v>1</v>
      </c>
      <c r="J130" s="344">
        <v>1</v>
      </c>
      <c r="K130" s="344">
        <v>8</v>
      </c>
      <c r="L130" t="str">
        <f t="shared" si="5"/>
        <v>60309</v>
      </c>
      <c r="M130" s="344" t="s">
        <v>139</v>
      </c>
      <c r="N130" s="344">
        <v>220009</v>
      </c>
    </row>
    <row r="131" spans="1:14" ht="15">
      <c r="A131" s="344">
        <v>60309</v>
      </c>
      <c r="B131" s="345" t="s">
        <v>137</v>
      </c>
      <c r="C131" s="344">
        <v>220009</v>
      </c>
      <c r="D131" s="344" t="str">
        <f t="shared" ref="D131:D194" si="6">CONCATENATE(B131,C131)</f>
        <v>220009</v>
      </c>
      <c r="E131" s="346" t="s">
        <v>140</v>
      </c>
      <c r="F131" s="344" t="s">
        <v>141</v>
      </c>
      <c r="G131" s="344" t="str">
        <f t="shared" ref="G131:G194" si="7">CONCATENATE(A131,F131)</f>
        <v>60309AXLE 2</v>
      </c>
      <c r="H131" s="344">
        <v>15</v>
      </c>
      <c r="I131" s="344">
        <v>2</v>
      </c>
      <c r="J131" s="344">
        <v>2</v>
      </c>
      <c r="K131" s="344">
        <v>7</v>
      </c>
      <c r="L131" t="str">
        <f t="shared" ref="L131:L194" si="8">CONCATENATE(A131,B131)</f>
        <v>60309</v>
      </c>
      <c r="M131" s="344" t="s">
        <v>141</v>
      </c>
      <c r="N131" s="344">
        <v>220009</v>
      </c>
    </row>
    <row r="132" spans="1:14" ht="15">
      <c r="A132" s="344">
        <v>60309</v>
      </c>
      <c r="B132" s="345" t="s">
        <v>137</v>
      </c>
      <c r="C132" s="344">
        <v>220009</v>
      </c>
      <c r="D132" s="344" t="str">
        <f t="shared" si="6"/>
        <v>220009</v>
      </c>
      <c r="E132" s="346" t="s">
        <v>142</v>
      </c>
      <c r="F132" s="344" t="s">
        <v>143</v>
      </c>
      <c r="G132" s="344" t="str">
        <f t="shared" si="7"/>
        <v>60309AXLE 3</v>
      </c>
      <c r="H132" s="344">
        <v>14</v>
      </c>
      <c r="I132" s="344">
        <v>3</v>
      </c>
      <c r="J132" s="344">
        <v>3</v>
      </c>
      <c r="K132" s="344">
        <v>6</v>
      </c>
      <c r="L132" t="str">
        <f t="shared" si="8"/>
        <v>60309</v>
      </c>
      <c r="M132" s="344" t="s">
        <v>143</v>
      </c>
      <c r="N132" s="344">
        <v>220009</v>
      </c>
    </row>
    <row r="133" spans="1:14" ht="15">
      <c r="A133" s="344">
        <v>60309</v>
      </c>
      <c r="B133" s="345" t="s">
        <v>137</v>
      </c>
      <c r="C133" s="344">
        <v>220009</v>
      </c>
      <c r="D133" s="344" t="str">
        <f t="shared" si="6"/>
        <v>220009</v>
      </c>
      <c r="E133" s="346" t="s">
        <v>144</v>
      </c>
      <c r="F133" s="344" t="s">
        <v>145</v>
      </c>
      <c r="G133" s="344" t="str">
        <f t="shared" si="7"/>
        <v>60309AXLE 4</v>
      </c>
      <c r="H133" s="344">
        <v>13</v>
      </c>
      <c r="I133" s="344">
        <v>4</v>
      </c>
      <c r="J133" s="344">
        <v>4</v>
      </c>
      <c r="K133" s="344">
        <v>5</v>
      </c>
      <c r="L133" t="str">
        <f t="shared" si="8"/>
        <v>60309</v>
      </c>
      <c r="M133" s="344" t="s">
        <v>145</v>
      </c>
      <c r="N133" s="344">
        <v>220009</v>
      </c>
    </row>
    <row r="134" spans="1:14" ht="15">
      <c r="A134" s="344">
        <v>60709</v>
      </c>
      <c r="B134" s="345" t="s">
        <v>137</v>
      </c>
      <c r="C134" s="344">
        <v>220009</v>
      </c>
      <c r="D134" s="344" t="str">
        <f t="shared" si="6"/>
        <v>220009</v>
      </c>
      <c r="E134" s="346" t="s">
        <v>144</v>
      </c>
      <c r="F134" s="344" t="s">
        <v>139</v>
      </c>
      <c r="G134" s="344" t="str">
        <f t="shared" si="7"/>
        <v>60709AXLE 1</v>
      </c>
      <c r="H134" s="344">
        <v>9</v>
      </c>
      <c r="I134" s="344">
        <v>8</v>
      </c>
      <c r="J134" s="344">
        <v>1</v>
      </c>
      <c r="K134" s="344">
        <v>8</v>
      </c>
      <c r="L134" t="str">
        <f t="shared" si="8"/>
        <v>60709</v>
      </c>
      <c r="M134" s="344" t="s">
        <v>139</v>
      </c>
      <c r="N134" s="344">
        <v>220009</v>
      </c>
    </row>
    <row r="135" spans="1:14" ht="15">
      <c r="A135" s="344">
        <v>60709</v>
      </c>
      <c r="B135" s="345" t="s">
        <v>137</v>
      </c>
      <c r="C135" s="344">
        <v>220009</v>
      </c>
      <c r="D135" s="344" t="str">
        <f t="shared" si="6"/>
        <v>220009</v>
      </c>
      <c r="E135" s="346" t="s">
        <v>140</v>
      </c>
      <c r="F135" s="344" t="s">
        <v>141</v>
      </c>
      <c r="G135" s="344" t="str">
        <f t="shared" si="7"/>
        <v>60709AXLE 2</v>
      </c>
      <c r="H135" s="344">
        <v>10</v>
      </c>
      <c r="I135" s="344">
        <v>7</v>
      </c>
      <c r="J135" s="344">
        <v>2</v>
      </c>
      <c r="K135" s="344">
        <v>7</v>
      </c>
      <c r="L135" t="str">
        <f t="shared" si="8"/>
        <v>60709</v>
      </c>
      <c r="M135" s="344" t="s">
        <v>141</v>
      </c>
      <c r="N135" s="344">
        <v>220009</v>
      </c>
    </row>
    <row r="136" spans="1:14" ht="15">
      <c r="A136" s="344">
        <v>60709</v>
      </c>
      <c r="B136" s="345" t="s">
        <v>137</v>
      </c>
      <c r="C136" s="344">
        <v>220009</v>
      </c>
      <c r="D136" s="344" t="str">
        <f t="shared" si="6"/>
        <v>220009</v>
      </c>
      <c r="E136" s="346" t="s">
        <v>140</v>
      </c>
      <c r="F136" s="344" t="s">
        <v>143</v>
      </c>
      <c r="G136" s="344" t="str">
        <f t="shared" si="7"/>
        <v>60709AXLE 3</v>
      </c>
      <c r="H136" s="344">
        <v>11</v>
      </c>
      <c r="I136" s="344">
        <v>6</v>
      </c>
      <c r="J136" s="344">
        <v>3</v>
      </c>
      <c r="K136" s="344">
        <v>6</v>
      </c>
      <c r="L136" t="str">
        <f t="shared" si="8"/>
        <v>60709</v>
      </c>
      <c r="M136" s="344" t="s">
        <v>143</v>
      </c>
      <c r="N136" s="344">
        <v>220009</v>
      </c>
    </row>
    <row r="137" spans="1:14" ht="15">
      <c r="A137" s="344">
        <v>60709</v>
      </c>
      <c r="B137" s="345" t="s">
        <v>137</v>
      </c>
      <c r="C137" s="344">
        <v>220009</v>
      </c>
      <c r="D137" s="344" t="str">
        <f t="shared" si="6"/>
        <v>220009</v>
      </c>
      <c r="E137" s="346" t="s">
        <v>144</v>
      </c>
      <c r="F137" s="344" t="s">
        <v>145</v>
      </c>
      <c r="G137" s="344" t="str">
        <f t="shared" si="7"/>
        <v>60709AXLE 4</v>
      </c>
      <c r="H137" s="344">
        <v>12</v>
      </c>
      <c r="I137" s="344">
        <v>5</v>
      </c>
      <c r="J137" s="344">
        <v>4</v>
      </c>
      <c r="K137" s="344">
        <v>5</v>
      </c>
      <c r="L137" t="str">
        <f t="shared" si="8"/>
        <v>60709</v>
      </c>
      <c r="M137" s="344" t="s">
        <v>145</v>
      </c>
      <c r="N137" s="344">
        <v>220009</v>
      </c>
    </row>
    <row r="138" spans="1:14" ht="15">
      <c r="A138" s="344">
        <v>60209</v>
      </c>
      <c r="B138" s="345" t="s">
        <v>137</v>
      </c>
      <c r="C138" s="344">
        <v>220009</v>
      </c>
      <c r="D138" s="344" t="str">
        <f t="shared" si="6"/>
        <v>220009</v>
      </c>
      <c r="E138" s="346" t="s">
        <v>144</v>
      </c>
      <c r="F138" s="344" t="s">
        <v>139</v>
      </c>
      <c r="G138" s="344" t="str">
        <f t="shared" si="7"/>
        <v>60209AXLE 1</v>
      </c>
      <c r="H138" s="344">
        <v>5</v>
      </c>
      <c r="I138" s="344">
        <v>12</v>
      </c>
      <c r="J138" s="344">
        <v>1</v>
      </c>
      <c r="K138" s="344">
        <v>8</v>
      </c>
      <c r="L138" t="str">
        <f t="shared" si="8"/>
        <v>60209</v>
      </c>
      <c r="M138" s="344" t="s">
        <v>139</v>
      </c>
      <c r="N138" s="344">
        <v>220009</v>
      </c>
    </row>
    <row r="139" spans="1:14" ht="15">
      <c r="A139" s="344">
        <v>60209</v>
      </c>
      <c r="B139" s="345" t="s">
        <v>137</v>
      </c>
      <c r="C139" s="344">
        <v>220009</v>
      </c>
      <c r="D139" s="344" t="str">
        <f t="shared" si="6"/>
        <v>220009</v>
      </c>
      <c r="E139" s="346" t="s">
        <v>140</v>
      </c>
      <c r="F139" s="344" t="s">
        <v>141</v>
      </c>
      <c r="G139" s="344" t="str">
        <f t="shared" si="7"/>
        <v>60209AXLE 2</v>
      </c>
      <c r="H139" s="344">
        <v>6</v>
      </c>
      <c r="I139" s="344">
        <v>11</v>
      </c>
      <c r="J139" s="344">
        <v>2</v>
      </c>
      <c r="K139" s="344">
        <v>7</v>
      </c>
      <c r="L139" t="str">
        <f t="shared" si="8"/>
        <v>60209</v>
      </c>
      <c r="M139" s="344" t="s">
        <v>141</v>
      </c>
      <c r="N139" s="344">
        <v>220009</v>
      </c>
    </row>
    <row r="140" spans="1:14" ht="15">
      <c r="A140" s="344">
        <v>60209</v>
      </c>
      <c r="B140" s="345" t="s">
        <v>137</v>
      </c>
      <c r="C140" s="344">
        <v>220009</v>
      </c>
      <c r="D140" s="344" t="str">
        <f t="shared" si="6"/>
        <v>220009</v>
      </c>
      <c r="E140" s="346" t="s">
        <v>140</v>
      </c>
      <c r="F140" s="344" t="s">
        <v>143</v>
      </c>
      <c r="G140" s="344" t="str">
        <f t="shared" si="7"/>
        <v>60209AXLE 3</v>
      </c>
      <c r="H140" s="344">
        <v>7</v>
      </c>
      <c r="I140" s="344">
        <v>10</v>
      </c>
      <c r="J140" s="344">
        <v>3</v>
      </c>
      <c r="K140" s="344">
        <v>6</v>
      </c>
      <c r="L140" t="str">
        <f t="shared" si="8"/>
        <v>60209</v>
      </c>
      <c r="M140" s="344" t="s">
        <v>143</v>
      </c>
      <c r="N140" s="344">
        <v>220009</v>
      </c>
    </row>
    <row r="141" spans="1:14" ht="15">
      <c r="A141" s="344">
        <v>60209</v>
      </c>
      <c r="B141" s="345" t="s">
        <v>137</v>
      </c>
      <c r="C141" s="344">
        <v>220009</v>
      </c>
      <c r="D141" s="344" t="str">
        <f t="shared" si="6"/>
        <v>220009</v>
      </c>
      <c r="E141" s="346" t="s">
        <v>144</v>
      </c>
      <c r="F141" s="344" t="s">
        <v>145</v>
      </c>
      <c r="G141" s="344" t="str">
        <f t="shared" si="7"/>
        <v>60209AXLE 4</v>
      </c>
      <c r="H141" s="344">
        <v>8</v>
      </c>
      <c r="I141" s="344">
        <v>9</v>
      </c>
      <c r="J141" s="344">
        <v>4</v>
      </c>
      <c r="K141" s="344">
        <v>5</v>
      </c>
      <c r="L141" t="str">
        <f t="shared" si="8"/>
        <v>60209</v>
      </c>
      <c r="M141" s="344" t="s">
        <v>145</v>
      </c>
      <c r="N141" s="344">
        <v>220009</v>
      </c>
    </row>
    <row r="142" spans="1:14" ht="15">
      <c r="A142" s="344">
        <v>60409</v>
      </c>
      <c r="B142" s="345" t="s">
        <v>137</v>
      </c>
      <c r="C142" s="344">
        <v>220009</v>
      </c>
      <c r="D142" s="344" t="str">
        <f t="shared" si="6"/>
        <v>220009</v>
      </c>
      <c r="E142" s="346" t="s">
        <v>138</v>
      </c>
      <c r="F142" s="344" t="s">
        <v>139</v>
      </c>
      <c r="G142" s="344" t="str">
        <f t="shared" si="7"/>
        <v>60409AXLE 1</v>
      </c>
      <c r="H142" s="344">
        <v>1</v>
      </c>
      <c r="I142" s="344">
        <v>16</v>
      </c>
      <c r="J142" s="344">
        <v>1</v>
      </c>
      <c r="K142" s="344">
        <v>8</v>
      </c>
      <c r="L142" t="str">
        <f t="shared" si="8"/>
        <v>60409</v>
      </c>
      <c r="M142" s="344" t="s">
        <v>139</v>
      </c>
      <c r="N142" s="344">
        <v>220009</v>
      </c>
    </row>
    <row r="143" spans="1:14" ht="15">
      <c r="A143" s="344">
        <v>60409</v>
      </c>
      <c r="B143" s="345" t="s">
        <v>137</v>
      </c>
      <c r="C143" s="344">
        <v>220009</v>
      </c>
      <c r="D143" s="344" t="str">
        <f t="shared" si="6"/>
        <v>220009</v>
      </c>
      <c r="E143" s="346" t="s">
        <v>140</v>
      </c>
      <c r="F143" s="344" t="s">
        <v>141</v>
      </c>
      <c r="G143" s="344" t="str">
        <f t="shared" si="7"/>
        <v>60409AXLE 2</v>
      </c>
      <c r="H143" s="344">
        <v>2</v>
      </c>
      <c r="I143" s="344">
        <v>15</v>
      </c>
      <c r="J143" s="344">
        <v>2</v>
      </c>
      <c r="K143" s="344">
        <v>7</v>
      </c>
      <c r="L143" t="str">
        <f t="shared" si="8"/>
        <v>60409</v>
      </c>
      <c r="M143" s="344" t="s">
        <v>141</v>
      </c>
      <c r="N143" s="344">
        <v>220009</v>
      </c>
    </row>
    <row r="144" spans="1:14" ht="15">
      <c r="A144" s="344">
        <v>60409</v>
      </c>
      <c r="B144" s="345" t="s">
        <v>137</v>
      </c>
      <c r="C144" s="344">
        <v>220009</v>
      </c>
      <c r="D144" s="344" t="str">
        <f t="shared" si="6"/>
        <v>220009</v>
      </c>
      <c r="E144" s="346" t="s">
        <v>142</v>
      </c>
      <c r="F144" s="344" t="s">
        <v>143</v>
      </c>
      <c r="G144" s="344" t="str">
        <f t="shared" si="7"/>
        <v>60409AXLE 3</v>
      </c>
      <c r="H144" s="344">
        <v>3</v>
      </c>
      <c r="I144" s="344">
        <v>14</v>
      </c>
      <c r="J144" s="344">
        <v>3</v>
      </c>
      <c r="K144" s="344">
        <v>6</v>
      </c>
      <c r="L144" t="str">
        <f t="shared" si="8"/>
        <v>60409</v>
      </c>
      <c r="M144" s="344" t="s">
        <v>143</v>
      </c>
      <c r="N144" s="344">
        <v>220009</v>
      </c>
    </row>
    <row r="145" spans="1:14" ht="15">
      <c r="A145" s="344">
        <v>60409</v>
      </c>
      <c r="B145" s="345" t="s">
        <v>137</v>
      </c>
      <c r="C145" s="344">
        <v>220009</v>
      </c>
      <c r="D145" s="344" t="str">
        <f t="shared" si="6"/>
        <v>220009</v>
      </c>
      <c r="E145" s="346" t="s">
        <v>144</v>
      </c>
      <c r="F145" s="344" t="s">
        <v>145</v>
      </c>
      <c r="G145" s="344" t="str">
        <f t="shared" si="7"/>
        <v>60409AXLE 4</v>
      </c>
      <c r="H145" s="344">
        <v>4</v>
      </c>
      <c r="I145" s="344">
        <v>13</v>
      </c>
      <c r="J145" s="344">
        <v>4</v>
      </c>
      <c r="K145" s="344">
        <v>5</v>
      </c>
      <c r="L145" t="str">
        <f t="shared" si="8"/>
        <v>60409</v>
      </c>
      <c r="M145" s="344" t="s">
        <v>145</v>
      </c>
      <c r="N145" s="344">
        <v>220009</v>
      </c>
    </row>
    <row r="146" spans="1:14" ht="15">
      <c r="A146" s="344">
        <v>60310</v>
      </c>
      <c r="B146" s="345" t="s">
        <v>137</v>
      </c>
      <c r="C146" s="344">
        <v>220010</v>
      </c>
      <c r="D146" s="344" t="str">
        <f t="shared" si="6"/>
        <v>220010</v>
      </c>
      <c r="E146" s="346" t="s">
        <v>138</v>
      </c>
      <c r="F146" s="344" t="s">
        <v>139</v>
      </c>
      <c r="G146" s="344" t="str">
        <f t="shared" si="7"/>
        <v>60310AXLE 1</v>
      </c>
      <c r="H146" s="344">
        <v>16</v>
      </c>
      <c r="I146" s="344">
        <v>1</v>
      </c>
      <c r="J146" s="344">
        <v>1</v>
      </c>
      <c r="K146" s="344">
        <v>8</v>
      </c>
      <c r="L146" t="str">
        <f t="shared" si="8"/>
        <v>60310</v>
      </c>
      <c r="M146" s="344" t="s">
        <v>139</v>
      </c>
      <c r="N146" s="344">
        <v>220010</v>
      </c>
    </row>
    <row r="147" spans="1:14" ht="15">
      <c r="A147" s="344">
        <v>60310</v>
      </c>
      <c r="B147" s="345" t="s">
        <v>137</v>
      </c>
      <c r="C147" s="344">
        <v>220010</v>
      </c>
      <c r="D147" s="344" t="str">
        <f t="shared" si="6"/>
        <v>220010</v>
      </c>
      <c r="E147" s="346" t="s">
        <v>140</v>
      </c>
      <c r="F147" s="344" t="s">
        <v>141</v>
      </c>
      <c r="G147" s="344" t="str">
        <f t="shared" si="7"/>
        <v>60310AXLE 2</v>
      </c>
      <c r="H147" s="344">
        <v>15</v>
      </c>
      <c r="I147" s="344">
        <v>2</v>
      </c>
      <c r="J147" s="344">
        <v>2</v>
      </c>
      <c r="K147" s="344">
        <v>7</v>
      </c>
      <c r="L147" t="str">
        <f t="shared" si="8"/>
        <v>60310</v>
      </c>
      <c r="M147" s="344" t="s">
        <v>141</v>
      </c>
      <c r="N147" s="344">
        <v>220010</v>
      </c>
    </row>
    <row r="148" spans="1:14" ht="15">
      <c r="A148" s="344">
        <v>60310</v>
      </c>
      <c r="B148" s="345" t="s">
        <v>137</v>
      </c>
      <c r="C148" s="344">
        <v>220010</v>
      </c>
      <c r="D148" s="344" t="str">
        <f t="shared" si="6"/>
        <v>220010</v>
      </c>
      <c r="E148" s="346" t="s">
        <v>142</v>
      </c>
      <c r="F148" s="344" t="s">
        <v>143</v>
      </c>
      <c r="G148" s="344" t="str">
        <f t="shared" si="7"/>
        <v>60310AXLE 3</v>
      </c>
      <c r="H148" s="344">
        <v>14</v>
      </c>
      <c r="I148" s="344">
        <v>3</v>
      </c>
      <c r="J148" s="344">
        <v>3</v>
      </c>
      <c r="K148" s="344">
        <v>6</v>
      </c>
      <c r="L148" t="str">
        <f t="shared" si="8"/>
        <v>60310</v>
      </c>
      <c r="M148" s="344" t="s">
        <v>143</v>
      </c>
      <c r="N148" s="344">
        <v>220010</v>
      </c>
    </row>
    <row r="149" spans="1:14" ht="15">
      <c r="A149" s="344">
        <v>60310</v>
      </c>
      <c r="B149" s="345" t="s">
        <v>137</v>
      </c>
      <c r="C149" s="344">
        <v>220010</v>
      </c>
      <c r="D149" s="344" t="str">
        <f t="shared" si="6"/>
        <v>220010</v>
      </c>
      <c r="E149" s="346" t="s">
        <v>144</v>
      </c>
      <c r="F149" s="344" t="s">
        <v>145</v>
      </c>
      <c r="G149" s="344" t="str">
        <f t="shared" si="7"/>
        <v>60310AXLE 4</v>
      </c>
      <c r="H149" s="344">
        <v>13</v>
      </c>
      <c r="I149" s="344">
        <v>4</v>
      </c>
      <c r="J149" s="344">
        <v>4</v>
      </c>
      <c r="K149" s="344">
        <v>5</v>
      </c>
      <c r="L149" t="str">
        <f t="shared" si="8"/>
        <v>60310</v>
      </c>
      <c r="M149" s="344" t="s">
        <v>145</v>
      </c>
      <c r="N149" s="344">
        <v>220010</v>
      </c>
    </row>
    <row r="150" spans="1:14" ht="15">
      <c r="A150" s="344">
        <v>60710</v>
      </c>
      <c r="B150" s="345" t="s">
        <v>137</v>
      </c>
      <c r="C150" s="344">
        <v>220010</v>
      </c>
      <c r="D150" s="344" t="str">
        <f t="shared" si="6"/>
        <v>220010</v>
      </c>
      <c r="E150" s="346" t="s">
        <v>144</v>
      </c>
      <c r="F150" s="344" t="s">
        <v>139</v>
      </c>
      <c r="G150" s="344" t="str">
        <f t="shared" si="7"/>
        <v>60710AXLE 1</v>
      </c>
      <c r="H150" s="344">
        <v>9</v>
      </c>
      <c r="I150" s="344">
        <v>8</v>
      </c>
      <c r="J150" s="344">
        <v>1</v>
      </c>
      <c r="K150" s="344">
        <v>8</v>
      </c>
      <c r="L150" t="str">
        <f t="shared" si="8"/>
        <v>60710</v>
      </c>
      <c r="M150" s="344" t="s">
        <v>139</v>
      </c>
      <c r="N150" s="344">
        <v>220010</v>
      </c>
    </row>
    <row r="151" spans="1:14" ht="15">
      <c r="A151" s="344">
        <v>60710</v>
      </c>
      <c r="B151" s="345" t="s">
        <v>137</v>
      </c>
      <c r="C151" s="344">
        <v>220010</v>
      </c>
      <c r="D151" s="344" t="str">
        <f t="shared" si="6"/>
        <v>220010</v>
      </c>
      <c r="E151" s="346" t="s">
        <v>140</v>
      </c>
      <c r="F151" s="344" t="s">
        <v>141</v>
      </c>
      <c r="G151" s="344" t="str">
        <f t="shared" si="7"/>
        <v>60710AXLE 2</v>
      </c>
      <c r="H151" s="344">
        <v>10</v>
      </c>
      <c r="I151" s="344">
        <v>7</v>
      </c>
      <c r="J151" s="344">
        <v>2</v>
      </c>
      <c r="K151" s="344">
        <v>7</v>
      </c>
      <c r="L151" t="str">
        <f t="shared" si="8"/>
        <v>60710</v>
      </c>
      <c r="M151" s="344" t="s">
        <v>141</v>
      </c>
      <c r="N151" s="344">
        <v>220010</v>
      </c>
    </row>
    <row r="152" spans="1:14" ht="15">
      <c r="A152" s="344">
        <v>60710</v>
      </c>
      <c r="B152" s="345" t="s">
        <v>137</v>
      </c>
      <c r="C152" s="344">
        <v>220010</v>
      </c>
      <c r="D152" s="344" t="str">
        <f t="shared" si="6"/>
        <v>220010</v>
      </c>
      <c r="E152" s="346" t="s">
        <v>140</v>
      </c>
      <c r="F152" s="344" t="s">
        <v>143</v>
      </c>
      <c r="G152" s="344" t="str">
        <f t="shared" si="7"/>
        <v>60710AXLE 3</v>
      </c>
      <c r="H152" s="344">
        <v>11</v>
      </c>
      <c r="I152" s="344">
        <v>6</v>
      </c>
      <c r="J152" s="344">
        <v>3</v>
      </c>
      <c r="K152" s="344">
        <v>6</v>
      </c>
      <c r="L152" t="str">
        <f t="shared" si="8"/>
        <v>60710</v>
      </c>
      <c r="M152" s="344" t="s">
        <v>143</v>
      </c>
      <c r="N152" s="344">
        <v>220010</v>
      </c>
    </row>
    <row r="153" spans="1:14" ht="15">
      <c r="A153" s="344">
        <v>60710</v>
      </c>
      <c r="B153" s="345" t="s">
        <v>137</v>
      </c>
      <c r="C153" s="344">
        <v>220010</v>
      </c>
      <c r="D153" s="344" t="str">
        <f t="shared" si="6"/>
        <v>220010</v>
      </c>
      <c r="E153" s="346" t="s">
        <v>144</v>
      </c>
      <c r="F153" s="344" t="s">
        <v>145</v>
      </c>
      <c r="G153" s="344" t="str">
        <f t="shared" si="7"/>
        <v>60710AXLE 4</v>
      </c>
      <c r="H153" s="344">
        <v>12</v>
      </c>
      <c r="I153" s="344">
        <v>5</v>
      </c>
      <c r="J153" s="344">
        <v>4</v>
      </c>
      <c r="K153" s="344">
        <v>5</v>
      </c>
      <c r="L153" t="str">
        <f t="shared" si="8"/>
        <v>60710</v>
      </c>
      <c r="M153" s="344" t="s">
        <v>145</v>
      </c>
      <c r="N153" s="344">
        <v>220010</v>
      </c>
    </row>
    <row r="154" spans="1:14" ht="15">
      <c r="A154" s="344">
        <v>60210</v>
      </c>
      <c r="B154" s="345" t="s">
        <v>137</v>
      </c>
      <c r="C154" s="344">
        <v>220010</v>
      </c>
      <c r="D154" s="344" t="str">
        <f t="shared" si="6"/>
        <v>220010</v>
      </c>
      <c r="E154" s="346" t="s">
        <v>144</v>
      </c>
      <c r="F154" s="344" t="s">
        <v>139</v>
      </c>
      <c r="G154" s="344" t="str">
        <f t="shared" si="7"/>
        <v>60210AXLE 1</v>
      </c>
      <c r="H154" s="344">
        <v>5</v>
      </c>
      <c r="I154" s="344">
        <v>12</v>
      </c>
      <c r="J154" s="344">
        <v>1</v>
      </c>
      <c r="K154" s="344">
        <v>8</v>
      </c>
      <c r="L154" t="str">
        <f t="shared" si="8"/>
        <v>60210</v>
      </c>
      <c r="M154" s="344" t="s">
        <v>139</v>
      </c>
      <c r="N154" s="344">
        <v>220010</v>
      </c>
    </row>
    <row r="155" spans="1:14" ht="15">
      <c r="A155" s="344">
        <v>60210</v>
      </c>
      <c r="B155" s="345" t="s">
        <v>137</v>
      </c>
      <c r="C155" s="344">
        <v>220010</v>
      </c>
      <c r="D155" s="344" t="str">
        <f t="shared" si="6"/>
        <v>220010</v>
      </c>
      <c r="E155" s="346" t="s">
        <v>140</v>
      </c>
      <c r="F155" s="344" t="s">
        <v>141</v>
      </c>
      <c r="G155" s="344" t="str">
        <f t="shared" si="7"/>
        <v>60210AXLE 2</v>
      </c>
      <c r="H155" s="344">
        <v>6</v>
      </c>
      <c r="I155" s="344">
        <v>11</v>
      </c>
      <c r="J155" s="344">
        <v>2</v>
      </c>
      <c r="K155" s="344">
        <v>7</v>
      </c>
      <c r="L155" t="str">
        <f t="shared" si="8"/>
        <v>60210</v>
      </c>
      <c r="M155" s="344" t="s">
        <v>141</v>
      </c>
      <c r="N155" s="344">
        <v>220010</v>
      </c>
    </row>
    <row r="156" spans="1:14" ht="15">
      <c r="A156" s="344">
        <v>60210</v>
      </c>
      <c r="B156" s="345" t="s">
        <v>137</v>
      </c>
      <c r="C156" s="344">
        <v>220010</v>
      </c>
      <c r="D156" s="344" t="str">
        <f t="shared" si="6"/>
        <v>220010</v>
      </c>
      <c r="E156" s="346" t="s">
        <v>140</v>
      </c>
      <c r="F156" s="344" t="s">
        <v>143</v>
      </c>
      <c r="G156" s="344" t="str">
        <f t="shared" si="7"/>
        <v>60210AXLE 3</v>
      </c>
      <c r="H156" s="344">
        <v>7</v>
      </c>
      <c r="I156" s="344">
        <v>10</v>
      </c>
      <c r="J156" s="344">
        <v>3</v>
      </c>
      <c r="K156" s="344">
        <v>6</v>
      </c>
      <c r="L156" t="str">
        <f t="shared" si="8"/>
        <v>60210</v>
      </c>
      <c r="M156" s="344" t="s">
        <v>143</v>
      </c>
      <c r="N156" s="344">
        <v>220010</v>
      </c>
    </row>
    <row r="157" spans="1:14" ht="15">
      <c r="A157" s="344">
        <v>60210</v>
      </c>
      <c r="B157" s="345" t="s">
        <v>137</v>
      </c>
      <c r="C157" s="344">
        <v>220010</v>
      </c>
      <c r="D157" s="344" t="str">
        <f t="shared" si="6"/>
        <v>220010</v>
      </c>
      <c r="E157" s="346" t="s">
        <v>144</v>
      </c>
      <c r="F157" s="344" t="s">
        <v>145</v>
      </c>
      <c r="G157" s="344" t="str">
        <f t="shared" si="7"/>
        <v>60210AXLE 4</v>
      </c>
      <c r="H157" s="344">
        <v>8</v>
      </c>
      <c r="I157" s="344">
        <v>9</v>
      </c>
      <c r="J157" s="344">
        <v>4</v>
      </c>
      <c r="K157" s="344">
        <v>5</v>
      </c>
      <c r="L157" t="str">
        <f t="shared" si="8"/>
        <v>60210</v>
      </c>
      <c r="M157" s="344" t="s">
        <v>145</v>
      </c>
      <c r="N157" s="344">
        <v>220010</v>
      </c>
    </row>
    <row r="158" spans="1:14" ht="15">
      <c r="A158" s="344">
        <v>60410</v>
      </c>
      <c r="B158" s="345" t="s">
        <v>137</v>
      </c>
      <c r="C158" s="344">
        <v>220010</v>
      </c>
      <c r="D158" s="344" t="str">
        <f t="shared" si="6"/>
        <v>220010</v>
      </c>
      <c r="E158" s="346" t="s">
        <v>138</v>
      </c>
      <c r="F158" s="344" t="s">
        <v>139</v>
      </c>
      <c r="G158" s="344" t="str">
        <f t="shared" si="7"/>
        <v>60410AXLE 1</v>
      </c>
      <c r="H158" s="344">
        <v>1</v>
      </c>
      <c r="I158" s="344">
        <v>16</v>
      </c>
      <c r="J158" s="344">
        <v>1</v>
      </c>
      <c r="K158" s="344">
        <v>8</v>
      </c>
      <c r="L158" t="str">
        <f t="shared" si="8"/>
        <v>60410</v>
      </c>
      <c r="M158" s="344" t="s">
        <v>139</v>
      </c>
      <c r="N158" s="344">
        <v>220010</v>
      </c>
    </row>
    <row r="159" spans="1:14" ht="15">
      <c r="A159" s="344">
        <v>60410</v>
      </c>
      <c r="B159" s="345" t="s">
        <v>137</v>
      </c>
      <c r="C159" s="344">
        <v>220010</v>
      </c>
      <c r="D159" s="344" t="str">
        <f t="shared" si="6"/>
        <v>220010</v>
      </c>
      <c r="E159" s="346" t="s">
        <v>140</v>
      </c>
      <c r="F159" s="344" t="s">
        <v>141</v>
      </c>
      <c r="G159" s="344" t="str">
        <f t="shared" si="7"/>
        <v>60410AXLE 2</v>
      </c>
      <c r="H159" s="344">
        <v>2</v>
      </c>
      <c r="I159" s="344">
        <v>15</v>
      </c>
      <c r="J159" s="344">
        <v>2</v>
      </c>
      <c r="K159" s="344">
        <v>7</v>
      </c>
      <c r="L159" t="str">
        <f t="shared" si="8"/>
        <v>60410</v>
      </c>
      <c r="M159" s="344" t="s">
        <v>141</v>
      </c>
      <c r="N159" s="344">
        <v>220010</v>
      </c>
    </row>
    <row r="160" spans="1:14" ht="15">
      <c r="A160" s="344">
        <v>60410</v>
      </c>
      <c r="B160" s="345" t="s">
        <v>137</v>
      </c>
      <c r="C160" s="344">
        <v>220010</v>
      </c>
      <c r="D160" s="344" t="str">
        <f t="shared" si="6"/>
        <v>220010</v>
      </c>
      <c r="E160" s="346" t="s">
        <v>142</v>
      </c>
      <c r="F160" s="344" t="s">
        <v>143</v>
      </c>
      <c r="G160" s="344" t="str">
        <f t="shared" si="7"/>
        <v>60410AXLE 3</v>
      </c>
      <c r="H160" s="344">
        <v>3</v>
      </c>
      <c r="I160" s="344">
        <v>14</v>
      </c>
      <c r="J160" s="344">
        <v>3</v>
      </c>
      <c r="K160" s="344">
        <v>6</v>
      </c>
      <c r="L160" t="str">
        <f t="shared" si="8"/>
        <v>60410</v>
      </c>
      <c r="M160" s="344" t="s">
        <v>143</v>
      </c>
      <c r="N160" s="344">
        <v>220010</v>
      </c>
    </row>
    <row r="161" spans="1:14" ht="15">
      <c r="A161" s="344">
        <v>60410</v>
      </c>
      <c r="B161" s="345" t="s">
        <v>137</v>
      </c>
      <c r="C161" s="344">
        <v>220010</v>
      </c>
      <c r="D161" s="344" t="str">
        <f t="shared" si="6"/>
        <v>220010</v>
      </c>
      <c r="E161" s="346" t="s">
        <v>144</v>
      </c>
      <c r="F161" s="344" t="s">
        <v>145</v>
      </c>
      <c r="G161" s="344" t="str">
        <f t="shared" si="7"/>
        <v>60410AXLE 4</v>
      </c>
      <c r="H161" s="344">
        <v>4</v>
      </c>
      <c r="I161" s="344">
        <v>13</v>
      </c>
      <c r="J161" s="344">
        <v>4</v>
      </c>
      <c r="K161" s="344">
        <v>5</v>
      </c>
      <c r="L161" t="str">
        <f t="shared" si="8"/>
        <v>60410</v>
      </c>
      <c r="M161" s="344" t="s">
        <v>145</v>
      </c>
      <c r="N161" s="344">
        <v>220010</v>
      </c>
    </row>
    <row r="162" spans="1:14" ht="15">
      <c r="A162" s="344">
        <v>60311</v>
      </c>
      <c r="B162" s="345" t="s">
        <v>137</v>
      </c>
      <c r="C162" s="344">
        <v>220011</v>
      </c>
      <c r="D162" s="344" t="str">
        <f t="shared" si="6"/>
        <v>220011</v>
      </c>
      <c r="E162" s="346" t="s">
        <v>138</v>
      </c>
      <c r="F162" s="344" t="s">
        <v>139</v>
      </c>
      <c r="G162" s="344" t="str">
        <f t="shared" si="7"/>
        <v>60311AXLE 1</v>
      </c>
      <c r="H162" s="344">
        <v>16</v>
      </c>
      <c r="I162" s="344">
        <v>1</v>
      </c>
      <c r="J162" s="344">
        <v>1</v>
      </c>
      <c r="K162" s="344">
        <v>8</v>
      </c>
      <c r="L162" t="str">
        <f t="shared" si="8"/>
        <v>60311</v>
      </c>
      <c r="M162" s="344" t="s">
        <v>139</v>
      </c>
      <c r="N162" s="344">
        <v>220011</v>
      </c>
    </row>
    <row r="163" spans="1:14" ht="15">
      <c r="A163" s="344">
        <v>60311</v>
      </c>
      <c r="B163" s="345" t="s">
        <v>137</v>
      </c>
      <c r="C163" s="344">
        <v>220011</v>
      </c>
      <c r="D163" s="344" t="str">
        <f t="shared" si="6"/>
        <v>220011</v>
      </c>
      <c r="E163" s="346" t="s">
        <v>140</v>
      </c>
      <c r="F163" s="344" t="s">
        <v>141</v>
      </c>
      <c r="G163" s="344" t="str">
        <f t="shared" si="7"/>
        <v>60311AXLE 2</v>
      </c>
      <c r="H163" s="344">
        <v>15</v>
      </c>
      <c r="I163" s="344">
        <v>2</v>
      </c>
      <c r="J163" s="344">
        <v>2</v>
      </c>
      <c r="K163" s="344">
        <v>7</v>
      </c>
      <c r="L163" t="str">
        <f t="shared" si="8"/>
        <v>60311</v>
      </c>
      <c r="M163" s="344" t="s">
        <v>141</v>
      </c>
      <c r="N163" s="344">
        <v>220011</v>
      </c>
    </row>
    <row r="164" spans="1:14" ht="15">
      <c r="A164" s="344">
        <v>60311</v>
      </c>
      <c r="B164" s="345" t="s">
        <v>137</v>
      </c>
      <c r="C164" s="344">
        <v>220011</v>
      </c>
      <c r="D164" s="344" t="str">
        <f t="shared" si="6"/>
        <v>220011</v>
      </c>
      <c r="E164" s="346" t="s">
        <v>142</v>
      </c>
      <c r="F164" s="344" t="s">
        <v>143</v>
      </c>
      <c r="G164" s="344" t="str">
        <f t="shared" si="7"/>
        <v>60311AXLE 3</v>
      </c>
      <c r="H164" s="344">
        <v>14</v>
      </c>
      <c r="I164" s="344">
        <v>3</v>
      </c>
      <c r="J164" s="344">
        <v>3</v>
      </c>
      <c r="K164" s="344">
        <v>6</v>
      </c>
      <c r="L164" t="str">
        <f t="shared" si="8"/>
        <v>60311</v>
      </c>
      <c r="M164" s="344" t="s">
        <v>143</v>
      </c>
      <c r="N164" s="344">
        <v>220011</v>
      </c>
    </row>
    <row r="165" spans="1:14" ht="15">
      <c r="A165" s="344">
        <v>60311</v>
      </c>
      <c r="B165" s="345" t="s">
        <v>137</v>
      </c>
      <c r="C165" s="344">
        <v>220011</v>
      </c>
      <c r="D165" s="344" t="str">
        <f t="shared" si="6"/>
        <v>220011</v>
      </c>
      <c r="E165" s="346" t="s">
        <v>144</v>
      </c>
      <c r="F165" s="344" t="s">
        <v>145</v>
      </c>
      <c r="G165" s="344" t="str">
        <f t="shared" si="7"/>
        <v>60311AXLE 4</v>
      </c>
      <c r="H165" s="344">
        <v>13</v>
      </c>
      <c r="I165" s="344">
        <v>4</v>
      </c>
      <c r="J165" s="344">
        <v>4</v>
      </c>
      <c r="K165" s="344">
        <v>5</v>
      </c>
      <c r="L165" t="str">
        <f t="shared" si="8"/>
        <v>60311</v>
      </c>
      <c r="M165" s="344" t="s">
        <v>145</v>
      </c>
      <c r="N165" s="344">
        <v>220011</v>
      </c>
    </row>
    <row r="166" spans="1:14" ht="15">
      <c r="A166" s="344">
        <v>60711</v>
      </c>
      <c r="B166" s="345" t="s">
        <v>137</v>
      </c>
      <c r="C166" s="344">
        <v>220011</v>
      </c>
      <c r="D166" s="344" t="str">
        <f t="shared" si="6"/>
        <v>220011</v>
      </c>
      <c r="E166" s="346" t="s">
        <v>144</v>
      </c>
      <c r="F166" s="344" t="s">
        <v>139</v>
      </c>
      <c r="G166" s="344" t="str">
        <f t="shared" si="7"/>
        <v>60711AXLE 1</v>
      </c>
      <c r="H166" s="344">
        <v>9</v>
      </c>
      <c r="I166" s="344">
        <v>8</v>
      </c>
      <c r="J166" s="344">
        <v>1</v>
      </c>
      <c r="K166" s="344">
        <v>8</v>
      </c>
      <c r="L166" t="str">
        <f t="shared" si="8"/>
        <v>60711</v>
      </c>
      <c r="M166" s="344" t="s">
        <v>139</v>
      </c>
      <c r="N166" s="344">
        <v>220011</v>
      </c>
    </row>
    <row r="167" spans="1:14" ht="15">
      <c r="A167" s="344">
        <v>60711</v>
      </c>
      <c r="B167" s="345" t="s">
        <v>137</v>
      </c>
      <c r="C167" s="344">
        <v>220011</v>
      </c>
      <c r="D167" s="344" t="str">
        <f t="shared" si="6"/>
        <v>220011</v>
      </c>
      <c r="E167" s="346" t="s">
        <v>140</v>
      </c>
      <c r="F167" s="344" t="s">
        <v>141</v>
      </c>
      <c r="G167" s="344" t="str">
        <f t="shared" si="7"/>
        <v>60711AXLE 2</v>
      </c>
      <c r="H167" s="344">
        <v>10</v>
      </c>
      <c r="I167" s="344">
        <v>7</v>
      </c>
      <c r="J167" s="344">
        <v>2</v>
      </c>
      <c r="K167" s="344">
        <v>7</v>
      </c>
      <c r="L167" t="str">
        <f t="shared" si="8"/>
        <v>60711</v>
      </c>
      <c r="M167" s="344" t="s">
        <v>141</v>
      </c>
      <c r="N167" s="344">
        <v>220011</v>
      </c>
    </row>
    <row r="168" spans="1:14" ht="15">
      <c r="A168" s="344">
        <v>60711</v>
      </c>
      <c r="B168" s="345" t="s">
        <v>137</v>
      </c>
      <c r="C168" s="344">
        <v>220011</v>
      </c>
      <c r="D168" s="344" t="str">
        <f t="shared" si="6"/>
        <v>220011</v>
      </c>
      <c r="E168" s="346" t="s">
        <v>140</v>
      </c>
      <c r="F168" s="344" t="s">
        <v>143</v>
      </c>
      <c r="G168" s="344" t="str">
        <f t="shared" si="7"/>
        <v>60711AXLE 3</v>
      </c>
      <c r="H168" s="344">
        <v>11</v>
      </c>
      <c r="I168" s="344">
        <v>6</v>
      </c>
      <c r="J168" s="344">
        <v>3</v>
      </c>
      <c r="K168" s="344">
        <v>6</v>
      </c>
      <c r="L168" t="str">
        <f t="shared" si="8"/>
        <v>60711</v>
      </c>
      <c r="M168" s="344" t="s">
        <v>143</v>
      </c>
      <c r="N168" s="344">
        <v>220011</v>
      </c>
    </row>
    <row r="169" spans="1:14" ht="15">
      <c r="A169" s="344">
        <v>60711</v>
      </c>
      <c r="B169" s="345" t="s">
        <v>137</v>
      </c>
      <c r="C169" s="344">
        <v>220011</v>
      </c>
      <c r="D169" s="344" t="str">
        <f t="shared" si="6"/>
        <v>220011</v>
      </c>
      <c r="E169" s="346" t="s">
        <v>144</v>
      </c>
      <c r="F169" s="344" t="s">
        <v>145</v>
      </c>
      <c r="G169" s="344" t="str">
        <f t="shared" si="7"/>
        <v>60711AXLE 4</v>
      </c>
      <c r="H169" s="344">
        <v>12</v>
      </c>
      <c r="I169" s="344">
        <v>5</v>
      </c>
      <c r="J169" s="344">
        <v>4</v>
      </c>
      <c r="K169" s="344">
        <v>5</v>
      </c>
      <c r="L169" t="str">
        <f t="shared" si="8"/>
        <v>60711</v>
      </c>
      <c r="M169" s="344" t="s">
        <v>145</v>
      </c>
      <c r="N169" s="344">
        <v>220011</v>
      </c>
    </row>
    <row r="170" spans="1:14" ht="15">
      <c r="A170" s="344">
        <v>60211</v>
      </c>
      <c r="B170" s="345" t="s">
        <v>137</v>
      </c>
      <c r="C170" s="344">
        <v>220011</v>
      </c>
      <c r="D170" s="344" t="str">
        <f t="shared" si="6"/>
        <v>220011</v>
      </c>
      <c r="E170" s="346" t="s">
        <v>144</v>
      </c>
      <c r="F170" s="344" t="s">
        <v>139</v>
      </c>
      <c r="G170" s="344" t="str">
        <f t="shared" si="7"/>
        <v>60211AXLE 1</v>
      </c>
      <c r="H170" s="344">
        <v>5</v>
      </c>
      <c r="I170" s="344">
        <v>12</v>
      </c>
      <c r="J170" s="344">
        <v>1</v>
      </c>
      <c r="K170" s="344">
        <v>8</v>
      </c>
      <c r="L170" t="str">
        <f t="shared" si="8"/>
        <v>60211</v>
      </c>
      <c r="M170" s="344" t="s">
        <v>139</v>
      </c>
      <c r="N170" s="344">
        <v>220011</v>
      </c>
    </row>
    <row r="171" spans="1:14" ht="15">
      <c r="A171" s="344">
        <v>60211</v>
      </c>
      <c r="B171" s="345" t="s">
        <v>137</v>
      </c>
      <c r="C171" s="344">
        <v>220011</v>
      </c>
      <c r="D171" s="344" t="str">
        <f t="shared" si="6"/>
        <v>220011</v>
      </c>
      <c r="E171" s="346" t="s">
        <v>140</v>
      </c>
      <c r="F171" s="344" t="s">
        <v>141</v>
      </c>
      <c r="G171" s="344" t="str">
        <f t="shared" si="7"/>
        <v>60211AXLE 2</v>
      </c>
      <c r="H171" s="344">
        <v>6</v>
      </c>
      <c r="I171" s="344">
        <v>11</v>
      </c>
      <c r="J171" s="344">
        <v>2</v>
      </c>
      <c r="K171" s="344">
        <v>7</v>
      </c>
      <c r="L171" t="str">
        <f t="shared" si="8"/>
        <v>60211</v>
      </c>
      <c r="M171" s="344" t="s">
        <v>141</v>
      </c>
      <c r="N171" s="344">
        <v>220011</v>
      </c>
    </row>
    <row r="172" spans="1:14" ht="15">
      <c r="A172" s="344">
        <v>60211</v>
      </c>
      <c r="B172" s="345" t="s">
        <v>137</v>
      </c>
      <c r="C172" s="344">
        <v>220011</v>
      </c>
      <c r="D172" s="344" t="str">
        <f t="shared" si="6"/>
        <v>220011</v>
      </c>
      <c r="E172" s="346" t="s">
        <v>140</v>
      </c>
      <c r="F172" s="344" t="s">
        <v>143</v>
      </c>
      <c r="G172" s="344" t="str">
        <f t="shared" si="7"/>
        <v>60211AXLE 3</v>
      </c>
      <c r="H172" s="344">
        <v>7</v>
      </c>
      <c r="I172" s="344">
        <v>10</v>
      </c>
      <c r="J172" s="344">
        <v>3</v>
      </c>
      <c r="K172" s="344">
        <v>6</v>
      </c>
      <c r="L172" t="str">
        <f t="shared" si="8"/>
        <v>60211</v>
      </c>
      <c r="M172" s="344" t="s">
        <v>143</v>
      </c>
      <c r="N172" s="344">
        <v>220011</v>
      </c>
    </row>
    <row r="173" spans="1:14" ht="15">
      <c r="A173" s="344">
        <v>60211</v>
      </c>
      <c r="B173" s="345" t="s">
        <v>137</v>
      </c>
      <c r="C173" s="344">
        <v>220011</v>
      </c>
      <c r="D173" s="344" t="str">
        <f t="shared" si="6"/>
        <v>220011</v>
      </c>
      <c r="E173" s="346" t="s">
        <v>144</v>
      </c>
      <c r="F173" s="344" t="s">
        <v>145</v>
      </c>
      <c r="G173" s="344" t="str">
        <f t="shared" si="7"/>
        <v>60211AXLE 4</v>
      </c>
      <c r="H173" s="344">
        <v>8</v>
      </c>
      <c r="I173" s="344">
        <v>9</v>
      </c>
      <c r="J173" s="344">
        <v>4</v>
      </c>
      <c r="K173" s="344">
        <v>5</v>
      </c>
      <c r="L173" t="str">
        <f t="shared" si="8"/>
        <v>60211</v>
      </c>
      <c r="M173" s="344" t="s">
        <v>145</v>
      </c>
      <c r="N173" s="344">
        <v>220011</v>
      </c>
    </row>
    <row r="174" spans="1:14" ht="15">
      <c r="A174" s="344">
        <v>60411</v>
      </c>
      <c r="B174" s="345" t="s">
        <v>137</v>
      </c>
      <c r="C174" s="344">
        <v>220011</v>
      </c>
      <c r="D174" s="344" t="str">
        <f t="shared" si="6"/>
        <v>220011</v>
      </c>
      <c r="E174" s="346" t="s">
        <v>138</v>
      </c>
      <c r="F174" s="344" t="s">
        <v>139</v>
      </c>
      <c r="G174" s="344" t="str">
        <f t="shared" si="7"/>
        <v>60411AXLE 1</v>
      </c>
      <c r="H174" s="344">
        <v>1</v>
      </c>
      <c r="I174" s="344">
        <v>16</v>
      </c>
      <c r="J174" s="344">
        <v>1</v>
      </c>
      <c r="K174" s="344">
        <v>8</v>
      </c>
      <c r="L174" t="str">
        <f t="shared" si="8"/>
        <v>60411</v>
      </c>
      <c r="M174" s="344" t="s">
        <v>139</v>
      </c>
      <c r="N174" s="344">
        <v>220011</v>
      </c>
    </row>
    <row r="175" spans="1:14" ht="15">
      <c r="A175" s="344">
        <v>60411</v>
      </c>
      <c r="B175" s="345" t="s">
        <v>137</v>
      </c>
      <c r="C175" s="344">
        <v>220011</v>
      </c>
      <c r="D175" s="344" t="str">
        <f t="shared" si="6"/>
        <v>220011</v>
      </c>
      <c r="E175" s="346" t="s">
        <v>140</v>
      </c>
      <c r="F175" s="344" t="s">
        <v>141</v>
      </c>
      <c r="G175" s="344" t="str">
        <f t="shared" si="7"/>
        <v>60411AXLE 2</v>
      </c>
      <c r="H175" s="344">
        <v>2</v>
      </c>
      <c r="I175" s="344">
        <v>15</v>
      </c>
      <c r="J175" s="344">
        <v>2</v>
      </c>
      <c r="K175" s="344">
        <v>7</v>
      </c>
      <c r="L175" t="str">
        <f t="shared" si="8"/>
        <v>60411</v>
      </c>
      <c r="M175" s="344" t="s">
        <v>141</v>
      </c>
      <c r="N175" s="344">
        <v>220011</v>
      </c>
    </row>
    <row r="176" spans="1:14" ht="15">
      <c r="A176" s="344">
        <v>60411</v>
      </c>
      <c r="B176" s="345" t="s">
        <v>137</v>
      </c>
      <c r="C176" s="344">
        <v>220011</v>
      </c>
      <c r="D176" s="344" t="str">
        <f t="shared" si="6"/>
        <v>220011</v>
      </c>
      <c r="E176" s="346" t="s">
        <v>142</v>
      </c>
      <c r="F176" s="344" t="s">
        <v>143</v>
      </c>
      <c r="G176" s="344" t="str">
        <f t="shared" si="7"/>
        <v>60411AXLE 3</v>
      </c>
      <c r="H176" s="344">
        <v>3</v>
      </c>
      <c r="I176" s="344">
        <v>14</v>
      </c>
      <c r="J176" s="344">
        <v>3</v>
      </c>
      <c r="K176" s="344">
        <v>6</v>
      </c>
      <c r="L176" t="str">
        <f t="shared" si="8"/>
        <v>60411</v>
      </c>
      <c r="M176" s="344" t="s">
        <v>143</v>
      </c>
      <c r="N176" s="344">
        <v>220011</v>
      </c>
    </row>
    <row r="177" spans="1:14" ht="15">
      <c r="A177" s="344">
        <v>60411</v>
      </c>
      <c r="B177" s="345" t="s">
        <v>137</v>
      </c>
      <c r="C177" s="344">
        <v>220011</v>
      </c>
      <c r="D177" s="344" t="str">
        <f t="shared" si="6"/>
        <v>220011</v>
      </c>
      <c r="E177" s="346" t="s">
        <v>144</v>
      </c>
      <c r="F177" s="344" t="s">
        <v>145</v>
      </c>
      <c r="G177" s="344" t="str">
        <f t="shared" si="7"/>
        <v>60411AXLE 4</v>
      </c>
      <c r="H177" s="344">
        <v>4</v>
      </c>
      <c r="I177" s="344">
        <v>13</v>
      </c>
      <c r="J177" s="344">
        <v>4</v>
      </c>
      <c r="K177" s="344">
        <v>5</v>
      </c>
      <c r="L177" t="str">
        <f t="shared" si="8"/>
        <v>60411</v>
      </c>
      <c r="M177" s="344" t="s">
        <v>145</v>
      </c>
      <c r="N177" s="344">
        <v>220011</v>
      </c>
    </row>
    <row r="178" spans="1:14" ht="15">
      <c r="A178" s="344">
        <v>60312</v>
      </c>
      <c r="B178" s="345" t="s">
        <v>137</v>
      </c>
      <c r="C178" s="344">
        <v>220012</v>
      </c>
      <c r="D178" s="344" t="str">
        <f t="shared" si="6"/>
        <v>220012</v>
      </c>
      <c r="E178" s="346" t="s">
        <v>138</v>
      </c>
      <c r="F178" s="344" t="s">
        <v>139</v>
      </c>
      <c r="G178" s="344" t="str">
        <f t="shared" si="7"/>
        <v>60312AXLE 1</v>
      </c>
      <c r="H178" s="344">
        <v>16</v>
      </c>
      <c r="I178" s="344">
        <v>1</v>
      </c>
      <c r="J178" s="344">
        <v>1</v>
      </c>
      <c r="K178" s="344">
        <v>8</v>
      </c>
      <c r="L178" t="str">
        <f t="shared" si="8"/>
        <v>60312</v>
      </c>
      <c r="M178" s="344" t="s">
        <v>139</v>
      </c>
      <c r="N178" s="344">
        <v>220012</v>
      </c>
    </row>
    <row r="179" spans="1:14" ht="15">
      <c r="A179" s="344">
        <v>60312</v>
      </c>
      <c r="B179" s="345" t="s">
        <v>137</v>
      </c>
      <c r="C179" s="344">
        <v>220012</v>
      </c>
      <c r="D179" s="344" t="str">
        <f t="shared" si="6"/>
        <v>220012</v>
      </c>
      <c r="E179" s="346" t="s">
        <v>140</v>
      </c>
      <c r="F179" s="344" t="s">
        <v>141</v>
      </c>
      <c r="G179" s="344" t="str">
        <f t="shared" si="7"/>
        <v>60312AXLE 2</v>
      </c>
      <c r="H179" s="344">
        <v>15</v>
      </c>
      <c r="I179" s="344">
        <v>2</v>
      </c>
      <c r="J179" s="344">
        <v>2</v>
      </c>
      <c r="K179" s="344">
        <v>7</v>
      </c>
      <c r="L179" t="str">
        <f t="shared" si="8"/>
        <v>60312</v>
      </c>
      <c r="M179" s="344" t="s">
        <v>141</v>
      </c>
      <c r="N179" s="344">
        <v>220012</v>
      </c>
    </row>
    <row r="180" spans="1:14" ht="15">
      <c r="A180" s="344">
        <v>60312</v>
      </c>
      <c r="B180" s="345" t="s">
        <v>137</v>
      </c>
      <c r="C180" s="344">
        <v>220012</v>
      </c>
      <c r="D180" s="344" t="str">
        <f t="shared" si="6"/>
        <v>220012</v>
      </c>
      <c r="E180" s="346" t="s">
        <v>142</v>
      </c>
      <c r="F180" s="344" t="s">
        <v>143</v>
      </c>
      <c r="G180" s="344" t="str">
        <f t="shared" si="7"/>
        <v>60312AXLE 3</v>
      </c>
      <c r="H180" s="344">
        <v>14</v>
      </c>
      <c r="I180" s="344">
        <v>3</v>
      </c>
      <c r="J180" s="344">
        <v>3</v>
      </c>
      <c r="K180" s="344">
        <v>6</v>
      </c>
      <c r="L180" t="str">
        <f t="shared" si="8"/>
        <v>60312</v>
      </c>
      <c r="M180" s="344" t="s">
        <v>143</v>
      </c>
      <c r="N180" s="344">
        <v>220012</v>
      </c>
    </row>
    <row r="181" spans="1:14" ht="15">
      <c r="A181" s="344">
        <v>60312</v>
      </c>
      <c r="B181" s="345" t="s">
        <v>137</v>
      </c>
      <c r="C181" s="344">
        <v>220012</v>
      </c>
      <c r="D181" s="344" t="str">
        <f t="shared" si="6"/>
        <v>220012</v>
      </c>
      <c r="E181" s="346" t="s">
        <v>144</v>
      </c>
      <c r="F181" s="344" t="s">
        <v>145</v>
      </c>
      <c r="G181" s="344" t="str">
        <f t="shared" si="7"/>
        <v>60312AXLE 4</v>
      </c>
      <c r="H181" s="344">
        <v>13</v>
      </c>
      <c r="I181" s="344">
        <v>4</v>
      </c>
      <c r="J181" s="344">
        <v>4</v>
      </c>
      <c r="K181" s="344">
        <v>5</v>
      </c>
      <c r="L181" t="str">
        <f t="shared" si="8"/>
        <v>60312</v>
      </c>
      <c r="M181" s="344" t="s">
        <v>145</v>
      </c>
      <c r="N181" s="344">
        <v>220012</v>
      </c>
    </row>
    <row r="182" spans="1:14" ht="15">
      <c r="A182" s="344">
        <v>60712</v>
      </c>
      <c r="B182" s="345" t="s">
        <v>137</v>
      </c>
      <c r="C182" s="344">
        <v>220012</v>
      </c>
      <c r="D182" s="344" t="str">
        <f t="shared" si="6"/>
        <v>220012</v>
      </c>
      <c r="E182" s="346" t="s">
        <v>144</v>
      </c>
      <c r="F182" s="344" t="s">
        <v>139</v>
      </c>
      <c r="G182" s="344" t="str">
        <f t="shared" si="7"/>
        <v>60712AXLE 1</v>
      </c>
      <c r="H182" s="344">
        <v>9</v>
      </c>
      <c r="I182" s="344">
        <v>8</v>
      </c>
      <c r="J182" s="344">
        <v>1</v>
      </c>
      <c r="K182" s="344">
        <v>8</v>
      </c>
      <c r="L182" t="str">
        <f t="shared" si="8"/>
        <v>60712</v>
      </c>
      <c r="M182" s="344" t="s">
        <v>139</v>
      </c>
      <c r="N182" s="344">
        <v>220012</v>
      </c>
    </row>
    <row r="183" spans="1:14" ht="15">
      <c r="A183" s="344">
        <v>60712</v>
      </c>
      <c r="B183" s="345" t="s">
        <v>137</v>
      </c>
      <c r="C183" s="344">
        <v>220012</v>
      </c>
      <c r="D183" s="344" t="str">
        <f t="shared" si="6"/>
        <v>220012</v>
      </c>
      <c r="E183" s="346" t="s">
        <v>140</v>
      </c>
      <c r="F183" s="344" t="s">
        <v>141</v>
      </c>
      <c r="G183" s="344" t="str">
        <f t="shared" si="7"/>
        <v>60712AXLE 2</v>
      </c>
      <c r="H183" s="344">
        <v>10</v>
      </c>
      <c r="I183" s="344">
        <v>7</v>
      </c>
      <c r="J183" s="344">
        <v>2</v>
      </c>
      <c r="K183" s="344">
        <v>7</v>
      </c>
      <c r="L183" t="str">
        <f t="shared" si="8"/>
        <v>60712</v>
      </c>
      <c r="M183" s="344" t="s">
        <v>141</v>
      </c>
      <c r="N183" s="344">
        <v>220012</v>
      </c>
    </row>
    <row r="184" spans="1:14" ht="15">
      <c r="A184" s="344">
        <v>60712</v>
      </c>
      <c r="B184" s="345" t="s">
        <v>137</v>
      </c>
      <c r="C184" s="344">
        <v>220012</v>
      </c>
      <c r="D184" s="344" t="str">
        <f t="shared" si="6"/>
        <v>220012</v>
      </c>
      <c r="E184" s="346" t="s">
        <v>140</v>
      </c>
      <c r="F184" s="344" t="s">
        <v>143</v>
      </c>
      <c r="G184" s="344" t="str">
        <f t="shared" si="7"/>
        <v>60712AXLE 3</v>
      </c>
      <c r="H184" s="344">
        <v>11</v>
      </c>
      <c r="I184" s="344">
        <v>6</v>
      </c>
      <c r="J184" s="344">
        <v>3</v>
      </c>
      <c r="K184" s="344">
        <v>6</v>
      </c>
      <c r="L184" t="str">
        <f t="shared" si="8"/>
        <v>60712</v>
      </c>
      <c r="M184" s="344" t="s">
        <v>143</v>
      </c>
      <c r="N184" s="344">
        <v>220012</v>
      </c>
    </row>
    <row r="185" spans="1:14" ht="15">
      <c r="A185" s="344">
        <v>60712</v>
      </c>
      <c r="B185" s="345" t="s">
        <v>137</v>
      </c>
      <c r="C185" s="344">
        <v>220012</v>
      </c>
      <c r="D185" s="344" t="str">
        <f t="shared" si="6"/>
        <v>220012</v>
      </c>
      <c r="E185" s="346" t="s">
        <v>144</v>
      </c>
      <c r="F185" s="344" t="s">
        <v>145</v>
      </c>
      <c r="G185" s="344" t="str">
        <f t="shared" si="7"/>
        <v>60712AXLE 4</v>
      </c>
      <c r="H185" s="344">
        <v>12</v>
      </c>
      <c r="I185" s="344">
        <v>5</v>
      </c>
      <c r="J185" s="344">
        <v>4</v>
      </c>
      <c r="K185" s="344">
        <v>5</v>
      </c>
      <c r="L185" t="str">
        <f t="shared" si="8"/>
        <v>60712</v>
      </c>
      <c r="M185" s="344" t="s">
        <v>145</v>
      </c>
      <c r="N185" s="344">
        <v>220012</v>
      </c>
    </row>
    <row r="186" spans="1:14" ht="15">
      <c r="A186" s="344">
        <v>60212</v>
      </c>
      <c r="B186" s="345" t="s">
        <v>137</v>
      </c>
      <c r="C186" s="344">
        <v>220012</v>
      </c>
      <c r="D186" s="344" t="str">
        <f t="shared" si="6"/>
        <v>220012</v>
      </c>
      <c r="E186" s="346" t="s">
        <v>144</v>
      </c>
      <c r="F186" s="344" t="s">
        <v>139</v>
      </c>
      <c r="G186" s="344" t="str">
        <f t="shared" si="7"/>
        <v>60212AXLE 1</v>
      </c>
      <c r="H186" s="344">
        <v>5</v>
      </c>
      <c r="I186" s="344">
        <v>12</v>
      </c>
      <c r="J186" s="344">
        <v>1</v>
      </c>
      <c r="K186" s="344">
        <v>8</v>
      </c>
      <c r="L186" t="str">
        <f t="shared" si="8"/>
        <v>60212</v>
      </c>
      <c r="M186" s="344" t="s">
        <v>139</v>
      </c>
      <c r="N186" s="344">
        <v>220012</v>
      </c>
    </row>
    <row r="187" spans="1:14" ht="15">
      <c r="A187" s="344">
        <v>60212</v>
      </c>
      <c r="B187" s="345" t="s">
        <v>137</v>
      </c>
      <c r="C187" s="344">
        <v>220012</v>
      </c>
      <c r="D187" s="344" t="str">
        <f t="shared" si="6"/>
        <v>220012</v>
      </c>
      <c r="E187" s="346" t="s">
        <v>140</v>
      </c>
      <c r="F187" s="344" t="s">
        <v>141</v>
      </c>
      <c r="G187" s="344" t="str">
        <f t="shared" si="7"/>
        <v>60212AXLE 2</v>
      </c>
      <c r="H187" s="344">
        <v>6</v>
      </c>
      <c r="I187" s="344">
        <v>11</v>
      </c>
      <c r="J187" s="344">
        <v>2</v>
      </c>
      <c r="K187" s="344">
        <v>7</v>
      </c>
      <c r="L187" t="str">
        <f t="shared" si="8"/>
        <v>60212</v>
      </c>
      <c r="M187" s="344" t="s">
        <v>141</v>
      </c>
      <c r="N187" s="344">
        <v>220012</v>
      </c>
    </row>
    <row r="188" spans="1:14" ht="15">
      <c r="A188" s="344">
        <v>60212</v>
      </c>
      <c r="B188" s="345" t="s">
        <v>137</v>
      </c>
      <c r="C188" s="344">
        <v>220012</v>
      </c>
      <c r="D188" s="344" t="str">
        <f t="shared" si="6"/>
        <v>220012</v>
      </c>
      <c r="E188" s="346" t="s">
        <v>140</v>
      </c>
      <c r="F188" s="344" t="s">
        <v>143</v>
      </c>
      <c r="G188" s="344" t="str">
        <f t="shared" si="7"/>
        <v>60212AXLE 3</v>
      </c>
      <c r="H188" s="344">
        <v>7</v>
      </c>
      <c r="I188" s="344">
        <v>10</v>
      </c>
      <c r="J188" s="344">
        <v>3</v>
      </c>
      <c r="K188" s="344">
        <v>6</v>
      </c>
      <c r="L188" t="str">
        <f t="shared" si="8"/>
        <v>60212</v>
      </c>
      <c r="M188" s="344" t="s">
        <v>143</v>
      </c>
      <c r="N188" s="344">
        <v>220012</v>
      </c>
    </row>
    <row r="189" spans="1:14" ht="15">
      <c r="A189" s="344">
        <v>60212</v>
      </c>
      <c r="B189" s="345" t="s">
        <v>137</v>
      </c>
      <c r="C189" s="344">
        <v>220012</v>
      </c>
      <c r="D189" s="344" t="str">
        <f t="shared" si="6"/>
        <v>220012</v>
      </c>
      <c r="E189" s="346" t="s">
        <v>144</v>
      </c>
      <c r="F189" s="344" t="s">
        <v>145</v>
      </c>
      <c r="G189" s="344" t="str">
        <f t="shared" si="7"/>
        <v>60212AXLE 4</v>
      </c>
      <c r="H189" s="344">
        <v>8</v>
      </c>
      <c r="I189" s="344">
        <v>9</v>
      </c>
      <c r="J189" s="344">
        <v>4</v>
      </c>
      <c r="K189" s="344">
        <v>5</v>
      </c>
      <c r="L189" t="str">
        <f t="shared" si="8"/>
        <v>60212</v>
      </c>
      <c r="M189" s="344" t="s">
        <v>145</v>
      </c>
      <c r="N189" s="344">
        <v>220012</v>
      </c>
    </row>
    <row r="190" spans="1:14" ht="15">
      <c r="A190" s="344">
        <v>60412</v>
      </c>
      <c r="B190" s="345" t="s">
        <v>137</v>
      </c>
      <c r="C190" s="344">
        <v>220012</v>
      </c>
      <c r="D190" s="344" t="str">
        <f t="shared" si="6"/>
        <v>220012</v>
      </c>
      <c r="E190" s="346" t="s">
        <v>138</v>
      </c>
      <c r="F190" s="344" t="s">
        <v>139</v>
      </c>
      <c r="G190" s="344" t="str">
        <f t="shared" si="7"/>
        <v>60412AXLE 1</v>
      </c>
      <c r="H190" s="344">
        <v>1</v>
      </c>
      <c r="I190" s="344">
        <v>16</v>
      </c>
      <c r="J190" s="344">
        <v>1</v>
      </c>
      <c r="K190" s="344">
        <v>8</v>
      </c>
      <c r="L190" t="str">
        <f t="shared" si="8"/>
        <v>60412</v>
      </c>
      <c r="M190" s="344" t="s">
        <v>139</v>
      </c>
      <c r="N190" s="344">
        <v>220012</v>
      </c>
    </row>
    <row r="191" spans="1:14" ht="15">
      <c r="A191" s="344">
        <v>60412</v>
      </c>
      <c r="B191" s="345" t="s">
        <v>137</v>
      </c>
      <c r="C191" s="344">
        <v>220012</v>
      </c>
      <c r="D191" s="344" t="str">
        <f t="shared" si="6"/>
        <v>220012</v>
      </c>
      <c r="E191" s="346" t="s">
        <v>140</v>
      </c>
      <c r="F191" s="344" t="s">
        <v>141</v>
      </c>
      <c r="G191" s="344" t="str">
        <f t="shared" si="7"/>
        <v>60412AXLE 2</v>
      </c>
      <c r="H191" s="344">
        <v>2</v>
      </c>
      <c r="I191" s="344">
        <v>15</v>
      </c>
      <c r="J191" s="344">
        <v>2</v>
      </c>
      <c r="K191" s="344">
        <v>7</v>
      </c>
      <c r="L191" t="str">
        <f t="shared" si="8"/>
        <v>60412</v>
      </c>
      <c r="M191" s="344" t="s">
        <v>141</v>
      </c>
      <c r="N191" s="344">
        <v>220012</v>
      </c>
    </row>
    <row r="192" spans="1:14" ht="15">
      <c r="A192" s="344">
        <v>60412</v>
      </c>
      <c r="B192" s="345" t="s">
        <v>137</v>
      </c>
      <c r="C192" s="344">
        <v>220012</v>
      </c>
      <c r="D192" s="344" t="str">
        <f t="shared" si="6"/>
        <v>220012</v>
      </c>
      <c r="E192" s="346" t="s">
        <v>142</v>
      </c>
      <c r="F192" s="344" t="s">
        <v>143</v>
      </c>
      <c r="G192" s="344" t="str">
        <f t="shared" si="7"/>
        <v>60412AXLE 3</v>
      </c>
      <c r="H192" s="344">
        <v>3</v>
      </c>
      <c r="I192" s="344">
        <v>14</v>
      </c>
      <c r="J192" s="344">
        <v>3</v>
      </c>
      <c r="K192" s="344">
        <v>6</v>
      </c>
      <c r="L192" t="str">
        <f t="shared" si="8"/>
        <v>60412</v>
      </c>
      <c r="M192" s="344" t="s">
        <v>143</v>
      </c>
      <c r="N192" s="344">
        <v>220012</v>
      </c>
    </row>
    <row r="193" spans="1:14" ht="15">
      <c r="A193" s="344">
        <v>60412</v>
      </c>
      <c r="B193" s="345" t="s">
        <v>137</v>
      </c>
      <c r="C193" s="344">
        <v>220012</v>
      </c>
      <c r="D193" s="344" t="str">
        <f t="shared" si="6"/>
        <v>220012</v>
      </c>
      <c r="E193" s="346" t="s">
        <v>144</v>
      </c>
      <c r="F193" s="344" t="s">
        <v>145</v>
      </c>
      <c r="G193" s="344" t="str">
        <f t="shared" si="7"/>
        <v>60412AXLE 4</v>
      </c>
      <c r="H193" s="344">
        <v>4</v>
      </c>
      <c r="I193" s="344">
        <v>13</v>
      </c>
      <c r="J193" s="344">
        <v>4</v>
      </c>
      <c r="K193" s="344">
        <v>5</v>
      </c>
      <c r="L193" t="str">
        <f t="shared" si="8"/>
        <v>60412</v>
      </c>
      <c r="M193" s="344" t="s">
        <v>145</v>
      </c>
      <c r="N193" s="344">
        <v>220012</v>
      </c>
    </row>
    <row r="194" spans="1:14" ht="15">
      <c r="A194" s="344">
        <v>60313</v>
      </c>
      <c r="B194" s="345" t="s">
        <v>137</v>
      </c>
      <c r="C194" s="344">
        <v>220013</v>
      </c>
      <c r="D194" s="344" t="str">
        <f t="shared" si="6"/>
        <v>220013</v>
      </c>
      <c r="E194" s="346" t="s">
        <v>138</v>
      </c>
      <c r="F194" s="344" t="s">
        <v>139</v>
      </c>
      <c r="G194" s="344" t="str">
        <f t="shared" si="7"/>
        <v>60313AXLE 1</v>
      </c>
      <c r="H194" s="344">
        <v>16</v>
      </c>
      <c r="I194" s="344">
        <v>1</v>
      </c>
      <c r="J194" s="344">
        <v>1</v>
      </c>
      <c r="K194" s="344">
        <v>8</v>
      </c>
      <c r="L194" t="str">
        <f t="shared" si="8"/>
        <v>60313</v>
      </c>
      <c r="M194" s="344" t="s">
        <v>139</v>
      </c>
      <c r="N194" s="344">
        <v>220013</v>
      </c>
    </row>
    <row r="195" spans="1:14" ht="15">
      <c r="A195" s="344">
        <v>60313</v>
      </c>
      <c r="B195" s="345" t="s">
        <v>137</v>
      </c>
      <c r="C195" s="344">
        <v>220013</v>
      </c>
      <c r="D195" s="344" t="str">
        <f t="shared" ref="D195:D258" si="9">CONCATENATE(B195,C195)</f>
        <v>220013</v>
      </c>
      <c r="E195" s="346" t="s">
        <v>140</v>
      </c>
      <c r="F195" s="344" t="s">
        <v>141</v>
      </c>
      <c r="G195" s="344" t="str">
        <f t="shared" ref="G195:G258" si="10">CONCATENATE(A195,F195)</f>
        <v>60313AXLE 2</v>
      </c>
      <c r="H195" s="344">
        <v>15</v>
      </c>
      <c r="I195" s="344">
        <v>2</v>
      </c>
      <c r="J195" s="344">
        <v>2</v>
      </c>
      <c r="K195" s="344">
        <v>7</v>
      </c>
      <c r="L195" t="str">
        <f t="shared" ref="L195:L258" si="11">CONCATENATE(A195,B195)</f>
        <v>60313</v>
      </c>
      <c r="M195" s="344" t="s">
        <v>141</v>
      </c>
      <c r="N195" s="344">
        <v>220013</v>
      </c>
    </row>
    <row r="196" spans="1:14" ht="15">
      <c r="A196" s="344">
        <v>60313</v>
      </c>
      <c r="B196" s="345" t="s">
        <v>137</v>
      </c>
      <c r="C196" s="344">
        <v>220013</v>
      </c>
      <c r="D196" s="344" t="str">
        <f t="shared" si="9"/>
        <v>220013</v>
      </c>
      <c r="E196" s="346" t="s">
        <v>142</v>
      </c>
      <c r="F196" s="344" t="s">
        <v>143</v>
      </c>
      <c r="G196" s="344" t="str">
        <f t="shared" si="10"/>
        <v>60313AXLE 3</v>
      </c>
      <c r="H196" s="344">
        <v>14</v>
      </c>
      <c r="I196" s="344">
        <v>3</v>
      </c>
      <c r="J196" s="344">
        <v>3</v>
      </c>
      <c r="K196" s="344">
        <v>6</v>
      </c>
      <c r="L196" t="str">
        <f t="shared" si="11"/>
        <v>60313</v>
      </c>
      <c r="M196" s="344" t="s">
        <v>143</v>
      </c>
      <c r="N196" s="344">
        <v>220013</v>
      </c>
    </row>
    <row r="197" spans="1:14" ht="15">
      <c r="A197" s="344">
        <v>60313</v>
      </c>
      <c r="B197" s="345" t="s">
        <v>137</v>
      </c>
      <c r="C197" s="344">
        <v>220013</v>
      </c>
      <c r="D197" s="344" t="str">
        <f t="shared" si="9"/>
        <v>220013</v>
      </c>
      <c r="E197" s="346" t="s">
        <v>144</v>
      </c>
      <c r="F197" s="344" t="s">
        <v>145</v>
      </c>
      <c r="G197" s="344" t="str">
        <f t="shared" si="10"/>
        <v>60313AXLE 4</v>
      </c>
      <c r="H197" s="344">
        <v>13</v>
      </c>
      <c r="I197" s="344">
        <v>4</v>
      </c>
      <c r="J197" s="344">
        <v>4</v>
      </c>
      <c r="K197" s="344">
        <v>5</v>
      </c>
      <c r="L197" t="str">
        <f t="shared" si="11"/>
        <v>60313</v>
      </c>
      <c r="M197" s="344" t="s">
        <v>145</v>
      </c>
      <c r="N197" s="344">
        <v>220013</v>
      </c>
    </row>
    <row r="198" spans="1:14" ht="15">
      <c r="A198" s="344">
        <v>60713</v>
      </c>
      <c r="B198" s="345" t="s">
        <v>137</v>
      </c>
      <c r="C198" s="344">
        <v>220013</v>
      </c>
      <c r="D198" s="344" t="str">
        <f t="shared" si="9"/>
        <v>220013</v>
      </c>
      <c r="E198" s="346" t="s">
        <v>144</v>
      </c>
      <c r="F198" s="344" t="s">
        <v>139</v>
      </c>
      <c r="G198" s="344" t="str">
        <f t="shared" si="10"/>
        <v>60713AXLE 1</v>
      </c>
      <c r="H198" s="344">
        <v>9</v>
      </c>
      <c r="I198" s="344">
        <v>8</v>
      </c>
      <c r="J198" s="344">
        <v>1</v>
      </c>
      <c r="K198" s="344">
        <v>8</v>
      </c>
      <c r="L198" t="str">
        <f t="shared" si="11"/>
        <v>60713</v>
      </c>
      <c r="M198" s="344" t="s">
        <v>139</v>
      </c>
      <c r="N198" s="344">
        <v>220013</v>
      </c>
    </row>
    <row r="199" spans="1:14" ht="15">
      <c r="A199" s="344">
        <v>60713</v>
      </c>
      <c r="B199" s="345" t="s">
        <v>137</v>
      </c>
      <c r="C199" s="344">
        <v>220013</v>
      </c>
      <c r="D199" s="344" t="str">
        <f t="shared" si="9"/>
        <v>220013</v>
      </c>
      <c r="E199" s="346" t="s">
        <v>140</v>
      </c>
      <c r="F199" s="344" t="s">
        <v>141</v>
      </c>
      <c r="G199" s="344" t="str">
        <f t="shared" si="10"/>
        <v>60713AXLE 2</v>
      </c>
      <c r="H199" s="344">
        <v>10</v>
      </c>
      <c r="I199" s="344">
        <v>7</v>
      </c>
      <c r="J199" s="344">
        <v>2</v>
      </c>
      <c r="K199" s="344">
        <v>7</v>
      </c>
      <c r="L199" t="str">
        <f t="shared" si="11"/>
        <v>60713</v>
      </c>
      <c r="M199" s="344" t="s">
        <v>141</v>
      </c>
      <c r="N199" s="344">
        <v>220013</v>
      </c>
    </row>
    <row r="200" spans="1:14" ht="15">
      <c r="A200" s="344">
        <v>60713</v>
      </c>
      <c r="B200" s="345" t="s">
        <v>137</v>
      </c>
      <c r="C200" s="344">
        <v>220013</v>
      </c>
      <c r="D200" s="344" t="str">
        <f t="shared" si="9"/>
        <v>220013</v>
      </c>
      <c r="E200" s="346" t="s">
        <v>140</v>
      </c>
      <c r="F200" s="344" t="s">
        <v>143</v>
      </c>
      <c r="G200" s="344" t="str">
        <f t="shared" si="10"/>
        <v>60713AXLE 3</v>
      </c>
      <c r="H200" s="344">
        <v>11</v>
      </c>
      <c r="I200" s="344">
        <v>6</v>
      </c>
      <c r="J200" s="344">
        <v>3</v>
      </c>
      <c r="K200" s="344">
        <v>6</v>
      </c>
      <c r="L200" t="str">
        <f t="shared" si="11"/>
        <v>60713</v>
      </c>
      <c r="M200" s="344" t="s">
        <v>143</v>
      </c>
      <c r="N200" s="344">
        <v>220013</v>
      </c>
    </row>
    <row r="201" spans="1:14" ht="15">
      <c r="A201" s="344">
        <v>60713</v>
      </c>
      <c r="B201" s="345" t="s">
        <v>137</v>
      </c>
      <c r="C201" s="344">
        <v>220013</v>
      </c>
      <c r="D201" s="344" t="str">
        <f t="shared" si="9"/>
        <v>220013</v>
      </c>
      <c r="E201" s="346" t="s">
        <v>144</v>
      </c>
      <c r="F201" s="344" t="s">
        <v>145</v>
      </c>
      <c r="G201" s="344" t="str">
        <f t="shared" si="10"/>
        <v>60713AXLE 4</v>
      </c>
      <c r="H201" s="344">
        <v>12</v>
      </c>
      <c r="I201" s="344">
        <v>5</v>
      </c>
      <c r="J201" s="344">
        <v>4</v>
      </c>
      <c r="K201" s="344">
        <v>5</v>
      </c>
      <c r="L201" t="str">
        <f t="shared" si="11"/>
        <v>60713</v>
      </c>
      <c r="M201" s="344" t="s">
        <v>145</v>
      </c>
      <c r="N201" s="344">
        <v>220013</v>
      </c>
    </row>
    <row r="202" spans="1:14" ht="15">
      <c r="A202" s="344">
        <v>60213</v>
      </c>
      <c r="B202" s="345" t="s">
        <v>137</v>
      </c>
      <c r="C202" s="344">
        <v>220013</v>
      </c>
      <c r="D202" s="344" t="str">
        <f t="shared" si="9"/>
        <v>220013</v>
      </c>
      <c r="E202" s="346" t="s">
        <v>144</v>
      </c>
      <c r="F202" s="344" t="s">
        <v>139</v>
      </c>
      <c r="G202" s="344" t="str">
        <f t="shared" si="10"/>
        <v>60213AXLE 1</v>
      </c>
      <c r="H202" s="344">
        <v>5</v>
      </c>
      <c r="I202" s="344">
        <v>12</v>
      </c>
      <c r="J202" s="344">
        <v>1</v>
      </c>
      <c r="K202" s="344">
        <v>8</v>
      </c>
      <c r="L202" t="str">
        <f t="shared" si="11"/>
        <v>60213</v>
      </c>
      <c r="M202" s="344" t="s">
        <v>139</v>
      </c>
      <c r="N202" s="344">
        <v>220013</v>
      </c>
    </row>
    <row r="203" spans="1:14" ht="15">
      <c r="A203" s="344">
        <v>60213</v>
      </c>
      <c r="B203" s="345" t="s">
        <v>137</v>
      </c>
      <c r="C203" s="344">
        <v>220013</v>
      </c>
      <c r="D203" s="344" t="str">
        <f t="shared" si="9"/>
        <v>220013</v>
      </c>
      <c r="E203" s="346" t="s">
        <v>140</v>
      </c>
      <c r="F203" s="344" t="s">
        <v>141</v>
      </c>
      <c r="G203" s="344" t="str">
        <f t="shared" si="10"/>
        <v>60213AXLE 2</v>
      </c>
      <c r="H203" s="344">
        <v>6</v>
      </c>
      <c r="I203" s="344">
        <v>11</v>
      </c>
      <c r="J203" s="344">
        <v>2</v>
      </c>
      <c r="K203" s="344">
        <v>7</v>
      </c>
      <c r="L203" t="str">
        <f t="shared" si="11"/>
        <v>60213</v>
      </c>
      <c r="M203" s="344" t="s">
        <v>141</v>
      </c>
      <c r="N203" s="344">
        <v>220013</v>
      </c>
    </row>
    <row r="204" spans="1:14" ht="15">
      <c r="A204" s="344">
        <v>60213</v>
      </c>
      <c r="B204" s="345" t="s">
        <v>137</v>
      </c>
      <c r="C204" s="344">
        <v>220013</v>
      </c>
      <c r="D204" s="344" t="str">
        <f t="shared" si="9"/>
        <v>220013</v>
      </c>
      <c r="E204" s="346" t="s">
        <v>140</v>
      </c>
      <c r="F204" s="344" t="s">
        <v>143</v>
      </c>
      <c r="G204" s="344" t="str">
        <f t="shared" si="10"/>
        <v>60213AXLE 3</v>
      </c>
      <c r="H204" s="344">
        <v>7</v>
      </c>
      <c r="I204" s="344">
        <v>10</v>
      </c>
      <c r="J204" s="344">
        <v>3</v>
      </c>
      <c r="K204" s="344">
        <v>6</v>
      </c>
      <c r="L204" t="str">
        <f t="shared" si="11"/>
        <v>60213</v>
      </c>
      <c r="M204" s="344" t="s">
        <v>143</v>
      </c>
      <c r="N204" s="344">
        <v>220013</v>
      </c>
    </row>
    <row r="205" spans="1:14" ht="15">
      <c r="A205" s="344">
        <v>60213</v>
      </c>
      <c r="B205" s="345" t="s">
        <v>137</v>
      </c>
      <c r="C205" s="344">
        <v>220013</v>
      </c>
      <c r="D205" s="344" t="str">
        <f t="shared" si="9"/>
        <v>220013</v>
      </c>
      <c r="E205" s="346" t="s">
        <v>144</v>
      </c>
      <c r="F205" s="344" t="s">
        <v>145</v>
      </c>
      <c r="G205" s="344" t="str">
        <f t="shared" si="10"/>
        <v>60213AXLE 4</v>
      </c>
      <c r="H205" s="344">
        <v>8</v>
      </c>
      <c r="I205" s="344">
        <v>9</v>
      </c>
      <c r="J205" s="344">
        <v>4</v>
      </c>
      <c r="K205" s="344">
        <v>5</v>
      </c>
      <c r="L205" t="str">
        <f t="shared" si="11"/>
        <v>60213</v>
      </c>
      <c r="M205" s="344" t="s">
        <v>145</v>
      </c>
      <c r="N205" s="344">
        <v>220013</v>
      </c>
    </row>
    <row r="206" spans="1:14" ht="15">
      <c r="A206" s="344">
        <v>60413</v>
      </c>
      <c r="B206" s="345" t="s">
        <v>137</v>
      </c>
      <c r="C206" s="344">
        <v>220013</v>
      </c>
      <c r="D206" s="344" t="str">
        <f t="shared" si="9"/>
        <v>220013</v>
      </c>
      <c r="E206" s="346" t="s">
        <v>138</v>
      </c>
      <c r="F206" s="344" t="s">
        <v>139</v>
      </c>
      <c r="G206" s="344" t="str">
        <f t="shared" si="10"/>
        <v>60413AXLE 1</v>
      </c>
      <c r="H206" s="344">
        <v>1</v>
      </c>
      <c r="I206" s="344">
        <v>16</v>
      </c>
      <c r="J206" s="344">
        <v>1</v>
      </c>
      <c r="K206" s="344">
        <v>8</v>
      </c>
      <c r="L206" t="str">
        <f t="shared" si="11"/>
        <v>60413</v>
      </c>
      <c r="M206" s="344" t="s">
        <v>139</v>
      </c>
      <c r="N206" s="344">
        <v>220013</v>
      </c>
    </row>
    <row r="207" spans="1:14" ht="15">
      <c r="A207" s="344">
        <v>60413</v>
      </c>
      <c r="B207" s="345" t="s">
        <v>137</v>
      </c>
      <c r="C207" s="344">
        <v>220013</v>
      </c>
      <c r="D207" s="344" t="str">
        <f t="shared" si="9"/>
        <v>220013</v>
      </c>
      <c r="E207" s="346" t="s">
        <v>140</v>
      </c>
      <c r="F207" s="344" t="s">
        <v>141</v>
      </c>
      <c r="G207" s="344" t="str">
        <f t="shared" si="10"/>
        <v>60413AXLE 2</v>
      </c>
      <c r="H207" s="344">
        <v>2</v>
      </c>
      <c r="I207" s="344">
        <v>15</v>
      </c>
      <c r="J207" s="344">
        <v>2</v>
      </c>
      <c r="K207" s="344">
        <v>7</v>
      </c>
      <c r="L207" t="str">
        <f t="shared" si="11"/>
        <v>60413</v>
      </c>
      <c r="M207" s="344" t="s">
        <v>141</v>
      </c>
      <c r="N207" s="344">
        <v>220013</v>
      </c>
    </row>
    <row r="208" spans="1:14" ht="15">
      <c r="A208" s="344">
        <v>60413</v>
      </c>
      <c r="B208" s="345" t="s">
        <v>137</v>
      </c>
      <c r="C208" s="344">
        <v>220013</v>
      </c>
      <c r="D208" s="344" t="str">
        <f t="shared" si="9"/>
        <v>220013</v>
      </c>
      <c r="E208" s="346" t="s">
        <v>142</v>
      </c>
      <c r="F208" s="344" t="s">
        <v>143</v>
      </c>
      <c r="G208" s="344" t="str">
        <f t="shared" si="10"/>
        <v>60413AXLE 3</v>
      </c>
      <c r="H208" s="344">
        <v>3</v>
      </c>
      <c r="I208" s="344">
        <v>14</v>
      </c>
      <c r="J208" s="344">
        <v>3</v>
      </c>
      <c r="K208" s="344">
        <v>6</v>
      </c>
      <c r="L208" t="str">
        <f t="shared" si="11"/>
        <v>60413</v>
      </c>
      <c r="M208" s="344" t="s">
        <v>143</v>
      </c>
      <c r="N208" s="344">
        <v>220013</v>
      </c>
    </row>
    <row r="209" spans="1:14" ht="15">
      <c r="A209" s="344">
        <v>60413</v>
      </c>
      <c r="B209" s="345" t="s">
        <v>137</v>
      </c>
      <c r="C209" s="344">
        <v>220013</v>
      </c>
      <c r="D209" s="344" t="str">
        <f t="shared" si="9"/>
        <v>220013</v>
      </c>
      <c r="E209" s="346" t="s">
        <v>144</v>
      </c>
      <c r="F209" s="344" t="s">
        <v>145</v>
      </c>
      <c r="G209" s="344" t="str">
        <f t="shared" si="10"/>
        <v>60413AXLE 4</v>
      </c>
      <c r="H209" s="344">
        <v>4</v>
      </c>
      <c r="I209" s="344">
        <v>13</v>
      </c>
      <c r="J209" s="344">
        <v>4</v>
      </c>
      <c r="K209" s="344">
        <v>5</v>
      </c>
      <c r="L209" t="str">
        <f t="shared" si="11"/>
        <v>60413</v>
      </c>
      <c r="M209" s="344" t="s">
        <v>145</v>
      </c>
      <c r="N209" s="344">
        <v>220013</v>
      </c>
    </row>
    <row r="210" spans="1:14" ht="15">
      <c r="A210" s="344">
        <v>60314</v>
      </c>
      <c r="B210" s="345" t="s">
        <v>137</v>
      </c>
      <c r="C210" s="344">
        <v>220014</v>
      </c>
      <c r="D210" s="344" t="str">
        <f t="shared" si="9"/>
        <v>220014</v>
      </c>
      <c r="E210" s="346" t="s">
        <v>138</v>
      </c>
      <c r="F210" s="344" t="s">
        <v>139</v>
      </c>
      <c r="G210" s="344" t="str">
        <f t="shared" si="10"/>
        <v>60314AXLE 1</v>
      </c>
      <c r="H210" s="344">
        <v>16</v>
      </c>
      <c r="I210" s="344">
        <v>1</v>
      </c>
      <c r="J210" s="344">
        <v>1</v>
      </c>
      <c r="K210" s="344">
        <v>8</v>
      </c>
      <c r="L210" t="str">
        <f t="shared" si="11"/>
        <v>60314</v>
      </c>
      <c r="M210" s="344" t="s">
        <v>139</v>
      </c>
      <c r="N210" s="344">
        <v>220014</v>
      </c>
    </row>
    <row r="211" spans="1:14" ht="15">
      <c r="A211" s="344">
        <v>60314</v>
      </c>
      <c r="B211" s="345" t="s">
        <v>137</v>
      </c>
      <c r="C211" s="344">
        <v>220014</v>
      </c>
      <c r="D211" s="344" t="str">
        <f t="shared" si="9"/>
        <v>220014</v>
      </c>
      <c r="E211" s="346" t="s">
        <v>140</v>
      </c>
      <c r="F211" s="344" t="s">
        <v>141</v>
      </c>
      <c r="G211" s="344" t="str">
        <f t="shared" si="10"/>
        <v>60314AXLE 2</v>
      </c>
      <c r="H211" s="344">
        <v>15</v>
      </c>
      <c r="I211" s="344">
        <v>2</v>
      </c>
      <c r="J211" s="344">
        <v>2</v>
      </c>
      <c r="K211" s="344">
        <v>7</v>
      </c>
      <c r="L211" t="str">
        <f t="shared" si="11"/>
        <v>60314</v>
      </c>
      <c r="M211" s="344" t="s">
        <v>141</v>
      </c>
      <c r="N211" s="344">
        <v>220014</v>
      </c>
    </row>
    <row r="212" spans="1:14" ht="15">
      <c r="A212" s="344">
        <v>60314</v>
      </c>
      <c r="B212" s="345" t="s">
        <v>137</v>
      </c>
      <c r="C212" s="344">
        <v>220014</v>
      </c>
      <c r="D212" s="344" t="str">
        <f t="shared" si="9"/>
        <v>220014</v>
      </c>
      <c r="E212" s="346" t="s">
        <v>142</v>
      </c>
      <c r="F212" s="344" t="s">
        <v>143</v>
      </c>
      <c r="G212" s="344" t="str">
        <f t="shared" si="10"/>
        <v>60314AXLE 3</v>
      </c>
      <c r="H212" s="344">
        <v>14</v>
      </c>
      <c r="I212" s="344">
        <v>3</v>
      </c>
      <c r="J212" s="344">
        <v>3</v>
      </c>
      <c r="K212" s="344">
        <v>6</v>
      </c>
      <c r="L212" t="str">
        <f t="shared" si="11"/>
        <v>60314</v>
      </c>
      <c r="M212" s="344" t="s">
        <v>143</v>
      </c>
      <c r="N212" s="344">
        <v>220014</v>
      </c>
    </row>
    <row r="213" spans="1:14" ht="15">
      <c r="A213" s="344">
        <v>60314</v>
      </c>
      <c r="B213" s="345" t="s">
        <v>137</v>
      </c>
      <c r="C213" s="344">
        <v>220014</v>
      </c>
      <c r="D213" s="344" t="str">
        <f t="shared" si="9"/>
        <v>220014</v>
      </c>
      <c r="E213" s="346" t="s">
        <v>144</v>
      </c>
      <c r="F213" s="344" t="s">
        <v>145</v>
      </c>
      <c r="G213" s="344" t="str">
        <f t="shared" si="10"/>
        <v>60314AXLE 4</v>
      </c>
      <c r="H213" s="344">
        <v>13</v>
      </c>
      <c r="I213" s="344">
        <v>4</v>
      </c>
      <c r="J213" s="344">
        <v>4</v>
      </c>
      <c r="K213" s="344">
        <v>5</v>
      </c>
      <c r="L213" t="str">
        <f t="shared" si="11"/>
        <v>60314</v>
      </c>
      <c r="M213" s="344" t="s">
        <v>145</v>
      </c>
      <c r="N213" s="344">
        <v>220014</v>
      </c>
    </row>
    <row r="214" spans="1:14" ht="15">
      <c r="A214" s="344">
        <v>60714</v>
      </c>
      <c r="B214" s="345" t="s">
        <v>137</v>
      </c>
      <c r="C214" s="344">
        <v>220014</v>
      </c>
      <c r="D214" s="344" t="str">
        <f t="shared" si="9"/>
        <v>220014</v>
      </c>
      <c r="E214" s="346" t="s">
        <v>144</v>
      </c>
      <c r="F214" s="344" t="s">
        <v>139</v>
      </c>
      <c r="G214" s="344" t="str">
        <f t="shared" si="10"/>
        <v>60714AXLE 1</v>
      </c>
      <c r="H214" s="344">
        <v>9</v>
      </c>
      <c r="I214" s="344">
        <v>8</v>
      </c>
      <c r="J214" s="344">
        <v>1</v>
      </c>
      <c r="K214" s="344">
        <v>8</v>
      </c>
      <c r="L214" t="str">
        <f t="shared" si="11"/>
        <v>60714</v>
      </c>
      <c r="M214" s="344" t="s">
        <v>139</v>
      </c>
      <c r="N214" s="344">
        <v>220014</v>
      </c>
    </row>
    <row r="215" spans="1:14" ht="15">
      <c r="A215" s="344">
        <v>60714</v>
      </c>
      <c r="B215" s="345" t="s">
        <v>137</v>
      </c>
      <c r="C215" s="344">
        <v>220014</v>
      </c>
      <c r="D215" s="344" t="str">
        <f t="shared" si="9"/>
        <v>220014</v>
      </c>
      <c r="E215" s="346" t="s">
        <v>140</v>
      </c>
      <c r="F215" s="344" t="s">
        <v>141</v>
      </c>
      <c r="G215" s="344" t="str">
        <f t="shared" si="10"/>
        <v>60714AXLE 2</v>
      </c>
      <c r="H215" s="344">
        <v>10</v>
      </c>
      <c r="I215" s="344">
        <v>7</v>
      </c>
      <c r="J215" s="344">
        <v>2</v>
      </c>
      <c r="K215" s="344">
        <v>7</v>
      </c>
      <c r="L215" t="str">
        <f t="shared" si="11"/>
        <v>60714</v>
      </c>
      <c r="M215" s="344" t="s">
        <v>141</v>
      </c>
      <c r="N215" s="344">
        <v>220014</v>
      </c>
    </row>
    <row r="216" spans="1:14" ht="15">
      <c r="A216" s="344">
        <v>60714</v>
      </c>
      <c r="B216" s="345" t="s">
        <v>137</v>
      </c>
      <c r="C216" s="344">
        <v>220014</v>
      </c>
      <c r="D216" s="344" t="str">
        <f t="shared" si="9"/>
        <v>220014</v>
      </c>
      <c r="E216" s="346" t="s">
        <v>140</v>
      </c>
      <c r="F216" s="344" t="s">
        <v>143</v>
      </c>
      <c r="G216" s="344" t="str">
        <f t="shared" si="10"/>
        <v>60714AXLE 3</v>
      </c>
      <c r="H216" s="344">
        <v>11</v>
      </c>
      <c r="I216" s="344">
        <v>6</v>
      </c>
      <c r="J216" s="344">
        <v>3</v>
      </c>
      <c r="K216" s="344">
        <v>6</v>
      </c>
      <c r="L216" t="str">
        <f t="shared" si="11"/>
        <v>60714</v>
      </c>
      <c r="M216" s="344" t="s">
        <v>143</v>
      </c>
      <c r="N216" s="344">
        <v>220014</v>
      </c>
    </row>
    <row r="217" spans="1:14" ht="15">
      <c r="A217" s="344">
        <v>60714</v>
      </c>
      <c r="B217" s="345" t="s">
        <v>137</v>
      </c>
      <c r="C217" s="344">
        <v>220014</v>
      </c>
      <c r="D217" s="344" t="str">
        <f t="shared" si="9"/>
        <v>220014</v>
      </c>
      <c r="E217" s="346" t="s">
        <v>144</v>
      </c>
      <c r="F217" s="344" t="s">
        <v>145</v>
      </c>
      <c r="G217" s="344" t="str">
        <f t="shared" si="10"/>
        <v>60714AXLE 4</v>
      </c>
      <c r="H217" s="344">
        <v>12</v>
      </c>
      <c r="I217" s="344">
        <v>5</v>
      </c>
      <c r="J217" s="344">
        <v>4</v>
      </c>
      <c r="K217" s="344">
        <v>5</v>
      </c>
      <c r="L217" t="str">
        <f t="shared" si="11"/>
        <v>60714</v>
      </c>
      <c r="M217" s="344" t="s">
        <v>145</v>
      </c>
      <c r="N217" s="344">
        <v>220014</v>
      </c>
    </row>
    <row r="218" spans="1:14" ht="15">
      <c r="A218" s="344">
        <v>60214</v>
      </c>
      <c r="B218" s="345" t="s">
        <v>137</v>
      </c>
      <c r="C218" s="344">
        <v>220014</v>
      </c>
      <c r="D218" s="344" t="str">
        <f t="shared" si="9"/>
        <v>220014</v>
      </c>
      <c r="E218" s="346" t="s">
        <v>144</v>
      </c>
      <c r="F218" s="344" t="s">
        <v>139</v>
      </c>
      <c r="G218" s="344" t="str">
        <f t="shared" si="10"/>
        <v>60214AXLE 1</v>
      </c>
      <c r="H218" s="344">
        <v>5</v>
      </c>
      <c r="I218" s="344">
        <v>12</v>
      </c>
      <c r="J218" s="344">
        <v>1</v>
      </c>
      <c r="K218" s="344">
        <v>8</v>
      </c>
      <c r="L218" t="str">
        <f t="shared" si="11"/>
        <v>60214</v>
      </c>
      <c r="M218" s="344" t="s">
        <v>139</v>
      </c>
      <c r="N218" s="344">
        <v>220014</v>
      </c>
    </row>
    <row r="219" spans="1:14" ht="15">
      <c r="A219" s="344">
        <v>60214</v>
      </c>
      <c r="B219" s="345" t="s">
        <v>137</v>
      </c>
      <c r="C219" s="344">
        <v>220014</v>
      </c>
      <c r="D219" s="344" t="str">
        <f t="shared" si="9"/>
        <v>220014</v>
      </c>
      <c r="E219" s="346" t="s">
        <v>140</v>
      </c>
      <c r="F219" s="344" t="s">
        <v>141</v>
      </c>
      <c r="G219" s="344" t="str">
        <f t="shared" si="10"/>
        <v>60214AXLE 2</v>
      </c>
      <c r="H219" s="344">
        <v>6</v>
      </c>
      <c r="I219" s="344">
        <v>11</v>
      </c>
      <c r="J219" s="344">
        <v>2</v>
      </c>
      <c r="K219" s="344">
        <v>7</v>
      </c>
      <c r="L219" t="str">
        <f t="shared" si="11"/>
        <v>60214</v>
      </c>
      <c r="M219" s="344" t="s">
        <v>141</v>
      </c>
      <c r="N219" s="344">
        <v>220014</v>
      </c>
    </row>
    <row r="220" spans="1:14" ht="15">
      <c r="A220" s="344">
        <v>60214</v>
      </c>
      <c r="B220" s="345" t="s">
        <v>137</v>
      </c>
      <c r="C220" s="344">
        <v>220014</v>
      </c>
      <c r="D220" s="344" t="str">
        <f t="shared" si="9"/>
        <v>220014</v>
      </c>
      <c r="E220" s="346" t="s">
        <v>140</v>
      </c>
      <c r="F220" s="344" t="s">
        <v>143</v>
      </c>
      <c r="G220" s="344" t="str">
        <f t="shared" si="10"/>
        <v>60214AXLE 3</v>
      </c>
      <c r="H220" s="344">
        <v>7</v>
      </c>
      <c r="I220" s="344">
        <v>10</v>
      </c>
      <c r="J220" s="344">
        <v>3</v>
      </c>
      <c r="K220" s="344">
        <v>6</v>
      </c>
      <c r="L220" t="str">
        <f t="shared" si="11"/>
        <v>60214</v>
      </c>
      <c r="M220" s="344" t="s">
        <v>143</v>
      </c>
      <c r="N220" s="344">
        <v>220014</v>
      </c>
    </row>
    <row r="221" spans="1:14" ht="15">
      <c r="A221" s="344">
        <v>60214</v>
      </c>
      <c r="B221" s="345" t="s">
        <v>137</v>
      </c>
      <c r="C221" s="344">
        <v>220014</v>
      </c>
      <c r="D221" s="344" t="str">
        <f t="shared" si="9"/>
        <v>220014</v>
      </c>
      <c r="E221" s="346" t="s">
        <v>144</v>
      </c>
      <c r="F221" s="344" t="s">
        <v>145</v>
      </c>
      <c r="G221" s="344" t="str">
        <f t="shared" si="10"/>
        <v>60214AXLE 4</v>
      </c>
      <c r="H221" s="344">
        <v>8</v>
      </c>
      <c r="I221" s="344">
        <v>9</v>
      </c>
      <c r="J221" s="344">
        <v>4</v>
      </c>
      <c r="K221" s="344">
        <v>5</v>
      </c>
      <c r="L221" t="str">
        <f t="shared" si="11"/>
        <v>60214</v>
      </c>
      <c r="M221" s="344" t="s">
        <v>145</v>
      </c>
      <c r="N221" s="344">
        <v>220014</v>
      </c>
    </row>
    <row r="222" spans="1:14" ht="15">
      <c r="A222" s="344">
        <v>60414</v>
      </c>
      <c r="B222" s="345" t="s">
        <v>137</v>
      </c>
      <c r="C222" s="344">
        <v>220014</v>
      </c>
      <c r="D222" s="344" t="str">
        <f t="shared" si="9"/>
        <v>220014</v>
      </c>
      <c r="E222" s="346" t="s">
        <v>138</v>
      </c>
      <c r="F222" s="344" t="s">
        <v>139</v>
      </c>
      <c r="G222" s="344" t="str">
        <f t="shared" si="10"/>
        <v>60414AXLE 1</v>
      </c>
      <c r="H222" s="344">
        <v>1</v>
      </c>
      <c r="I222" s="344">
        <v>16</v>
      </c>
      <c r="J222" s="344">
        <v>1</v>
      </c>
      <c r="K222" s="344">
        <v>8</v>
      </c>
      <c r="L222" t="str">
        <f t="shared" si="11"/>
        <v>60414</v>
      </c>
      <c r="M222" s="344" t="s">
        <v>139</v>
      </c>
      <c r="N222" s="344">
        <v>220014</v>
      </c>
    </row>
    <row r="223" spans="1:14" ht="15">
      <c r="A223" s="344">
        <v>60414</v>
      </c>
      <c r="B223" s="345" t="s">
        <v>137</v>
      </c>
      <c r="C223" s="344">
        <v>220014</v>
      </c>
      <c r="D223" s="344" t="str">
        <f t="shared" si="9"/>
        <v>220014</v>
      </c>
      <c r="E223" s="346" t="s">
        <v>140</v>
      </c>
      <c r="F223" s="344" t="s">
        <v>141</v>
      </c>
      <c r="G223" s="344" t="str">
        <f t="shared" si="10"/>
        <v>60414AXLE 2</v>
      </c>
      <c r="H223" s="344">
        <v>2</v>
      </c>
      <c r="I223" s="344">
        <v>15</v>
      </c>
      <c r="J223" s="344">
        <v>2</v>
      </c>
      <c r="K223" s="344">
        <v>7</v>
      </c>
      <c r="L223" t="str">
        <f t="shared" si="11"/>
        <v>60414</v>
      </c>
      <c r="M223" s="344" t="s">
        <v>141</v>
      </c>
      <c r="N223" s="344">
        <v>220014</v>
      </c>
    </row>
    <row r="224" spans="1:14" ht="15">
      <c r="A224" s="344">
        <v>60414</v>
      </c>
      <c r="B224" s="345" t="s">
        <v>137</v>
      </c>
      <c r="C224" s="344">
        <v>220014</v>
      </c>
      <c r="D224" s="344" t="str">
        <f t="shared" si="9"/>
        <v>220014</v>
      </c>
      <c r="E224" s="346" t="s">
        <v>142</v>
      </c>
      <c r="F224" s="344" t="s">
        <v>143</v>
      </c>
      <c r="G224" s="344" t="str">
        <f t="shared" si="10"/>
        <v>60414AXLE 3</v>
      </c>
      <c r="H224" s="344">
        <v>3</v>
      </c>
      <c r="I224" s="344">
        <v>14</v>
      </c>
      <c r="J224" s="344">
        <v>3</v>
      </c>
      <c r="K224" s="344">
        <v>6</v>
      </c>
      <c r="L224" t="str">
        <f t="shared" si="11"/>
        <v>60414</v>
      </c>
      <c r="M224" s="344" t="s">
        <v>143</v>
      </c>
      <c r="N224" s="344">
        <v>220014</v>
      </c>
    </row>
    <row r="225" spans="1:14" ht="15">
      <c r="A225" s="344">
        <v>60414</v>
      </c>
      <c r="B225" s="345" t="s">
        <v>137</v>
      </c>
      <c r="C225" s="344">
        <v>220014</v>
      </c>
      <c r="D225" s="344" t="str">
        <f t="shared" si="9"/>
        <v>220014</v>
      </c>
      <c r="E225" s="346" t="s">
        <v>144</v>
      </c>
      <c r="F225" s="344" t="s">
        <v>145</v>
      </c>
      <c r="G225" s="344" t="str">
        <f t="shared" si="10"/>
        <v>60414AXLE 4</v>
      </c>
      <c r="H225" s="344">
        <v>4</v>
      </c>
      <c r="I225" s="344">
        <v>13</v>
      </c>
      <c r="J225" s="344">
        <v>4</v>
      </c>
      <c r="K225" s="344">
        <v>5</v>
      </c>
      <c r="L225" t="str">
        <f t="shared" si="11"/>
        <v>60414</v>
      </c>
      <c r="M225" s="344" t="s">
        <v>145</v>
      </c>
      <c r="N225" s="344">
        <v>220014</v>
      </c>
    </row>
    <row r="226" spans="1:14" ht="15">
      <c r="A226" s="344">
        <v>60315</v>
      </c>
      <c r="B226" s="345" t="s">
        <v>137</v>
      </c>
      <c r="C226" s="344">
        <v>220015</v>
      </c>
      <c r="D226" s="344" t="str">
        <f t="shared" si="9"/>
        <v>220015</v>
      </c>
      <c r="E226" s="346" t="s">
        <v>138</v>
      </c>
      <c r="F226" s="344" t="s">
        <v>139</v>
      </c>
      <c r="G226" s="344" t="str">
        <f t="shared" si="10"/>
        <v>60315AXLE 1</v>
      </c>
      <c r="H226" s="344">
        <v>16</v>
      </c>
      <c r="I226" s="344">
        <v>1</v>
      </c>
      <c r="J226" s="344">
        <v>1</v>
      </c>
      <c r="K226" s="344">
        <v>8</v>
      </c>
      <c r="L226" t="str">
        <f t="shared" si="11"/>
        <v>60315</v>
      </c>
      <c r="M226" s="344" t="s">
        <v>139</v>
      </c>
      <c r="N226" s="344">
        <v>220015</v>
      </c>
    </row>
    <row r="227" spans="1:14" ht="15">
      <c r="A227" s="344">
        <v>60315</v>
      </c>
      <c r="B227" s="345" t="s">
        <v>137</v>
      </c>
      <c r="C227" s="344">
        <v>220015</v>
      </c>
      <c r="D227" s="344" t="str">
        <f t="shared" si="9"/>
        <v>220015</v>
      </c>
      <c r="E227" s="346" t="s">
        <v>140</v>
      </c>
      <c r="F227" s="344" t="s">
        <v>141</v>
      </c>
      <c r="G227" s="344" t="str">
        <f t="shared" si="10"/>
        <v>60315AXLE 2</v>
      </c>
      <c r="H227" s="344">
        <v>15</v>
      </c>
      <c r="I227" s="344">
        <v>2</v>
      </c>
      <c r="J227" s="344">
        <v>2</v>
      </c>
      <c r="K227" s="344">
        <v>7</v>
      </c>
      <c r="L227" t="str">
        <f t="shared" si="11"/>
        <v>60315</v>
      </c>
      <c r="M227" s="344" t="s">
        <v>141</v>
      </c>
      <c r="N227" s="344">
        <v>220015</v>
      </c>
    </row>
    <row r="228" spans="1:14" ht="15">
      <c r="A228" s="344">
        <v>60315</v>
      </c>
      <c r="B228" s="345" t="s">
        <v>137</v>
      </c>
      <c r="C228" s="344">
        <v>220015</v>
      </c>
      <c r="D228" s="344" t="str">
        <f t="shared" si="9"/>
        <v>220015</v>
      </c>
      <c r="E228" s="346" t="s">
        <v>142</v>
      </c>
      <c r="F228" s="344" t="s">
        <v>143</v>
      </c>
      <c r="G228" s="344" t="str">
        <f t="shared" si="10"/>
        <v>60315AXLE 3</v>
      </c>
      <c r="H228" s="344">
        <v>14</v>
      </c>
      <c r="I228" s="344">
        <v>3</v>
      </c>
      <c r="J228" s="344">
        <v>3</v>
      </c>
      <c r="K228" s="344">
        <v>6</v>
      </c>
      <c r="L228" t="str">
        <f t="shared" si="11"/>
        <v>60315</v>
      </c>
      <c r="M228" s="344" t="s">
        <v>143</v>
      </c>
      <c r="N228" s="344">
        <v>220015</v>
      </c>
    </row>
    <row r="229" spans="1:14" ht="15">
      <c r="A229" s="344">
        <v>60315</v>
      </c>
      <c r="B229" s="345" t="s">
        <v>137</v>
      </c>
      <c r="C229" s="344">
        <v>220015</v>
      </c>
      <c r="D229" s="344" t="str">
        <f t="shared" si="9"/>
        <v>220015</v>
      </c>
      <c r="E229" s="346" t="s">
        <v>144</v>
      </c>
      <c r="F229" s="344" t="s">
        <v>145</v>
      </c>
      <c r="G229" s="344" t="str">
        <f t="shared" si="10"/>
        <v>60315AXLE 4</v>
      </c>
      <c r="H229" s="344">
        <v>13</v>
      </c>
      <c r="I229" s="344">
        <v>4</v>
      </c>
      <c r="J229" s="344">
        <v>4</v>
      </c>
      <c r="K229" s="344">
        <v>5</v>
      </c>
      <c r="L229" t="str">
        <f t="shared" si="11"/>
        <v>60315</v>
      </c>
      <c r="M229" s="344" t="s">
        <v>145</v>
      </c>
      <c r="N229" s="344">
        <v>220015</v>
      </c>
    </row>
    <row r="230" spans="1:14" ht="15">
      <c r="A230" s="344">
        <v>60715</v>
      </c>
      <c r="B230" s="345" t="s">
        <v>137</v>
      </c>
      <c r="C230" s="344">
        <v>220015</v>
      </c>
      <c r="D230" s="344" t="str">
        <f t="shared" si="9"/>
        <v>220015</v>
      </c>
      <c r="E230" s="346" t="s">
        <v>144</v>
      </c>
      <c r="F230" s="344" t="s">
        <v>139</v>
      </c>
      <c r="G230" s="344" t="str">
        <f t="shared" si="10"/>
        <v>60715AXLE 1</v>
      </c>
      <c r="H230" s="344">
        <v>9</v>
      </c>
      <c r="I230" s="344">
        <v>8</v>
      </c>
      <c r="J230" s="344">
        <v>1</v>
      </c>
      <c r="K230" s="344">
        <v>8</v>
      </c>
      <c r="L230" t="str">
        <f t="shared" si="11"/>
        <v>60715</v>
      </c>
      <c r="M230" s="344" t="s">
        <v>139</v>
      </c>
      <c r="N230" s="344">
        <v>220015</v>
      </c>
    </row>
    <row r="231" spans="1:14" ht="15">
      <c r="A231" s="344">
        <v>60715</v>
      </c>
      <c r="B231" s="345" t="s">
        <v>137</v>
      </c>
      <c r="C231" s="344">
        <v>220015</v>
      </c>
      <c r="D231" s="344" t="str">
        <f t="shared" si="9"/>
        <v>220015</v>
      </c>
      <c r="E231" s="346" t="s">
        <v>140</v>
      </c>
      <c r="F231" s="344" t="s">
        <v>141</v>
      </c>
      <c r="G231" s="344" t="str">
        <f t="shared" si="10"/>
        <v>60715AXLE 2</v>
      </c>
      <c r="H231" s="344">
        <v>10</v>
      </c>
      <c r="I231" s="344">
        <v>7</v>
      </c>
      <c r="J231" s="344">
        <v>2</v>
      </c>
      <c r="K231" s="344">
        <v>7</v>
      </c>
      <c r="L231" t="str">
        <f t="shared" si="11"/>
        <v>60715</v>
      </c>
      <c r="M231" s="344" t="s">
        <v>141</v>
      </c>
      <c r="N231" s="344">
        <v>220015</v>
      </c>
    </row>
    <row r="232" spans="1:14" ht="15">
      <c r="A232" s="344">
        <v>60715</v>
      </c>
      <c r="B232" s="345" t="s">
        <v>137</v>
      </c>
      <c r="C232" s="344">
        <v>220015</v>
      </c>
      <c r="D232" s="344" t="str">
        <f t="shared" si="9"/>
        <v>220015</v>
      </c>
      <c r="E232" s="346" t="s">
        <v>140</v>
      </c>
      <c r="F232" s="344" t="s">
        <v>143</v>
      </c>
      <c r="G232" s="344" t="str">
        <f t="shared" si="10"/>
        <v>60715AXLE 3</v>
      </c>
      <c r="H232" s="344">
        <v>11</v>
      </c>
      <c r="I232" s="344">
        <v>6</v>
      </c>
      <c r="J232" s="344">
        <v>3</v>
      </c>
      <c r="K232" s="344">
        <v>6</v>
      </c>
      <c r="L232" t="str">
        <f t="shared" si="11"/>
        <v>60715</v>
      </c>
      <c r="M232" s="344" t="s">
        <v>143</v>
      </c>
      <c r="N232" s="344">
        <v>220015</v>
      </c>
    </row>
    <row r="233" spans="1:14" ht="15">
      <c r="A233" s="344">
        <v>60715</v>
      </c>
      <c r="B233" s="345" t="s">
        <v>137</v>
      </c>
      <c r="C233" s="344">
        <v>220015</v>
      </c>
      <c r="D233" s="344" t="str">
        <f t="shared" si="9"/>
        <v>220015</v>
      </c>
      <c r="E233" s="346" t="s">
        <v>144</v>
      </c>
      <c r="F233" s="344" t="s">
        <v>145</v>
      </c>
      <c r="G233" s="344" t="str">
        <f t="shared" si="10"/>
        <v>60715AXLE 4</v>
      </c>
      <c r="H233" s="344">
        <v>12</v>
      </c>
      <c r="I233" s="344">
        <v>5</v>
      </c>
      <c r="J233" s="344">
        <v>4</v>
      </c>
      <c r="K233" s="344">
        <v>5</v>
      </c>
      <c r="L233" t="str">
        <f t="shared" si="11"/>
        <v>60715</v>
      </c>
      <c r="M233" s="344" t="s">
        <v>145</v>
      </c>
      <c r="N233" s="344">
        <v>220015</v>
      </c>
    </row>
    <row r="234" spans="1:14" ht="15">
      <c r="A234" s="344">
        <v>60215</v>
      </c>
      <c r="B234" s="345" t="s">
        <v>137</v>
      </c>
      <c r="C234" s="344">
        <v>220015</v>
      </c>
      <c r="D234" s="344" t="str">
        <f t="shared" si="9"/>
        <v>220015</v>
      </c>
      <c r="E234" s="346" t="s">
        <v>144</v>
      </c>
      <c r="F234" s="344" t="s">
        <v>139</v>
      </c>
      <c r="G234" s="344" t="str">
        <f t="shared" si="10"/>
        <v>60215AXLE 1</v>
      </c>
      <c r="H234" s="344">
        <v>5</v>
      </c>
      <c r="I234" s="344">
        <v>12</v>
      </c>
      <c r="J234" s="344">
        <v>1</v>
      </c>
      <c r="K234" s="344">
        <v>8</v>
      </c>
      <c r="L234" t="str">
        <f t="shared" si="11"/>
        <v>60215</v>
      </c>
      <c r="M234" s="344" t="s">
        <v>139</v>
      </c>
      <c r="N234" s="344">
        <v>220015</v>
      </c>
    </row>
    <row r="235" spans="1:14" ht="15">
      <c r="A235" s="344">
        <v>60215</v>
      </c>
      <c r="B235" s="345" t="s">
        <v>137</v>
      </c>
      <c r="C235" s="344">
        <v>220015</v>
      </c>
      <c r="D235" s="344" t="str">
        <f t="shared" si="9"/>
        <v>220015</v>
      </c>
      <c r="E235" s="346" t="s">
        <v>140</v>
      </c>
      <c r="F235" s="344" t="s">
        <v>141</v>
      </c>
      <c r="G235" s="344" t="str">
        <f t="shared" si="10"/>
        <v>60215AXLE 2</v>
      </c>
      <c r="H235" s="344">
        <v>6</v>
      </c>
      <c r="I235" s="344">
        <v>11</v>
      </c>
      <c r="J235" s="344">
        <v>2</v>
      </c>
      <c r="K235" s="344">
        <v>7</v>
      </c>
      <c r="L235" t="str">
        <f t="shared" si="11"/>
        <v>60215</v>
      </c>
      <c r="M235" s="344" t="s">
        <v>141</v>
      </c>
      <c r="N235" s="344">
        <v>220015</v>
      </c>
    </row>
    <row r="236" spans="1:14" ht="15">
      <c r="A236" s="344">
        <v>60215</v>
      </c>
      <c r="B236" s="345" t="s">
        <v>137</v>
      </c>
      <c r="C236" s="344">
        <v>220015</v>
      </c>
      <c r="D236" s="344" t="str">
        <f t="shared" si="9"/>
        <v>220015</v>
      </c>
      <c r="E236" s="346" t="s">
        <v>140</v>
      </c>
      <c r="F236" s="344" t="s">
        <v>143</v>
      </c>
      <c r="G236" s="344" t="str">
        <f t="shared" si="10"/>
        <v>60215AXLE 3</v>
      </c>
      <c r="H236" s="344">
        <v>7</v>
      </c>
      <c r="I236" s="344">
        <v>10</v>
      </c>
      <c r="J236" s="344">
        <v>3</v>
      </c>
      <c r="K236" s="344">
        <v>6</v>
      </c>
      <c r="L236" t="str">
        <f t="shared" si="11"/>
        <v>60215</v>
      </c>
      <c r="M236" s="344" t="s">
        <v>143</v>
      </c>
      <c r="N236" s="344">
        <v>220015</v>
      </c>
    </row>
    <row r="237" spans="1:14" ht="15">
      <c r="A237" s="344">
        <v>60215</v>
      </c>
      <c r="B237" s="345" t="s">
        <v>137</v>
      </c>
      <c r="C237" s="344">
        <v>220015</v>
      </c>
      <c r="D237" s="344" t="str">
        <f t="shared" si="9"/>
        <v>220015</v>
      </c>
      <c r="E237" s="346" t="s">
        <v>144</v>
      </c>
      <c r="F237" s="344" t="s">
        <v>145</v>
      </c>
      <c r="G237" s="344" t="str">
        <f t="shared" si="10"/>
        <v>60215AXLE 4</v>
      </c>
      <c r="H237" s="344">
        <v>8</v>
      </c>
      <c r="I237" s="344">
        <v>9</v>
      </c>
      <c r="J237" s="344">
        <v>4</v>
      </c>
      <c r="K237" s="344">
        <v>5</v>
      </c>
      <c r="L237" t="str">
        <f t="shared" si="11"/>
        <v>60215</v>
      </c>
      <c r="M237" s="344" t="s">
        <v>145</v>
      </c>
      <c r="N237" s="344">
        <v>220015</v>
      </c>
    </row>
    <row r="238" spans="1:14" ht="15">
      <c r="A238" s="344">
        <v>60415</v>
      </c>
      <c r="B238" s="345" t="s">
        <v>137</v>
      </c>
      <c r="C238" s="344">
        <v>220015</v>
      </c>
      <c r="D238" s="344" t="str">
        <f t="shared" si="9"/>
        <v>220015</v>
      </c>
      <c r="E238" s="346" t="s">
        <v>138</v>
      </c>
      <c r="F238" s="344" t="s">
        <v>139</v>
      </c>
      <c r="G238" s="344" t="str">
        <f t="shared" si="10"/>
        <v>60415AXLE 1</v>
      </c>
      <c r="H238" s="344">
        <v>1</v>
      </c>
      <c r="I238" s="344">
        <v>16</v>
      </c>
      <c r="J238" s="344">
        <v>1</v>
      </c>
      <c r="K238" s="344">
        <v>8</v>
      </c>
      <c r="L238" t="str">
        <f t="shared" si="11"/>
        <v>60415</v>
      </c>
      <c r="M238" s="344" t="s">
        <v>139</v>
      </c>
      <c r="N238" s="344">
        <v>220015</v>
      </c>
    </row>
    <row r="239" spans="1:14" ht="15">
      <c r="A239" s="344">
        <v>60415</v>
      </c>
      <c r="B239" s="345" t="s">
        <v>137</v>
      </c>
      <c r="C239" s="344">
        <v>220015</v>
      </c>
      <c r="D239" s="344" t="str">
        <f t="shared" si="9"/>
        <v>220015</v>
      </c>
      <c r="E239" s="346" t="s">
        <v>140</v>
      </c>
      <c r="F239" s="344" t="s">
        <v>141</v>
      </c>
      <c r="G239" s="344" t="str">
        <f t="shared" si="10"/>
        <v>60415AXLE 2</v>
      </c>
      <c r="H239" s="344">
        <v>2</v>
      </c>
      <c r="I239" s="344">
        <v>15</v>
      </c>
      <c r="J239" s="344">
        <v>2</v>
      </c>
      <c r="K239" s="344">
        <v>7</v>
      </c>
      <c r="L239" t="str">
        <f t="shared" si="11"/>
        <v>60415</v>
      </c>
      <c r="M239" s="344" t="s">
        <v>141</v>
      </c>
      <c r="N239" s="344">
        <v>220015</v>
      </c>
    </row>
    <row r="240" spans="1:14" ht="15">
      <c r="A240" s="344">
        <v>60415</v>
      </c>
      <c r="B240" s="345" t="s">
        <v>137</v>
      </c>
      <c r="C240" s="344">
        <v>220015</v>
      </c>
      <c r="D240" s="344" t="str">
        <f t="shared" si="9"/>
        <v>220015</v>
      </c>
      <c r="E240" s="346" t="s">
        <v>142</v>
      </c>
      <c r="F240" s="344" t="s">
        <v>143</v>
      </c>
      <c r="G240" s="344" t="str">
        <f t="shared" si="10"/>
        <v>60415AXLE 3</v>
      </c>
      <c r="H240" s="344">
        <v>3</v>
      </c>
      <c r="I240" s="344">
        <v>14</v>
      </c>
      <c r="J240" s="344">
        <v>3</v>
      </c>
      <c r="K240" s="344">
        <v>6</v>
      </c>
      <c r="L240" t="str">
        <f t="shared" si="11"/>
        <v>60415</v>
      </c>
      <c r="M240" s="344" t="s">
        <v>143</v>
      </c>
      <c r="N240" s="344">
        <v>220015</v>
      </c>
    </row>
    <row r="241" spans="1:14" ht="15">
      <c r="A241" s="344">
        <v>60415</v>
      </c>
      <c r="B241" s="345" t="s">
        <v>137</v>
      </c>
      <c r="C241" s="344">
        <v>220015</v>
      </c>
      <c r="D241" s="344" t="str">
        <f t="shared" si="9"/>
        <v>220015</v>
      </c>
      <c r="E241" s="346" t="s">
        <v>144</v>
      </c>
      <c r="F241" s="344" t="s">
        <v>145</v>
      </c>
      <c r="G241" s="344" t="str">
        <f t="shared" si="10"/>
        <v>60415AXLE 4</v>
      </c>
      <c r="H241" s="344">
        <v>4</v>
      </c>
      <c r="I241" s="344">
        <v>13</v>
      </c>
      <c r="J241" s="344">
        <v>4</v>
      </c>
      <c r="K241" s="344">
        <v>5</v>
      </c>
      <c r="L241" t="str">
        <f t="shared" si="11"/>
        <v>60415</v>
      </c>
      <c r="M241" s="344" t="s">
        <v>145</v>
      </c>
      <c r="N241" s="344">
        <v>220015</v>
      </c>
    </row>
    <row r="242" spans="1:14" ht="15">
      <c r="A242" s="344">
        <v>60316</v>
      </c>
      <c r="B242" s="345" t="s">
        <v>137</v>
      </c>
      <c r="C242" s="344">
        <v>220016</v>
      </c>
      <c r="D242" s="344" t="str">
        <f t="shared" si="9"/>
        <v>220016</v>
      </c>
      <c r="E242" s="346" t="s">
        <v>138</v>
      </c>
      <c r="F242" s="344" t="s">
        <v>139</v>
      </c>
      <c r="G242" s="344" t="str">
        <f t="shared" si="10"/>
        <v>60316AXLE 1</v>
      </c>
      <c r="H242" s="344">
        <v>16</v>
      </c>
      <c r="I242" s="344">
        <v>1</v>
      </c>
      <c r="J242" s="344">
        <v>1</v>
      </c>
      <c r="K242" s="344">
        <v>8</v>
      </c>
      <c r="L242" t="str">
        <f t="shared" si="11"/>
        <v>60316</v>
      </c>
      <c r="M242" s="344" t="s">
        <v>139</v>
      </c>
      <c r="N242" s="344">
        <v>220016</v>
      </c>
    </row>
    <row r="243" spans="1:14" ht="15">
      <c r="A243" s="344">
        <v>60316</v>
      </c>
      <c r="B243" s="345" t="s">
        <v>137</v>
      </c>
      <c r="C243" s="344">
        <v>220016</v>
      </c>
      <c r="D243" s="344" t="str">
        <f t="shared" si="9"/>
        <v>220016</v>
      </c>
      <c r="E243" s="346" t="s">
        <v>140</v>
      </c>
      <c r="F243" s="344" t="s">
        <v>141</v>
      </c>
      <c r="G243" s="344" t="str">
        <f t="shared" si="10"/>
        <v>60316AXLE 2</v>
      </c>
      <c r="H243" s="344">
        <v>15</v>
      </c>
      <c r="I243" s="344">
        <v>2</v>
      </c>
      <c r="J243" s="344">
        <v>2</v>
      </c>
      <c r="K243" s="344">
        <v>7</v>
      </c>
      <c r="L243" t="str">
        <f t="shared" si="11"/>
        <v>60316</v>
      </c>
      <c r="M243" s="344" t="s">
        <v>141</v>
      </c>
      <c r="N243" s="344">
        <v>220016</v>
      </c>
    </row>
    <row r="244" spans="1:14" ht="15">
      <c r="A244" s="344">
        <v>60316</v>
      </c>
      <c r="B244" s="345" t="s">
        <v>137</v>
      </c>
      <c r="C244" s="344">
        <v>220016</v>
      </c>
      <c r="D244" s="344" t="str">
        <f t="shared" si="9"/>
        <v>220016</v>
      </c>
      <c r="E244" s="346" t="s">
        <v>142</v>
      </c>
      <c r="F244" s="344" t="s">
        <v>143</v>
      </c>
      <c r="G244" s="344" t="str">
        <f t="shared" si="10"/>
        <v>60316AXLE 3</v>
      </c>
      <c r="H244" s="344">
        <v>14</v>
      </c>
      <c r="I244" s="344">
        <v>3</v>
      </c>
      <c r="J244" s="344">
        <v>3</v>
      </c>
      <c r="K244" s="344">
        <v>6</v>
      </c>
      <c r="L244" t="str">
        <f t="shared" si="11"/>
        <v>60316</v>
      </c>
      <c r="M244" s="344" t="s">
        <v>143</v>
      </c>
      <c r="N244" s="344">
        <v>220016</v>
      </c>
    </row>
    <row r="245" spans="1:14" ht="15">
      <c r="A245" s="344">
        <v>60316</v>
      </c>
      <c r="B245" s="345" t="s">
        <v>137</v>
      </c>
      <c r="C245" s="344">
        <v>220016</v>
      </c>
      <c r="D245" s="344" t="str">
        <f t="shared" si="9"/>
        <v>220016</v>
      </c>
      <c r="E245" s="346" t="s">
        <v>144</v>
      </c>
      <c r="F245" s="344" t="s">
        <v>145</v>
      </c>
      <c r="G245" s="344" t="str">
        <f t="shared" si="10"/>
        <v>60316AXLE 4</v>
      </c>
      <c r="H245" s="344">
        <v>13</v>
      </c>
      <c r="I245" s="344">
        <v>4</v>
      </c>
      <c r="J245" s="344">
        <v>4</v>
      </c>
      <c r="K245" s="344">
        <v>5</v>
      </c>
      <c r="L245" t="str">
        <f t="shared" si="11"/>
        <v>60316</v>
      </c>
      <c r="M245" s="344" t="s">
        <v>145</v>
      </c>
      <c r="N245" s="344">
        <v>220016</v>
      </c>
    </row>
    <row r="246" spans="1:14" ht="15">
      <c r="A246" s="344">
        <v>60716</v>
      </c>
      <c r="B246" s="345" t="s">
        <v>137</v>
      </c>
      <c r="C246" s="344">
        <v>220016</v>
      </c>
      <c r="D246" s="344" t="str">
        <f t="shared" si="9"/>
        <v>220016</v>
      </c>
      <c r="E246" s="346" t="s">
        <v>144</v>
      </c>
      <c r="F246" s="344" t="s">
        <v>139</v>
      </c>
      <c r="G246" s="344" t="str">
        <f t="shared" si="10"/>
        <v>60716AXLE 1</v>
      </c>
      <c r="H246" s="344">
        <v>9</v>
      </c>
      <c r="I246" s="344">
        <v>8</v>
      </c>
      <c r="J246" s="344">
        <v>1</v>
      </c>
      <c r="K246" s="344">
        <v>8</v>
      </c>
      <c r="L246" t="str">
        <f t="shared" si="11"/>
        <v>60716</v>
      </c>
      <c r="M246" s="344" t="s">
        <v>139</v>
      </c>
      <c r="N246" s="344">
        <v>220016</v>
      </c>
    </row>
    <row r="247" spans="1:14" ht="15">
      <c r="A247" s="344">
        <v>60716</v>
      </c>
      <c r="B247" s="345" t="s">
        <v>137</v>
      </c>
      <c r="C247" s="344">
        <v>220016</v>
      </c>
      <c r="D247" s="344" t="str">
        <f t="shared" si="9"/>
        <v>220016</v>
      </c>
      <c r="E247" s="346" t="s">
        <v>140</v>
      </c>
      <c r="F247" s="344" t="s">
        <v>141</v>
      </c>
      <c r="G247" s="344" t="str">
        <f t="shared" si="10"/>
        <v>60716AXLE 2</v>
      </c>
      <c r="H247" s="344">
        <v>10</v>
      </c>
      <c r="I247" s="344">
        <v>7</v>
      </c>
      <c r="J247" s="344">
        <v>2</v>
      </c>
      <c r="K247" s="344">
        <v>7</v>
      </c>
      <c r="L247" t="str">
        <f t="shared" si="11"/>
        <v>60716</v>
      </c>
      <c r="M247" s="344" t="s">
        <v>141</v>
      </c>
      <c r="N247" s="344">
        <v>220016</v>
      </c>
    </row>
    <row r="248" spans="1:14" ht="15">
      <c r="A248" s="344">
        <v>60716</v>
      </c>
      <c r="B248" s="345" t="s">
        <v>137</v>
      </c>
      <c r="C248" s="344">
        <v>220016</v>
      </c>
      <c r="D248" s="344" t="str">
        <f t="shared" si="9"/>
        <v>220016</v>
      </c>
      <c r="E248" s="346" t="s">
        <v>140</v>
      </c>
      <c r="F248" s="344" t="s">
        <v>143</v>
      </c>
      <c r="G248" s="344" t="str">
        <f t="shared" si="10"/>
        <v>60716AXLE 3</v>
      </c>
      <c r="H248" s="344">
        <v>11</v>
      </c>
      <c r="I248" s="344">
        <v>6</v>
      </c>
      <c r="J248" s="344">
        <v>3</v>
      </c>
      <c r="K248" s="344">
        <v>6</v>
      </c>
      <c r="L248" t="str">
        <f t="shared" si="11"/>
        <v>60716</v>
      </c>
      <c r="M248" s="344" t="s">
        <v>143</v>
      </c>
      <c r="N248" s="344">
        <v>220016</v>
      </c>
    </row>
    <row r="249" spans="1:14" ht="15">
      <c r="A249" s="344">
        <v>60716</v>
      </c>
      <c r="B249" s="345" t="s">
        <v>137</v>
      </c>
      <c r="C249" s="344">
        <v>220016</v>
      </c>
      <c r="D249" s="344" t="str">
        <f t="shared" si="9"/>
        <v>220016</v>
      </c>
      <c r="E249" s="346" t="s">
        <v>144</v>
      </c>
      <c r="F249" s="344" t="s">
        <v>145</v>
      </c>
      <c r="G249" s="344" t="str">
        <f t="shared" si="10"/>
        <v>60716AXLE 4</v>
      </c>
      <c r="H249" s="344">
        <v>12</v>
      </c>
      <c r="I249" s="344">
        <v>5</v>
      </c>
      <c r="J249" s="344">
        <v>4</v>
      </c>
      <c r="K249" s="344">
        <v>5</v>
      </c>
      <c r="L249" t="str">
        <f t="shared" si="11"/>
        <v>60716</v>
      </c>
      <c r="M249" s="344" t="s">
        <v>145</v>
      </c>
      <c r="N249" s="344">
        <v>220016</v>
      </c>
    </row>
    <row r="250" spans="1:14" ht="15">
      <c r="A250" s="344">
        <v>60216</v>
      </c>
      <c r="B250" s="345" t="s">
        <v>137</v>
      </c>
      <c r="C250" s="344">
        <v>220016</v>
      </c>
      <c r="D250" s="344" t="str">
        <f t="shared" si="9"/>
        <v>220016</v>
      </c>
      <c r="E250" s="346" t="s">
        <v>144</v>
      </c>
      <c r="F250" s="344" t="s">
        <v>139</v>
      </c>
      <c r="G250" s="344" t="str">
        <f t="shared" si="10"/>
        <v>60216AXLE 1</v>
      </c>
      <c r="H250" s="344">
        <v>5</v>
      </c>
      <c r="I250" s="344">
        <v>12</v>
      </c>
      <c r="J250" s="344">
        <v>1</v>
      </c>
      <c r="K250" s="344">
        <v>8</v>
      </c>
      <c r="L250" t="str">
        <f t="shared" si="11"/>
        <v>60216</v>
      </c>
      <c r="M250" s="344" t="s">
        <v>139</v>
      </c>
      <c r="N250" s="344">
        <v>220016</v>
      </c>
    </row>
    <row r="251" spans="1:14" ht="15">
      <c r="A251" s="344">
        <v>60216</v>
      </c>
      <c r="B251" s="345" t="s">
        <v>137</v>
      </c>
      <c r="C251" s="344">
        <v>220016</v>
      </c>
      <c r="D251" s="344" t="str">
        <f t="shared" si="9"/>
        <v>220016</v>
      </c>
      <c r="E251" s="346" t="s">
        <v>140</v>
      </c>
      <c r="F251" s="344" t="s">
        <v>141</v>
      </c>
      <c r="G251" s="344" t="str">
        <f t="shared" si="10"/>
        <v>60216AXLE 2</v>
      </c>
      <c r="H251" s="344">
        <v>6</v>
      </c>
      <c r="I251" s="344">
        <v>11</v>
      </c>
      <c r="J251" s="344">
        <v>2</v>
      </c>
      <c r="K251" s="344">
        <v>7</v>
      </c>
      <c r="L251" t="str">
        <f t="shared" si="11"/>
        <v>60216</v>
      </c>
      <c r="M251" s="344" t="s">
        <v>141</v>
      </c>
      <c r="N251" s="344">
        <v>220016</v>
      </c>
    </row>
    <row r="252" spans="1:14" ht="15">
      <c r="A252" s="344">
        <v>60216</v>
      </c>
      <c r="B252" s="345" t="s">
        <v>137</v>
      </c>
      <c r="C252" s="344">
        <v>220016</v>
      </c>
      <c r="D252" s="344" t="str">
        <f t="shared" si="9"/>
        <v>220016</v>
      </c>
      <c r="E252" s="346" t="s">
        <v>140</v>
      </c>
      <c r="F252" s="344" t="s">
        <v>143</v>
      </c>
      <c r="G252" s="344" t="str">
        <f t="shared" si="10"/>
        <v>60216AXLE 3</v>
      </c>
      <c r="H252" s="344">
        <v>7</v>
      </c>
      <c r="I252" s="344">
        <v>10</v>
      </c>
      <c r="J252" s="344">
        <v>3</v>
      </c>
      <c r="K252" s="344">
        <v>6</v>
      </c>
      <c r="L252" t="str">
        <f t="shared" si="11"/>
        <v>60216</v>
      </c>
      <c r="M252" s="344" t="s">
        <v>143</v>
      </c>
      <c r="N252" s="344">
        <v>220016</v>
      </c>
    </row>
    <row r="253" spans="1:14" ht="15">
      <c r="A253" s="344">
        <v>60216</v>
      </c>
      <c r="B253" s="345" t="s">
        <v>137</v>
      </c>
      <c r="C253" s="344">
        <v>220016</v>
      </c>
      <c r="D253" s="344" t="str">
        <f t="shared" si="9"/>
        <v>220016</v>
      </c>
      <c r="E253" s="346" t="s">
        <v>144</v>
      </c>
      <c r="F253" s="344" t="s">
        <v>145</v>
      </c>
      <c r="G253" s="344" t="str">
        <f t="shared" si="10"/>
        <v>60216AXLE 4</v>
      </c>
      <c r="H253" s="344">
        <v>8</v>
      </c>
      <c r="I253" s="344">
        <v>9</v>
      </c>
      <c r="J253" s="344">
        <v>4</v>
      </c>
      <c r="K253" s="344">
        <v>5</v>
      </c>
      <c r="L253" t="str">
        <f t="shared" si="11"/>
        <v>60216</v>
      </c>
      <c r="M253" s="344" t="s">
        <v>145</v>
      </c>
      <c r="N253" s="344">
        <v>220016</v>
      </c>
    </row>
    <row r="254" spans="1:14" ht="15">
      <c r="A254" s="344">
        <v>60416</v>
      </c>
      <c r="B254" s="345" t="s">
        <v>137</v>
      </c>
      <c r="C254" s="344">
        <v>220016</v>
      </c>
      <c r="D254" s="344" t="str">
        <f t="shared" si="9"/>
        <v>220016</v>
      </c>
      <c r="E254" s="346" t="s">
        <v>138</v>
      </c>
      <c r="F254" s="344" t="s">
        <v>139</v>
      </c>
      <c r="G254" s="344" t="str">
        <f t="shared" si="10"/>
        <v>60416AXLE 1</v>
      </c>
      <c r="H254" s="344">
        <v>1</v>
      </c>
      <c r="I254" s="344">
        <v>16</v>
      </c>
      <c r="J254" s="344">
        <v>1</v>
      </c>
      <c r="K254" s="344">
        <v>8</v>
      </c>
      <c r="L254" t="str">
        <f t="shared" si="11"/>
        <v>60416</v>
      </c>
      <c r="M254" s="344" t="s">
        <v>139</v>
      </c>
      <c r="N254" s="344">
        <v>220016</v>
      </c>
    </row>
    <row r="255" spans="1:14" ht="15">
      <c r="A255" s="344">
        <v>60416</v>
      </c>
      <c r="B255" s="345" t="s">
        <v>137</v>
      </c>
      <c r="C255" s="344">
        <v>220016</v>
      </c>
      <c r="D255" s="344" t="str">
        <f t="shared" si="9"/>
        <v>220016</v>
      </c>
      <c r="E255" s="346" t="s">
        <v>140</v>
      </c>
      <c r="F255" s="344" t="s">
        <v>141</v>
      </c>
      <c r="G255" s="344" t="str">
        <f t="shared" si="10"/>
        <v>60416AXLE 2</v>
      </c>
      <c r="H255" s="344">
        <v>2</v>
      </c>
      <c r="I255" s="344">
        <v>15</v>
      </c>
      <c r="J255" s="344">
        <v>2</v>
      </c>
      <c r="K255" s="344">
        <v>7</v>
      </c>
      <c r="L255" t="str">
        <f t="shared" si="11"/>
        <v>60416</v>
      </c>
      <c r="M255" s="344" t="s">
        <v>141</v>
      </c>
      <c r="N255" s="344">
        <v>220016</v>
      </c>
    </row>
    <row r="256" spans="1:14" ht="15">
      <c r="A256" s="344">
        <v>60416</v>
      </c>
      <c r="B256" s="345" t="s">
        <v>137</v>
      </c>
      <c r="C256" s="344">
        <v>220016</v>
      </c>
      <c r="D256" s="344" t="str">
        <f t="shared" si="9"/>
        <v>220016</v>
      </c>
      <c r="E256" s="346" t="s">
        <v>142</v>
      </c>
      <c r="F256" s="344" t="s">
        <v>143</v>
      </c>
      <c r="G256" s="344" t="str">
        <f t="shared" si="10"/>
        <v>60416AXLE 3</v>
      </c>
      <c r="H256" s="344">
        <v>3</v>
      </c>
      <c r="I256" s="344">
        <v>14</v>
      </c>
      <c r="J256" s="344">
        <v>3</v>
      </c>
      <c r="K256" s="344">
        <v>6</v>
      </c>
      <c r="L256" t="str">
        <f t="shared" si="11"/>
        <v>60416</v>
      </c>
      <c r="M256" s="344" t="s">
        <v>143</v>
      </c>
      <c r="N256" s="344">
        <v>220016</v>
      </c>
    </row>
    <row r="257" spans="1:14" ht="15">
      <c r="A257" s="344">
        <v>60416</v>
      </c>
      <c r="B257" s="345" t="s">
        <v>137</v>
      </c>
      <c r="C257" s="344">
        <v>220016</v>
      </c>
      <c r="D257" s="344" t="str">
        <f t="shared" si="9"/>
        <v>220016</v>
      </c>
      <c r="E257" s="346" t="s">
        <v>144</v>
      </c>
      <c r="F257" s="344" t="s">
        <v>145</v>
      </c>
      <c r="G257" s="344" t="str">
        <f t="shared" si="10"/>
        <v>60416AXLE 4</v>
      </c>
      <c r="H257" s="344">
        <v>4</v>
      </c>
      <c r="I257" s="344">
        <v>13</v>
      </c>
      <c r="J257" s="344">
        <v>4</v>
      </c>
      <c r="K257" s="344">
        <v>5</v>
      </c>
      <c r="L257" t="str">
        <f t="shared" si="11"/>
        <v>60416</v>
      </c>
      <c r="M257" s="344" t="s">
        <v>145</v>
      </c>
      <c r="N257" s="344">
        <v>220016</v>
      </c>
    </row>
    <row r="258" spans="1:14" ht="15">
      <c r="A258" s="344">
        <v>60317</v>
      </c>
      <c r="B258" s="345" t="s">
        <v>137</v>
      </c>
      <c r="C258" s="344">
        <v>220017</v>
      </c>
      <c r="D258" s="344" t="str">
        <f t="shared" si="9"/>
        <v>220017</v>
      </c>
      <c r="E258" s="346" t="s">
        <v>138</v>
      </c>
      <c r="F258" s="344" t="s">
        <v>139</v>
      </c>
      <c r="G258" s="344" t="str">
        <f t="shared" si="10"/>
        <v>60317AXLE 1</v>
      </c>
      <c r="H258" s="344">
        <v>16</v>
      </c>
      <c r="I258" s="344">
        <v>1</v>
      </c>
      <c r="J258" s="344">
        <v>1</v>
      </c>
      <c r="K258" s="344">
        <v>8</v>
      </c>
      <c r="L258" t="str">
        <f t="shared" si="11"/>
        <v>60317</v>
      </c>
      <c r="M258" s="344" t="s">
        <v>139</v>
      </c>
      <c r="N258" s="344">
        <v>220017</v>
      </c>
    </row>
    <row r="259" spans="1:14" ht="15">
      <c r="A259" s="344">
        <v>60317</v>
      </c>
      <c r="B259" s="345" t="s">
        <v>137</v>
      </c>
      <c r="C259" s="344">
        <v>220017</v>
      </c>
      <c r="D259" s="344" t="str">
        <f t="shared" ref="D259:D322" si="12">CONCATENATE(B259,C259)</f>
        <v>220017</v>
      </c>
      <c r="E259" s="346" t="s">
        <v>140</v>
      </c>
      <c r="F259" s="344" t="s">
        <v>141</v>
      </c>
      <c r="G259" s="344" t="str">
        <f t="shared" ref="G259:G322" si="13">CONCATENATE(A259,F259)</f>
        <v>60317AXLE 2</v>
      </c>
      <c r="H259" s="344">
        <v>15</v>
      </c>
      <c r="I259" s="344">
        <v>2</v>
      </c>
      <c r="J259" s="344">
        <v>2</v>
      </c>
      <c r="K259" s="344">
        <v>7</v>
      </c>
      <c r="L259" t="str">
        <f t="shared" ref="L259:L322" si="14">CONCATENATE(A259,B259)</f>
        <v>60317</v>
      </c>
      <c r="M259" s="344" t="s">
        <v>141</v>
      </c>
      <c r="N259" s="344">
        <v>220017</v>
      </c>
    </row>
    <row r="260" spans="1:14" ht="15">
      <c r="A260" s="344">
        <v>60317</v>
      </c>
      <c r="B260" s="345" t="s">
        <v>137</v>
      </c>
      <c r="C260" s="344">
        <v>220017</v>
      </c>
      <c r="D260" s="344" t="str">
        <f t="shared" si="12"/>
        <v>220017</v>
      </c>
      <c r="E260" s="346" t="s">
        <v>142</v>
      </c>
      <c r="F260" s="344" t="s">
        <v>143</v>
      </c>
      <c r="G260" s="344" t="str">
        <f t="shared" si="13"/>
        <v>60317AXLE 3</v>
      </c>
      <c r="H260" s="344">
        <v>14</v>
      </c>
      <c r="I260" s="344">
        <v>3</v>
      </c>
      <c r="J260" s="344">
        <v>3</v>
      </c>
      <c r="K260" s="344">
        <v>6</v>
      </c>
      <c r="L260" t="str">
        <f t="shared" si="14"/>
        <v>60317</v>
      </c>
      <c r="M260" s="344" t="s">
        <v>143</v>
      </c>
      <c r="N260" s="344">
        <v>220017</v>
      </c>
    </row>
    <row r="261" spans="1:14" ht="15">
      <c r="A261" s="344">
        <v>60317</v>
      </c>
      <c r="B261" s="345" t="s">
        <v>137</v>
      </c>
      <c r="C261" s="344">
        <v>220017</v>
      </c>
      <c r="D261" s="344" t="str">
        <f t="shared" si="12"/>
        <v>220017</v>
      </c>
      <c r="E261" s="346" t="s">
        <v>144</v>
      </c>
      <c r="F261" s="344" t="s">
        <v>145</v>
      </c>
      <c r="G261" s="344" t="str">
        <f t="shared" si="13"/>
        <v>60317AXLE 4</v>
      </c>
      <c r="H261" s="344">
        <v>13</v>
      </c>
      <c r="I261" s="344">
        <v>4</v>
      </c>
      <c r="J261" s="344">
        <v>4</v>
      </c>
      <c r="K261" s="344">
        <v>5</v>
      </c>
      <c r="L261" t="str">
        <f t="shared" si="14"/>
        <v>60317</v>
      </c>
      <c r="M261" s="344" t="s">
        <v>145</v>
      </c>
      <c r="N261" s="344">
        <v>220017</v>
      </c>
    </row>
    <row r="262" spans="1:14" ht="15">
      <c r="A262" s="344">
        <v>60717</v>
      </c>
      <c r="B262" s="345" t="s">
        <v>137</v>
      </c>
      <c r="C262" s="344">
        <v>220017</v>
      </c>
      <c r="D262" s="344" t="str">
        <f t="shared" si="12"/>
        <v>220017</v>
      </c>
      <c r="E262" s="346" t="s">
        <v>144</v>
      </c>
      <c r="F262" s="344" t="s">
        <v>139</v>
      </c>
      <c r="G262" s="344" t="str">
        <f t="shared" si="13"/>
        <v>60717AXLE 1</v>
      </c>
      <c r="H262" s="344">
        <v>9</v>
      </c>
      <c r="I262" s="344">
        <v>8</v>
      </c>
      <c r="J262" s="344">
        <v>1</v>
      </c>
      <c r="K262" s="344">
        <v>8</v>
      </c>
      <c r="L262" t="str">
        <f t="shared" si="14"/>
        <v>60717</v>
      </c>
      <c r="M262" s="344" t="s">
        <v>139</v>
      </c>
      <c r="N262" s="344">
        <v>220017</v>
      </c>
    </row>
    <row r="263" spans="1:14" ht="15">
      <c r="A263" s="344">
        <v>60717</v>
      </c>
      <c r="B263" s="345" t="s">
        <v>137</v>
      </c>
      <c r="C263" s="344">
        <v>220017</v>
      </c>
      <c r="D263" s="344" t="str">
        <f t="shared" si="12"/>
        <v>220017</v>
      </c>
      <c r="E263" s="346" t="s">
        <v>140</v>
      </c>
      <c r="F263" s="344" t="s">
        <v>141</v>
      </c>
      <c r="G263" s="344" t="str">
        <f t="shared" si="13"/>
        <v>60717AXLE 2</v>
      </c>
      <c r="H263" s="344">
        <v>10</v>
      </c>
      <c r="I263" s="344">
        <v>7</v>
      </c>
      <c r="J263" s="344">
        <v>2</v>
      </c>
      <c r="K263" s="344">
        <v>7</v>
      </c>
      <c r="L263" t="str">
        <f t="shared" si="14"/>
        <v>60717</v>
      </c>
      <c r="M263" s="344" t="s">
        <v>141</v>
      </c>
      <c r="N263" s="344">
        <v>220017</v>
      </c>
    </row>
    <row r="264" spans="1:14" ht="15">
      <c r="A264" s="344">
        <v>60717</v>
      </c>
      <c r="B264" s="345" t="s">
        <v>137</v>
      </c>
      <c r="C264" s="344">
        <v>220017</v>
      </c>
      <c r="D264" s="344" t="str">
        <f t="shared" si="12"/>
        <v>220017</v>
      </c>
      <c r="E264" s="346" t="s">
        <v>140</v>
      </c>
      <c r="F264" s="344" t="s">
        <v>143</v>
      </c>
      <c r="G264" s="344" t="str">
        <f t="shared" si="13"/>
        <v>60717AXLE 3</v>
      </c>
      <c r="H264" s="344">
        <v>11</v>
      </c>
      <c r="I264" s="344">
        <v>6</v>
      </c>
      <c r="J264" s="344">
        <v>3</v>
      </c>
      <c r="K264" s="344">
        <v>6</v>
      </c>
      <c r="L264" t="str">
        <f t="shared" si="14"/>
        <v>60717</v>
      </c>
      <c r="M264" s="344" t="s">
        <v>143</v>
      </c>
      <c r="N264" s="344">
        <v>220017</v>
      </c>
    </row>
    <row r="265" spans="1:14" ht="15">
      <c r="A265" s="344">
        <v>60717</v>
      </c>
      <c r="B265" s="345" t="s">
        <v>137</v>
      </c>
      <c r="C265" s="344">
        <v>220017</v>
      </c>
      <c r="D265" s="344" t="str">
        <f t="shared" si="12"/>
        <v>220017</v>
      </c>
      <c r="E265" s="346" t="s">
        <v>144</v>
      </c>
      <c r="F265" s="344" t="s">
        <v>145</v>
      </c>
      <c r="G265" s="344" t="str">
        <f t="shared" si="13"/>
        <v>60717AXLE 4</v>
      </c>
      <c r="H265" s="344">
        <v>12</v>
      </c>
      <c r="I265" s="344">
        <v>5</v>
      </c>
      <c r="J265" s="344">
        <v>4</v>
      </c>
      <c r="K265" s="344">
        <v>5</v>
      </c>
      <c r="L265" t="str">
        <f t="shared" si="14"/>
        <v>60717</v>
      </c>
      <c r="M265" s="344" t="s">
        <v>145</v>
      </c>
      <c r="N265" s="344">
        <v>220017</v>
      </c>
    </row>
    <row r="266" spans="1:14" ht="15">
      <c r="A266" s="344">
        <v>60217</v>
      </c>
      <c r="B266" s="345" t="s">
        <v>137</v>
      </c>
      <c r="C266" s="344">
        <v>220017</v>
      </c>
      <c r="D266" s="344" t="str">
        <f t="shared" si="12"/>
        <v>220017</v>
      </c>
      <c r="E266" s="346" t="s">
        <v>144</v>
      </c>
      <c r="F266" s="344" t="s">
        <v>139</v>
      </c>
      <c r="G266" s="344" t="str">
        <f t="shared" si="13"/>
        <v>60217AXLE 1</v>
      </c>
      <c r="H266" s="344">
        <v>5</v>
      </c>
      <c r="I266" s="344">
        <v>12</v>
      </c>
      <c r="J266" s="344">
        <v>1</v>
      </c>
      <c r="K266" s="344">
        <v>8</v>
      </c>
      <c r="L266" t="str">
        <f t="shared" si="14"/>
        <v>60217</v>
      </c>
      <c r="M266" s="344" t="s">
        <v>139</v>
      </c>
      <c r="N266" s="344">
        <v>220017</v>
      </c>
    </row>
    <row r="267" spans="1:14" ht="15">
      <c r="A267" s="344">
        <v>60217</v>
      </c>
      <c r="B267" s="345" t="s">
        <v>137</v>
      </c>
      <c r="C267" s="344">
        <v>220017</v>
      </c>
      <c r="D267" s="344" t="str">
        <f t="shared" si="12"/>
        <v>220017</v>
      </c>
      <c r="E267" s="346" t="s">
        <v>140</v>
      </c>
      <c r="F267" s="344" t="s">
        <v>141</v>
      </c>
      <c r="G267" s="344" t="str">
        <f t="shared" si="13"/>
        <v>60217AXLE 2</v>
      </c>
      <c r="H267" s="344">
        <v>6</v>
      </c>
      <c r="I267" s="344">
        <v>11</v>
      </c>
      <c r="J267" s="344">
        <v>2</v>
      </c>
      <c r="K267" s="344">
        <v>7</v>
      </c>
      <c r="L267" t="str">
        <f t="shared" si="14"/>
        <v>60217</v>
      </c>
      <c r="M267" s="344" t="s">
        <v>141</v>
      </c>
      <c r="N267" s="344">
        <v>220017</v>
      </c>
    </row>
    <row r="268" spans="1:14" ht="15">
      <c r="A268" s="344">
        <v>60217</v>
      </c>
      <c r="B268" s="345" t="s">
        <v>137</v>
      </c>
      <c r="C268" s="344">
        <v>220017</v>
      </c>
      <c r="D268" s="344" t="str">
        <f t="shared" si="12"/>
        <v>220017</v>
      </c>
      <c r="E268" s="346" t="s">
        <v>140</v>
      </c>
      <c r="F268" s="344" t="s">
        <v>143</v>
      </c>
      <c r="G268" s="344" t="str">
        <f t="shared" si="13"/>
        <v>60217AXLE 3</v>
      </c>
      <c r="H268" s="344">
        <v>7</v>
      </c>
      <c r="I268" s="344">
        <v>10</v>
      </c>
      <c r="J268" s="344">
        <v>3</v>
      </c>
      <c r="K268" s="344">
        <v>6</v>
      </c>
      <c r="L268" t="str">
        <f t="shared" si="14"/>
        <v>60217</v>
      </c>
      <c r="M268" s="344" t="s">
        <v>143</v>
      </c>
      <c r="N268" s="344">
        <v>220017</v>
      </c>
    </row>
    <row r="269" spans="1:14" ht="15">
      <c r="A269" s="344">
        <v>60217</v>
      </c>
      <c r="B269" s="345" t="s">
        <v>137</v>
      </c>
      <c r="C269" s="344">
        <v>220017</v>
      </c>
      <c r="D269" s="344" t="str">
        <f t="shared" si="12"/>
        <v>220017</v>
      </c>
      <c r="E269" s="346" t="s">
        <v>144</v>
      </c>
      <c r="F269" s="344" t="s">
        <v>145</v>
      </c>
      <c r="G269" s="344" t="str">
        <f t="shared" si="13"/>
        <v>60217AXLE 4</v>
      </c>
      <c r="H269" s="344">
        <v>8</v>
      </c>
      <c r="I269" s="344">
        <v>9</v>
      </c>
      <c r="J269" s="344">
        <v>4</v>
      </c>
      <c r="K269" s="344">
        <v>5</v>
      </c>
      <c r="L269" t="str">
        <f t="shared" si="14"/>
        <v>60217</v>
      </c>
      <c r="M269" s="344" t="s">
        <v>145</v>
      </c>
      <c r="N269" s="344">
        <v>220017</v>
      </c>
    </row>
    <row r="270" spans="1:14" ht="15">
      <c r="A270" s="344">
        <v>60417</v>
      </c>
      <c r="B270" s="345" t="s">
        <v>137</v>
      </c>
      <c r="C270" s="344">
        <v>220017</v>
      </c>
      <c r="D270" s="344" t="str">
        <f t="shared" si="12"/>
        <v>220017</v>
      </c>
      <c r="E270" s="346" t="s">
        <v>138</v>
      </c>
      <c r="F270" s="344" t="s">
        <v>139</v>
      </c>
      <c r="G270" s="344" t="str">
        <f t="shared" si="13"/>
        <v>60417AXLE 1</v>
      </c>
      <c r="H270" s="344">
        <v>1</v>
      </c>
      <c r="I270" s="344">
        <v>16</v>
      </c>
      <c r="J270" s="344">
        <v>1</v>
      </c>
      <c r="K270" s="344">
        <v>8</v>
      </c>
      <c r="L270" t="str">
        <f t="shared" si="14"/>
        <v>60417</v>
      </c>
      <c r="M270" s="344" t="s">
        <v>139</v>
      </c>
      <c r="N270" s="344">
        <v>220017</v>
      </c>
    </row>
    <row r="271" spans="1:14" ht="15">
      <c r="A271" s="344">
        <v>60417</v>
      </c>
      <c r="B271" s="345" t="s">
        <v>137</v>
      </c>
      <c r="C271" s="344">
        <v>220017</v>
      </c>
      <c r="D271" s="344" t="str">
        <f t="shared" si="12"/>
        <v>220017</v>
      </c>
      <c r="E271" s="346" t="s">
        <v>140</v>
      </c>
      <c r="F271" s="344" t="s">
        <v>141</v>
      </c>
      <c r="G271" s="344" t="str">
        <f t="shared" si="13"/>
        <v>60417AXLE 2</v>
      </c>
      <c r="H271" s="344">
        <v>2</v>
      </c>
      <c r="I271" s="344">
        <v>15</v>
      </c>
      <c r="J271" s="344">
        <v>2</v>
      </c>
      <c r="K271" s="344">
        <v>7</v>
      </c>
      <c r="L271" t="str">
        <f t="shared" si="14"/>
        <v>60417</v>
      </c>
      <c r="M271" s="344" t="s">
        <v>141</v>
      </c>
      <c r="N271" s="344">
        <v>220017</v>
      </c>
    </row>
    <row r="272" spans="1:14" ht="15">
      <c r="A272" s="344">
        <v>60417</v>
      </c>
      <c r="B272" s="345" t="s">
        <v>137</v>
      </c>
      <c r="C272" s="344">
        <v>220017</v>
      </c>
      <c r="D272" s="344" t="str">
        <f t="shared" si="12"/>
        <v>220017</v>
      </c>
      <c r="E272" s="346" t="s">
        <v>142</v>
      </c>
      <c r="F272" s="344" t="s">
        <v>143</v>
      </c>
      <c r="G272" s="344" t="str">
        <f t="shared" si="13"/>
        <v>60417AXLE 3</v>
      </c>
      <c r="H272" s="344">
        <v>3</v>
      </c>
      <c r="I272" s="344">
        <v>14</v>
      </c>
      <c r="J272" s="344">
        <v>3</v>
      </c>
      <c r="K272" s="344">
        <v>6</v>
      </c>
      <c r="L272" t="str">
        <f t="shared" si="14"/>
        <v>60417</v>
      </c>
      <c r="M272" s="344" t="s">
        <v>143</v>
      </c>
      <c r="N272" s="344">
        <v>220017</v>
      </c>
    </row>
    <row r="273" spans="1:14" ht="15">
      <c r="A273" s="344">
        <v>60417</v>
      </c>
      <c r="B273" s="345" t="s">
        <v>137</v>
      </c>
      <c r="C273" s="344">
        <v>220017</v>
      </c>
      <c r="D273" s="344" t="str">
        <f t="shared" si="12"/>
        <v>220017</v>
      </c>
      <c r="E273" s="346" t="s">
        <v>144</v>
      </c>
      <c r="F273" s="344" t="s">
        <v>145</v>
      </c>
      <c r="G273" s="344" t="str">
        <f t="shared" si="13"/>
        <v>60417AXLE 4</v>
      </c>
      <c r="H273" s="344">
        <v>4</v>
      </c>
      <c r="I273" s="344">
        <v>13</v>
      </c>
      <c r="J273" s="344">
        <v>4</v>
      </c>
      <c r="K273" s="344">
        <v>5</v>
      </c>
      <c r="L273" t="str">
        <f t="shared" si="14"/>
        <v>60417</v>
      </c>
      <c r="M273" s="344" t="s">
        <v>145</v>
      </c>
      <c r="N273" s="344">
        <v>220017</v>
      </c>
    </row>
    <row r="274" spans="1:14" ht="15">
      <c r="A274" s="344">
        <v>60318</v>
      </c>
      <c r="B274" s="345" t="s">
        <v>137</v>
      </c>
      <c r="C274" s="344">
        <v>220018</v>
      </c>
      <c r="D274" s="344" t="str">
        <f t="shared" si="12"/>
        <v>220018</v>
      </c>
      <c r="E274" s="346" t="s">
        <v>138</v>
      </c>
      <c r="F274" s="344" t="s">
        <v>139</v>
      </c>
      <c r="G274" s="344" t="str">
        <f t="shared" si="13"/>
        <v>60318AXLE 1</v>
      </c>
      <c r="H274" s="344">
        <v>16</v>
      </c>
      <c r="I274" s="344">
        <v>1</v>
      </c>
      <c r="J274" s="344">
        <v>1</v>
      </c>
      <c r="K274" s="344">
        <v>8</v>
      </c>
      <c r="L274" t="str">
        <f t="shared" si="14"/>
        <v>60318</v>
      </c>
      <c r="M274" s="344" t="s">
        <v>139</v>
      </c>
      <c r="N274" s="344">
        <v>220018</v>
      </c>
    </row>
    <row r="275" spans="1:14" ht="15">
      <c r="A275" s="344">
        <v>60318</v>
      </c>
      <c r="B275" s="345" t="s">
        <v>137</v>
      </c>
      <c r="C275" s="344">
        <v>220018</v>
      </c>
      <c r="D275" s="344" t="str">
        <f t="shared" si="12"/>
        <v>220018</v>
      </c>
      <c r="E275" s="346" t="s">
        <v>140</v>
      </c>
      <c r="F275" s="344" t="s">
        <v>141</v>
      </c>
      <c r="G275" s="344" t="str">
        <f t="shared" si="13"/>
        <v>60318AXLE 2</v>
      </c>
      <c r="H275" s="344">
        <v>15</v>
      </c>
      <c r="I275" s="344">
        <v>2</v>
      </c>
      <c r="J275" s="344">
        <v>2</v>
      </c>
      <c r="K275" s="344">
        <v>7</v>
      </c>
      <c r="L275" t="str">
        <f t="shared" si="14"/>
        <v>60318</v>
      </c>
      <c r="M275" s="344" t="s">
        <v>141</v>
      </c>
      <c r="N275" s="344">
        <v>220018</v>
      </c>
    </row>
    <row r="276" spans="1:14" ht="15">
      <c r="A276" s="344">
        <v>60318</v>
      </c>
      <c r="B276" s="345" t="s">
        <v>137</v>
      </c>
      <c r="C276" s="344">
        <v>220018</v>
      </c>
      <c r="D276" s="344" t="str">
        <f t="shared" si="12"/>
        <v>220018</v>
      </c>
      <c r="E276" s="346" t="s">
        <v>142</v>
      </c>
      <c r="F276" s="344" t="s">
        <v>143</v>
      </c>
      <c r="G276" s="344" t="str">
        <f t="shared" si="13"/>
        <v>60318AXLE 3</v>
      </c>
      <c r="H276" s="344">
        <v>14</v>
      </c>
      <c r="I276" s="344">
        <v>3</v>
      </c>
      <c r="J276" s="344">
        <v>3</v>
      </c>
      <c r="K276" s="344">
        <v>6</v>
      </c>
      <c r="L276" t="str">
        <f t="shared" si="14"/>
        <v>60318</v>
      </c>
      <c r="M276" s="344" t="s">
        <v>143</v>
      </c>
      <c r="N276" s="344">
        <v>220018</v>
      </c>
    </row>
    <row r="277" spans="1:14" ht="15">
      <c r="A277" s="344">
        <v>60318</v>
      </c>
      <c r="B277" s="345" t="s">
        <v>137</v>
      </c>
      <c r="C277" s="344">
        <v>220018</v>
      </c>
      <c r="D277" s="344" t="str">
        <f t="shared" si="12"/>
        <v>220018</v>
      </c>
      <c r="E277" s="346" t="s">
        <v>144</v>
      </c>
      <c r="F277" s="344" t="s">
        <v>145</v>
      </c>
      <c r="G277" s="344" t="str">
        <f t="shared" si="13"/>
        <v>60318AXLE 4</v>
      </c>
      <c r="H277" s="344">
        <v>13</v>
      </c>
      <c r="I277" s="344">
        <v>4</v>
      </c>
      <c r="J277" s="344">
        <v>4</v>
      </c>
      <c r="K277" s="344">
        <v>5</v>
      </c>
      <c r="L277" t="str">
        <f t="shared" si="14"/>
        <v>60318</v>
      </c>
      <c r="M277" s="344" t="s">
        <v>145</v>
      </c>
      <c r="N277" s="344">
        <v>220018</v>
      </c>
    </row>
    <row r="278" spans="1:14" ht="15">
      <c r="A278" s="344">
        <v>60718</v>
      </c>
      <c r="B278" s="345" t="s">
        <v>137</v>
      </c>
      <c r="C278" s="344">
        <v>220018</v>
      </c>
      <c r="D278" s="344" t="str">
        <f t="shared" si="12"/>
        <v>220018</v>
      </c>
      <c r="E278" s="346" t="s">
        <v>144</v>
      </c>
      <c r="F278" s="344" t="s">
        <v>139</v>
      </c>
      <c r="G278" s="344" t="str">
        <f t="shared" si="13"/>
        <v>60718AXLE 1</v>
      </c>
      <c r="H278" s="344">
        <v>9</v>
      </c>
      <c r="I278" s="344">
        <v>8</v>
      </c>
      <c r="J278" s="344">
        <v>1</v>
      </c>
      <c r="K278" s="344">
        <v>8</v>
      </c>
      <c r="L278" t="str">
        <f t="shared" si="14"/>
        <v>60718</v>
      </c>
      <c r="M278" s="344" t="s">
        <v>139</v>
      </c>
      <c r="N278" s="344">
        <v>220018</v>
      </c>
    </row>
    <row r="279" spans="1:14" ht="15">
      <c r="A279" s="344">
        <v>60718</v>
      </c>
      <c r="B279" s="345" t="s">
        <v>137</v>
      </c>
      <c r="C279" s="344">
        <v>220018</v>
      </c>
      <c r="D279" s="344" t="str">
        <f t="shared" si="12"/>
        <v>220018</v>
      </c>
      <c r="E279" s="346" t="s">
        <v>140</v>
      </c>
      <c r="F279" s="344" t="s">
        <v>141</v>
      </c>
      <c r="G279" s="344" t="str">
        <f t="shared" si="13"/>
        <v>60718AXLE 2</v>
      </c>
      <c r="H279" s="344">
        <v>10</v>
      </c>
      <c r="I279" s="344">
        <v>7</v>
      </c>
      <c r="J279" s="344">
        <v>2</v>
      </c>
      <c r="K279" s="344">
        <v>7</v>
      </c>
      <c r="L279" t="str">
        <f t="shared" si="14"/>
        <v>60718</v>
      </c>
      <c r="M279" s="344" t="s">
        <v>141</v>
      </c>
      <c r="N279" s="344">
        <v>220018</v>
      </c>
    </row>
    <row r="280" spans="1:14" ht="15">
      <c r="A280" s="344">
        <v>60718</v>
      </c>
      <c r="B280" s="345" t="s">
        <v>137</v>
      </c>
      <c r="C280" s="344">
        <v>220018</v>
      </c>
      <c r="D280" s="344" t="str">
        <f t="shared" si="12"/>
        <v>220018</v>
      </c>
      <c r="E280" s="346" t="s">
        <v>140</v>
      </c>
      <c r="F280" s="344" t="s">
        <v>143</v>
      </c>
      <c r="G280" s="344" t="str">
        <f t="shared" si="13"/>
        <v>60718AXLE 3</v>
      </c>
      <c r="H280" s="344">
        <v>11</v>
      </c>
      <c r="I280" s="344">
        <v>6</v>
      </c>
      <c r="J280" s="344">
        <v>3</v>
      </c>
      <c r="K280" s="344">
        <v>6</v>
      </c>
      <c r="L280" t="str">
        <f t="shared" si="14"/>
        <v>60718</v>
      </c>
      <c r="M280" s="344" t="s">
        <v>143</v>
      </c>
      <c r="N280" s="344">
        <v>220018</v>
      </c>
    </row>
    <row r="281" spans="1:14" ht="15">
      <c r="A281" s="344">
        <v>60718</v>
      </c>
      <c r="B281" s="345" t="s">
        <v>137</v>
      </c>
      <c r="C281" s="344">
        <v>220018</v>
      </c>
      <c r="D281" s="344" t="str">
        <f t="shared" si="12"/>
        <v>220018</v>
      </c>
      <c r="E281" s="346" t="s">
        <v>144</v>
      </c>
      <c r="F281" s="344" t="s">
        <v>145</v>
      </c>
      <c r="G281" s="344" t="str">
        <f t="shared" si="13"/>
        <v>60718AXLE 4</v>
      </c>
      <c r="H281" s="344">
        <v>12</v>
      </c>
      <c r="I281" s="344">
        <v>5</v>
      </c>
      <c r="J281" s="344">
        <v>4</v>
      </c>
      <c r="K281" s="344">
        <v>5</v>
      </c>
      <c r="L281" t="str">
        <f t="shared" si="14"/>
        <v>60718</v>
      </c>
      <c r="M281" s="344" t="s">
        <v>145</v>
      </c>
      <c r="N281" s="344">
        <v>220018</v>
      </c>
    </row>
    <row r="282" spans="1:14" ht="15">
      <c r="A282" s="344">
        <v>60218</v>
      </c>
      <c r="B282" s="345" t="s">
        <v>137</v>
      </c>
      <c r="C282" s="344">
        <v>220018</v>
      </c>
      <c r="D282" s="344" t="str">
        <f t="shared" si="12"/>
        <v>220018</v>
      </c>
      <c r="E282" s="346" t="s">
        <v>144</v>
      </c>
      <c r="F282" s="344" t="s">
        <v>139</v>
      </c>
      <c r="G282" s="344" t="str">
        <f t="shared" si="13"/>
        <v>60218AXLE 1</v>
      </c>
      <c r="H282" s="344">
        <v>5</v>
      </c>
      <c r="I282" s="344">
        <v>12</v>
      </c>
      <c r="J282" s="344">
        <v>1</v>
      </c>
      <c r="K282" s="344">
        <v>8</v>
      </c>
      <c r="L282" t="str">
        <f t="shared" si="14"/>
        <v>60218</v>
      </c>
      <c r="M282" s="344" t="s">
        <v>139</v>
      </c>
      <c r="N282" s="344">
        <v>220018</v>
      </c>
    </row>
    <row r="283" spans="1:14" ht="15">
      <c r="A283" s="344">
        <v>60218</v>
      </c>
      <c r="B283" s="345" t="s">
        <v>137</v>
      </c>
      <c r="C283" s="344">
        <v>220018</v>
      </c>
      <c r="D283" s="344" t="str">
        <f t="shared" si="12"/>
        <v>220018</v>
      </c>
      <c r="E283" s="346" t="s">
        <v>140</v>
      </c>
      <c r="F283" s="344" t="s">
        <v>141</v>
      </c>
      <c r="G283" s="344" t="str">
        <f t="shared" si="13"/>
        <v>60218AXLE 2</v>
      </c>
      <c r="H283" s="344">
        <v>6</v>
      </c>
      <c r="I283" s="344">
        <v>11</v>
      </c>
      <c r="J283" s="344">
        <v>2</v>
      </c>
      <c r="K283" s="344">
        <v>7</v>
      </c>
      <c r="L283" t="str">
        <f t="shared" si="14"/>
        <v>60218</v>
      </c>
      <c r="M283" s="344" t="s">
        <v>141</v>
      </c>
      <c r="N283" s="344">
        <v>220018</v>
      </c>
    </row>
    <row r="284" spans="1:14" ht="15">
      <c r="A284" s="344">
        <v>60218</v>
      </c>
      <c r="B284" s="345" t="s">
        <v>137</v>
      </c>
      <c r="C284" s="344">
        <v>220018</v>
      </c>
      <c r="D284" s="344" t="str">
        <f t="shared" si="12"/>
        <v>220018</v>
      </c>
      <c r="E284" s="346" t="s">
        <v>140</v>
      </c>
      <c r="F284" s="344" t="s">
        <v>143</v>
      </c>
      <c r="G284" s="344" t="str">
        <f t="shared" si="13"/>
        <v>60218AXLE 3</v>
      </c>
      <c r="H284" s="344">
        <v>7</v>
      </c>
      <c r="I284" s="344">
        <v>10</v>
      </c>
      <c r="J284" s="344">
        <v>3</v>
      </c>
      <c r="K284" s="344">
        <v>6</v>
      </c>
      <c r="L284" t="str">
        <f t="shared" si="14"/>
        <v>60218</v>
      </c>
      <c r="M284" s="344" t="s">
        <v>143</v>
      </c>
      <c r="N284" s="344">
        <v>220018</v>
      </c>
    </row>
    <row r="285" spans="1:14" ht="15">
      <c r="A285" s="344">
        <v>60218</v>
      </c>
      <c r="B285" s="345" t="s">
        <v>137</v>
      </c>
      <c r="C285" s="344">
        <v>220018</v>
      </c>
      <c r="D285" s="344" t="str">
        <f t="shared" si="12"/>
        <v>220018</v>
      </c>
      <c r="E285" s="346" t="s">
        <v>144</v>
      </c>
      <c r="F285" s="344" t="s">
        <v>145</v>
      </c>
      <c r="G285" s="344" t="str">
        <f t="shared" si="13"/>
        <v>60218AXLE 4</v>
      </c>
      <c r="H285" s="344">
        <v>8</v>
      </c>
      <c r="I285" s="344">
        <v>9</v>
      </c>
      <c r="J285" s="344">
        <v>4</v>
      </c>
      <c r="K285" s="344">
        <v>5</v>
      </c>
      <c r="L285" t="str">
        <f t="shared" si="14"/>
        <v>60218</v>
      </c>
      <c r="M285" s="344" t="s">
        <v>145</v>
      </c>
      <c r="N285" s="344">
        <v>220018</v>
      </c>
    </row>
    <row r="286" spans="1:14" ht="15">
      <c r="A286" s="344">
        <v>60418</v>
      </c>
      <c r="B286" s="345" t="s">
        <v>137</v>
      </c>
      <c r="C286" s="344">
        <v>220018</v>
      </c>
      <c r="D286" s="344" t="str">
        <f t="shared" si="12"/>
        <v>220018</v>
      </c>
      <c r="E286" s="346" t="s">
        <v>138</v>
      </c>
      <c r="F286" s="344" t="s">
        <v>139</v>
      </c>
      <c r="G286" s="344" t="str">
        <f t="shared" si="13"/>
        <v>60418AXLE 1</v>
      </c>
      <c r="H286" s="344">
        <v>1</v>
      </c>
      <c r="I286" s="344">
        <v>16</v>
      </c>
      <c r="J286" s="344">
        <v>1</v>
      </c>
      <c r="K286" s="344">
        <v>8</v>
      </c>
      <c r="L286" t="str">
        <f t="shared" si="14"/>
        <v>60418</v>
      </c>
      <c r="M286" s="344" t="s">
        <v>139</v>
      </c>
      <c r="N286" s="344">
        <v>220018</v>
      </c>
    </row>
    <row r="287" spans="1:14" ht="15">
      <c r="A287" s="344">
        <v>60418</v>
      </c>
      <c r="B287" s="345" t="s">
        <v>137</v>
      </c>
      <c r="C287" s="344">
        <v>220018</v>
      </c>
      <c r="D287" s="344" t="str">
        <f t="shared" si="12"/>
        <v>220018</v>
      </c>
      <c r="E287" s="346" t="s">
        <v>140</v>
      </c>
      <c r="F287" s="344" t="s">
        <v>141</v>
      </c>
      <c r="G287" s="344" t="str">
        <f t="shared" si="13"/>
        <v>60418AXLE 2</v>
      </c>
      <c r="H287" s="344">
        <v>2</v>
      </c>
      <c r="I287" s="344">
        <v>15</v>
      </c>
      <c r="J287" s="344">
        <v>2</v>
      </c>
      <c r="K287" s="344">
        <v>7</v>
      </c>
      <c r="L287" t="str">
        <f t="shared" si="14"/>
        <v>60418</v>
      </c>
      <c r="M287" s="344" t="s">
        <v>141</v>
      </c>
      <c r="N287" s="344">
        <v>220018</v>
      </c>
    </row>
    <row r="288" spans="1:14" ht="15">
      <c r="A288" s="344">
        <v>60418</v>
      </c>
      <c r="B288" s="345" t="s">
        <v>137</v>
      </c>
      <c r="C288" s="344">
        <v>220018</v>
      </c>
      <c r="D288" s="344" t="str">
        <f t="shared" si="12"/>
        <v>220018</v>
      </c>
      <c r="E288" s="346" t="s">
        <v>142</v>
      </c>
      <c r="F288" s="344" t="s">
        <v>143</v>
      </c>
      <c r="G288" s="344" t="str">
        <f t="shared" si="13"/>
        <v>60418AXLE 3</v>
      </c>
      <c r="H288" s="344">
        <v>3</v>
      </c>
      <c r="I288" s="344">
        <v>14</v>
      </c>
      <c r="J288" s="344">
        <v>3</v>
      </c>
      <c r="K288" s="344">
        <v>6</v>
      </c>
      <c r="L288" t="str">
        <f t="shared" si="14"/>
        <v>60418</v>
      </c>
      <c r="M288" s="344" t="s">
        <v>143</v>
      </c>
      <c r="N288" s="344">
        <v>220018</v>
      </c>
    </row>
    <row r="289" spans="1:14" ht="15">
      <c r="A289" s="344">
        <v>60418</v>
      </c>
      <c r="B289" s="345" t="s">
        <v>137</v>
      </c>
      <c r="C289" s="344">
        <v>220018</v>
      </c>
      <c r="D289" s="344" t="str">
        <f t="shared" si="12"/>
        <v>220018</v>
      </c>
      <c r="E289" s="346" t="s">
        <v>144</v>
      </c>
      <c r="F289" s="344" t="s">
        <v>145</v>
      </c>
      <c r="G289" s="344" t="str">
        <f t="shared" si="13"/>
        <v>60418AXLE 4</v>
      </c>
      <c r="H289" s="344">
        <v>4</v>
      </c>
      <c r="I289" s="344">
        <v>13</v>
      </c>
      <c r="J289" s="344">
        <v>4</v>
      </c>
      <c r="K289" s="344">
        <v>5</v>
      </c>
      <c r="L289" t="str">
        <f t="shared" si="14"/>
        <v>60418</v>
      </c>
      <c r="M289" s="344" t="s">
        <v>145</v>
      </c>
      <c r="N289" s="344">
        <v>220018</v>
      </c>
    </row>
    <row r="290" spans="1:14" ht="15">
      <c r="A290" s="344">
        <v>60319</v>
      </c>
      <c r="B290" s="345" t="s">
        <v>137</v>
      </c>
      <c r="C290" s="344">
        <v>220019</v>
      </c>
      <c r="D290" s="344" t="str">
        <f t="shared" si="12"/>
        <v>220019</v>
      </c>
      <c r="E290" s="346" t="s">
        <v>138</v>
      </c>
      <c r="F290" s="344" t="s">
        <v>139</v>
      </c>
      <c r="G290" s="344" t="str">
        <f t="shared" si="13"/>
        <v>60319AXLE 1</v>
      </c>
      <c r="H290" s="344">
        <v>16</v>
      </c>
      <c r="I290" s="344">
        <v>1</v>
      </c>
      <c r="J290" s="344">
        <v>1</v>
      </c>
      <c r="K290" s="344">
        <v>8</v>
      </c>
      <c r="L290" t="str">
        <f t="shared" si="14"/>
        <v>60319</v>
      </c>
      <c r="M290" s="344" t="s">
        <v>139</v>
      </c>
      <c r="N290" s="344">
        <v>220019</v>
      </c>
    </row>
    <row r="291" spans="1:14" ht="15">
      <c r="A291" s="344">
        <v>60319</v>
      </c>
      <c r="B291" s="345" t="s">
        <v>137</v>
      </c>
      <c r="C291" s="344">
        <v>220019</v>
      </c>
      <c r="D291" s="344" t="str">
        <f t="shared" si="12"/>
        <v>220019</v>
      </c>
      <c r="E291" s="346" t="s">
        <v>140</v>
      </c>
      <c r="F291" s="344" t="s">
        <v>141</v>
      </c>
      <c r="G291" s="344" t="str">
        <f t="shared" si="13"/>
        <v>60319AXLE 2</v>
      </c>
      <c r="H291" s="344">
        <v>15</v>
      </c>
      <c r="I291" s="344">
        <v>2</v>
      </c>
      <c r="J291" s="344">
        <v>2</v>
      </c>
      <c r="K291" s="344">
        <v>7</v>
      </c>
      <c r="L291" t="str">
        <f t="shared" si="14"/>
        <v>60319</v>
      </c>
      <c r="M291" s="344" t="s">
        <v>141</v>
      </c>
      <c r="N291" s="344">
        <v>220019</v>
      </c>
    </row>
    <row r="292" spans="1:14" ht="15">
      <c r="A292" s="344">
        <v>60319</v>
      </c>
      <c r="B292" s="345" t="s">
        <v>137</v>
      </c>
      <c r="C292" s="344">
        <v>220019</v>
      </c>
      <c r="D292" s="344" t="str">
        <f t="shared" si="12"/>
        <v>220019</v>
      </c>
      <c r="E292" s="346" t="s">
        <v>142</v>
      </c>
      <c r="F292" s="344" t="s">
        <v>143</v>
      </c>
      <c r="G292" s="344" t="str">
        <f t="shared" si="13"/>
        <v>60319AXLE 3</v>
      </c>
      <c r="H292" s="344">
        <v>14</v>
      </c>
      <c r="I292" s="344">
        <v>3</v>
      </c>
      <c r="J292" s="344">
        <v>3</v>
      </c>
      <c r="K292" s="344">
        <v>6</v>
      </c>
      <c r="L292" t="str">
        <f t="shared" si="14"/>
        <v>60319</v>
      </c>
      <c r="M292" s="344" t="s">
        <v>143</v>
      </c>
      <c r="N292" s="344">
        <v>220019</v>
      </c>
    </row>
    <row r="293" spans="1:14" ht="15">
      <c r="A293" s="344">
        <v>60319</v>
      </c>
      <c r="B293" s="345" t="s">
        <v>137</v>
      </c>
      <c r="C293" s="344">
        <v>220019</v>
      </c>
      <c r="D293" s="344" t="str">
        <f t="shared" si="12"/>
        <v>220019</v>
      </c>
      <c r="E293" s="346" t="s">
        <v>144</v>
      </c>
      <c r="F293" s="344" t="s">
        <v>145</v>
      </c>
      <c r="G293" s="344" t="str">
        <f t="shared" si="13"/>
        <v>60319AXLE 4</v>
      </c>
      <c r="H293" s="344">
        <v>13</v>
      </c>
      <c r="I293" s="344">
        <v>4</v>
      </c>
      <c r="J293" s="344">
        <v>4</v>
      </c>
      <c r="K293" s="344">
        <v>5</v>
      </c>
      <c r="L293" t="str">
        <f t="shared" si="14"/>
        <v>60319</v>
      </c>
      <c r="M293" s="344" t="s">
        <v>145</v>
      </c>
      <c r="N293" s="344">
        <v>220019</v>
      </c>
    </row>
    <row r="294" spans="1:14" ht="15">
      <c r="A294" s="344">
        <v>60719</v>
      </c>
      <c r="B294" s="345" t="s">
        <v>137</v>
      </c>
      <c r="C294" s="344">
        <v>220019</v>
      </c>
      <c r="D294" s="344" t="str">
        <f t="shared" si="12"/>
        <v>220019</v>
      </c>
      <c r="E294" s="346" t="s">
        <v>144</v>
      </c>
      <c r="F294" s="344" t="s">
        <v>139</v>
      </c>
      <c r="G294" s="344" t="str">
        <f t="shared" si="13"/>
        <v>60719AXLE 1</v>
      </c>
      <c r="H294" s="344">
        <v>9</v>
      </c>
      <c r="I294" s="344">
        <v>8</v>
      </c>
      <c r="J294" s="344">
        <v>1</v>
      </c>
      <c r="K294" s="344">
        <v>8</v>
      </c>
      <c r="L294" t="str">
        <f t="shared" si="14"/>
        <v>60719</v>
      </c>
      <c r="M294" s="344" t="s">
        <v>139</v>
      </c>
      <c r="N294" s="344">
        <v>220019</v>
      </c>
    </row>
    <row r="295" spans="1:14" ht="15">
      <c r="A295" s="344">
        <v>60719</v>
      </c>
      <c r="B295" s="345" t="s">
        <v>137</v>
      </c>
      <c r="C295" s="344">
        <v>220019</v>
      </c>
      <c r="D295" s="344" t="str">
        <f t="shared" si="12"/>
        <v>220019</v>
      </c>
      <c r="E295" s="346" t="s">
        <v>140</v>
      </c>
      <c r="F295" s="344" t="s">
        <v>141</v>
      </c>
      <c r="G295" s="344" t="str">
        <f t="shared" si="13"/>
        <v>60719AXLE 2</v>
      </c>
      <c r="H295" s="344">
        <v>10</v>
      </c>
      <c r="I295" s="344">
        <v>7</v>
      </c>
      <c r="J295" s="344">
        <v>2</v>
      </c>
      <c r="K295" s="344">
        <v>7</v>
      </c>
      <c r="L295" t="str">
        <f t="shared" si="14"/>
        <v>60719</v>
      </c>
      <c r="M295" s="344" t="s">
        <v>141</v>
      </c>
      <c r="N295" s="344">
        <v>220019</v>
      </c>
    </row>
    <row r="296" spans="1:14" ht="15">
      <c r="A296" s="344">
        <v>60719</v>
      </c>
      <c r="B296" s="345" t="s">
        <v>137</v>
      </c>
      <c r="C296" s="344">
        <v>220019</v>
      </c>
      <c r="D296" s="344" t="str">
        <f t="shared" si="12"/>
        <v>220019</v>
      </c>
      <c r="E296" s="346" t="s">
        <v>140</v>
      </c>
      <c r="F296" s="344" t="s">
        <v>143</v>
      </c>
      <c r="G296" s="344" t="str">
        <f t="shared" si="13"/>
        <v>60719AXLE 3</v>
      </c>
      <c r="H296" s="344">
        <v>11</v>
      </c>
      <c r="I296" s="344">
        <v>6</v>
      </c>
      <c r="J296" s="344">
        <v>3</v>
      </c>
      <c r="K296" s="344">
        <v>6</v>
      </c>
      <c r="L296" t="str">
        <f t="shared" si="14"/>
        <v>60719</v>
      </c>
      <c r="M296" s="344" t="s">
        <v>143</v>
      </c>
      <c r="N296" s="344">
        <v>220019</v>
      </c>
    </row>
    <row r="297" spans="1:14" ht="15">
      <c r="A297" s="344">
        <v>60719</v>
      </c>
      <c r="B297" s="345" t="s">
        <v>137</v>
      </c>
      <c r="C297" s="344">
        <v>220019</v>
      </c>
      <c r="D297" s="344" t="str">
        <f t="shared" si="12"/>
        <v>220019</v>
      </c>
      <c r="E297" s="346" t="s">
        <v>144</v>
      </c>
      <c r="F297" s="344" t="s">
        <v>145</v>
      </c>
      <c r="G297" s="344" t="str">
        <f t="shared" si="13"/>
        <v>60719AXLE 4</v>
      </c>
      <c r="H297" s="344">
        <v>12</v>
      </c>
      <c r="I297" s="344">
        <v>5</v>
      </c>
      <c r="J297" s="344">
        <v>4</v>
      </c>
      <c r="K297" s="344">
        <v>5</v>
      </c>
      <c r="L297" t="str">
        <f t="shared" si="14"/>
        <v>60719</v>
      </c>
      <c r="M297" s="344" t="s">
        <v>145</v>
      </c>
      <c r="N297" s="344">
        <v>220019</v>
      </c>
    </row>
    <row r="298" spans="1:14" ht="15">
      <c r="A298" s="344">
        <v>60219</v>
      </c>
      <c r="B298" s="345" t="s">
        <v>137</v>
      </c>
      <c r="C298" s="344">
        <v>220019</v>
      </c>
      <c r="D298" s="344" t="str">
        <f t="shared" si="12"/>
        <v>220019</v>
      </c>
      <c r="E298" s="346" t="s">
        <v>144</v>
      </c>
      <c r="F298" s="344" t="s">
        <v>139</v>
      </c>
      <c r="G298" s="344" t="str">
        <f t="shared" si="13"/>
        <v>60219AXLE 1</v>
      </c>
      <c r="H298" s="344">
        <v>5</v>
      </c>
      <c r="I298" s="344">
        <v>12</v>
      </c>
      <c r="J298" s="344">
        <v>1</v>
      </c>
      <c r="K298" s="344">
        <v>8</v>
      </c>
      <c r="L298" t="str">
        <f t="shared" si="14"/>
        <v>60219</v>
      </c>
      <c r="M298" s="344" t="s">
        <v>139</v>
      </c>
      <c r="N298" s="344">
        <v>220019</v>
      </c>
    </row>
    <row r="299" spans="1:14" ht="15">
      <c r="A299" s="344">
        <v>60219</v>
      </c>
      <c r="B299" s="345" t="s">
        <v>137</v>
      </c>
      <c r="C299" s="344">
        <v>220019</v>
      </c>
      <c r="D299" s="344" t="str">
        <f t="shared" si="12"/>
        <v>220019</v>
      </c>
      <c r="E299" s="346" t="s">
        <v>140</v>
      </c>
      <c r="F299" s="344" t="s">
        <v>141</v>
      </c>
      <c r="G299" s="344" t="str">
        <f t="shared" si="13"/>
        <v>60219AXLE 2</v>
      </c>
      <c r="H299" s="344">
        <v>6</v>
      </c>
      <c r="I299" s="344">
        <v>11</v>
      </c>
      <c r="J299" s="344">
        <v>2</v>
      </c>
      <c r="K299" s="344">
        <v>7</v>
      </c>
      <c r="L299" t="str">
        <f t="shared" si="14"/>
        <v>60219</v>
      </c>
      <c r="M299" s="344" t="s">
        <v>141</v>
      </c>
      <c r="N299" s="344">
        <v>220019</v>
      </c>
    </row>
    <row r="300" spans="1:14" ht="15">
      <c r="A300" s="344">
        <v>60219</v>
      </c>
      <c r="B300" s="345" t="s">
        <v>137</v>
      </c>
      <c r="C300" s="344">
        <v>220019</v>
      </c>
      <c r="D300" s="344" t="str">
        <f t="shared" si="12"/>
        <v>220019</v>
      </c>
      <c r="E300" s="346" t="s">
        <v>140</v>
      </c>
      <c r="F300" s="344" t="s">
        <v>143</v>
      </c>
      <c r="G300" s="344" t="str">
        <f t="shared" si="13"/>
        <v>60219AXLE 3</v>
      </c>
      <c r="H300" s="344">
        <v>7</v>
      </c>
      <c r="I300" s="344">
        <v>10</v>
      </c>
      <c r="J300" s="344">
        <v>3</v>
      </c>
      <c r="K300" s="344">
        <v>6</v>
      </c>
      <c r="L300" t="str">
        <f t="shared" si="14"/>
        <v>60219</v>
      </c>
      <c r="M300" s="344" t="s">
        <v>143</v>
      </c>
      <c r="N300" s="344">
        <v>220019</v>
      </c>
    </row>
    <row r="301" spans="1:14" ht="15">
      <c r="A301" s="344">
        <v>60219</v>
      </c>
      <c r="B301" s="345" t="s">
        <v>137</v>
      </c>
      <c r="C301" s="344">
        <v>220019</v>
      </c>
      <c r="D301" s="344" t="str">
        <f t="shared" si="12"/>
        <v>220019</v>
      </c>
      <c r="E301" s="346" t="s">
        <v>144</v>
      </c>
      <c r="F301" s="344" t="s">
        <v>145</v>
      </c>
      <c r="G301" s="344" t="str">
        <f t="shared" si="13"/>
        <v>60219AXLE 4</v>
      </c>
      <c r="H301" s="344">
        <v>8</v>
      </c>
      <c r="I301" s="344">
        <v>9</v>
      </c>
      <c r="J301" s="344">
        <v>4</v>
      </c>
      <c r="K301" s="344">
        <v>5</v>
      </c>
      <c r="L301" t="str">
        <f t="shared" si="14"/>
        <v>60219</v>
      </c>
      <c r="M301" s="344" t="s">
        <v>145</v>
      </c>
      <c r="N301" s="344">
        <v>220019</v>
      </c>
    </row>
    <row r="302" spans="1:14" ht="15">
      <c r="A302" s="344">
        <v>60419</v>
      </c>
      <c r="B302" s="345" t="s">
        <v>137</v>
      </c>
      <c r="C302" s="344">
        <v>220019</v>
      </c>
      <c r="D302" s="344" t="str">
        <f t="shared" si="12"/>
        <v>220019</v>
      </c>
      <c r="E302" s="346" t="s">
        <v>138</v>
      </c>
      <c r="F302" s="344" t="s">
        <v>139</v>
      </c>
      <c r="G302" s="344" t="str">
        <f t="shared" si="13"/>
        <v>60419AXLE 1</v>
      </c>
      <c r="H302" s="344">
        <v>1</v>
      </c>
      <c r="I302" s="344">
        <v>16</v>
      </c>
      <c r="J302" s="344">
        <v>1</v>
      </c>
      <c r="K302" s="344">
        <v>8</v>
      </c>
      <c r="L302" t="str">
        <f t="shared" si="14"/>
        <v>60419</v>
      </c>
      <c r="M302" s="344" t="s">
        <v>139</v>
      </c>
      <c r="N302" s="344">
        <v>220019</v>
      </c>
    </row>
    <row r="303" spans="1:14" ht="15">
      <c r="A303" s="344">
        <v>60419</v>
      </c>
      <c r="B303" s="345" t="s">
        <v>137</v>
      </c>
      <c r="C303" s="344">
        <v>220019</v>
      </c>
      <c r="D303" s="344" t="str">
        <f t="shared" si="12"/>
        <v>220019</v>
      </c>
      <c r="E303" s="346" t="s">
        <v>140</v>
      </c>
      <c r="F303" s="344" t="s">
        <v>141</v>
      </c>
      <c r="G303" s="344" t="str">
        <f t="shared" si="13"/>
        <v>60419AXLE 2</v>
      </c>
      <c r="H303" s="344">
        <v>2</v>
      </c>
      <c r="I303" s="344">
        <v>15</v>
      </c>
      <c r="J303" s="344">
        <v>2</v>
      </c>
      <c r="K303" s="344">
        <v>7</v>
      </c>
      <c r="L303" t="str">
        <f t="shared" si="14"/>
        <v>60419</v>
      </c>
      <c r="M303" s="344" t="s">
        <v>141</v>
      </c>
      <c r="N303" s="344">
        <v>220019</v>
      </c>
    </row>
    <row r="304" spans="1:14" ht="15">
      <c r="A304" s="344">
        <v>60419</v>
      </c>
      <c r="B304" s="345" t="s">
        <v>137</v>
      </c>
      <c r="C304" s="344">
        <v>220019</v>
      </c>
      <c r="D304" s="344" t="str">
        <f t="shared" si="12"/>
        <v>220019</v>
      </c>
      <c r="E304" s="346" t="s">
        <v>142</v>
      </c>
      <c r="F304" s="344" t="s">
        <v>143</v>
      </c>
      <c r="G304" s="344" t="str">
        <f t="shared" si="13"/>
        <v>60419AXLE 3</v>
      </c>
      <c r="H304" s="344">
        <v>3</v>
      </c>
      <c r="I304" s="344">
        <v>14</v>
      </c>
      <c r="J304" s="344">
        <v>3</v>
      </c>
      <c r="K304" s="344">
        <v>6</v>
      </c>
      <c r="L304" t="str">
        <f t="shared" si="14"/>
        <v>60419</v>
      </c>
      <c r="M304" s="344" t="s">
        <v>143</v>
      </c>
      <c r="N304" s="344">
        <v>220019</v>
      </c>
    </row>
    <row r="305" spans="1:14" ht="15">
      <c r="A305" s="344">
        <v>60419</v>
      </c>
      <c r="B305" s="345" t="s">
        <v>137</v>
      </c>
      <c r="C305" s="344">
        <v>220019</v>
      </c>
      <c r="D305" s="344" t="str">
        <f t="shared" si="12"/>
        <v>220019</v>
      </c>
      <c r="E305" s="346" t="s">
        <v>144</v>
      </c>
      <c r="F305" s="344" t="s">
        <v>145</v>
      </c>
      <c r="G305" s="344" t="str">
        <f t="shared" si="13"/>
        <v>60419AXLE 4</v>
      </c>
      <c r="H305" s="344">
        <v>4</v>
      </c>
      <c r="I305" s="344">
        <v>13</v>
      </c>
      <c r="J305" s="344">
        <v>4</v>
      </c>
      <c r="K305" s="344">
        <v>5</v>
      </c>
      <c r="L305" t="str">
        <f t="shared" si="14"/>
        <v>60419</v>
      </c>
      <c r="M305" s="344" t="s">
        <v>145</v>
      </c>
      <c r="N305" s="344">
        <v>220019</v>
      </c>
    </row>
    <row r="306" spans="1:14" ht="15">
      <c r="A306" s="344">
        <v>60320</v>
      </c>
      <c r="B306" s="345" t="s">
        <v>137</v>
      </c>
      <c r="C306" s="344">
        <v>220020</v>
      </c>
      <c r="D306" s="344" t="str">
        <f t="shared" si="12"/>
        <v>220020</v>
      </c>
      <c r="E306" s="346" t="s">
        <v>138</v>
      </c>
      <c r="F306" s="344" t="s">
        <v>139</v>
      </c>
      <c r="G306" s="344" t="str">
        <f t="shared" si="13"/>
        <v>60320AXLE 1</v>
      </c>
      <c r="H306" s="344">
        <v>16</v>
      </c>
      <c r="I306" s="344">
        <v>1</v>
      </c>
      <c r="J306" s="344">
        <v>1</v>
      </c>
      <c r="K306" s="344">
        <v>8</v>
      </c>
      <c r="L306" t="str">
        <f t="shared" si="14"/>
        <v>60320</v>
      </c>
      <c r="M306" s="344" t="s">
        <v>139</v>
      </c>
      <c r="N306" s="344">
        <v>220020</v>
      </c>
    </row>
    <row r="307" spans="1:14" ht="15">
      <c r="A307" s="344">
        <v>60320</v>
      </c>
      <c r="B307" s="345" t="s">
        <v>137</v>
      </c>
      <c r="C307" s="344">
        <v>220020</v>
      </c>
      <c r="D307" s="344" t="str">
        <f t="shared" si="12"/>
        <v>220020</v>
      </c>
      <c r="E307" s="346" t="s">
        <v>140</v>
      </c>
      <c r="F307" s="344" t="s">
        <v>141</v>
      </c>
      <c r="G307" s="344" t="str">
        <f t="shared" si="13"/>
        <v>60320AXLE 2</v>
      </c>
      <c r="H307" s="344">
        <v>15</v>
      </c>
      <c r="I307" s="344">
        <v>2</v>
      </c>
      <c r="J307" s="344">
        <v>2</v>
      </c>
      <c r="K307" s="344">
        <v>7</v>
      </c>
      <c r="L307" t="str">
        <f t="shared" si="14"/>
        <v>60320</v>
      </c>
      <c r="M307" s="344" t="s">
        <v>141</v>
      </c>
      <c r="N307" s="344">
        <v>220020</v>
      </c>
    </row>
    <row r="308" spans="1:14" ht="15">
      <c r="A308" s="344">
        <v>60320</v>
      </c>
      <c r="B308" s="345" t="s">
        <v>137</v>
      </c>
      <c r="C308" s="344">
        <v>220020</v>
      </c>
      <c r="D308" s="344" t="str">
        <f t="shared" si="12"/>
        <v>220020</v>
      </c>
      <c r="E308" s="346" t="s">
        <v>142</v>
      </c>
      <c r="F308" s="344" t="s">
        <v>143</v>
      </c>
      <c r="G308" s="344" t="str">
        <f t="shared" si="13"/>
        <v>60320AXLE 3</v>
      </c>
      <c r="H308" s="344">
        <v>14</v>
      </c>
      <c r="I308" s="344">
        <v>3</v>
      </c>
      <c r="J308" s="344">
        <v>3</v>
      </c>
      <c r="K308" s="344">
        <v>6</v>
      </c>
      <c r="L308" t="str">
        <f t="shared" si="14"/>
        <v>60320</v>
      </c>
      <c r="M308" s="344" t="s">
        <v>143</v>
      </c>
      <c r="N308" s="344">
        <v>220020</v>
      </c>
    </row>
    <row r="309" spans="1:14" ht="15">
      <c r="A309" s="344">
        <v>60320</v>
      </c>
      <c r="B309" s="345" t="s">
        <v>137</v>
      </c>
      <c r="C309" s="344">
        <v>220020</v>
      </c>
      <c r="D309" s="344" t="str">
        <f t="shared" si="12"/>
        <v>220020</v>
      </c>
      <c r="E309" s="346" t="s">
        <v>144</v>
      </c>
      <c r="F309" s="344" t="s">
        <v>145</v>
      </c>
      <c r="G309" s="344" t="str">
        <f t="shared" si="13"/>
        <v>60320AXLE 4</v>
      </c>
      <c r="H309" s="344">
        <v>13</v>
      </c>
      <c r="I309" s="344">
        <v>4</v>
      </c>
      <c r="J309" s="344">
        <v>4</v>
      </c>
      <c r="K309" s="344">
        <v>5</v>
      </c>
      <c r="L309" t="str">
        <f t="shared" si="14"/>
        <v>60320</v>
      </c>
      <c r="M309" s="344" t="s">
        <v>145</v>
      </c>
      <c r="N309" s="344">
        <v>220020</v>
      </c>
    </row>
    <row r="310" spans="1:14" ht="15">
      <c r="A310" s="344">
        <v>60720</v>
      </c>
      <c r="B310" s="345" t="s">
        <v>137</v>
      </c>
      <c r="C310" s="344">
        <v>220020</v>
      </c>
      <c r="D310" s="344" t="str">
        <f t="shared" si="12"/>
        <v>220020</v>
      </c>
      <c r="E310" s="346" t="s">
        <v>144</v>
      </c>
      <c r="F310" s="344" t="s">
        <v>139</v>
      </c>
      <c r="G310" s="344" t="str">
        <f t="shared" si="13"/>
        <v>60720AXLE 1</v>
      </c>
      <c r="H310" s="344">
        <v>9</v>
      </c>
      <c r="I310" s="344">
        <v>8</v>
      </c>
      <c r="J310" s="344">
        <v>1</v>
      </c>
      <c r="K310" s="344">
        <v>8</v>
      </c>
      <c r="L310" t="str">
        <f t="shared" si="14"/>
        <v>60720</v>
      </c>
      <c r="M310" s="344" t="s">
        <v>139</v>
      </c>
      <c r="N310" s="344">
        <v>220020</v>
      </c>
    </row>
    <row r="311" spans="1:14" ht="15">
      <c r="A311" s="344">
        <v>60720</v>
      </c>
      <c r="B311" s="345" t="s">
        <v>137</v>
      </c>
      <c r="C311" s="344">
        <v>220020</v>
      </c>
      <c r="D311" s="344" t="str">
        <f t="shared" si="12"/>
        <v>220020</v>
      </c>
      <c r="E311" s="346" t="s">
        <v>140</v>
      </c>
      <c r="F311" s="344" t="s">
        <v>141</v>
      </c>
      <c r="G311" s="344" t="str">
        <f t="shared" si="13"/>
        <v>60720AXLE 2</v>
      </c>
      <c r="H311" s="344">
        <v>10</v>
      </c>
      <c r="I311" s="344">
        <v>7</v>
      </c>
      <c r="J311" s="344">
        <v>2</v>
      </c>
      <c r="K311" s="344">
        <v>7</v>
      </c>
      <c r="L311" t="str">
        <f t="shared" si="14"/>
        <v>60720</v>
      </c>
      <c r="M311" s="344" t="s">
        <v>141</v>
      </c>
      <c r="N311" s="344">
        <v>220020</v>
      </c>
    </row>
    <row r="312" spans="1:14" ht="15">
      <c r="A312" s="344">
        <v>60720</v>
      </c>
      <c r="B312" s="345" t="s">
        <v>137</v>
      </c>
      <c r="C312" s="344">
        <v>220020</v>
      </c>
      <c r="D312" s="344" t="str">
        <f t="shared" si="12"/>
        <v>220020</v>
      </c>
      <c r="E312" s="346" t="s">
        <v>140</v>
      </c>
      <c r="F312" s="344" t="s">
        <v>143</v>
      </c>
      <c r="G312" s="344" t="str">
        <f t="shared" si="13"/>
        <v>60720AXLE 3</v>
      </c>
      <c r="H312" s="344">
        <v>11</v>
      </c>
      <c r="I312" s="344">
        <v>6</v>
      </c>
      <c r="J312" s="344">
        <v>3</v>
      </c>
      <c r="K312" s="344">
        <v>6</v>
      </c>
      <c r="L312" t="str">
        <f t="shared" si="14"/>
        <v>60720</v>
      </c>
      <c r="M312" s="344" t="s">
        <v>143</v>
      </c>
      <c r="N312" s="344">
        <v>220020</v>
      </c>
    </row>
    <row r="313" spans="1:14" ht="15">
      <c r="A313" s="344">
        <v>60720</v>
      </c>
      <c r="B313" s="345" t="s">
        <v>137</v>
      </c>
      <c r="C313" s="344">
        <v>220020</v>
      </c>
      <c r="D313" s="344" t="str">
        <f t="shared" si="12"/>
        <v>220020</v>
      </c>
      <c r="E313" s="346" t="s">
        <v>144</v>
      </c>
      <c r="F313" s="344" t="s">
        <v>145</v>
      </c>
      <c r="G313" s="344" t="str">
        <f t="shared" si="13"/>
        <v>60720AXLE 4</v>
      </c>
      <c r="H313" s="344">
        <v>12</v>
      </c>
      <c r="I313" s="344">
        <v>5</v>
      </c>
      <c r="J313" s="344">
        <v>4</v>
      </c>
      <c r="K313" s="344">
        <v>5</v>
      </c>
      <c r="L313" t="str">
        <f t="shared" si="14"/>
        <v>60720</v>
      </c>
      <c r="M313" s="344" t="s">
        <v>145</v>
      </c>
      <c r="N313" s="344">
        <v>220020</v>
      </c>
    </row>
    <row r="314" spans="1:14" ht="15">
      <c r="A314" s="344">
        <v>60220</v>
      </c>
      <c r="B314" s="345" t="s">
        <v>137</v>
      </c>
      <c r="C314" s="344">
        <v>220020</v>
      </c>
      <c r="D314" s="344" t="str">
        <f t="shared" si="12"/>
        <v>220020</v>
      </c>
      <c r="E314" s="346" t="s">
        <v>144</v>
      </c>
      <c r="F314" s="344" t="s">
        <v>139</v>
      </c>
      <c r="G314" s="344" t="str">
        <f t="shared" si="13"/>
        <v>60220AXLE 1</v>
      </c>
      <c r="H314" s="344">
        <v>5</v>
      </c>
      <c r="I314" s="344">
        <v>12</v>
      </c>
      <c r="J314" s="344">
        <v>1</v>
      </c>
      <c r="K314" s="344">
        <v>8</v>
      </c>
      <c r="L314" t="str">
        <f t="shared" si="14"/>
        <v>60220</v>
      </c>
      <c r="M314" s="344" t="s">
        <v>139</v>
      </c>
      <c r="N314" s="344">
        <v>220020</v>
      </c>
    </row>
    <row r="315" spans="1:14" ht="15">
      <c r="A315" s="344">
        <v>60220</v>
      </c>
      <c r="B315" s="345" t="s">
        <v>137</v>
      </c>
      <c r="C315" s="344">
        <v>220020</v>
      </c>
      <c r="D315" s="344" t="str">
        <f t="shared" si="12"/>
        <v>220020</v>
      </c>
      <c r="E315" s="346" t="s">
        <v>140</v>
      </c>
      <c r="F315" s="344" t="s">
        <v>141</v>
      </c>
      <c r="G315" s="344" t="str">
        <f t="shared" si="13"/>
        <v>60220AXLE 2</v>
      </c>
      <c r="H315" s="344">
        <v>6</v>
      </c>
      <c r="I315" s="344">
        <v>11</v>
      </c>
      <c r="J315" s="344">
        <v>2</v>
      </c>
      <c r="K315" s="344">
        <v>7</v>
      </c>
      <c r="L315" t="str">
        <f t="shared" si="14"/>
        <v>60220</v>
      </c>
      <c r="M315" s="344" t="s">
        <v>141</v>
      </c>
      <c r="N315" s="344">
        <v>220020</v>
      </c>
    </row>
    <row r="316" spans="1:14" ht="15">
      <c r="A316" s="344">
        <v>60220</v>
      </c>
      <c r="B316" s="345" t="s">
        <v>137</v>
      </c>
      <c r="C316" s="344">
        <v>220020</v>
      </c>
      <c r="D316" s="344" t="str">
        <f t="shared" si="12"/>
        <v>220020</v>
      </c>
      <c r="E316" s="346" t="s">
        <v>140</v>
      </c>
      <c r="F316" s="344" t="s">
        <v>143</v>
      </c>
      <c r="G316" s="344" t="str">
        <f t="shared" si="13"/>
        <v>60220AXLE 3</v>
      </c>
      <c r="H316" s="344">
        <v>7</v>
      </c>
      <c r="I316" s="344">
        <v>10</v>
      </c>
      <c r="J316" s="344">
        <v>3</v>
      </c>
      <c r="K316" s="344">
        <v>6</v>
      </c>
      <c r="L316" t="str">
        <f t="shared" si="14"/>
        <v>60220</v>
      </c>
      <c r="M316" s="344" t="s">
        <v>143</v>
      </c>
      <c r="N316" s="344">
        <v>220020</v>
      </c>
    </row>
    <row r="317" spans="1:14" ht="15">
      <c r="A317" s="344">
        <v>60220</v>
      </c>
      <c r="B317" s="345" t="s">
        <v>137</v>
      </c>
      <c r="C317" s="344">
        <v>220020</v>
      </c>
      <c r="D317" s="344" t="str">
        <f t="shared" si="12"/>
        <v>220020</v>
      </c>
      <c r="E317" s="346" t="s">
        <v>144</v>
      </c>
      <c r="F317" s="344" t="s">
        <v>145</v>
      </c>
      <c r="G317" s="344" t="str">
        <f t="shared" si="13"/>
        <v>60220AXLE 4</v>
      </c>
      <c r="H317" s="344">
        <v>8</v>
      </c>
      <c r="I317" s="344">
        <v>9</v>
      </c>
      <c r="J317" s="344">
        <v>4</v>
      </c>
      <c r="K317" s="344">
        <v>5</v>
      </c>
      <c r="L317" t="str">
        <f t="shared" si="14"/>
        <v>60220</v>
      </c>
      <c r="M317" s="344" t="s">
        <v>145</v>
      </c>
      <c r="N317" s="344">
        <v>220020</v>
      </c>
    </row>
    <row r="318" spans="1:14" ht="15">
      <c r="A318" s="344">
        <v>60420</v>
      </c>
      <c r="B318" s="345" t="s">
        <v>137</v>
      </c>
      <c r="C318" s="344">
        <v>220020</v>
      </c>
      <c r="D318" s="344" t="str">
        <f t="shared" si="12"/>
        <v>220020</v>
      </c>
      <c r="E318" s="346" t="s">
        <v>138</v>
      </c>
      <c r="F318" s="344" t="s">
        <v>139</v>
      </c>
      <c r="G318" s="344" t="str">
        <f t="shared" si="13"/>
        <v>60420AXLE 1</v>
      </c>
      <c r="H318" s="344">
        <v>1</v>
      </c>
      <c r="I318" s="344">
        <v>16</v>
      </c>
      <c r="J318" s="344">
        <v>1</v>
      </c>
      <c r="K318" s="344">
        <v>8</v>
      </c>
      <c r="L318" t="str">
        <f t="shared" si="14"/>
        <v>60420</v>
      </c>
      <c r="M318" s="344" t="s">
        <v>139</v>
      </c>
      <c r="N318" s="344">
        <v>220020</v>
      </c>
    </row>
    <row r="319" spans="1:14" ht="15">
      <c r="A319" s="344">
        <v>60420</v>
      </c>
      <c r="B319" s="345" t="s">
        <v>137</v>
      </c>
      <c r="C319" s="344">
        <v>220020</v>
      </c>
      <c r="D319" s="344" t="str">
        <f t="shared" si="12"/>
        <v>220020</v>
      </c>
      <c r="E319" s="346" t="s">
        <v>140</v>
      </c>
      <c r="F319" s="344" t="s">
        <v>141</v>
      </c>
      <c r="G319" s="344" t="str">
        <f t="shared" si="13"/>
        <v>60420AXLE 2</v>
      </c>
      <c r="H319" s="344">
        <v>2</v>
      </c>
      <c r="I319" s="344">
        <v>15</v>
      </c>
      <c r="J319" s="344">
        <v>2</v>
      </c>
      <c r="K319" s="344">
        <v>7</v>
      </c>
      <c r="L319" t="str">
        <f t="shared" si="14"/>
        <v>60420</v>
      </c>
      <c r="M319" s="344" t="s">
        <v>141</v>
      </c>
      <c r="N319" s="344">
        <v>220020</v>
      </c>
    </row>
    <row r="320" spans="1:14" ht="15">
      <c r="A320" s="344">
        <v>60420</v>
      </c>
      <c r="B320" s="345" t="s">
        <v>137</v>
      </c>
      <c r="C320" s="344">
        <v>220020</v>
      </c>
      <c r="D320" s="344" t="str">
        <f t="shared" si="12"/>
        <v>220020</v>
      </c>
      <c r="E320" s="346" t="s">
        <v>142</v>
      </c>
      <c r="F320" s="344" t="s">
        <v>143</v>
      </c>
      <c r="G320" s="344" t="str">
        <f t="shared" si="13"/>
        <v>60420AXLE 3</v>
      </c>
      <c r="H320" s="344">
        <v>3</v>
      </c>
      <c r="I320" s="344">
        <v>14</v>
      </c>
      <c r="J320" s="344">
        <v>3</v>
      </c>
      <c r="K320" s="344">
        <v>6</v>
      </c>
      <c r="L320" t="str">
        <f t="shared" si="14"/>
        <v>60420</v>
      </c>
      <c r="M320" s="344" t="s">
        <v>143</v>
      </c>
      <c r="N320" s="344">
        <v>220020</v>
      </c>
    </row>
    <row r="321" spans="1:14" ht="15">
      <c r="A321" s="344">
        <v>60420</v>
      </c>
      <c r="B321" s="345" t="s">
        <v>137</v>
      </c>
      <c r="C321" s="344">
        <v>220020</v>
      </c>
      <c r="D321" s="344" t="str">
        <f t="shared" si="12"/>
        <v>220020</v>
      </c>
      <c r="E321" s="346" t="s">
        <v>144</v>
      </c>
      <c r="F321" s="344" t="s">
        <v>145</v>
      </c>
      <c r="G321" s="344" t="str">
        <f t="shared" si="13"/>
        <v>60420AXLE 4</v>
      </c>
      <c r="H321" s="344">
        <v>4</v>
      </c>
      <c r="I321" s="344">
        <v>13</v>
      </c>
      <c r="J321" s="344">
        <v>4</v>
      </c>
      <c r="K321" s="344">
        <v>5</v>
      </c>
      <c r="L321" t="str">
        <f t="shared" si="14"/>
        <v>60420</v>
      </c>
      <c r="M321" s="344" t="s">
        <v>145</v>
      </c>
      <c r="N321" s="344">
        <v>220020</v>
      </c>
    </row>
    <row r="322" spans="1:14" ht="15">
      <c r="A322" s="344">
        <v>60321</v>
      </c>
      <c r="B322" s="345" t="s">
        <v>137</v>
      </c>
      <c r="C322" s="344">
        <v>220021</v>
      </c>
      <c r="D322" s="344" t="str">
        <f t="shared" si="12"/>
        <v>220021</v>
      </c>
      <c r="E322" s="346" t="s">
        <v>138</v>
      </c>
      <c r="F322" s="344" t="s">
        <v>139</v>
      </c>
      <c r="G322" s="344" t="str">
        <f t="shared" si="13"/>
        <v>60321AXLE 1</v>
      </c>
      <c r="H322" s="344">
        <v>16</v>
      </c>
      <c r="I322" s="344">
        <v>1</v>
      </c>
      <c r="J322" s="344">
        <v>1</v>
      </c>
      <c r="K322" s="344">
        <v>8</v>
      </c>
      <c r="L322" t="str">
        <f t="shared" si="14"/>
        <v>60321</v>
      </c>
      <c r="M322" s="344" t="s">
        <v>139</v>
      </c>
      <c r="N322" s="344">
        <v>220021</v>
      </c>
    </row>
    <row r="323" spans="1:14" ht="15">
      <c r="A323" s="344">
        <v>60321</v>
      </c>
      <c r="B323" s="345" t="s">
        <v>137</v>
      </c>
      <c r="C323" s="344">
        <v>220021</v>
      </c>
      <c r="D323" s="344" t="str">
        <f t="shared" ref="D323:D386" si="15">CONCATENATE(B323,C323)</f>
        <v>220021</v>
      </c>
      <c r="E323" s="346" t="s">
        <v>140</v>
      </c>
      <c r="F323" s="344" t="s">
        <v>141</v>
      </c>
      <c r="G323" s="344" t="str">
        <f t="shared" ref="G323:G386" si="16">CONCATENATE(A323,F323)</f>
        <v>60321AXLE 2</v>
      </c>
      <c r="H323" s="344">
        <v>15</v>
      </c>
      <c r="I323" s="344">
        <v>2</v>
      </c>
      <c r="J323" s="344">
        <v>2</v>
      </c>
      <c r="K323" s="344">
        <v>7</v>
      </c>
      <c r="L323" t="str">
        <f t="shared" ref="L323:L386" si="17">CONCATENATE(A323,B323)</f>
        <v>60321</v>
      </c>
      <c r="M323" s="344" t="s">
        <v>141</v>
      </c>
      <c r="N323" s="344">
        <v>220021</v>
      </c>
    </row>
    <row r="324" spans="1:14" ht="15">
      <c r="A324" s="344">
        <v>60321</v>
      </c>
      <c r="B324" s="345" t="s">
        <v>137</v>
      </c>
      <c r="C324" s="344">
        <v>220021</v>
      </c>
      <c r="D324" s="344" t="str">
        <f t="shared" si="15"/>
        <v>220021</v>
      </c>
      <c r="E324" s="346" t="s">
        <v>142</v>
      </c>
      <c r="F324" s="344" t="s">
        <v>143</v>
      </c>
      <c r="G324" s="344" t="str">
        <f t="shared" si="16"/>
        <v>60321AXLE 3</v>
      </c>
      <c r="H324" s="344">
        <v>14</v>
      </c>
      <c r="I324" s="344">
        <v>3</v>
      </c>
      <c r="J324" s="344">
        <v>3</v>
      </c>
      <c r="K324" s="344">
        <v>6</v>
      </c>
      <c r="L324" t="str">
        <f t="shared" si="17"/>
        <v>60321</v>
      </c>
      <c r="M324" s="344" t="s">
        <v>143</v>
      </c>
      <c r="N324" s="344">
        <v>220021</v>
      </c>
    </row>
    <row r="325" spans="1:14" ht="15">
      <c r="A325" s="344">
        <v>60321</v>
      </c>
      <c r="B325" s="345" t="s">
        <v>137</v>
      </c>
      <c r="C325" s="344">
        <v>220021</v>
      </c>
      <c r="D325" s="344" t="str">
        <f t="shared" si="15"/>
        <v>220021</v>
      </c>
      <c r="E325" s="346" t="s">
        <v>144</v>
      </c>
      <c r="F325" s="344" t="s">
        <v>145</v>
      </c>
      <c r="G325" s="344" t="str">
        <f t="shared" si="16"/>
        <v>60321AXLE 4</v>
      </c>
      <c r="H325" s="344">
        <v>13</v>
      </c>
      <c r="I325" s="344">
        <v>4</v>
      </c>
      <c r="J325" s="344">
        <v>4</v>
      </c>
      <c r="K325" s="344">
        <v>5</v>
      </c>
      <c r="L325" t="str">
        <f t="shared" si="17"/>
        <v>60321</v>
      </c>
      <c r="M325" s="344" t="s">
        <v>145</v>
      </c>
      <c r="N325" s="344">
        <v>220021</v>
      </c>
    </row>
    <row r="326" spans="1:14" ht="15">
      <c r="A326" s="344">
        <v>60721</v>
      </c>
      <c r="B326" s="345" t="s">
        <v>137</v>
      </c>
      <c r="C326" s="344">
        <v>220021</v>
      </c>
      <c r="D326" s="344" t="str">
        <f t="shared" si="15"/>
        <v>220021</v>
      </c>
      <c r="E326" s="346" t="s">
        <v>144</v>
      </c>
      <c r="F326" s="344" t="s">
        <v>139</v>
      </c>
      <c r="G326" s="344" t="str">
        <f t="shared" si="16"/>
        <v>60721AXLE 1</v>
      </c>
      <c r="H326" s="344">
        <v>9</v>
      </c>
      <c r="I326" s="344">
        <v>8</v>
      </c>
      <c r="J326" s="344">
        <v>1</v>
      </c>
      <c r="K326" s="344">
        <v>8</v>
      </c>
      <c r="L326" t="str">
        <f t="shared" si="17"/>
        <v>60721</v>
      </c>
      <c r="M326" s="344" t="s">
        <v>139</v>
      </c>
      <c r="N326" s="344">
        <v>220021</v>
      </c>
    </row>
    <row r="327" spans="1:14" ht="15">
      <c r="A327" s="344">
        <v>60721</v>
      </c>
      <c r="B327" s="345" t="s">
        <v>137</v>
      </c>
      <c r="C327" s="344">
        <v>220021</v>
      </c>
      <c r="D327" s="344" t="str">
        <f t="shared" si="15"/>
        <v>220021</v>
      </c>
      <c r="E327" s="346" t="s">
        <v>140</v>
      </c>
      <c r="F327" s="344" t="s">
        <v>141</v>
      </c>
      <c r="G327" s="344" t="str">
        <f t="shared" si="16"/>
        <v>60721AXLE 2</v>
      </c>
      <c r="H327" s="344">
        <v>10</v>
      </c>
      <c r="I327" s="344">
        <v>7</v>
      </c>
      <c r="J327" s="344">
        <v>2</v>
      </c>
      <c r="K327" s="344">
        <v>7</v>
      </c>
      <c r="L327" t="str">
        <f t="shared" si="17"/>
        <v>60721</v>
      </c>
      <c r="M327" s="344" t="s">
        <v>141</v>
      </c>
      <c r="N327" s="344">
        <v>220021</v>
      </c>
    </row>
    <row r="328" spans="1:14" ht="15">
      <c r="A328" s="344">
        <v>60721</v>
      </c>
      <c r="B328" s="345" t="s">
        <v>137</v>
      </c>
      <c r="C328" s="344">
        <v>220021</v>
      </c>
      <c r="D328" s="344" t="str">
        <f t="shared" si="15"/>
        <v>220021</v>
      </c>
      <c r="E328" s="346" t="s">
        <v>140</v>
      </c>
      <c r="F328" s="344" t="s">
        <v>143</v>
      </c>
      <c r="G328" s="344" t="str">
        <f t="shared" si="16"/>
        <v>60721AXLE 3</v>
      </c>
      <c r="H328" s="344">
        <v>11</v>
      </c>
      <c r="I328" s="344">
        <v>6</v>
      </c>
      <c r="J328" s="344">
        <v>3</v>
      </c>
      <c r="K328" s="344">
        <v>6</v>
      </c>
      <c r="L328" t="str">
        <f t="shared" si="17"/>
        <v>60721</v>
      </c>
      <c r="M328" s="344" t="s">
        <v>143</v>
      </c>
      <c r="N328" s="344">
        <v>220021</v>
      </c>
    </row>
    <row r="329" spans="1:14" ht="15">
      <c r="A329" s="344">
        <v>60721</v>
      </c>
      <c r="B329" s="345" t="s">
        <v>137</v>
      </c>
      <c r="C329" s="344">
        <v>220021</v>
      </c>
      <c r="D329" s="344" t="str">
        <f t="shared" si="15"/>
        <v>220021</v>
      </c>
      <c r="E329" s="346" t="s">
        <v>144</v>
      </c>
      <c r="F329" s="344" t="s">
        <v>145</v>
      </c>
      <c r="G329" s="344" t="str">
        <f t="shared" si="16"/>
        <v>60721AXLE 4</v>
      </c>
      <c r="H329" s="344">
        <v>12</v>
      </c>
      <c r="I329" s="344">
        <v>5</v>
      </c>
      <c r="J329" s="344">
        <v>4</v>
      </c>
      <c r="K329" s="344">
        <v>5</v>
      </c>
      <c r="L329" t="str">
        <f t="shared" si="17"/>
        <v>60721</v>
      </c>
      <c r="M329" s="344" t="s">
        <v>145</v>
      </c>
      <c r="N329" s="344">
        <v>220021</v>
      </c>
    </row>
    <row r="330" spans="1:14" ht="15">
      <c r="A330" s="344">
        <v>60221</v>
      </c>
      <c r="B330" s="345" t="s">
        <v>137</v>
      </c>
      <c r="C330" s="344">
        <v>220021</v>
      </c>
      <c r="D330" s="344" t="str">
        <f t="shared" si="15"/>
        <v>220021</v>
      </c>
      <c r="E330" s="346" t="s">
        <v>144</v>
      </c>
      <c r="F330" s="344" t="s">
        <v>139</v>
      </c>
      <c r="G330" s="344" t="str">
        <f t="shared" si="16"/>
        <v>60221AXLE 1</v>
      </c>
      <c r="H330" s="344">
        <v>5</v>
      </c>
      <c r="I330" s="344">
        <v>12</v>
      </c>
      <c r="J330" s="344">
        <v>1</v>
      </c>
      <c r="K330" s="344">
        <v>8</v>
      </c>
      <c r="L330" t="str">
        <f t="shared" si="17"/>
        <v>60221</v>
      </c>
      <c r="M330" s="344" t="s">
        <v>139</v>
      </c>
      <c r="N330" s="344">
        <v>220021</v>
      </c>
    </row>
    <row r="331" spans="1:14" ht="15">
      <c r="A331" s="344">
        <v>60221</v>
      </c>
      <c r="B331" s="345" t="s">
        <v>137</v>
      </c>
      <c r="C331" s="344">
        <v>220021</v>
      </c>
      <c r="D331" s="344" t="str">
        <f t="shared" si="15"/>
        <v>220021</v>
      </c>
      <c r="E331" s="346" t="s">
        <v>140</v>
      </c>
      <c r="F331" s="344" t="s">
        <v>141</v>
      </c>
      <c r="G331" s="344" t="str">
        <f t="shared" si="16"/>
        <v>60221AXLE 2</v>
      </c>
      <c r="H331" s="344">
        <v>6</v>
      </c>
      <c r="I331" s="344">
        <v>11</v>
      </c>
      <c r="J331" s="344">
        <v>2</v>
      </c>
      <c r="K331" s="344">
        <v>7</v>
      </c>
      <c r="L331" t="str">
        <f t="shared" si="17"/>
        <v>60221</v>
      </c>
      <c r="M331" s="344" t="s">
        <v>141</v>
      </c>
      <c r="N331" s="344">
        <v>220021</v>
      </c>
    </row>
    <row r="332" spans="1:14" ht="15">
      <c r="A332" s="344">
        <v>60221</v>
      </c>
      <c r="B332" s="345" t="s">
        <v>137</v>
      </c>
      <c r="C332" s="344">
        <v>220021</v>
      </c>
      <c r="D332" s="344" t="str">
        <f t="shared" si="15"/>
        <v>220021</v>
      </c>
      <c r="E332" s="346" t="s">
        <v>140</v>
      </c>
      <c r="F332" s="344" t="s">
        <v>143</v>
      </c>
      <c r="G332" s="344" t="str">
        <f t="shared" si="16"/>
        <v>60221AXLE 3</v>
      </c>
      <c r="H332" s="344">
        <v>7</v>
      </c>
      <c r="I332" s="344">
        <v>10</v>
      </c>
      <c r="J332" s="344">
        <v>3</v>
      </c>
      <c r="K332" s="344">
        <v>6</v>
      </c>
      <c r="L332" t="str">
        <f t="shared" si="17"/>
        <v>60221</v>
      </c>
      <c r="M332" s="344" t="s">
        <v>143</v>
      </c>
      <c r="N332" s="344">
        <v>220021</v>
      </c>
    </row>
    <row r="333" spans="1:14" ht="15">
      <c r="A333" s="344">
        <v>60221</v>
      </c>
      <c r="B333" s="345" t="s">
        <v>137</v>
      </c>
      <c r="C333" s="344">
        <v>220021</v>
      </c>
      <c r="D333" s="344" t="str">
        <f t="shared" si="15"/>
        <v>220021</v>
      </c>
      <c r="E333" s="346" t="s">
        <v>144</v>
      </c>
      <c r="F333" s="344" t="s">
        <v>145</v>
      </c>
      <c r="G333" s="344" t="str">
        <f t="shared" si="16"/>
        <v>60221AXLE 4</v>
      </c>
      <c r="H333" s="344">
        <v>8</v>
      </c>
      <c r="I333" s="344">
        <v>9</v>
      </c>
      <c r="J333" s="344">
        <v>4</v>
      </c>
      <c r="K333" s="344">
        <v>5</v>
      </c>
      <c r="L333" t="str">
        <f t="shared" si="17"/>
        <v>60221</v>
      </c>
      <c r="M333" s="344" t="s">
        <v>145</v>
      </c>
      <c r="N333" s="344">
        <v>220021</v>
      </c>
    </row>
    <row r="334" spans="1:14" ht="15">
      <c r="A334" s="344">
        <v>60421</v>
      </c>
      <c r="B334" s="345" t="s">
        <v>137</v>
      </c>
      <c r="C334" s="344">
        <v>220021</v>
      </c>
      <c r="D334" s="344" t="str">
        <f t="shared" si="15"/>
        <v>220021</v>
      </c>
      <c r="E334" s="346" t="s">
        <v>138</v>
      </c>
      <c r="F334" s="344" t="s">
        <v>139</v>
      </c>
      <c r="G334" s="344" t="str">
        <f t="shared" si="16"/>
        <v>60421AXLE 1</v>
      </c>
      <c r="H334" s="344">
        <v>1</v>
      </c>
      <c r="I334" s="344">
        <v>16</v>
      </c>
      <c r="J334" s="344">
        <v>1</v>
      </c>
      <c r="K334" s="344">
        <v>8</v>
      </c>
      <c r="L334" t="str">
        <f t="shared" si="17"/>
        <v>60421</v>
      </c>
      <c r="M334" s="344" t="s">
        <v>139</v>
      </c>
      <c r="N334" s="344">
        <v>220021</v>
      </c>
    </row>
    <row r="335" spans="1:14" ht="15">
      <c r="A335" s="344">
        <v>60421</v>
      </c>
      <c r="B335" s="345" t="s">
        <v>137</v>
      </c>
      <c r="C335" s="344">
        <v>220021</v>
      </c>
      <c r="D335" s="344" t="str">
        <f t="shared" si="15"/>
        <v>220021</v>
      </c>
      <c r="E335" s="346" t="s">
        <v>140</v>
      </c>
      <c r="F335" s="344" t="s">
        <v>141</v>
      </c>
      <c r="G335" s="344" t="str">
        <f t="shared" si="16"/>
        <v>60421AXLE 2</v>
      </c>
      <c r="H335" s="344">
        <v>2</v>
      </c>
      <c r="I335" s="344">
        <v>15</v>
      </c>
      <c r="J335" s="344">
        <v>2</v>
      </c>
      <c r="K335" s="344">
        <v>7</v>
      </c>
      <c r="L335" t="str">
        <f t="shared" si="17"/>
        <v>60421</v>
      </c>
      <c r="M335" s="344" t="s">
        <v>141</v>
      </c>
      <c r="N335" s="344">
        <v>220021</v>
      </c>
    </row>
    <row r="336" spans="1:14" ht="15">
      <c r="A336" s="344">
        <v>60421</v>
      </c>
      <c r="B336" s="345" t="s">
        <v>137</v>
      </c>
      <c r="C336" s="344">
        <v>220021</v>
      </c>
      <c r="D336" s="344" t="str">
        <f t="shared" si="15"/>
        <v>220021</v>
      </c>
      <c r="E336" s="346" t="s">
        <v>142</v>
      </c>
      <c r="F336" s="344" t="s">
        <v>143</v>
      </c>
      <c r="G336" s="344" t="str">
        <f t="shared" si="16"/>
        <v>60421AXLE 3</v>
      </c>
      <c r="H336" s="344">
        <v>3</v>
      </c>
      <c r="I336" s="344">
        <v>14</v>
      </c>
      <c r="J336" s="344">
        <v>3</v>
      </c>
      <c r="K336" s="344">
        <v>6</v>
      </c>
      <c r="L336" t="str">
        <f t="shared" si="17"/>
        <v>60421</v>
      </c>
      <c r="M336" s="344" t="s">
        <v>143</v>
      </c>
      <c r="N336" s="344">
        <v>220021</v>
      </c>
    </row>
    <row r="337" spans="1:14" ht="15">
      <c r="A337" s="344">
        <v>60421</v>
      </c>
      <c r="B337" s="345" t="s">
        <v>137</v>
      </c>
      <c r="C337" s="344">
        <v>220021</v>
      </c>
      <c r="D337" s="344" t="str">
        <f t="shared" si="15"/>
        <v>220021</v>
      </c>
      <c r="E337" s="346" t="s">
        <v>144</v>
      </c>
      <c r="F337" s="344" t="s">
        <v>145</v>
      </c>
      <c r="G337" s="344" t="str">
        <f t="shared" si="16"/>
        <v>60421AXLE 4</v>
      </c>
      <c r="H337" s="344">
        <v>4</v>
      </c>
      <c r="I337" s="344">
        <v>13</v>
      </c>
      <c r="J337" s="344">
        <v>4</v>
      </c>
      <c r="K337" s="344">
        <v>5</v>
      </c>
      <c r="L337" t="str">
        <f t="shared" si="17"/>
        <v>60421</v>
      </c>
      <c r="M337" s="344" t="s">
        <v>145</v>
      </c>
      <c r="N337" s="344">
        <v>220021</v>
      </c>
    </row>
    <row r="338" spans="1:14" ht="15">
      <c r="A338" s="344">
        <v>60322</v>
      </c>
      <c r="B338" s="345" t="s">
        <v>137</v>
      </c>
      <c r="C338" s="344">
        <v>220022</v>
      </c>
      <c r="D338" s="344" t="str">
        <f t="shared" si="15"/>
        <v>220022</v>
      </c>
      <c r="E338" s="346" t="s">
        <v>138</v>
      </c>
      <c r="F338" s="344" t="s">
        <v>139</v>
      </c>
      <c r="G338" s="344" t="str">
        <f t="shared" si="16"/>
        <v>60322AXLE 1</v>
      </c>
      <c r="H338" s="344">
        <v>16</v>
      </c>
      <c r="I338" s="344">
        <v>1</v>
      </c>
      <c r="J338" s="344">
        <v>1</v>
      </c>
      <c r="K338" s="344">
        <v>8</v>
      </c>
      <c r="L338" t="str">
        <f t="shared" si="17"/>
        <v>60322</v>
      </c>
      <c r="M338" s="344" t="s">
        <v>139</v>
      </c>
      <c r="N338" s="344">
        <v>220022</v>
      </c>
    </row>
    <row r="339" spans="1:14" ht="15">
      <c r="A339" s="344">
        <v>60322</v>
      </c>
      <c r="B339" s="345" t="s">
        <v>137</v>
      </c>
      <c r="C339" s="344">
        <v>220022</v>
      </c>
      <c r="D339" s="344" t="str">
        <f t="shared" si="15"/>
        <v>220022</v>
      </c>
      <c r="E339" s="346" t="s">
        <v>140</v>
      </c>
      <c r="F339" s="344" t="s">
        <v>141</v>
      </c>
      <c r="G339" s="344" t="str">
        <f t="shared" si="16"/>
        <v>60322AXLE 2</v>
      </c>
      <c r="H339" s="344">
        <v>15</v>
      </c>
      <c r="I339" s="344">
        <v>2</v>
      </c>
      <c r="J339" s="344">
        <v>2</v>
      </c>
      <c r="K339" s="344">
        <v>7</v>
      </c>
      <c r="L339" t="str">
        <f t="shared" si="17"/>
        <v>60322</v>
      </c>
      <c r="M339" s="344" t="s">
        <v>141</v>
      </c>
      <c r="N339" s="344">
        <v>220022</v>
      </c>
    </row>
    <row r="340" spans="1:14" ht="15">
      <c r="A340" s="344">
        <v>60322</v>
      </c>
      <c r="B340" s="345" t="s">
        <v>137</v>
      </c>
      <c r="C340" s="344">
        <v>220022</v>
      </c>
      <c r="D340" s="344" t="str">
        <f t="shared" si="15"/>
        <v>220022</v>
      </c>
      <c r="E340" s="346" t="s">
        <v>142</v>
      </c>
      <c r="F340" s="344" t="s">
        <v>143</v>
      </c>
      <c r="G340" s="344" t="str">
        <f t="shared" si="16"/>
        <v>60322AXLE 3</v>
      </c>
      <c r="H340" s="344">
        <v>14</v>
      </c>
      <c r="I340" s="344">
        <v>3</v>
      </c>
      <c r="J340" s="344">
        <v>3</v>
      </c>
      <c r="K340" s="344">
        <v>6</v>
      </c>
      <c r="L340" t="str">
        <f t="shared" si="17"/>
        <v>60322</v>
      </c>
      <c r="M340" s="344" t="s">
        <v>143</v>
      </c>
      <c r="N340" s="344">
        <v>220022</v>
      </c>
    </row>
    <row r="341" spans="1:14" ht="15">
      <c r="A341" s="344">
        <v>60322</v>
      </c>
      <c r="B341" s="345" t="s">
        <v>137</v>
      </c>
      <c r="C341" s="344">
        <v>220022</v>
      </c>
      <c r="D341" s="344" t="str">
        <f t="shared" si="15"/>
        <v>220022</v>
      </c>
      <c r="E341" s="346" t="s">
        <v>144</v>
      </c>
      <c r="F341" s="344" t="s">
        <v>145</v>
      </c>
      <c r="G341" s="344" t="str">
        <f t="shared" si="16"/>
        <v>60322AXLE 4</v>
      </c>
      <c r="H341" s="344">
        <v>13</v>
      </c>
      <c r="I341" s="344">
        <v>4</v>
      </c>
      <c r="J341" s="344">
        <v>4</v>
      </c>
      <c r="K341" s="344">
        <v>5</v>
      </c>
      <c r="L341" t="str">
        <f t="shared" si="17"/>
        <v>60322</v>
      </c>
      <c r="M341" s="344" t="s">
        <v>145</v>
      </c>
      <c r="N341" s="344">
        <v>220022</v>
      </c>
    </row>
    <row r="342" spans="1:14" ht="15">
      <c r="A342" s="344">
        <v>60722</v>
      </c>
      <c r="B342" s="345" t="s">
        <v>137</v>
      </c>
      <c r="C342" s="344">
        <v>220022</v>
      </c>
      <c r="D342" s="344" t="str">
        <f t="shared" si="15"/>
        <v>220022</v>
      </c>
      <c r="E342" s="346" t="s">
        <v>144</v>
      </c>
      <c r="F342" s="344" t="s">
        <v>139</v>
      </c>
      <c r="G342" s="344" t="str">
        <f t="shared" si="16"/>
        <v>60722AXLE 1</v>
      </c>
      <c r="H342" s="344">
        <v>9</v>
      </c>
      <c r="I342" s="344">
        <v>8</v>
      </c>
      <c r="J342" s="344">
        <v>1</v>
      </c>
      <c r="K342" s="344">
        <v>8</v>
      </c>
      <c r="L342" t="str">
        <f t="shared" si="17"/>
        <v>60722</v>
      </c>
      <c r="M342" s="344" t="s">
        <v>139</v>
      </c>
      <c r="N342" s="344">
        <v>220022</v>
      </c>
    </row>
    <row r="343" spans="1:14" ht="15">
      <c r="A343" s="344">
        <v>60722</v>
      </c>
      <c r="B343" s="345" t="s">
        <v>137</v>
      </c>
      <c r="C343" s="344">
        <v>220022</v>
      </c>
      <c r="D343" s="344" t="str">
        <f t="shared" si="15"/>
        <v>220022</v>
      </c>
      <c r="E343" s="346" t="s">
        <v>140</v>
      </c>
      <c r="F343" s="344" t="s">
        <v>141</v>
      </c>
      <c r="G343" s="344" t="str">
        <f t="shared" si="16"/>
        <v>60722AXLE 2</v>
      </c>
      <c r="H343" s="344">
        <v>10</v>
      </c>
      <c r="I343" s="344">
        <v>7</v>
      </c>
      <c r="J343" s="344">
        <v>2</v>
      </c>
      <c r="K343" s="344">
        <v>7</v>
      </c>
      <c r="L343" t="str">
        <f t="shared" si="17"/>
        <v>60722</v>
      </c>
      <c r="M343" s="344" t="s">
        <v>141</v>
      </c>
      <c r="N343" s="344">
        <v>220022</v>
      </c>
    </row>
    <row r="344" spans="1:14" ht="15">
      <c r="A344" s="344">
        <v>60722</v>
      </c>
      <c r="B344" s="345" t="s">
        <v>137</v>
      </c>
      <c r="C344" s="344">
        <v>220022</v>
      </c>
      <c r="D344" s="344" t="str">
        <f t="shared" si="15"/>
        <v>220022</v>
      </c>
      <c r="E344" s="346" t="s">
        <v>140</v>
      </c>
      <c r="F344" s="344" t="s">
        <v>143</v>
      </c>
      <c r="G344" s="344" t="str">
        <f t="shared" si="16"/>
        <v>60722AXLE 3</v>
      </c>
      <c r="H344" s="344">
        <v>11</v>
      </c>
      <c r="I344" s="344">
        <v>6</v>
      </c>
      <c r="J344" s="344">
        <v>3</v>
      </c>
      <c r="K344" s="344">
        <v>6</v>
      </c>
      <c r="L344" t="str">
        <f t="shared" si="17"/>
        <v>60722</v>
      </c>
      <c r="M344" s="344" t="s">
        <v>143</v>
      </c>
      <c r="N344" s="344">
        <v>220022</v>
      </c>
    </row>
    <row r="345" spans="1:14" ht="15">
      <c r="A345" s="344">
        <v>60722</v>
      </c>
      <c r="B345" s="345" t="s">
        <v>137</v>
      </c>
      <c r="C345" s="344">
        <v>220022</v>
      </c>
      <c r="D345" s="344" t="str">
        <f t="shared" si="15"/>
        <v>220022</v>
      </c>
      <c r="E345" s="346" t="s">
        <v>144</v>
      </c>
      <c r="F345" s="344" t="s">
        <v>145</v>
      </c>
      <c r="G345" s="344" t="str">
        <f t="shared" si="16"/>
        <v>60722AXLE 4</v>
      </c>
      <c r="H345" s="344">
        <v>12</v>
      </c>
      <c r="I345" s="344">
        <v>5</v>
      </c>
      <c r="J345" s="344">
        <v>4</v>
      </c>
      <c r="K345" s="344">
        <v>5</v>
      </c>
      <c r="L345" t="str">
        <f t="shared" si="17"/>
        <v>60722</v>
      </c>
      <c r="M345" s="344" t="s">
        <v>145</v>
      </c>
      <c r="N345" s="344">
        <v>220022</v>
      </c>
    </row>
    <row r="346" spans="1:14" ht="15">
      <c r="A346" s="344">
        <v>60222</v>
      </c>
      <c r="B346" s="345" t="s">
        <v>137</v>
      </c>
      <c r="C346" s="344">
        <v>220022</v>
      </c>
      <c r="D346" s="344" t="str">
        <f t="shared" si="15"/>
        <v>220022</v>
      </c>
      <c r="E346" s="346" t="s">
        <v>144</v>
      </c>
      <c r="F346" s="344" t="s">
        <v>139</v>
      </c>
      <c r="G346" s="344" t="str">
        <f t="shared" si="16"/>
        <v>60222AXLE 1</v>
      </c>
      <c r="H346" s="344">
        <v>5</v>
      </c>
      <c r="I346" s="344">
        <v>12</v>
      </c>
      <c r="J346" s="344">
        <v>1</v>
      </c>
      <c r="K346" s="344">
        <v>8</v>
      </c>
      <c r="L346" t="str">
        <f t="shared" si="17"/>
        <v>60222</v>
      </c>
      <c r="M346" s="344" t="s">
        <v>139</v>
      </c>
      <c r="N346" s="344">
        <v>220022</v>
      </c>
    </row>
    <row r="347" spans="1:14" ht="15">
      <c r="A347" s="344">
        <v>60222</v>
      </c>
      <c r="B347" s="345" t="s">
        <v>137</v>
      </c>
      <c r="C347" s="344">
        <v>220022</v>
      </c>
      <c r="D347" s="344" t="str">
        <f t="shared" si="15"/>
        <v>220022</v>
      </c>
      <c r="E347" s="346" t="s">
        <v>140</v>
      </c>
      <c r="F347" s="344" t="s">
        <v>141</v>
      </c>
      <c r="G347" s="344" t="str">
        <f t="shared" si="16"/>
        <v>60222AXLE 2</v>
      </c>
      <c r="H347" s="344">
        <v>6</v>
      </c>
      <c r="I347" s="344">
        <v>11</v>
      </c>
      <c r="J347" s="344">
        <v>2</v>
      </c>
      <c r="K347" s="344">
        <v>7</v>
      </c>
      <c r="L347" t="str">
        <f t="shared" si="17"/>
        <v>60222</v>
      </c>
      <c r="M347" s="344" t="s">
        <v>141</v>
      </c>
      <c r="N347" s="344">
        <v>220022</v>
      </c>
    </row>
    <row r="348" spans="1:14" ht="15">
      <c r="A348" s="344">
        <v>60222</v>
      </c>
      <c r="B348" s="345" t="s">
        <v>137</v>
      </c>
      <c r="C348" s="344">
        <v>220022</v>
      </c>
      <c r="D348" s="344" t="str">
        <f t="shared" si="15"/>
        <v>220022</v>
      </c>
      <c r="E348" s="346" t="s">
        <v>140</v>
      </c>
      <c r="F348" s="344" t="s">
        <v>143</v>
      </c>
      <c r="G348" s="344" t="str">
        <f t="shared" si="16"/>
        <v>60222AXLE 3</v>
      </c>
      <c r="H348" s="344">
        <v>7</v>
      </c>
      <c r="I348" s="344">
        <v>10</v>
      </c>
      <c r="J348" s="344">
        <v>3</v>
      </c>
      <c r="K348" s="344">
        <v>6</v>
      </c>
      <c r="L348" t="str">
        <f t="shared" si="17"/>
        <v>60222</v>
      </c>
      <c r="M348" s="344" t="s">
        <v>143</v>
      </c>
      <c r="N348" s="344">
        <v>220022</v>
      </c>
    </row>
    <row r="349" spans="1:14" ht="15">
      <c r="A349" s="344">
        <v>60222</v>
      </c>
      <c r="B349" s="345" t="s">
        <v>137</v>
      </c>
      <c r="C349" s="344">
        <v>220022</v>
      </c>
      <c r="D349" s="344" t="str">
        <f t="shared" si="15"/>
        <v>220022</v>
      </c>
      <c r="E349" s="346" t="s">
        <v>144</v>
      </c>
      <c r="F349" s="344" t="s">
        <v>145</v>
      </c>
      <c r="G349" s="344" t="str">
        <f t="shared" si="16"/>
        <v>60222AXLE 4</v>
      </c>
      <c r="H349" s="344">
        <v>8</v>
      </c>
      <c r="I349" s="344">
        <v>9</v>
      </c>
      <c r="J349" s="344">
        <v>4</v>
      </c>
      <c r="K349" s="344">
        <v>5</v>
      </c>
      <c r="L349" t="str">
        <f t="shared" si="17"/>
        <v>60222</v>
      </c>
      <c r="M349" s="344" t="s">
        <v>145</v>
      </c>
      <c r="N349" s="344">
        <v>220022</v>
      </c>
    </row>
    <row r="350" spans="1:14" ht="15">
      <c r="A350" s="344">
        <v>60422</v>
      </c>
      <c r="B350" s="345" t="s">
        <v>137</v>
      </c>
      <c r="C350" s="344">
        <v>220022</v>
      </c>
      <c r="D350" s="344" t="str">
        <f t="shared" si="15"/>
        <v>220022</v>
      </c>
      <c r="E350" s="346" t="s">
        <v>138</v>
      </c>
      <c r="F350" s="344" t="s">
        <v>139</v>
      </c>
      <c r="G350" s="344" t="str">
        <f t="shared" si="16"/>
        <v>60422AXLE 1</v>
      </c>
      <c r="H350" s="344">
        <v>1</v>
      </c>
      <c r="I350" s="344">
        <v>16</v>
      </c>
      <c r="J350" s="344">
        <v>1</v>
      </c>
      <c r="K350" s="344">
        <v>8</v>
      </c>
      <c r="L350" t="str">
        <f t="shared" si="17"/>
        <v>60422</v>
      </c>
      <c r="M350" s="344" t="s">
        <v>139</v>
      </c>
      <c r="N350" s="344">
        <v>220022</v>
      </c>
    </row>
    <row r="351" spans="1:14" ht="15">
      <c r="A351" s="344">
        <v>60422</v>
      </c>
      <c r="B351" s="345" t="s">
        <v>137</v>
      </c>
      <c r="C351" s="344">
        <v>220022</v>
      </c>
      <c r="D351" s="344" t="str">
        <f t="shared" si="15"/>
        <v>220022</v>
      </c>
      <c r="E351" s="346" t="s">
        <v>140</v>
      </c>
      <c r="F351" s="344" t="s">
        <v>141</v>
      </c>
      <c r="G351" s="344" t="str">
        <f t="shared" si="16"/>
        <v>60422AXLE 2</v>
      </c>
      <c r="H351" s="344">
        <v>2</v>
      </c>
      <c r="I351" s="344">
        <v>15</v>
      </c>
      <c r="J351" s="344">
        <v>2</v>
      </c>
      <c r="K351" s="344">
        <v>7</v>
      </c>
      <c r="L351" t="str">
        <f t="shared" si="17"/>
        <v>60422</v>
      </c>
      <c r="M351" s="344" t="s">
        <v>141</v>
      </c>
      <c r="N351" s="344">
        <v>220022</v>
      </c>
    </row>
    <row r="352" spans="1:14" ht="15">
      <c r="A352" s="344">
        <v>60422</v>
      </c>
      <c r="B352" s="345" t="s">
        <v>137</v>
      </c>
      <c r="C352" s="344">
        <v>220022</v>
      </c>
      <c r="D352" s="344" t="str">
        <f t="shared" si="15"/>
        <v>220022</v>
      </c>
      <c r="E352" s="346" t="s">
        <v>142</v>
      </c>
      <c r="F352" s="344" t="s">
        <v>143</v>
      </c>
      <c r="G352" s="344" t="str">
        <f t="shared" si="16"/>
        <v>60422AXLE 3</v>
      </c>
      <c r="H352" s="344">
        <v>3</v>
      </c>
      <c r="I352" s="344">
        <v>14</v>
      </c>
      <c r="J352" s="344">
        <v>3</v>
      </c>
      <c r="K352" s="344">
        <v>6</v>
      </c>
      <c r="L352" t="str">
        <f t="shared" si="17"/>
        <v>60422</v>
      </c>
      <c r="M352" s="344" t="s">
        <v>143</v>
      </c>
      <c r="N352" s="344">
        <v>220022</v>
      </c>
    </row>
    <row r="353" spans="1:14" ht="15">
      <c r="A353" s="344">
        <v>60422</v>
      </c>
      <c r="B353" s="345" t="s">
        <v>137</v>
      </c>
      <c r="C353" s="344">
        <v>220022</v>
      </c>
      <c r="D353" s="344" t="str">
        <f t="shared" si="15"/>
        <v>220022</v>
      </c>
      <c r="E353" s="346" t="s">
        <v>144</v>
      </c>
      <c r="F353" s="344" t="s">
        <v>145</v>
      </c>
      <c r="G353" s="344" t="str">
        <f t="shared" si="16"/>
        <v>60422AXLE 4</v>
      </c>
      <c r="H353" s="344">
        <v>4</v>
      </c>
      <c r="I353" s="344">
        <v>13</v>
      </c>
      <c r="J353" s="344">
        <v>4</v>
      </c>
      <c r="K353" s="344">
        <v>5</v>
      </c>
      <c r="L353" t="str">
        <f t="shared" si="17"/>
        <v>60422</v>
      </c>
      <c r="M353" s="344" t="s">
        <v>145</v>
      </c>
      <c r="N353" s="344">
        <v>220022</v>
      </c>
    </row>
    <row r="354" spans="1:14" ht="15">
      <c r="A354" s="344">
        <v>60323</v>
      </c>
      <c r="B354" s="345" t="s">
        <v>137</v>
      </c>
      <c r="C354" s="344">
        <v>220023</v>
      </c>
      <c r="D354" s="344" t="str">
        <f t="shared" si="15"/>
        <v>220023</v>
      </c>
      <c r="E354" s="346" t="s">
        <v>138</v>
      </c>
      <c r="F354" s="344" t="s">
        <v>139</v>
      </c>
      <c r="G354" s="344" t="str">
        <f t="shared" si="16"/>
        <v>60323AXLE 1</v>
      </c>
      <c r="H354" s="344">
        <v>16</v>
      </c>
      <c r="I354" s="344">
        <v>1</v>
      </c>
      <c r="J354" s="344">
        <v>1</v>
      </c>
      <c r="K354" s="344">
        <v>8</v>
      </c>
      <c r="L354" t="str">
        <f t="shared" si="17"/>
        <v>60323</v>
      </c>
      <c r="M354" s="344" t="s">
        <v>139</v>
      </c>
      <c r="N354" s="344">
        <v>220023</v>
      </c>
    </row>
    <row r="355" spans="1:14" ht="15">
      <c r="A355" s="344">
        <v>60323</v>
      </c>
      <c r="B355" s="345" t="s">
        <v>137</v>
      </c>
      <c r="C355" s="344">
        <v>220023</v>
      </c>
      <c r="D355" s="344" t="str">
        <f t="shared" si="15"/>
        <v>220023</v>
      </c>
      <c r="E355" s="346" t="s">
        <v>140</v>
      </c>
      <c r="F355" s="344" t="s">
        <v>141</v>
      </c>
      <c r="G355" s="344" t="str">
        <f t="shared" si="16"/>
        <v>60323AXLE 2</v>
      </c>
      <c r="H355" s="344">
        <v>15</v>
      </c>
      <c r="I355" s="344">
        <v>2</v>
      </c>
      <c r="J355" s="344">
        <v>2</v>
      </c>
      <c r="K355" s="344">
        <v>7</v>
      </c>
      <c r="L355" t="str">
        <f t="shared" si="17"/>
        <v>60323</v>
      </c>
      <c r="M355" s="344" t="s">
        <v>141</v>
      </c>
      <c r="N355" s="344">
        <v>220023</v>
      </c>
    </row>
    <row r="356" spans="1:14" ht="15">
      <c r="A356" s="344">
        <v>60323</v>
      </c>
      <c r="B356" s="345" t="s">
        <v>137</v>
      </c>
      <c r="C356" s="344">
        <v>220023</v>
      </c>
      <c r="D356" s="344" t="str">
        <f t="shared" si="15"/>
        <v>220023</v>
      </c>
      <c r="E356" s="346" t="s">
        <v>142</v>
      </c>
      <c r="F356" s="344" t="s">
        <v>143</v>
      </c>
      <c r="G356" s="344" t="str">
        <f t="shared" si="16"/>
        <v>60323AXLE 3</v>
      </c>
      <c r="H356" s="344">
        <v>14</v>
      </c>
      <c r="I356" s="344">
        <v>3</v>
      </c>
      <c r="J356" s="344">
        <v>3</v>
      </c>
      <c r="K356" s="344">
        <v>6</v>
      </c>
      <c r="L356" t="str">
        <f t="shared" si="17"/>
        <v>60323</v>
      </c>
      <c r="M356" s="344" t="s">
        <v>143</v>
      </c>
      <c r="N356" s="344">
        <v>220023</v>
      </c>
    </row>
    <row r="357" spans="1:14" ht="15">
      <c r="A357" s="344">
        <v>60323</v>
      </c>
      <c r="B357" s="345" t="s">
        <v>137</v>
      </c>
      <c r="C357" s="344">
        <v>220023</v>
      </c>
      <c r="D357" s="344" t="str">
        <f t="shared" si="15"/>
        <v>220023</v>
      </c>
      <c r="E357" s="346" t="s">
        <v>144</v>
      </c>
      <c r="F357" s="344" t="s">
        <v>145</v>
      </c>
      <c r="G357" s="344" t="str">
        <f t="shared" si="16"/>
        <v>60323AXLE 4</v>
      </c>
      <c r="H357" s="344">
        <v>13</v>
      </c>
      <c r="I357" s="344">
        <v>4</v>
      </c>
      <c r="J357" s="344">
        <v>4</v>
      </c>
      <c r="K357" s="344">
        <v>5</v>
      </c>
      <c r="L357" t="str">
        <f t="shared" si="17"/>
        <v>60323</v>
      </c>
      <c r="M357" s="344" t="s">
        <v>145</v>
      </c>
      <c r="N357" s="344">
        <v>220023</v>
      </c>
    </row>
    <row r="358" spans="1:14" ht="15">
      <c r="A358" s="344">
        <v>60723</v>
      </c>
      <c r="B358" s="345" t="s">
        <v>137</v>
      </c>
      <c r="C358" s="344">
        <v>220023</v>
      </c>
      <c r="D358" s="344" t="str">
        <f t="shared" si="15"/>
        <v>220023</v>
      </c>
      <c r="E358" s="346" t="s">
        <v>144</v>
      </c>
      <c r="F358" s="344" t="s">
        <v>139</v>
      </c>
      <c r="G358" s="344" t="str">
        <f t="shared" si="16"/>
        <v>60723AXLE 1</v>
      </c>
      <c r="H358" s="344">
        <v>9</v>
      </c>
      <c r="I358" s="344">
        <v>8</v>
      </c>
      <c r="J358" s="344">
        <v>1</v>
      </c>
      <c r="K358" s="344">
        <v>8</v>
      </c>
      <c r="L358" t="str">
        <f t="shared" si="17"/>
        <v>60723</v>
      </c>
      <c r="M358" s="344" t="s">
        <v>139</v>
      </c>
      <c r="N358" s="344">
        <v>220023</v>
      </c>
    </row>
    <row r="359" spans="1:14" ht="15">
      <c r="A359" s="344">
        <v>60723</v>
      </c>
      <c r="B359" s="345" t="s">
        <v>137</v>
      </c>
      <c r="C359" s="344">
        <v>220023</v>
      </c>
      <c r="D359" s="344" t="str">
        <f t="shared" si="15"/>
        <v>220023</v>
      </c>
      <c r="E359" s="346" t="s">
        <v>140</v>
      </c>
      <c r="F359" s="344" t="s">
        <v>141</v>
      </c>
      <c r="G359" s="344" t="str">
        <f t="shared" si="16"/>
        <v>60723AXLE 2</v>
      </c>
      <c r="H359" s="344">
        <v>10</v>
      </c>
      <c r="I359" s="344">
        <v>7</v>
      </c>
      <c r="J359" s="344">
        <v>2</v>
      </c>
      <c r="K359" s="344">
        <v>7</v>
      </c>
      <c r="L359" t="str">
        <f t="shared" si="17"/>
        <v>60723</v>
      </c>
      <c r="M359" s="344" t="s">
        <v>141</v>
      </c>
      <c r="N359" s="344">
        <v>220023</v>
      </c>
    </row>
    <row r="360" spans="1:14" ht="15">
      <c r="A360" s="344">
        <v>60723</v>
      </c>
      <c r="B360" s="345" t="s">
        <v>137</v>
      </c>
      <c r="C360" s="344">
        <v>220023</v>
      </c>
      <c r="D360" s="344" t="str">
        <f t="shared" si="15"/>
        <v>220023</v>
      </c>
      <c r="E360" s="346" t="s">
        <v>140</v>
      </c>
      <c r="F360" s="344" t="s">
        <v>143</v>
      </c>
      <c r="G360" s="344" t="str">
        <f t="shared" si="16"/>
        <v>60723AXLE 3</v>
      </c>
      <c r="H360" s="344">
        <v>11</v>
      </c>
      <c r="I360" s="344">
        <v>6</v>
      </c>
      <c r="J360" s="344">
        <v>3</v>
      </c>
      <c r="K360" s="344">
        <v>6</v>
      </c>
      <c r="L360" t="str">
        <f t="shared" si="17"/>
        <v>60723</v>
      </c>
      <c r="M360" s="344" t="s">
        <v>143</v>
      </c>
      <c r="N360" s="344">
        <v>220023</v>
      </c>
    </row>
    <row r="361" spans="1:14" ht="15">
      <c r="A361" s="344">
        <v>60723</v>
      </c>
      <c r="B361" s="345" t="s">
        <v>137</v>
      </c>
      <c r="C361" s="344">
        <v>220023</v>
      </c>
      <c r="D361" s="344" t="str">
        <f t="shared" si="15"/>
        <v>220023</v>
      </c>
      <c r="E361" s="346" t="s">
        <v>144</v>
      </c>
      <c r="F361" s="344" t="s">
        <v>145</v>
      </c>
      <c r="G361" s="344" t="str">
        <f t="shared" si="16"/>
        <v>60723AXLE 4</v>
      </c>
      <c r="H361" s="344">
        <v>12</v>
      </c>
      <c r="I361" s="344">
        <v>5</v>
      </c>
      <c r="J361" s="344">
        <v>4</v>
      </c>
      <c r="K361" s="344">
        <v>5</v>
      </c>
      <c r="L361" t="str">
        <f t="shared" si="17"/>
        <v>60723</v>
      </c>
      <c r="M361" s="344" t="s">
        <v>145</v>
      </c>
      <c r="N361" s="344">
        <v>220023</v>
      </c>
    </row>
    <row r="362" spans="1:14" ht="15">
      <c r="A362" s="344">
        <v>60223</v>
      </c>
      <c r="B362" s="345" t="s">
        <v>137</v>
      </c>
      <c r="C362" s="344">
        <v>220023</v>
      </c>
      <c r="D362" s="344" t="str">
        <f t="shared" si="15"/>
        <v>220023</v>
      </c>
      <c r="E362" s="346" t="s">
        <v>144</v>
      </c>
      <c r="F362" s="344" t="s">
        <v>139</v>
      </c>
      <c r="G362" s="344" t="str">
        <f t="shared" si="16"/>
        <v>60223AXLE 1</v>
      </c>
      <c r="H362" s="344">
        <v>5</v>
      </c>
      <c r="I362" s="344">
        <v>12</v>
      </c>
      <c r="J362" s="344">
        <v>1</v>
      </c>
      <c r="K362" s="344">
        <v>8</v>
      </c>
      <c r="L362" t="str">
        <f t="shared" si="17"/>
        <v>60223</v>
      </c>
      <c r="M362" s="344" t="s">
        <v>139</v>
      </c>
      <c r="N362" s="344">
        <v>220023</v>
      </c>
    </row>
    <row r="363" spans="1:14" ht="15">
      <c r="A363" s="344">
        <v>60223</v>
      </c>
      <c r="B363" s="345" t="s">
        <v>137</v>
      </c>
      <c r="C363" s="344">
        <v>220023</v>
      </c>
      <c r="D363" s="344" t="str">
        <f t="shared" si="15"/>
        <v>220023</v>
      </c>
      <c r="E363" s="346" t="s">
        <v>140</v>
      </c>
      <c r="F363" s="344" t="s">
        <v>141</v>
      </c>
      <c r="G363" s="344" t="str">
        <f t="shared" si="16"/>
        <v>60223AXLE 2</v>
      </c>
      <c r="H363" s="344">
        <v>6</v>
      </c>
      <c r="I363" s="344">
        <v>11</v>
      </c>
      <c r="J363" s="344">
        <v>2</v>
      </c>
      <c r="K363" s="344">
        <v>7</v>
      </c>
      <c r="L363" t="str">
        <f t="shared" si="17"/>
        <v>60223</v>
      </c>
      <c r="M363" s="344" t="s">
        <v>141</v>
      </c>
      <c r="N363" s="344">
        <v>220023</v>
      </c>
    </row>
    <row r="364" spans="1:14" ht="15">
      <c r="A364" s="344">
        <v>60223</v>
      </c>
      <c r="B364" s="345" t="s">
        <v>137</v>
      </c>
      <c r="C364" s="344">
        <v>220023</v>
      </c>
      <c r="D364" s="344" t="str">
        <f t="shared" si="15"/>
        <v>220023</v>
      </c>
      <c r="E364" s="346" t="s">
        <v>140</v>
      </c>
      <c r="F364" s="344" t="s">
        <v>143</v>
      </c>
      <c r="G364" s="344" t="str">
        <f t="shared" si="16"/>
        <v>60223AXLE 3</v>
      </c>
      <c r="H364" s="344">
        <v>7</v>
      </c>
      <c r="I364" s="344">
        <v>10</v>
      </c>
      <c r="J364" s="344">
        <v>3</v>
      </c>
      <c r="K364" s="344">
        <v>6</v>
      </c>
      <c r="L364" t="str">
        <f t="shared" si="17"/>
        <v>60223</v>
      </c>
      <c r="M364" s="344" t="s">
        <v>143</v>
      </c>
      <c r="N364" s="344">
        <v>220023</v>
      </c>
    </row>
    <row r="365" spans="1:14" ht="15">
      <c r="A365" s="344">
        <v>60223</v>
      </c>
      <c r="B365" s="345" t="s">
        <v>137</v>
      </c>
      <c r="C365" s="344">
        <v>220023</v>
      </c>
      <c r="D365" s="344" t="str">
        <f t="shared" si="15"/>
        <v>220023</v>
      </c>
      <c r="E365" s="346" t="s">
        <v>144</v>
      </c>
      <c r="F365" s="344" t="s">
        <v>145</v>
      </c>
      <c r="G365" s="344" t="str">
        <f t="shared" si="16"/>
        <v>60223AXLE 4</v>
      </c>
      <c r="H365" s="344">
        <v>8</v>
      </c>
      <c r="I365" s="344">
        <v>9</v>
      </c>
      <c r="J365" s="344">
        <v>4</v>
      </c>
      <c r="K365" s="344">
        <v>5</v>
      </c>
      <c r="L365" t="str">
        <f t="shared" si="17"/>
        <v>60223</v>
      </c>
      <c r="M365" s="344" t="s">
        <v>145</v>
      </c>
      <c r="N365" s="344">
        <v>220023</v>
      </c>
    </row>
    <row r="366" spans="1:14" ht="15">
      <c r="A366" s="344">
        <v>60423</v>
      </c>
      <c r="B366" s="345" t="s">
        <v>137</v>
      </c>
      <c r="C366" s="344">
        <v>220023</v>
      </c>
      <c r="D366" s="344" t="str">
        <f t="shared" si="15"/>
        <v>220023</v>
      </c>
      <c r="E366" s="346" t="s">
        <v>138</v>
      </c>
      <c r="F366" s="344" t="s">
        <v>139</v>
      </c>
      <c r="G366" s="344" t="str">
        <f t="shared" si="16"/>
        <v>60423AXLE 1</v>
      </c>
      <c r="H366" s="344">
        <v>1</v>
      </c>
      <c r="I366" s="344">
        <v>16</v>
      </c>
      <c r="J366" s="344">
        <v>1</v>
      </c>
      <c r="K366" s="344">
        <v>8</v>
      </c>
      <c r="L366" t="str">
        <f t="shared" si="17"/>
        <v>60423</v>
      </c>
      <c r="M366" s="344" t="s">
        <v>139</v>
      </c>
      <c r="N366" s="344">
        <v>220023</v>
      </c>
    </row>
    <row r="367" spans="1:14" ht="15">
      <c r="A367" s="344">
        <v>60423</v>
      </c>
      <c r="B367" s="345" t="s">
        <v>137</v>
      </c>
      <c r="C367" s="344">
        <v>220023</v>
      </c>
      <c r="D367" s="344" t="str">
        <f t="shared" si="15"/>
        <v>220023</v>
      </c>
      <c r="E367" s="346" t="s">
        <v>140</v>
      </c>
      <c r="F367" s="344" t="s">
        <v>141</v>
      </c>
      <c r="G367" s="344" t="str">
        <f t="shared" si="16"/>
        <v>60423AXLE 2</v>
      </c>
      <c r="H367" s="344">
        <v>2</v>
      </c>
      <c r="I367" s="344">
        <v>15</v>
      </c>
      <c r="J367" s="344">
        <v>2</v>
      </c>
      <c r="K367" s="344">
        <v>7</v>
      </c>
      <c r="L367" t="str">
        <f t="shared" si="17"/>
        <v>60423</v>
      </c>
      <c r="M367" s="344" t="s">
        <v>141</v>
      </c>
      <c r="N367" s="344">
        <v>220023</v>
      </c>
    </row>
    <row r="368" spans="1:14" ht="15">
      <c r="A368" s="344">
        <v>60423</v>
      </c>
      <c r="B368" s="345" t="s">
        <v>137</v>
      </c>
      <c r="C368" s="344">
        <v>220023</v>
      </c>
      <c r="D368" s="344" t="str">
        <f t="shared" si="15"/>
        <v>220023</v>
      </c>
      <c r="E368" s="346" t="s">
        <v>142</v>
      </c>
      <c r="F368" s="344" t="s">
        <v>143</v>
      </c>
      <c r="G368" s="344" t="str">
        <f t="shared" si="16"/>
        <v>60423AXLE 3</v>
      </c>
      <c r="H368" s="344">
        <v>3</v>
      </c>
      <c r="I368" s="344">
        <v>14</v>
      </c>
      <c r="J368" s="344">
        <v>3</v>
      </c>
      <c r="K368" s="344">
        <v>6</v>
      </c>
      <c r="L368" t="str">
        <f t="shared" si="17"/>
        <v>60423</v>
      </c>
      <c r="M368" s="344" t="s">
        <v>143</v>
      </c>
      <c r="N368" s="344">
        <v>220023</v>
      </c>
    </row>
    <row r="369" spans="1:14" ht="15">
      <c r="A369" s="344">
        <v>60423</v>
      </c>
      <c r="B369" s="345" t="s">
        <v>137</v>
      </c>
      <c r="C369" s="344">
        <v>220023</v>
      </c>
      <c r="D369" s="344" t="str">
        <f t="shared" si="15"/>
        <v>220023</v>
      </c>
      <c r="E369" s="346" t="s">
        <v>144</v>
      </c>
      <c r="F369" s="344" t="s">
        <v>145</v>
      </c>
      <c r="G369" s="344" t="str">
        <f t="shared" si="16"/>
        <v>60423AXLE 4</v>
      </c>
      <c r="H369" s="344">
        <v>4</v>
      </c>
      <c r="I369" s="344">
        <v>13</v>
      </c>
      <c r="J369" s="344">
        <v>4</v>
      </c>
      <c r="K369" s="344">
        <v>5</v>
      </c>
      <c r="L369" t="str">
        <f t="shared" si="17"/>
        <v>60423</v>
      </c>
      <c r="M369" s="344" t="s">
        <v>145</v>
      </c>
      <c r="N369" s="344">
        <v>220023</v>
      </c>
    </row>
    <row r="370" spans="1:14" ht="15">
      <c r="A370" s="344">
        <v>60324</v>
      </c>
      <c r="B370" s="345" t="s">
        <v>137</v>
      </c>
      <c r="C370" s="344">
        <v>220024</v>
      </c>
      <c r="D370" s="344" t="str">
        <f t="shared" si="15"/>
        <v>220024</v>
      </c>
      <c r="E370" s="346" t="s">
        <v>138</v>
      </c>
      <c r="F370" s="344" t="s">
        <v>139</v>
      </c>
      <c r="G370" s="344" t="str">
        <f t="shared" si="16"/>
        <v>60324AXLE 1</v>
      </c>
      <c r="H370" s="344">
        <v>16</v>
      </c>
      <c r="I370" s="344">
        <v>1</v>
      </c>
      <c r="J370" s="344">
        <v>1</v>
      </c>
      <c r="K370" s="344">
        <v>8</v>
      </c>
      <c r="L370" t="str">
        <f t="shared" si="17"/>
        <v>60324</v>
      </c>
      <c r="M370" s="344" t="s">
        <v>139</v>
      </c>
      <c r="N370" s="344">
        <v>220024</v>
      </c>
    </row>
    <row r="371" spans="1:14" ht="15">
      <c r="A371" s="344">
        <v>60324</v>
      </c>
      <c r="B371" s="345" t="s">
        <v>137</v>
      </c>
      <c r="C371" s="344">
        <v>220024</v>
      </c>
      <c r="D371" s="344" t="str">
        <f t="shared" si="15"/>
        <v>220024</v>
      </c>
      <c r="E371" s="346" t="s">
        <v>140</v>
      </c>
      <c r="F371" s="344" t="s">
        <v>141</v>
      </c>
      <c r="G371" s="344" t="str">
        <f t="shared" si="16"/>
        <v>60324AXLE 2</v>
      </c>
      <c r="H371" s="344">
        <v>15</v>
      </c>
      <c r="I371" s="344">
        <v>2</v>
      </c>
      <c r="J371" s="344">
        <v>2</v>
      </c>
      <c r="K371" s="344">
        <v>7</v>
      </c>
      <c r="L371" t="str">
        <f t="shared" si="17"/>
        <v>60324</v>
      </c>
      <c r="M371" s="344" t="s">
        <v>141</v>
      </c>
      <c r="N371" s="344">
        <v>220024</v>
      </c>
    </row>
    <row r="372" spans="1:14" ht="15">
      <c r="A372" s="344">
        <v>60324</v>
      </c>
      <c r="B372" s="345" t="s">
        <v>137</v>
      </c>
      <c r="C372" s="344">
        <v>220024</v>
      </c>
      <c r="D372" s="344" t="str">
        <f t="shared" si="15"/>
        <v>220024</v>
      </c>
      <c r="E372" s="346" t="s">
        <v>142</v>
      </c>
      <c r="F372" s="344" t="s">
        <v>143</v>
      </c>
      <c r="G372" s="344" t="str">
        <f t="shared" si="16"/>
        <v>60324AXLE 3</v>
      </c>
      <c r="H372" s="344">
        <v>14</v>
      </c>
      <c r="I372" s="344">
        <v>3</v>
      </c>
      <c r="J372" s="344">
        <v>3</v>
      </c>
      <c r="K372" s="344">
        <v>6</v>
      </c>
      <c r="L372" t="str">
        <f t="shared" si="17"/>
        <v>60324</v>
      </c>
      <c r="M372" s="344" t="s">
        <v>143</v>
      </c>
      <c r="N372" s="344">
        <v>220024</v>
      </c>
    </row>
    <row r="373" spans="1:14" ht="15">
      <c r="A373" s="344">
        <v>60324</v>
      </c>
      <c r="B373" s="345" t="s">
        <v>137</v>
      </c>
      <c r="C373" s="344">
        <v>220024</v>
      </c>
      <c r="D373" s="344" t="str">
        <f t="shared" si="15"/>
        <v>220024</v>
      </c>
      <c r="E373" s="346" t="s">
        <v>144</v>
      </c>
      <c r="F373" s="344" t="s">
        <v>145</v>
      </c>
      <c r="G373" s="344" t="str">
        <f t="shared" si="16"/>
        <v>60324AXLE 4</v>
      </c>
      <c r="H373" s="344">
        <v>13</v>
      </c>
      <c r="I373" s="344">
        <v>4</v>
      </c>
      <c r="J373" s="344">
        <v>4</v>
      </c>
      <c r="K373" s="344">
        <v>5</v>
      </c>
      <c r="L373" t="str">
        <f t="shared" si="17"/>
        <v>60324</v>
      </c>
      <c r="M373" s="344" t="s">
        <v>145</v>
      </c>
      <c r="N373" s="344">
        <v>220024</v>
      </c>
    </row>
    <row r="374" spans="1:14" ht="15">
      <c r="A374" s="344">
        <v>60724</v>
      </c>
      <c r="B374" s="345" t="s">
        <v>137</v>
      </c>
      <c r="C374" s="344">
        <v>220024</v>
      </c>
      <c r="D374" s="344" t="str">
        <f t="shared" si="15"/>
        <v>220024</v>
      </c>
      <c r="E374" s="346" t="s">
        <v>144</v>
      </c>
      <c r="F374" s="344" t="s">
        <v>139</v>
      </c>
      <c r="G374" s="344" t="str">
        <f t="shared" si="16"/>
        <v>60724AXLE 1</v>
      </c>
      <c r="H374" s="344">
        <v>9</v>
      </c>
      <c r="I374" s="344">
        <v>8</v>
      </c>
      <c r="J374" s="344">
        <v>1</v>
      </c>
      <c r="K374" s="344">
        <v>8</v>
      </c>
      <c r="L374" t="str">
        <f t="shared" si="17"/>
        <v>60724</v>
      </c>
      <c r="M374" s="344" t="s">
        <v>139</v>
      </c>
      <c r="N374" s="344">
        <v>220024</v>
      </c>
    </row>
    <row r="375" spans="1:14" ht="15">
      <c r="A375" s="344">
        <v>60724</v>
      </c>
      <c r="B375" s="345" t="s">
        <v>137</v>
      </c>
      <c r="C375" s="344">
        <v>220024</v>
      </c>
      <c r="D375" s="344" t="str">
        <f t="shared" si="15"/>
        <v>220024</v>
      </c>
      <c r="E375" s="346" t="s">
        <v>140</v>
      </c>
      <c r="F375" s="344" t="s">
        <v>141</v>
      </c>
      <c r="G375" s="344" t="str">
        <f t="shared" si="16"/>
        <v>60724AXLE 2</v>
      </c>
      <c r="H375" s="344">
        <v>10</v>
      </c>
      <c r="I375" s="344">
        <v>7</v>
      </c>
      <c r="J375" s="344">
        <v>2</v>
      </c>
      <c r="K375" s="344">
        <v>7</v>
      </c>
      <c r="L375" t="str">
        <f t="shared" si="17"/>
        <v>60724</v>
      </c>
      <c r="M375" s="344" t="s">
        <v>141</v>
      </c>
      <c r="N375" s="344">
        <v>220024</v>
      </c>
    </row>
    <row r="376" spans="1:14" ht="15">
      <c r="A376" s="344">
        <v>60724</v>
      </c>
      <c r="B376" s="345" t="s">
        <v>137</v>
      </c>
      <c r="C376" s="344">
        <v>220024</v>
      </c>
      <c r="D376" s="344" t="str">
        <f t="shared" si="15"/>
        <v>220024</v>
      </c>
      <c r="E376" s="346" t="s">
        <v>140</v>
      </c>
      <c r="F376" s="344" t="s">
        <v>143</v>
      </c>
      <c r="G376" s="344" t="str">
        <f t="shared" si="16"/>
        <v>60724AXLE 3</v>
      </c>
      <c r="H376" s="344">
        <v>11</v>
      </c>
      <c r="I376" s="344">
        <v>6</v>
      </c>
      <c r="J376" s="344">
        <v>3</v>
      </c>
      <c r="K376" s="344">
        <v>6</v>
      </c>
      <c r="L376" t="str">
        <f t="shared" si="17"/>
        <v>60724</v>
      </c>
      <c r="M376" s="344" t="s">
        <v>143</v>
      </c>
      <c r="N376" s="344">
        <v>220024</v>
      </c>
    </row>
    <row r="377" spans="1:14" ht="15">
      <c r="A377" s="344">
        <v>60724</v>
      </c>
      <c r="B377" s="345" t="s">
        <v>137</v>
      </c>
      <c r="C377" s="344">
        <v>220024</v>
      </c>
      <c r="D377" s="344" t="str">
        <f t="shared" si="15"/>
        <v>220024</v>
      </c>
      <c r="E377" s="346" t="s">
        <v>144</v>
      </c>
      <c r="F377" s="344" t="s">
        <v>145</v>
      </c>
      <c r="G377" s="344" t="str">
        <f t="shared" si="16"/>
        <v>60724AXLE 4</v>
      </c>
      <c r="H377" s="344">
        <v>12</v>
      </c>
      <c r="I377" s="344">
        <v>5</v>
      </c>
      <c r="J377" s="344">
        <v>4</v>
      </c>
      <c r="K377" s="344">
        <v>5</v>
      </c>
      <c r="L377" t="str">
        <f t="shared" si="17"/>
        <v>60724</v>
      </c>
      <c r="M377" s="344" t="s">
        <v>145</v>
      </c>
      <c r="N377" s="344">
        <v>220024</v>
      </c>
    </row>
    <row r="378" spans="1:14" ht="15">
      <c r="A378" s="344">
        <v>60224</v>
      </c>
      <c r="B378" s="345" t="s">
        <v>137</v>
      </c>
      <c r="C378" s="344">
        <v>220024</v>
      </c>
      <c r="D378" s="344" t="str">
        <f t="shared" si="15"/>
        <v>220024</v>
      </c>
      <c r="E378" s="346" t="s">
        <v>144</v>
      </c>
      <c r="F378" s="344" t="s">
        <v>139</v>
      </c>
      <c r="G378" s="344" t="str">
        <f t="shared" si="16"/>
        <v>60224AXLE 1</v>
      </c>
      <c r="H378" s="344">
        <v>5</v>
      </c>
      <c r="I378" s="344">
        <v>12</v>
      </c>
      <c r="J378" s="344">
        <v>1</v>
      </c>
      <c r="K378" s="344">
        <v>8</v>
      </c>
      <c r="L378" t="str">
        <f t="shared" si="17"/>
        <v>60224</v>
      </c>
      <c r="M378" s="344" t="s">
        <v>139</v>
      </c>
      <c r="N378" s="344">
        <v>220024</v>
      </c>
    </row>
    <row r="379" spans="1:14" ht="15">
      <c r="A379" s="344">
        <v>60224</v>
      </c>
      <c r="B379" s="345" t="s">
        <v>137</v>
      </c>
      <c r="C379" s="344">
        <v>220024</v>
      </c>
      <c r="D379" s="344" t="str">
        <f t="shared" si="15"/>
        <v>220024</v>
      </c>
      <c r="E379" s="346" t="s">
        <v>140</v>
      </c>
      <c r="F379" s="344" t="s">
        <v>141</v>
      </c>
      <c r="G379" s="344" t="str">
        <f t="shared" si="16"/>
        <v>60224AXLE 2</v>
      </c>
      <c r="H379" s="344">
        <v>6</v>
      </c>
      <c r="I379" s="344">
        <v>11</v>
      </c>
      <c r="J379" s="344">
        <v>2</v>
      </c>
      <c r="K379" s="344">
        <v>7</v>
      </c>
      <c r="L379" t="str">
        <f t="shared" si="17"/>
        <v>60224</v>
      </c>
      <c r="M379" s="344" t="s">
        <v>141</v>
      </c>
      <c r="N379" s="344">
        <v>220024</v>
      </c>
    </row>
    <row r="380" spans="1:14" ht="15">
      <c r="A380" s="344">
        <v>60224</v>
      </c>
      <c r="B380" s="345" t="s">
        <v>137</v>
      </c>
      <c r="C380" s="344">
        <v>220024</v>
      </c>
      <c r="D380" s="344" t="str">
        <f t="shared" si="15"/>
        <v>220024</v>
      </c>
      <c r="E380" s="346" t="s">
        <v>140</v>
      </c>
      <c r="F380" s="344" t="s">
        <v>143</v>
      </c>
      <c r="G380" s="344" t="str">
        <f t="shared" si="16"/>
        <v>60224AXLE 3</v>
      </c>
      <c r="H380" s="344">
        <v>7</v>
      </c>
      <c r="I380" s="344">
        <v>10</v>
      </c>
      <c r="J380" s="344">
        <v>3</v>
      </c>
      <c r="K380" s="344">
        <v>6</v>
      </c>
      <c r="L380" t="str">
        <f t="shared" si="17"/>
        <v>60224</v>
      </c>
      <c r="M380" s="344" t="s">
        <v>143</v>
      </c>
      <c r="N380" s="344">
        <v>220024</v>
      </c>
    </row>
    <row r="381" spans="1:14" ht="15">
      <c r="A381" s="344">
        <v>60224</v>
      </c>
      <c r="B381" s="345" t="s">
        <v>137</v>
      </c>
      <c r="C381" s="344">
        <v>220024</v>
      </c>
      <c r="D381" s="344" t="str">
        <f t="shared" si="15"/>
        <v>220024</v>
      </c>
      <c r="E381" s="346" t="s">
        <v>144</v>
      </c>
      <c r="F381" s="344" t="s">
        <v>145</v>
      </c>
      <c r="G381" s="344" t="str">
        <f t="shared" si="16"/>
        <v>60224AXLE 4</v>
      </c>
      <c r="H381" s="344">
        <v>8</v>
      </c>
      <c r="I381" s="344">
        <v>9</v>
      </c>
      <c r="J381" s="344">
        <v>4</v>
      </c>
      <c r="K381" s="344">
        <v>5</v>
      </c>
      <c r="L381" t="str">
        <f t="shared" si="17"/>
        <v>60224</v>
      </c>
      <c r="M381" s="344" t="s">
        <v>145</v>
      </c>
      <c r="N381" s="344">
        <v>220024</v>
      </c>
    </row>
    <row r="382" spans="1:14" ht="15">
      <c r="A382" s="344">
        <v>60424</v>
      </c>
      <c r="B382" s="345" t="s">
        <v>137</v>
      </c>
      <c r="C382" s="344">
        <v>220024</v>
      </c>
      <c r="D382" s="344" t="str">
        <f t="shared" si="15"/>
        <v>220024</v>
      </c>
      <c r="E382" s="346" t="s">
        <v>138</v>
      </c>
      <c r="F382" s="344" t="s">
        <v>139</v>
      </c>
      <c r="G382" s="344" t="str">
        <f t="shared" si="16"/>
        <v>60424AXLE 1</v>
      </c>
      <c r="H382" s="344">
        <v>1</v>
      </c>
      <c r="I382" s="344">
        <v>16</v>
      </c>
      <c r="J382" s="344">
        <v>1</v>
      </c>
      <c r="K382" s="344">
        <v>8</v>
      </c>
      <c r="L382" t="str">
        <f t="shared" si="17"/>
        <v>60424</v>
      </c>
      <c r="M382" s="344" t="s">
        <v>139</v>
      </c>
      <c r="N382" s="344">
        <v>220024</v>
      </c>
    </row>
    <row r="383" spans="1:14" ht="15">
      <c r="A383" s="344">
        <v>60424</v>
      </c>
      <c r="B383" s="345" t="s">
        <v>137</v>
      </c>
      <c r="C383" s="344">
        <v>220024</v>
      </c>
      <c r="D383" s="344" t="str">
        <f t="shared" si="15"/>
        <v>220024</v>
      </c>
      <c r="E383" s="346" t="s">
        <v>140</v>
      </c>
      <c r="F383" s="344" t="s">
        <v>141</v>
      </c>
      <c r="G383" s="344" t="str">
        <f t="shared" si="16"/>
        <v>60424AXLE 2</v>
      </c>
      <c r="H383" s="344">
        <v>2</v>
      </c>
      <c r="I383" s="344">
        <v>15</v>
      </c>
      <c r="J383" s="344">
        <v>2</v>
      </c>
      <c r="K383" s="344">
        <v>7</v>
      </c>
      <c r="L383" t="str">
        <f t="shared" si="17"/>
        <v>60424</v>
      </c>
      <c r="M383" s="344" t="s">
        <v>141</v>
      </c>
      <c r="N383" s="344">
        <v>220024</v>
      </c>
    </row>
    <row r="384" spans="1:14" ht="15">
      <c r="A384" s="344">
        <v>60424</v>
      </c>
      <c r="B384" s="345" t="s">
        <v>137</v>
      </c>
      <c r="C384" s="344">
        <v>220024</v>
      </c>
      <c r="D384" s="344" t="str">
        <f t="shared" si="15"/>
        <v>220024</v>
      </c>
      <c r="E384" s="346" t="s">
        <v>142</v>
      </c>
      <c r="F384" s="344" t="s">
        <v>143</v>
      </c>
      <c r="G384" s="344" t="str">
        <f t="shared" si="16"/>
        <v>60424AXLE 3</v>
      </c>
      <c r="H384" s="344">
        <v>3</v>
      </c>
      <c r="I384" s="344">
        <v>14</v>
      </c>
      <c r="J384" s="344">
        <v>3</v>
      </c>
      <c r="K384" s="344">
        <v>6</v>
      </c>
      <c r="L384" t="str">
        <f t="shared" si="17"/>
        <v>60424</v>
      </c>
      <c r="M384" s="344" t="s">
        <v>143</v>
      </c>
      <c r="N384" s="344">
        <v>220024</v>
      </c>
    </row>
    <row r="385" spans="1:14" ht="15">
      <c r="A385" s="344">
        <v>60424</v>
      </c>
      <c r="B385" s="345" t="s">
        <v>137</v>
      </c>
      <c r="C385" s="344">
        <v>220024</v>
      </c>
      <c r="D385" s="344" t="str">
        <f t="shared" si="15"/>
        <v>220024</v>
      </c>
      <c r="E385" s="346" t="s">
        <v>144</v>
      </c>
      <c r="F385" s="344" t="s">
        <v>145</v>
      </c>
      <c r="G385" s="344" t="str">
        <f t="shared" si="16"/>
        <v>60424AXLE 4</v>
      </c>
      <c r="H385" s="344">
        <v>4</v>
      </c>
      <c r="I385" s="344">
        <v>13</v>
      </c>
      <c r="J385" s="344">
        <v>4</v>
      </c>
      <c r="K385" s="344">
        <v>5</v>
      </c>
      <c r="L385" t="str">
        <f t="shared" si="17"/>
        <v>60424</v>
      </c>
      <c r="M385" s="344" t="s">
        <v>145</v>
      </c>
      <c r="N385" s="344">
        <v>220024</v>
      </c>
    </row>
    <row r="386" spans="1:14" ht="15">
      <c r="A386" s="344">
        <v>60325</v>
      </c>
      <c r="B386" s="345" t="s">
        <v>137</v>
      </c>
      <c r="C386" s="344">
        <v>220025</v>
      </c>
      <c r="D386" s="344" t="str">
        <f t="shared" si="15"/>
        <v>220025</v>
      </c>
      <c r="E386" s="346" t="s">
        <v>138</v>
      </c>
      <c r="F386" s="344" t="s">
        <v>139</v>
      </c>
      <c r="G386" s="344" t="str">
        <f t="shared" si="16"/>
        <v>60325AXLE 1</v>
      </c>
      <c r="H386" s="344">
        <v>16</v>
      </c>
      <c r="I386" s="344">
        <v>1</v>
      </c>
      <c r="J386" s="344">
        <v>1</v>
      </c>
      <c r="K386" s="344">
        <v>8</v>
      </c>
      <c r="L386" t="str">
        <f t="shared" si="17"/>
        <v>60325</v>
      </c>
      <c r="M386" s="344" t="s">
        <v>139</v>
      </c>
      <c r="N386" s="344">
        <v>220025</v>
      </c>
    </row>
    <row r="387" spans="1:14" ht="15">
      <c r="A387" s="344">
        <v>60325</v>
      </c>
      <c r="B387" s="345" t="s">
        <v>137</v>
      </c>
      <c r="C387" s="344">
        <v>220025</v>
      </c>
      <c r="D387" s="344" t="str">
        <f t="shared" ref="D387:D450" si="18">CONCATENATE(B387,C387)</f>
        <v>220025</v>
      </c>
      <c r="E387" s="346" t="s">
        <v>140</v>
      </c>
      <c r="F387" s="344" t="s">
        <v>141</v>
      </c>
      <c r="G387" s="344" t="str">
        <f t="shared" ref="G387:G450" si="19">CONCATENATE(A387,F387)</f>
        <v>60325AXLE 2</v>
      </c>
      <c r="H387" s="344">
        <v>15</v>
      </c>
      <c r="I387" s="344">
        <v>2</v>
      </c>
      <c r="J387" s="344">
        <v>2</v>
      </c>
      <c r="K387" s="344">
        <v>7</v>
      </c>
      <c r="L387" t="str">
        <f t="shared" ref="L387:L450" si="20">CONCATENATE(A387,B387)</f>
        <v>60325</v>
      </c>
      <c r="M387" s="344" t="s">
        <v>141</v>
      </c>
      <c r="N387" s="344">
        <v>220025</v>
      </c>
    </row>
    <row r="388" spans="1:14" ht="15">
      <c r="A388" s="344">
        <v>60325</v>
      </c>
      <c r="B388" s="345" t="s">
        <v>137</v>
      </c>
      <c r="C388" s="344">
        <v>220025</v>
      </c>
      <c r="D388" s="344" t="str">
        <f t="shared" si="18"/>
        <v>220025</v>
      </c>
      <c r="E388" s="346" t="s">
        <v>142</v>
      </c>
      <c r="F388" s="344" t="s">
        <v>143</v>
      </c>
      <c r="G388" s="344" t="str">
        <f t="shared" si="19"/>
        <v>60325AXLE 3</v>
      </c>
      <c r="H388" s="344">
        <v>14</v>
      </c>
      <c r="I388" s="344">
        <v>3</v>
      </c>
      <c r="J388" s="344">
        <v>3</v>
      </c>
      <c r="K388" s="344">
        <v>6</v>
      </c>
      <c r="L388" t="str">
        <f t="shared" si="20"/>
        <v>60325</v>
      </c>
      <c r="M388" s="344" t="s">
        <v>143</v>
      </c>
      <c r="N388" s="344">
        <v>220025</v>
      </c>
    </row>
    <row r="389" spans="1:14" ht="15">
      <c r="A389" s="344">
        <v>60325</v>
      </c>
      <c r="B389" s="345" t="s">
        <v>137</v>
      </c>
      <c r="C389" s="344">
        <v>220025</v>
      </c>
      <c r="D389" s="344" t="str">
        <f t="shared" si="18"/>
        <v>220025</v>
      </c>
      <c r="E389" s="346" t="s">
        <v>144</v>
      </c>
      <c r="F389" s="344" t="s">
        <v>145</v>
      </c>
      <c r="G389" s="344" t="str">
        <f t="shared" si="19"/>
        <v>60325AXLE 4</v>
      </c>
      <c r="H389" s="344">
        <v>13</v>
      </c>
      <c r="I389" s="344">
        <v>4</v>
      </c>
      <c r="J389" s="344">
        <v>4</v>
      </c>
      <c r="K389" s="344">
        <v>5</v>
      </c>
      <c r="L389" t="str">
        <f t="shared" si="20"/>
        <v>60325</v>
      </c>
      <c r="M389" s="344" t="s">
        <v>145</v>
      </c>
      <c r="N389" s="344">
        <v>220025</v>
      </c>
    </row>
    <row r="390" spans="1:14" ht="15">
      <c r="A390" s="344">
        <v>60725</v>
      </c>
      <c r="B390" s="345" t="s">
        <v>137</v>
      </c>
      <c r="C390" s="344">
        <v>220025</v>
      </c>
      <c r="D390" s="344" t="str">
        <f t="shared" si="18"/>
        <v>220025</v>
      </c>
      <c r="E390" s="346" t="s">
        <v>144</v>
      </c>
      <c r="F390" s="344" t="s">
        <v>139</v>
      </c>
      <c r="G390" s="344" t="str">
        <f t="shared" si="19"/>
        <v>60725AXLE 1</v>
      </c>
      <c r="H390" s="344">
        <v>9</v>
      </c>
      <c r="I390" s="344">
        <v>8</v>
      </c>
      <c r="J390" s="344">
        <v>1</v>
      </c>
      <c r="K390" s="344">
        <v>8</v>
      </c>
      <c r="L390" t="str">
        <f t="shared" si="20"/>
        <v>60725</v>
      </c>
      <c r="M390" s="344" t="s">
        <v>139</v>
      </c>
      <c r="N390" s="344">
        <v>220025</v>
      </c>
    </row>
    <row r="391" spans="1:14" ht="15">
      <c r="A391" s="344">
        <v>60725</v>
      </c>
      <c r="B391" s="345" t="s">
        <v>137</v>
      </c>
      <c r="C391" s="344">
        <v>220025</v>
      </c>
      <c r="D391" s="344" t="str">
        <f t="shared" si="18"/>
        <v>220025</v>
      </c>
      <c r="E391" s="346" t="s">
        <v>140</v>
      </c>
      <c r="F391" s="344" t="s">
        <v>141</v>
      </c>
      <c r="G391" s="344" t="str">
        <f t="shared" si="19"/>
        <v>60725AXLE 2</v>
      </c>
      <c r="H391" s="344">
        <v>10</v>
      </c>
      <c r="I391" s="344">
        <v>7</v>
      </c>
      <c r="J391" s="344">
        <v>2</v>
      </c>
      <c r="K391" s="344">
        <v>7</v>
      </c>
      <c r="L391" t="str">
        <f t="shared" si="20"/>
        <v>60725</v>
      </c>
      <c r="M391" s="344" t="s">
        <v>141</v>
      </c>
      <c r="N391" s="344">
        <v>220025</v>
      </c>
    </row>
    <row r="392" spans="1:14" ht="15">
      <c r="A392" s="344">
        <v>60725</v>
      </c>
      <c r="B392" s="345" t="s">
        <v>137</v>
      </c>
      <c r="C392" s="344">
        <v>220025</v>
      </c>
      <c r="D392" s="344" t="str">
        <f t="shared" si="18"/>
        <v>220025</v>
      </c>
      <c r="E392" s="346" t="s">
        <v>140</v>
      </c>
      <c r="F392" s="344" t="s">
        <v>143</v>
      </c>
      <c r="G392" s="344" t="str">
        <f t="shared" si="19"/>
        <v>60725AXLE 3</v>
      </c>
      <c r="H392" s="344">
        <v>11</v>
      </c>
      <c r="I392" s="344">
        <v>6</v>
      </c>
      <c r="J392" s="344">
        <v>3</v>
      </c>
      <c r="K392" s="344">
        <v>6</v>
      </c>
      <c r="L392" t="str">
        <f t="shared" si="20"/>
        <v>60725</v>
      </c>
      <c r="M392" s="344" t="s">
        <v>143</v>
      </c>
      <c r="N392" s="344">
        <v>220025</v>
      </c>
    </row>
    <row r="393" spans="1:14" ht="15">
      <c r="A393" s="344">
        <v>60725</v>
      </c>
      <c r="B393" s="345" t="s">
        <v>137</v>
      </c>
      <c r="C393" s="344">
        <v>220025</v>
      </c>
      <c r="D393" s="344" t="str">
        <f t="shared" si="18"/>
        <v>220025</v>
      </c>
      <c r="E393" s="346" t="s">
        <v>144</v>
      </c>
      <c r="F393" s="344" t="s">
        <v>145</v>
      </c>
      <c r="G393" s="344" t="str">
        <f t="shared" si="19"/>
        <v>60725AXLE 4</v>
      </c>
      <c r="H393" s="344">
        <v>12</v>
      </c>
      <c r="I393" s="344">
        <v>5</v>
      </c>
      <c r="J393" s="344">
        <v>4</v>
      </c>
      <c r="K393" s="344">
        <v>5</v>
      </c>
      <c r="L393" t="str">
        <f t="shared" si="20"/>
        <v>60725</v>
      </c>
      <c r="M393" s="344" t="s">
        <v>145</v>
      </c>
      <c r="N393" s="344">
        <v>220025</v>
      </c>
    </row>
    <row r="394" spans="1:14" ht="15">
      <c r="A394" s="344">
        <v>60225</v>
      </c>
      <c r="B394" s="345" t="s">
        <v>137</v>
      </c>
      <c r="C394" s="344">
        <v>220025</v>
      </c>
      <c r="D394" s="344" t="str">
        <f t="shared" si="18"/>
        <v>220025</v>
      </c>
      <c r="E394" s="346" t="s">
        <v>144</v>
      </c>
      <c r="F394" s="344" t="s">
        <v>139</v>
      </c>
      <c r="G394" s="344" t="str">
        <f t="shared" si="19"/>
        <v>60225AXLE 1</v>
      </c>
      <c r="H394" s="344">
        <v>5</v>
      </c>
      <c r="I394" s="344">
        <v>12</v>
      </c>
      <c r="J394" s="344">
        <v>1</v>
      </c>
      <c r="K394" s="344">
        <v>8</v>
      </c>
      <c r="L394" t="str">
        <f t="shared" si="20"/>
        <v>60225</v>
      </c>
      <c r="M394" s="344" t="s">
        <v>139</v>
      </c>
      <c r="N394" s="344">
        <v>220025</v>
      </c>
    </row>
    <row r="395" spans="1:14" ht="15">
      <c r="A395" s="344">
        <v>60225</v>
      </c>
      <c r="B395" s="345" t="s">
        <v>137</v>
      </c>
      <c r="C395" s="344">
        <v>220025</v>
      </c>
      <c r="D395" s="344" t="str">
        <f t="shared" si="18"/>
        <v>220025</v>
      </c>
      <c r="E395" s="346" t="s">
        <v>140</v>
      </c>
      <c r="F395" s="344" t="s">
        <v>141</v>
      </c>
      <c r="G395" s="344" t="str">
        <f t="shared" si="19"/>
        <v>60225AXLE 2</v>
      </c>
      <c r="H395" s="344">
        <v>6</v>
      </c>
      <c r="I395" s="344">
        <v>11</v>
      </c>
      <c r="J395" s="344">
        <v>2</v>
      </c>
      <c r="K395" s="344">
        <v>7</v>
      </c>
      <c r="L395" t="str">
        <f t="shared" si="20"/>
        <v>60225</v>
      </c>
      <c r="M395" s="344" t="s">
        <v>141</v>
      </c>
      <c r="N395" s="344">
        <v>220025</v>
      </c>
    </row>
    <row r="396" spans="1:14" ht="15">
      <c r="A396" s="344">
        <v>60225</v>
      </c>
      <c r="B396" s="345" t="s">
        <v>137</v>
      </c>
      <c r="C396" s="344">
        <v>220025</v>
      </c>
      <c r="D396" s="344" t="str">
        <f t="shared" si="18"/>
        <v>220025</v>
      </c>
      <c r="E396" s="346" t="s">
        <v>140</v>
      </c>
      <c r="F396" s="344" t="s">
        <v>143</v>
      </c>
      <c r="G396" s="344" t="str">
        <f t="shared" si="19"/>
        <v>60225AXLE 3</v>
      </c>
      <c r="H396" s="344">
        <v>7</v>
      </c>
      <c r="I396" s="344">
        <v>10</v>
      </c>
      <c r="J396" s="344">
        <v>3</v>
      </c>
      <c r="K396" s="344">
        <v>6</v>
      </c>
      <c r="L396" t="str">
        <f t="shared" si="20"/>
        <v>60225</v>
      </c>
      <c r="M396" s="344" t="s">
        <v>143</v>
      </c>
      <c r="N396" s="344">
        <v>220025</v>
      </c>
    </row>
    <row r="397" spans="1:14" ht="15">
      <c r="A397" s="344">
        <v>60225</v>
      </c>
      <c r="B397" s="345" t="s">
        <v>137</v>
      </c>
      <c r="C397" s="344">
        <v>220025</v>
      </c>
      <c r="D397" s="344" t="str">
        <f t="shared" si="18"/>
        <v>220025</v>
      </c>
      <c r="E397" s="346" t="s">
        <v>144</v>
      </c>
      <c r="F397" s="344" t="s">
        <v>145</v>
      </c>
      <c r="G397" s="344" t="str">
        <f t="shared" si="19"/>
        <v>60225AXLE 4</v>
      </c>
      <c r="H397" s="344">
        <v>8</v>
      </c>
      <c r="I397" s="344">
        <v>9</v>
      </c>
      <c r="J397" s="344">
        <v>4</v>
      </c>
      <c r="K397" s="344">
        <v>5</v>
      </c>
      <c r="L397" t="str">
        <f t="shared" si="20"/>
        <v>60225</v>
      </c>
      <c r="M397" s="344" t="s">
        <v>145</v>
      </c>
      <c r="N397" s="344">
        <v>220025</v>
      </c>
    </row>
    <row r="398" spans="1:14" ht="15">
      <c r="A398" s="344">
        <v>60425</v>
      </c>
      <c r="B398" s="345" t="s">
        <v>137</v>
      </c>
      <c r="C398" s="344">
        <v>220025</v>
      </c>
      <c r="D398" s="344" t="str">
        <f t="shared" si="18"/>
        <v>220025</v>
      </c>
      <c r="E398" s="346" t="s">
        <v>138</v>
      </c>
      <c r="F398" s="344" t="s">
        <v>139</v>
      </c>
      <c r="G398" s="344" t="str">
        <f t="shared" si="19"/>
        <v>60425AXLE 1</v>
      </c>
      <c r="H398" s="344">
        <v>1</v>
      </c>
      <c r="I398" s="344">
        <v>16</v>
      </c>
      <c r="J398" s="344">
        <v>1</v>
      </c>
      <c r="K398" s="344">
        <v>8</v>
      </c>
      <c r="L398" t="str">
        <f t="shared" si="20"/>
        <v>60425</v>
      </c>
      <c r="M398" s="344" t="s">
        <v>139</v>
      </c>
      <c r="N398" s="344">
        <v>220025</v>
      </c>
    </row>
    <row r="399" spans="1:14" ht="15">
      <c r="A399" s="344">
        <v>60425</v>
      </c>
      <c r="B399" s="345" t="s">
        <v>137</v>
      </c>
      <c r="C399" s="344">
        <v>220025</v>
      </c>
      <c r="D399" s="344" t="str">
        <f t="shared" si="18"/>
        <v>220025</v>
      </c>
      <c r="E399" s="346" t="s">
        <v>140</v>
      </c>
      <c r="F399" s="344" t="s">
        <v>141</v>
      </c>
      <c r="G399" s="344" t="str">
        <f t="shared" si="19"/>
        <v>60425AXLE 2</v>
      </c>
      <c r="H399" s="344">
        <v>2</v>
      </c>
      <c r="I399" s="344">
        <v>15</v>
      </c>
      <c r="J399" s="344">
        <v>2</v>
      </c>
      <c r="K399" s="344">
        <v>7</v>
      </c>
      <c r="L399" t="str">
        <f t="shared" si="20"/>
        <v>60425</v>
      </c>
      <c r="M399" s="344" t="s">
        <v>141</v>
      </c>
      <c r="N399" s="344">
        <v>220025</v>
      </c>
    </row>
    <row r="400" spans="1:14" ht="15">
      <c r="A400" s="344">
        <v>60425</v>
      </c>
      <c r="B400" s="345" t="s">
        <v>137</v>
      </c>
      <c r="C400" s="344">
        <v>220025</v>
      </c>
      <c r="D400" s="344" t="str">
        <f t="shared" si="18"/>
        <v>220025</v>
      </c>
      <c r="E400" s="346" t="s">
        <v>142</v>
      </c>
      <c r="F400" s="344" t="s">
        <v>143</v>
      </c>
      <c r="G400" s="344" t="str">
        <f t="shared" si="19"/>
        <v>60425AXLE 3</v>
      </c>
      <c r="H400" s="344">
        <v>3</v>
      </c>
      <c r="I400" s="344">
        <v>14</v>
      </c>
      <c r="J400" s="344">
        <v>3</v>
      </c>
      <c r="K400" s="344">
        <v>6</v>
      </c>
      <c r="L400" t="str">
        <f t="shared" si="20"/>
        <v>60425</v>
      </c>
      <c r="M400" s="344" t="s">
        <v>143</v>
      </c>
      <c r="N400" s="344">
        <v>220025</v>
      </c>
    </row>
    <row r="401" spans="1:14" ht="15">
      <c r="A401" s="344">
        <v>60425</v>
      </c>
      <c r="B401" s="345" t="s">
        <v>137</v>
      </c>
      <c r="C401" s="344">
        <v>220025</v>
      </c>
      <c r="D401" s="344" t="str">
        <f t="shared" si="18"/>
        <v>220025</v>
      </c>
      <c r="E401" s="346" t="s">
        <v>144</v>
      </c>
      <c r="F401" s="344" t="s">
        <v>145</v>
      </c>
      <c r="G401" s="344" t="str">
        <f t="shared" si="19"/>
        <v>60425AXLE 4</v>
      </c>
      <c r="H401" s="344">
        <v>4</v>
      </c>
      <c r="I401" s="344">
        <v>13</v>
      </c>
      <c r="J401" s="344">
        <v>4</v>
      </c>
      <c r="K401" s="344">
        <v>5</v>
      </c>
      <c r="L401" t="str">
        <f t="shared" si="20"/>
        <v>60425</v>
      </c>
      <c r="M401" s="344" t="s">
        <v>145</v>
      </c>
      <c r="N401" s="344">
        <v>220025</v>
      </c>
    </row>
    <row r="402" spans="1:14" ht="15">
      <c r="A402" s="344">
        <v>60326</v>
      </c>
      <c r="B402" s="345" t="s">
        <v>137</v>
      </c>
      <c r="C402" s="344">
        <v>220026</v>
      </c>
      <c r="D402" s="344" t="str">
        <f t="shared" si="18"/>
        <v>220026</v>
      </c>
      <c r="E402" s="346" t="s">
        <v>138</v>
      </c>
      <c r="F402" s="344" t="s">
        <v>139</v>
      </c>
      <c r="G402" s="344" t="str">
        <f t="shared" si="19"/>
        <v>60326AXLE 1</v>
      </c>
      <c r="H402" s="344">
        <v>16</v>
      </c>
      <c r="I402" s="344">
        <v>1</v>
      </c>
      <c r="J402" s="344">
        <v>1</v>
      </c>
      <c r="K402" s="344">
        <v>8</v>
      </c>
      <c r="L402" t="str">
        <f t="shared" si="20"/>
        <v>60326</v>
      </c>
      <c r="M402" s="344" t="s">
        <v>139</v>
      </c>
      <c r="N402" s="344">
        <v>220026</v>
      </c>
    </row>
    <row r="403" spans="1:14" ht="15">
      <c r="A403" s="344">
        <v>60326</v>
      </c>
      <c r="B403" s="345" t="s">
        <v>137</v>
      </c>
      <c r="C403" s="344">
        <v>220026</v>
      </c>
      <c r="D403" s="344" t="str">
        <f t="shared" si="18"/>
        <v>220026</v>
      </c>
      <c r="E403" s="346" t="s">
        <v>140</v>
      </c>
      <c r="F403" s="344" t="s">
        <v>141</v>
      </c>
      <c r="G403" s="344" t="str">
        <f t="shared" si="19"/>
        <v>60326AXLE 2</v>
      </c>
      <c r="H403" s="344">
        <v>15</v>
      </c>
      <c r="I403" s="344">
        <v>2</v>
      </c>
      <c r="J403" s="344">
        <v>2</v>
      </c>
      <c r="K403" s="344">
        <v>7</v>
      </c>
      <c r="L403" t="str">
        <f t="shared" si="20"/>
        <v>60326</v>
      </c>
      <c r="M403" s="344" t="s">
        <v>141</v>
      </c>
      <c r="N403" s="344">
        <v>220026</v>
      </c>
    </row>
    <row r="404" spans="1:14" ht="15">
      <c r="A404" s="344">
        <v>60326</v>
      </c>
      <c r="B404" s="345" t="s">
        <v>137</v>
      </c>
      <c r="C404" s="344">
        <v>220026</v>
      </c>
      <c r="D404" s="344" t="str">
        <f t="shared" si="18"/>
        <v>220026</v>
      </c>
      <c r="E404" s="346" t="s">
        <v>142</v>
      </c>
      <c r="F404" s="344" t="s">
        <v>143</v>
      </c>
      <c r="G404" s="344" t="str">
        <f t="shared" si="19"/>
        <v>60326AXLE 3</v>
      </c>
      <c r="H404" s="344">
        <v>14</v>
      </c>
      <c r="I404" s="344">
        <v>3</v>
      </c>
      <c r="J404" s="344">
        <v>3</v>
      </c>
      <c r="K404" s="344">
        <v>6</v>
      </c>
      <c r="L404" t="str">
        <f t="shared" si="20"/>
        <v>60326</v>
      </c>
      <c r="M404" s="344" t="s">
        <v>143</v>
      </c>
      <c r="N404" s="344">
        <v>220026</v>
      </c>
    </row>
    <row r="405" spans="1:14" ht="15">
      <c r="A405" s="344">
        <v>60326</v>
      </c>
      <c r="B405" s="345" t="s">
        <v>137</v>
      </c>
      <c r="C405" s="344">
        <v>220026</v>
      </c>
      <c r="D405" s="344" t="str">
        <f t="shared" si="18"/>
        <v>220026</v>
      </c>
      <c r="E405" s="346" t="s">
        <v>144</v>
      </c>
      <c r="F405" s="344" t="s">
        <v>145</v>
      </c>
      <c r="G405" s="344" t="str">
        <f t="shared" si="19"/>
        <v>60326AXLE 4</v>
      </c>
      <c r="H405" s="344">
        <v>13</v>
      </c>
      <c r="I405" s="344">
        <v>4</v>
      </c>
      <c r="J405" s="344">
        <v>4</v>
      </c>
      <c r="K405" s="344">
        <v>5</v>
      </c>
      <c r="L405" t="str">
        <f t="shared" si="20"/>
        <v>60326</v>
      </c>
      <c r="M405" s="344" t="s">
        <v>145</v>
      </c>
      <c r="N405" s="344">
        <v>220026</v>
      </c>
    </row>
    <row r="406" spans="1:14" ht="15">
      <c r="A406" s="344">
        <v>60726</v>
      </c>
      <c r="B406" s="345" t="s">
        <v>137</v>
      </c>
      <c r="C406" s="344">
        <v>220026</v>
      </c>
      <c r="D406" s="344" t="str">
        <f t="shared" si="18"/>
        <v>220026</v>
      </c>
      <c r="E406" s="346" t="s">
        <v>144</v>
      </c>
      <c r="F406" s="344" t="s">
        <v>139</v>
      </c>
      <c r="G406" s="344" t="str">
        <f t="shared" si="19"/>
        <v>60726AXLE 1</v>
      </c>
      <c r="H406" s="344">
        <v>9</v>
      </c>
      <c r="I406" s="344">
        <v>8</v>
      </c>
      <c r="J406" s="344">
        <v>1</v>
      </c>
      <c r="K406" s="344">
        <v>8</v>
      </c>
      <c r="L406" t="str">
        <f t="shared" si="20"/>
        <v>60726</v>
      </c>
      <c r="M406" s="344" t="s">
        <v>139</v>
      </c>
      <c r="N406" s="344">
        <v>220026</v>
      </c>
    </row>
    <row r="407" spans="1:14" ht="15">
      <c r="A407" s="344">
        <v>60726</v>
      </c>
      <c r="B407" s="345" t="s">
        <v>137</v>
      </c>
      <c r="C407" s="344">
        <v>220026</v>
      </c>
      <c r="D407" s="344" t="str">
        <f t="shared" si="18"/>
        <v>220026</v>
      </c>
      <c r="E407" s="346" t="s">
        <v>140</v>
      </c>
      <c r="F407" s="344" t="s">
        <v>141</v>
      </c>
      <c r="G407" s="344" t="str">
        <f t="shared" si="19"/>
        <v>60726AXLE 2</v>
      </c>
      <c r="H407" s="344">
        <v>10</v>
      </c>
      <c r="I407" s="344">
        <v>7</v>
      </c>
      <c r="J407" s="344">
        <v>2</v>
      </c>
      <c r="K407" s="344">
        <v>7</v>
      </c>
      <c r="L407" t="str">
        <f t="shared" si="20"/>
        <v>60726</v>
      </c>
      <c r="M407" s="344" t="s">
        <v>141</v>
      </c>
      <c r="N407" s="344">
        <v>220026</v>
      </c>
    </row>
    <row r="408" spans="1:14" ht="15">
      <c r="A408" s="344">
        <v>60726</v>
      </c>
      <c r="B408" s="345" t="s">
        <v>137</v>
      </c>
      <c r="C408" s="344">
        <v>220026</v>
      </c>
      <c r="D408" s="344" t="str">
        <f t="shared" si="18"/>
        <v>220026</v>
      </c>
      <c r="E408" s="346" t="s">
        <v>140</v>
      </c>
      <c r="F408" s="344" t="s">
        <v>143</v>
      </c>
      <c r="G408" s="344" t="str">
        <f t="shared" si="19"/>
        <v>60726AXLE 3</v>
      </c>
      <c r="H408" s="344">
        <v>11</v>
      </c>
      <c r="I408" s="344">
        <v>6</v>
      </c>
      <c r="J408" s="344">
        <v>3</v>
      </c>
      <c r="K408" s="344">
        <v>6</v>
      </c>
      <c r="L408" t="str">
        <f t="shared" si="20"/>
        <v>60726</v>
      </c>
      <c r="M408" s="344" t="s">
        <v>143</v>
      </c>
      <c r="N408" s="344">
        <v>220026</v>
      </c>
    </row>
    <row r="409" spans="1:14" ht="15">
      <c r="A409" s="344">
        <v>60726</v>
      </c>
      <c r="B409" s="345" t="s">
        <v>137</v>
      </c>
      <c r="C409" s="344">
        <v>220026</v>
      </c>
      <c r="D409" s="344" t="str">
        <f t="shared" si="18"/>
        <v>220026</v>
      </c>
      <c r="E409" s="346" t="s">
        <v>144</v>
      </c>
      <c r="F409" s="344" t="s">
        <v>145</v>
      </c>
      <c r="G409" s="344" t="str">
        <f t="shared" si="19"/>
        <v>60726AXLE 4</v>
      </c>
      <c r="H409" s="344">
        <v>12</v>
      </c>
      <c r="I409" s="344">
        <v>5</v>
      </c>
      <c r="J409" s="344">
        <v>4</v>
      </c>
      <c r="K409" s="344">
        <v>5</v>
      </c>
      <c r="L409" t="str">
        <f t="shared" si="20"/>
        <v>60726</v>
      </c>
      <c r="M409" s="344" t="s">
        <v>145</v>
      </c>
      <c r="N409" s="344">
        <v>220026</v>
      </c>
    </row>
    <row r="410" spans="1:14" ht="15">
      <c r="A410" s="344">
        <v>60226</v>
      </c>
      <c r="B410" s="345" t="s">
        <v>137</v>
      </c>
      <c r="C410" s="344">
        <v>220026</v>
      </c>
      <c r="D410" s="344" t="str">
        <f t="shared" si="18"/>
        <v>220026</v>
      </c>
      <c r="E410" s="346" t="s">
        <v>144</v>
      </c>
      <c r="F410" s="344" t="s">
        <v>139</v>
      </c>
      <c r="G410" s="344" t="str">
        <f t="shared" si="19"/>
        <v>60226AXLE 1</v>
      </c>
      <c r="H410" s="344">
        <v>5</v>
      </c>
      <c r="I410" s="344">
        <v>12</v>
      </c>
      <c r="J410" s="344">
        <v>1</v>
      </c>
      <c r="K410" s="344">
        <v>8</v>
      </c>
      <c r="L410" t="str">
        <f t="shared" si="20"/>
        <v>60226</v>
      </c>
      <c r="M410" s="344" t="s">
        <v>139</v>
      </c>
      <c r="N410" s="344">
        <v>220026</v>
      </c>
    </row>
    <row r="411" spans="1:14" ht="15">
      <c r="A411" s="344">
        <v>60226</v>
      </c>
      <c r="B411" s="345" t="s">
        <v>137</v>
      </c>
      <c r="C411" s="344">
        <v>220026</v>
      </c>
      <c r="D411" s="344" t="str">
        <f t="shared" si="18"/>
        <v>220026</v>
      </c>
      <c r="E411" s="346" t="s">
        <v>140</v>
      </c>
      <c r="F411" s="344" t="s">
        <v>141</v>
      </c>
      <c r="G411" s="344" t="str">
        <f t="shared" si="19"/>
        <v>60226AXLE 2</v>
      </c>
      <c r="H411" s="344">
        <v>6</v>
      </c>
      <c r="I411" s="344">
        <v>11</v>
      </c>
      <c r="J411" s="344">
        <v>2</v>
      </c>
      <c r="K411" s="344">
        <v>7</v>
      </c>
      <c r="L411" t="str">
        <f t="shared" si="20"/>
        <v>60226</v>
      </c>
      <c r="M411" s="344" t="s">
        <v>141</v>
      </c>
      <c r="N411" s="344">
        <v>220026</v>
      </c>
    </row>
    <row r="412" spans="1:14" ht="15">
      <c r="A412" s="344">
        <v>60226</v>
      </c>
      <c r="B412" s="345" t="s">
        <v>137</v>
      </c>
      <c r="C412" s="344">
        <v>220026</v>
      </c>
      <c r="D412" s="344" t="str">
        <f t="shared" si="18"/>
        <v>220026</v>
      </c>
      <c r="E412" s="346" t="s">
        <v>140</v>
      </c>
      <c r="F412" s="344" t="s">
        <v>143</v>
      </c>
      <c r="G412" s="344" t="str">
        <f t="shared" si="19"/>
        <v>60226AXLE 3</v>
      </c>
      <c r="H412" s="344">
        <v>7</v>
      </c>
      <c r="I412" s="344">
        <v>10</v>
      </c>
      <c r="J412" s="344">
        <v>3</v>
      </c>
      <c r="K412" s="344">
        <v>6</v>
      </c>
      <c r="L412" t="str">
        <f t="shared" si="20"/>
        <v>60226</v>
      </c>
      <c r="M412" s="344" t="s">
        <v>143</v>
      </c>
      <c r="N412" s="344">
        <v>220026</v>
      </c>
    </row>
    <row r="413" spans="1:14" ht="15">
      <c r="A413" s="344">
        <v>60226</v>
      </c>
      <c r="B413" s="345" t="s">
        <v>137</v>
      </c>
      <c r="C413" s="344">
        <v>220026</v>
      </c>
      <c r="D413" s="344" t="str">
        <f t="shared" si="18"/>
        <v>220026</v>
      </c>
      <c r="E413" s="346" t="s">
        <v>144</v>
      </c>
      <c r="F413" s="344" t="s">
        <v>145</v>
      </c>
      <c r="G413" s="344" t="str">
        <f t="shared" si="19"/>
        <v>60226AXLE 4</v>
      </c>
      <c r="H413" s="344">
        <v>8</v>
      </c>
      <c r="I413" s="344">
        <v>9</v>
      </c>
      <c r="J413" s="344">
        <v>4</v>
      </c>
      <c r="K413" s="344">
        <v>5</v>
      </c>
      <c r="L413" t="str">
        <f t="shared" si="20"/>
        <v>60226</v>
      </c>
      <c r="M413" s="344" t="s">
        <v>145</v>
      </c>
      <c r="N413" s="344">
        <v>220026</v>
      </c>
    </row>
    <row r="414" spans="1:14" ht="15">
      <c r="A414" s="344">
        <v>60426</v>
      </c>
      <c r="B414" s="345" t="s">
        <v>137</v>
      </c>
      <c r="C414" s="344">
        <v>220026</v>
      </c>
      <c r="D414" s="344" t="str">
        <f t="shared" si="18"/>
        <v>220026</v>
      </c>
      <c r="E414" s="346" t="s">
        <v>138</v>
      </c>
      <c r="F414" s="344" t="s">
        <v>139</v>
      </c>
      <c r="G414" s="344" t="str">
        <f t="shared" si="19"/>
        <v>60426AXLE 1</v>
      </c>
      <c r="H414" s="344">
        <v>1</v>
      </c>
      <c r="I414" s="344">
        <v>16</v>
      </c>
      <c r="J414" s="344">
        <v>1</v>
      </c>
      <c r="K414" s="344">
        <v>8</v>
      </c>
      <c r="L414" t="str">
        <f t="shared" si="20"/>
        <v>60426</v>
      </c>
      <c r="M414" s="344" t="s">
        <v>139</v>
      </c>
      <c r="N414" s="344">
        <v>220026</v>
      </c>
    </row>
    <row r="415" spans="1:14" ht="15">
      <c r="A415" s="344">
        <v>60426</v>
      </c>
      <c r="B415" s="345" t="s">
        <v>137</v>
      </c>
      <c r="C415" s="344">
        <v>220026</v>
      </c>
      <c r="D415" s="344" t="str">
        <f t="shared" si="18"/>
        <v>220026</v>
      </c>
      <c r="E415" s="346" t="s">
        <v>140</v>
      </c>
      <c r="F415" s="344" t="s">
        <v>141</v>
      </c>
      <c r="G415" s="344" t="str">
        <f t="shared" si="19"/>
        <v>60426AXLE 2</v>
      </c>
      <c r="H415" s="344">
        <v>2</v>
      </c>
      <c r="I415" s="344">
        <v>15</v>
      </c>
      <c r="J415" s="344">
        <v>2</v>
      </c>
      <c r="K415" s="344">
        <v>7</v>
      </c>
      <c r="L415" t="str">
        <f t="shared" si="20"/>
        <v>60426</v>
      </c>
      <c r="M415" s="344" t="s">
        <v>141</v>
      </c>
      <c r="N415" s="344">
        <v>220026</v>
      </c>
    </row>
    <row r="416" spans="1:14" ht="15">
      <c r="A416" s="344">
        <v>60426</v>
      </c>
      <c r="B416" s="345" t="s">
        <v>137</v>
      </c>
      <c r="C416" s="344">
        <v>220026</v>
      </c>
      <c r="D416" s="344" t="str">
        <f t="shared" si="18"/>
        <v>220026</v>
      </c>
      <c r="E416" s="346" t="s">
        <v>142</v>
      </c>
      <c r="F416" s="344" t="s">
        <v>143</v>
      </c>
      <c r="G416" s="344" t="str">
        <f t="shared" si="19"/>
        <v>60426AXLE 3</v>
      </c>
      <c r="H416" s="344">
        <v>3</v>
      </c>
      <c r="I416" s="344">
        <v>14</v>
      </c>
      <c r="J416" s="344">
        <v>3</v>
      </c>
      <c r="K416" s="344">
        <v>6</v>
      </c>
      <c r="L416" t="str">
        <f t="shared" si="20"/>
        <v>60426</v>
      </c>
      <c r="M416" s="344" t="s">
        <v>143</v>
      </c>
      <c r="N416" s="344">
        <v>220026</v>
      </c>
    </row>
    <row r="417" spans="1:14" ht="15">
      <c r="A417" s="344">
        <v>60426</v>
      </c>
      <c r="B417" s="345" t="s">
        <v>137</v>
      </c>
      <c r="C417" s="344">
        <v>220026</v>
      </c>
      <c r="D417" s="344" t="str">
        <f t="shared" si="18"/>
        <v>220026</v>
      </c>
      <c r="E417" s="346" t="s">
        <v>144</v>
      </c>
      <c r="F417" s="344" t="s">
        <v>145</v>
      </c>
      <c r="G417" s="344" t="str">
        <f t="shared" si="19"/>
        <v>60426AXLE 4</v>
      </c>
      <c r="H417" s="344">
        <v>4</v>
      </c>
      <c r="I417" s="344">
        <v>13</v>
      </c>
      <c r="J417" s="344">
        <v>4</v>
      </c>
      <c r="K417" s="344">
        <v>5</v>
      </c>
      <c r="L417" t="str">
        <f t="shared" si="20"/>
        <v>60426</v>
      </c>
      <c r="M417" s="344" t="s">
        <v>145</v>
      </c>
      <c r="N417" s="344">
        <v>220026</v>
      </c>
    </row>
    <row r="418" spans="1:14" ht="15">
      <c r="A418" s="344">
        <v>60327</v>
      </c>
      <c r="B418" s="345" t="s">
        <v>137</v>
      </c>
      <c r="C418" s="344">
        <v>220027</v>
      </c>
      <c r="D418" s="344" t="str">
        <f t="shared" si="18"/>
        <v>220027</v>
      </c>
      <c r="E418" s="346" t="s">
        <v>138</v>
      </c>
      <c r="F418" s="344" t="s">
        <v>139</v>
      </c>
      <c r="G418" s="344" t="str">
        <f t="shared" si="19"/>
        <v>60327AXLE 1</v>
      </c>
      <c r="H418" s="344">
        <v>16</v>
      </c>
      <c r="I418" s="344">
        <v>1</v>
      </c>
      <c r="J418" s="344">
        <v>1</v>
      </c>
      <c r="K418" s="344">
        <v>8</v>
      </c>
      <c r="L418" t="str">
        <f t="shared" si="20"/>
        <v>60327</v>
      </c>
      <c r="M418" s="344" t="s">
        <v>139</v>
      </c>
      <c r="N418" s="344">
        <v>220027</v>
      </c>
    </row>
    <row r="419" spans="1:14" ht="15">
      <c r="A419" s="344">
        <v>60327</v>
      </c>
      <c r="B419" s="345" t="s">
        <v>137</v>
      </c>
      <c r="C419" s="344">
        <v>220027</v>
      </c>
      <c r="D419" s="344" t="str">
        <f t="shared" si="18"/>
        <v>220027</v>
      </c>
      <c r="E419" s="346" t="s">
        <v>140</v>
      </c>
      <c r="F419" s="344" t="s">
        <v>141</v>
      </c>
      <c r="G419" s="344" t="str">
        <f t="shared" si="19"/>
        <v>60327AXLE 2</v>
      </c>
      <c r="H419" s="344">
        <v>15</v>
      </c>
      <c r="I419" s="344">
        <v>2</v>
      </c>
      <c r="J419" s="344">
        <v>2</v>
      </c>
      <c r="K419" s="344">
        <v>7</v>
      </c>
      <c r="L419" t="str">
        <f t="shared" si="20"/>
        <v>60327</v>
      </c>
      <c r="M419" s="344" t="s">
        <v>141</v>
      </c>
      <c r="N419" s="344">
        <v>220027</v>
      </c>
    </row>
    <row r="420" spans="1:14" ht="15">
      <c r="A420" s="344">
        <v>60327</v>
      </c>
      <c r="B420" s="345" t="s">
        <v>137</v>
      </c>
      <c r="C420" s="344">
        <v>220027</v>
      </c>
      <c r="D420" s="344" t="str">
        <f t="shared" si="18"/>
        <v>220027</v>
      </c>
      <c r="E420" s="346" t="s">
        <v>142</v>
      </c>
      <c r="F420" s="344" t="s">
        <v>143</v>
      </c>
      <c r="G420" s="344" t="str">
        <f t="shared" si="19"/>
        <v>60327AXLE 3</v>
      </c>
      <c r="H420" s="344">
        <v>14</v>
      </c>
      <c r="I420" s="344">
        <v>3</v>
      </c>
      <c r="J420" s="344">
        <v>3</v>
      </c>
      <c r="K420" s="344">
        <v>6</v>
      </c>
      <c r="L420" t="str">
        <f t="shared" si="20"/>
        <v>60327</v>
      </c>
      <c r="M420" s="344" t="s">
        <v>143</v>
      </c>
      <c r="N420" s="344">
        <v>220027</v>
      </c>
    </row>
    <row r="421" spans="1:14" ht="15">
      <c r="A421" s="344">
        <v>60327</v>
      </c>
      <c r="B421" s="345" t="s">
        <v>137</v>
      </c>
      <c r="C421" s="344">
        <v>220027</v>
      </c>
      <c r="D421" s="344" t="str">
        <f t="shared" si="18"/>
        <v>220027</v>
      </c>
      <c r="E421" s="346" t="s">
        <v>144</v>
      </c>
      <c r="F421" s="344" t="s">
        <v>145</v>
      </c>
      <c r="G421" s="344" t="str">
        <f t="shared" si="19"/>
        <v>60327AXLE 4</v>
      </c>
      <c r="H421" s="344">
        <v>13</v>
      </c>
      <c r="I421" s="344">
        <v>4</v>
      </c>
      <c r="J421" s="344">
        <v>4</v>
      </c>
      <c r="K421" s="344">
        <v>5</v>
      </c>
      <c r="L421" t="str">
        <f t="shared" si="20"/>
        <v>60327</v>
      </c>
      <c r="M421" s="344" t="s">
        <v>145</v>
      </c>
      <c r="N421" s="344">
        <v>220027</v>
      </c>
    </row>
    <row r="422" spans="1:14" ht="15">
      <c r="A422" s="344">
        <v>60727</v>
      </c>
      <c r="B422" s="345" t="s">
        <v>137</v>
      </c>
      <c r="C422" s="344">
        <v>220027</v>
      </c>
      <c r="D422" s="344" t="str">
        <f t="shared" si="18"/>
        <v>220027</v>
      </c>
      <c r="E422" s="346" t="s">
        <v>144</v>
      </c>
      <c r="F422" s="344" t="s">
        <v>139</v>
      </c>
      <c r="G422" s="344" t="str">
        <f t="shared" si="19"/>
        <v>60727AXLE 1</v>
      </c>
      <c r="H422" s="344">
        <v>9</v>
      </c>
      <c r="I422" s="344">
        <v>8</v>
      </c>
      <c r="J422" s="344">
        <v>1</v>
      </c>
      <c r="K422" s="344">
        <v>8</v>
      </c>
      <c r="L422" t="str">
        <f t="shared" si="20"/>
        <v>60727</v>
      </c>
      <c r="M422" s="344" t="s">
        <v>139</v>
      </c>
      <c r="N422" s="344">
        <v>220027</v>
      </c>
    </row>
    <row r="423" spans="1:14" ht="15">
      <c r="A423" s="344">
        <v>60727</v>
      </c>
      <c r="B423" s="345" t="s">
        <v>137</v>
      </c>
      <c r="C423" s="344">
        <v>220027</v>
      </c>
      <c r="D423" s="344" t="str">
        <f t="shared" si="18"/>
        <v>220027</v>
      </c>
      <c r="E423" s="346" t="s">
        <v>140</v>
      </c>
      <c r="F423" s="344" t="s">
        <v>141</v>
      </c>
      <c r="G423" s="344" t="str">
        <f t="shared" si="19"/>
        <v>60727AXLE 2</v>
      </c>
      <c r="H423" s="344">
        <v>10</v>
      </c>
      <c r="I423" s="344">
        <v>7</v>
      </c>
      <c r="J423" s="344">
        <v>2</v>
      </c>
      <c r="K423" s="344">
        <v>7</v>
      </c>
      <c r="L423" t="str">
        <f t="shared" si="20"/>
        <v>60727</v>
      </c>
      <c r="M423" s="344" t="s">
        <v>141</v>
      </c>
      <c r="N423" s="344">
        <v>220027</v>
      </c>
    </row>
    <row r="424" spans="1:14" ht="15">
      <c r="A424" s="344">
        <v>60727</v>
      </c>
      <c r="B424" s="345" t="s">
        <v>137</v>
      </c>
      <c r="C424" s="344">
        <v>220027</v>
      </c>
      <c r="D424" s="344" t="str">
        <f t="shared" si="18"/>
        <v>220027</v>
      </c>
      <c r="E424" s="346" t="s">
        <v>140</v>
      </c>
      <c r="F424" s="344" t="s">
        <v>143</v>
      </c>
      <c r="G424" s="344" t="str">
        <f t="shared" si="19"/>
        <v>60727AXLE 3</v>
      </c>
      <c r="H424" s="344">
        <v>11</v>
      </c>
      <c r="I424" s="344">
        <v>6</v>
      </c>
      <c r="J424" s="344">
        <v>3</v>
      </c>
      <c r="K424" s="344">
        <v>6</v>
      </c>
      <c r="L424" t="str">
        <f t="shared" si="20"/>
        <v>60727</v>
      </c>
      <c r="M424" s="344" t="s">
        <v>143</v>
      </c>
      <c r="N424" s="344">
        <v>220027</v>
      </c>
    </row>
    <row r="425" spans="1:14" ht="15">
      <c r="A425" s="344">
        <v>60727</v>
      </c>
      <c r="B425" s="345" t="s">
        <v>137</v>
      </c>
      <c r="C425" s="344">
        <v>220027</v>
      </c>
      <c r="D425" s="344" t="str">
        <f t="shared" si="18"/>
        <v>220027</v>
      </c>
      <c r="E425" s="346" t="s">
        <v>144</v>
      </c>
      <c r="F425" s="344" t="s">
        <v>145</v>
      </c>
      <c r="G425" s="344" t="str">
        <f t="shared" si="19"/>
        <v>60727AXLE 4</v>
      </c>
      <c r="H425" s="344">
        <v>12</v>
      </c>
      <c r="I425" s="344">
        <v>5</v>
      </c>
      <c r="J425" s="344">
        <v>4</v>
      </c>
      <c r="K425" s="344">
        <v>5</v>
      </c>
      <c r="L425" t="str">
        <f t="shared" si="20"/>
        <v>60727</v>
      </c>
      <c r="M425" s="344" t="s">
        <v>145</v>
      </c>
      <c r="N425" s="344">
        <v>220027</v>
      </c>
    </row>
    <row r="426" spans="1:14" ht="15">
      <c r="A426" s="344">
        <v>60227</v>
      </c>
      <c r="B426" s="345" t="s">
        <v>137</v>
      </c>
      <c r="C426" s="344">
        <v>220027</v>
      </c>
      <c r="D426" s="344" t="str">
        <f t="shared" si="18"/>
        <v>220027</v>
      </c>
      <c r="E426" s="346" t="s">
        <v>144</v>
      </c>
      <c r="F426" s="344" t="s">
        <v>139</v>
      </c>
      <c r="G426" s="344" t="str">
        <f t="shared" si="19"/>
        <v>60227AXLE 1</v>
      </c>
      <c r="H426" s="344">
        <v>5</v>
      </c>
      <c r="I426" s="344">
        <v>12</v>
      </c>
      <c r="J426" s="344">
        <v>1</v>
      </c>
      <c r="K426" s="344">
        <v>8</v>
      </c>
      <c r="L426" t="str">
        <f t="shared" si="20"/>
        <v>60227</v>
      </c>
      <c r="M426" s="344" t="s">
        <v>139</v>
      </c>
      <c r="N426" s="344">
        <v>220027</v>
      </c>
    </row>
    <row r="427" spans="1:14" ht="15">
      <c r="A427" s="344">
        <v>60227</v>
      </c>
      <c r="B427" s="345" t="s">
        <v>137</v>
      </c>
      <c r="C427" s="344">
        <v>220027</v>
      </c>
      <c r="D427" s="344" t="str">
        <f t="shared" si="18"/>
        <v>220027</v>
      </c>
      <c r="E427" s="346" t="s">
        <v>140</v>
      </c>
      <c r="F427" s="344" t="s">
        <v>141</v>
      </c>
      <c r="G427" s="344" t="str">
        <f t="shared" si="19"/>
        <v>60227AXLE 2</v>
      </c>
      <c r="H427" s="344">
        <v>6</v>
      </c>
      <c r="I427" s="344">
        <v>11</v>
      </c>
      <c r="J427" s="344">
        <v>2</v>
      </c>
      <c r="K427" s="344">
        <v>7</v>
      </c>
      <c r="L427" t="str">
        <f t="shared" si="20"/>
        <v>60227</v>
      </c>
      <c r="M427" s="344" t="s">
        <v>141</v>
      </c>
      <c r="N427" s="344">
        <v>220027</v>
      </c>
    </row>
    <row r="428" spans="1:14" ht="15">
      <c r="A428" s="344">
        <v>60227</v>
      </c>
      <c r="B428" s="345" t="s">
        <v>137</v>
      </c>
      <c r="C428" s="344">
        <v>220027</v>
      </c>
      <c r="D428" s="344" t="str">
        <f t="shared" si="18"/>
        <v>220027</v>
      </c>
      <c r="E428" s="346" t="s">
        <v>140</v>
      </c>
      <c r="F428" s="344" t="s">
        <v>143</v>
      </c>
      <c r="G428" s="344" t="str">
        <f t="shared" si="19"/>
        <v>60227AXLE 3</v>
      </c>
      <c r="H428" s="344">
        <v>7</v>
      </c>
      <c r="I428" s="344">
        <v>10</v>
      </c>
      <c r="J428" s="344">
        <v>3</v>
      </c>
      <c r="K428" s="344">
        <v>6</v>
      </c>
      <c r="L428" t="str">
        <f t="shared" si="20"/>
        <v>60227</v>
      </c>
      <c r="M428" s="344" t="s">
        <v>143</v>
      </c>
      <c r="N428" s="344">
        <v>220027</v>
      </c>
    </row>
    <row r="429" spans="1:14" ht="15">
      <c r="A429" s="344">
        <v>60227</v>
      </c>
      <c r="B429" s="345" t="s">
        <v>137</v>
      </c>
      <c r="C429" s="344">
        <v>220027</v>
      </c>
      <c r="D429" s="344" t="str">
        <f t="shared" si="18"/>
        <v>220027</v>
      </c>
      <c r="E429" s="346" t="s">
        <v>144</v>
      </c>
      <c r="F429" s="344" t="s">
        <v>145</v>
      </c>
      <c r="G429" s="344" t="str">
        <f t="shared" si="19"/>
        <v>60227AXLE 4</v>
      </c>
      <c r="H429" s="344">
        <v>8</v>
      </c>
      <c r="I429" s="344">
        <v>9</v>
      </c>
      <c r="J429" s="344">
        <v>4</v>
      </c>
      <c r="K429" s="344">
        <v>5</v>
      </c>
      <c r="L429" t="str">
        <f t="shared" si="20"/>
        <v>60227</v>
      </c>
      <c r="M429" s="344" t="s">
        <v>145</v>
      </c>
      <c r="N429" s="344">
        <v>220027</v>
      </c>
    </row>
    <row r="430" spans="1:14" ht="15">
      <c r="A430" s="344">
        <v>60427</v>
      </c>
      <c r="B430" s="345" t="s">
        <v>137</v>
      </c>
      <c r="C430" s="344">
        <v>220027</v>
      </c>
      <c r="D430" s="344" t="str">
        <f t="shared" si="18"/>
        <v>220027</v>
      </c>
      <c r="E430" s="346" t="s">
        <v>138</v>
      </c>
      <c r="F430" s="344" t="s">
        <v>139</v>
      </c>
      <c r="G430" s="344" t="str">
        <f t="shared" si="19"/>
        <v>60427AXLE 1</v>
      </c>
      <c r="H430" s="344">
        <v>1</v>
      </c>
      <c r="I430" s="344">
        <v>16</v>
      </c>
      <c r="J430" s="344">
        <v>1</v>
      </c>
      <c r="K430" s="344">
        <v>8</v>
      </c>
      <c r="L430" t="str">
        <f t="shared" si="20"/>
        <v>60427</v>
      </c>
      <c r="M430" s="344" t="s">
        <v>139</v>
      </c>
      <c r="N430" s="344">
        <v>220027</v>
      </c>
    </row>
    <row r="431" spans="1:14" ht="15">
      <c r="A431" s="344">
        <v>60427</v>
      </c>
      <c r="B431" s="345" t="s">
        <v>137</v>
      </c>
      <c r="C431" s="344">
        <v>220027</v>
      </c>
      <c r="D431" s="344" t="str">
        <f t="shared" si="18"/>
        <v>220027</v>
      </c>
      <c r="E431" s="346" t="s">
        <v>140</v>
      </c>
      <c r="F431" s="344" t="s">
        <v>141</v>
      </c>
      <c r="G431" s="344" t="str">
        <f t="shared" si="19"/>
        <v>60427AXLE 2</v>
      </c>
      <c r="H431" s="344">
        <v>2</v>
      </c>
      <c r="I431" s="344">
        <v>15</v>
      </c>
      <c r="J431" s="344">
        <v>2</v>
      </c>
      <c r="K431" s="344">
        <v>7</v>
      </c>
      <c r="L431" t="str">
        <f t="shared" si="20"/>
        <v>60427</v>
      </c>
      <c r="M431" s="344" t="s">
        <v>141</v>
      </c>
      <c r="N431" s="344">
        <v>220027</v>
      </c>
    </row>
    <row r="432" spans="1:14" ht="15">
      <c r="A432" s="344">
        <v>60427</v>
      </c>
      <c r="B432" s="345" t="s">
        <v>137</v>
      </c>
      <c r="C432" s="344">
        <v>220027</v>
      </c>
      <c r="D432" s="344" t="str">
        <f t="shared" si="18"/>
        <v>220027</v>
      </c>
      <c r="E432" s="346" t="s">
        <v>142</v>
      </c>
      <c r="F432" s="344" t="s">
        <v>143</v>
      </c>
      <c r="G432" s="344" t="str">
        <f t="shared" si="19"/>
        <v>60427AXLE 3</v>
      </c>
      <c r="H432" s="344">
        <v>3</v>
      </c>
      <c r="I432" s="344">
        <v>14</v>
      </c>
      <c r="J432" s="344">
        <v>3</v>
      </c>
      <c r="K432" s="344">
        <v>6</v>
      </c>
      <c r="L432" t="str">
        <f t="shared" si="20"/>
        <v>60427</v>
      </c>
      <c r="M432" s="344" t="s">
        <v>143</v>
      </c>
      <c r="N432" s="344">
        <v>220027</v>
      </c>
    </row>
    <row r="433" spans="1:14" ht="15">
      <c r="A433" s="344">
        <v>60427</v>
      </c>
      <c r="B433" s="345" t="s">
        <v>137</v>
      </c>
      <c r="C433" s="344">
        <v>220027</v>
      </c>
      <c r="D433" s="344" t="str">
        <f t="shared" si="18"/>
        <v>220027</v>
      </c>
      <c r="E433" s="346" t="s">
        <v>144</v>
      </c>
      <c r="F433" s="344" t="s">
        <v>145</v>
      </c>
      <c r="G433" s="344" t="str">
        <f t="shared" si="19"/>
        <v>60427AXLE 4</v>
      </c>
      <c r="H433" s="344">
        <v>4</v>
      </c>
      <c r="I433" s="344">
        <v>13</v>
      </c>
      <c r="J433" s="344">
        <v>4</v>
      </c>
      <c r="K433" s="344">
        <v>5</v>
      </c>
      <c r="L433" t="str">
        <f t="shared" si="20"/>
        <v>60427</v>
      </c>
      <c r="M433" s="344" t="s">
        <v>145</v>
      </c>
      <c r="N433" s="344">
        <v>220027</v>
      </c>
    </row>
    <row r="434" spans="1:14" ht="15">
      <c r="A434" s="344">
        <v>60328</v>
      </c>
      <c r="B434" s="345" t="s">
        <v>137</v>
      </c>
      <c r="C434" s="344">
        <v>220028</v>
      </c>
      <c r="D434" s="344" t="str">
        <f t="shared" si="18"/>
        <v>220028</v>
      </c>
      <c r="E434" s="346" t="s">
        <v>138</v>
      </c>
      <c r="F434" s="344" t="s">
        <v>139</v>
      </c>
      <c r="G434" s="344" t="str">
        <f t="shared" si="19"/>
        <v>60328AXLE 1</v>
      </c>
      <c r="H434" s="344">
        <v>16</v>
      </c>
      <c r="I434" s="344">
        <v>1</v>
      </c>
      <c r="J434" s="344">
        <v>1</v>
      </c>
      <c r="K434" s="344">
        <v>8</v>
      </c>
      <c r="L434" t="str">
        <f t="shared" si="20"/>
        <v>60328</v>
      </c>
      <c r="M434" s="344" t="s">
        <v>139</v>
      </c>
      <c r="N434" s="344">
        <v>220028</v>
      </c>
    </row>
    <row r="435" spans="1:14" ht="15">
      <c r="A435" s="344">
        <v>60328</v>
      </c>
      <c r="B435" s="345" t="s">
        <v>137</v>
      </c>
      <c r="C435" s="344">
        <v>220028</v>
      </c>
      <c r="D435" s="344" t="str">
        <f t="shared" si="18"/>
        <v>220028</v>
      </c>
      <c r="E435" s="346" t="s">
        <v>140</v>
      </c>
      <c r="F435" s="344" t="s">
        <v>141</v>
      </c>
      <c r="G435" s="344" t="str">
        <f t="shared" si="19"/>
        <v>60328AXLE 2</v>
      </c>
      <c r="H435" s="344">
        <v>15</v>
      </c>
      <c r="I435" s="344">
        <v>2</v>
      </c>
      <c r="J435" s="344">
        <v>2</v>
      </c>
      <c r="K435" s="344">
        <v>7</v>
      </c>
      <c r="L435" t="str">
        <f t="shared" si="20"/>
        <v>60328</v>
      </c>
      <c r="M435" s="344" t="s">
        <v>141</v>
      </c>
      <c r="N435" s="344">
        <v>220028</v>
      </c>
    </row>
    <row r="436" spans="1:14" ht="15">
      <c r="A436" s="344">
        <v>60328</v>
      </c>
      <c r="B436" s="345" t="s">
        <v>137</v>
      </c>
      <c r="C436" s="344">
        <v>220028</v>
      </c>
      <c r="D436" s="344" t="str">
        <f t="shared" si="18"/>
        <v>220028</v>
      </c>
      <c r="E436" s="346" t="s">
        <v>142</v>
      </c>
      <c r="F436" s="344" t="s">
        <v>143</v>
      </c>
      <c r="G436" s="344" t="str">
        <f t="shared" si="19"/>
        <v>60328AXLE 3</v>
      </c>
      <c r="H436" s="344">
        <v>14</v>
      </c>
      <c r="I436" s="344">
        <v>3</v>
      </c>
      <c r="J436" s="344">
        <v>3</v>
      </c>
      <c r="K436" s="344">
        <v>6</v>
      </c>
      <c r="L436" t="str">
        <f t="shared" si="20"/>
        <v>60328</v>
      </c>
      <c r="M436" s="344" t="s">
        <v>143</v>
      </c>
      <c r="N436" s="344">
        <v>220028</v>
      </c>
    </row>
    <row r="437" spans="1:14" ht="15">
      <c r="A437" s="344">
        <v>60328</v>
      </c>
      <c r="B437" s="345" t="s">
        <v>137</v>
      </c>
      <c r="C437" s="344">
        <v>220028</v>
      </c>
      <c r="D437" s="344" t="str">
        <f t="shared" si="18"/>
        <v>220028</v>
      </c>
      <c r="E437" s="346" t="s">
        <v>144</v>
      </c>
      <c r="F437" s="344" t="s">
        <v>145</v>
      </c>
      <c r="G437" s="344" t="str">
        <f t="shared" si="19"/>
        <v>60328AXLE 4</v>
      </c>
      <c r="H437" s="344">
        <v>13</v>
      </c>
      <c r="I437" s="344">
        <v>4</v>
      </c>
      <c r="J437" s="344">
        <v>4</v>
      </c>
      <c r="K437" s="344">
        <v>5</v>
      </c>
      <c r="L437" t="str">
        <f t="shared" si="20"/>
        <v>60328</v>
      </c>
      <c r="M437" s="344" t="s">
        <v>145</v>
      </c>
      <c r="N437" s="344">
        <v>220028</v>
      </c>
    </row>
    <row r="438" spans="1:14" ht="15">
      <c r="A438" s="344">
        <v>60728</v>
      </c>
      <c r="B438" s="345" t="s">
        <v>137</v>
      </c>
      <c r="C438" s="344">
        <v>220028</v>
      </c>
      <c r="D438" s="344" t="str">
        <f t="shared" si="18"/>
        <v>220028</v>
      </c>
      <c r="E438" s="346" t="s">
        <v>144</v>
      </c>
      <c r="F438" s="344" t="s">
        <v>139</v>
      </c>
      <c r="G438" s="344" t="str">
        <f t="shared" si="19"/>
        <v>60728AXLE 1</v>
      </c>
      <c r="H438" s="344">
        <v>9</v>
      </c>
      <c r="I438" s="344">
        <v>8</v>
      </c>
      <c r="J438" s="344">
        <v>1</v>
      </c>
      <c r="K438" s="344">
        <v>8</v>
      </c>
      <c r="L438" t="str">
        <f t="shared" si="20"/>
        <v>60728</v>
      </c>
      <c r="M438" s="344" t="s">
        <v>139</v>
      </c>
      <c r="N438" s="344">
        <v>220028</v>
      </c>
    </row>
    <row r="439" spans="1:14" ht="15">
      <c r="A439" s="344">
        <v>60728</v>
      </c>
      <c r="B439" s="345" t="s">
        <v>137</v>
      </c>
      <c r="C439" s="344">
        <v>220028</v>
      </c>
      <c r="D439" s="344" t="str">
        <f t="shared" si="18"/>
        <v>220028</v>
      </c>
      <c r="E439" s="346" t="s">
        <v>140</v>
      </c>
      <c r="F439" s="344" t="s">
        <v>141</v>
      </c>
      <c r="G439" s="344" t="str">
        <f t="shared" si="19"/>
        <v>60728AXLE 2</v>
      </c>
      <c r="H439" s="344">
        <v>10</v>
      </c>
      <c r="I439" s="344">
        <v>7</v>
      </c>
      <c r="J439" s="344">
        <v>2</v>
      </c>
      <c r="K439" s="344">
        <v>7</v>
      </c>
      <c r="L439" t="str">
        <f t="shared" si="20"/>
        <v>60728</v>
      </c>
      <c r="M439" s="344" t="s">
        <v>141</v>
      </c>
      <c r="N439" s="344">
        <v>220028</v>
      </c>
    </row>
    <row r="440" spans="1:14" ht="15">
      <c r="A440" s="344">
        <v>60728</v>
      </c>
      <c r="B440" s="345" t="s">
        <v>137</v>
      </c>
      <c r="C440" s="344">
        <v>220028</v>
      </c>
      <c r="D440" s="344" t="str">
        <f t="shared" si="18"/>
        <v>220028</v>
      </c>
      <c r="E440" s="346" t="s">
        <v>140</v>
      </c>
      <c r="F440" s="344" t="s">
        <v>143</v>
      </c>
      <c r="G440" s="344" t="str">
        <f t="shared" si="19"/>
        <v>60728AXLE 3</v>
      </c>
      <c r="H440" s="344">
        <v>11</v>
      </c>
      <c r="I440" s="344">
        <v>6</v>
      </c>
      <c r="J440" s="344">
        <v>3</v>
      </c>
      <c r="K440" s="344">
        <v>6</v>
      </c>
      <c r="L440" t="str">
        <f t="shared" si="20"/>
        <v>60728</v>
      </c>
      <c r="M440" s="344" t="s">
        <v>143</v>
      </c>
      <c r="N440" s="344">
        <v>220028</v>
      </c>
    </row>
    <row r="441" spans="1:14" ht="15">
      <c r="A441" s="344">
        <v>60728</v>
      </c>
      <c r="B441" s="345" t="s">
        <v>137</v>
      </c>
      <c r="C441" s="344">
        <v>220028</v>
      </c>
      <c r="D441" s="344" t="str">
        <f t="shared" si="18"/>
        <v>220028</v>
      </c>
      <c r="E441" s="346" t="s">
        <v>144</v>
      </c>
      <c r="F441" s="344" t="s">
        <v>145</v>
      </c>
      <c r="G441" s="344" t="str">
        <f t="shared" si="19"/>
        <v>60728AXLE 4</v>
      </c>
      <c r="H441" s="344">
        <v>12</v>
      </c>
      <c r="I441" s="344">
        <v>5</v>
      </c>
      <c r="J441" s="344">
        <v>4</v>
      </c>
      <c r="K441" s="344">
        <v>5</v>
      </c>
      <c r="L441" t="str">
        <f t="shared" si="20"/>
        <v>60728</v>
      </c>
      <c r="M441" s="344" t="s">
        <v>145</v>
      </c>
      <c r="N441" s="344">
        <v>220028</v>
      </c>
    </row>
    <row r="442" spans="1:14" ht="15">
      <c r="A442" s="344">
        <v>60228</v>
      </c>
      <c r="B442" s="345" t="s">
        <v>137</v>
      </c>
      <c r="C442" s="344">
        <v>220028</v>
      </c>
      <c r="D442" s="344" t="str">
        <f t="shared" si="18"/>
        <v>220028</v>
      </c>
      <c r="E442" s="346" t="s">
        <v>144</v>
      </c>
      <c r="F442" s="344" t="s">
        <v>139</v>
      </c>
      <c r="G442" s="344" t="str">
        <f t="shared" si="19"/>
        <v>60228AXLE 1</v>
      </c>
      <c r="H442" s="344">
        <v>5</v>
      </c>
      <c r="I442" s="344">
        <v>12</v>
      </c>
      <c r="J442" s="344">
        <v>1</v>
      </c>
      <c r="K442" s="344">
        <v>8</v>
      </c>
      <c r="L442" t="str">
        <f t="shared" si="20"/>
        <v>60228</v>
      </c>
      <c r="M442" s="344" t="s">
        <v>139</v>
      </c>
      <c r="N442" s="344">
        <v>220028</v>
      </c>
    </row>
    <row r="443" spans="1:14" ht="15">
      <c r="A443" s="344">
        <v>60228</v>
      </c>
      <c r="B443" s="345" t="s">
        <v>137</v>
      </c>
      <c r="C443" s="344">
        <v>220028</v>
      </c>
      <c r="D443" s="344" t="str">
        <f t="shared" si="18"/>
        <v>220028</v>
      </c>
      <c r="E443" s="346" t="s">
        <v>140</v>
      </c>
      <c r="F443" s="344" t="s">
        <v>141</v>
      </c>
      <c r="G443" s="344" t="str">
        <f t="shared" si="19"/>
        <v>60228AXLE 2</v>
      </c>
      <c r="H443" s="344">
        <v>6</v>
      </c>
      <c r="I443" s="344">
        <v>11</v>
      </c>
      <c r="J443" s="344">
        <v>2</v>
      </c>
      <c r="K443" s="344">
        <v>7</v>
      </c>
      <c r="L443" t="str">
        <f t="shared" si="20"/>
        <v>60228</v>
      </c>
      <c r="M443" s="344" t="s">
        <v>141</v>
      </c>
      <c r="N443" s="344">
        <v>220028</v>
      </c>
    </row>
    <row r="444" spans="1:14" ht="15">
      <c r="A444" s="344">
        <v>60228</v>
      </c>
      <c r="B444" s="345" t="s">
        <v>137</v>
      </c>
      <c r="C444" s="344">
        <v>220028</v>
      </c>
      <c r="D444" s="344" t="str">
        <f t="shared" si="18"/>
        <v>220028</v>
      </c>
      <c r="E444" s="346" t="s">
        <v>140</v>
      </c>
      <c r="F444" s="344" t="s">
        <v>143</v>
      </c>
      <c r="G444" s="344" t="str">
        <f t="shared" si="19"/>
        <v>60228AXLE 3</v>
      </c>
      <c r="H444" s="344">
        <v>7</v>
      </c>
      <c r="I444" s="344">
        <v>10</v>
      </c>
      <c r="J444" s="344">
        <v>3</v>
      </c>
      <c r="K444" s="344">
        <v>6</v>
      </c>
      <c r="L444" t="str">
        <f t="shared" si="20"/>
        <v>60228</v>
      </c>
      <c r="M444" s="344" t="s">
        <v>143</v>
      </c>
      <c r="N444" s="344">
        <v>220028</v>
      </c>
    </row>
    <row r="445" spans="1:14" ht="15">
      <c r="A445" s="344">
        <v>60228</v>
      </c>
      <c r="B445" s="345" t="s">
        <v>137</v>
      </c>
      <c r="C445" s="344">
        <v>220028</v>
      </c>
      <c r="D445" s="344" t="str">
        <f t="shared" si="18"/>
        <v>220028</v>
      </c>
      <c r="E445" s="346" t="s">
        <v>144</v>
      </c>
      <c r="F445" s="344" t="s">
        <v>145</v>
      </c>
      <c r="G445" s="344" t="str">
        <f t="shared" si="19"/>
        <v>60228AXLE 4</v>
      </c>
      <c r="H445" s="344">
        <v>8</v>
      </c>
      <c r="I445" s="344">
        <v>9</v>
      </c>
      <c r="J445" s="344">
        <v>4</v>
      </c>
      <c r="K445" s="344">
        <v>5</v>
      </c>
      <c r="L445" t="str">
        <f t="shared" si="20"/>
        <v>60228</v>
      </c>
      <c r="M445" s="344" t="s">
        <v>145</v>
      </c>
      <c r="N445" s="344">
        <v>220028</v>
      </c>
    </row>
    <row r="446" spans="1:14" ht="15">
      <c r="A446" s="344">
        <v>60428</v>
      </c>
      <c r="B446" s="345" t="s">
        <v>137</v>
      </c>
      <c r="C446" s="344">
        <v>220028</v>
      </c>
      <c r="D446" s="344" t="str">
        <f t="shared" si="18"/>
        <v>220028</v>
      </c>
      <c r="E446" s="346" t="s">
        <v>138</v>
      </c>
      <c r="F446" s="344" t="s">
        <v>139</v>
      </c>
      <c r="G446" s="344" t="str">
        <f t="shared" si="19"/>
        <v>60428AXLE 1</v>
      </c>
      <c r="H446" s="344">
        <v>1</v>
      </c>
      <c r="I446" s="344">
        <v>16</v>
      </c>
      <c r="J446" s="344">
        <v>1</v>
      </c>
      <c r="K446" s="344">
        <v>8</v>
      </c>
      <c r="L446" t="str">
        <f t="shared" si="20"/>
        <v>60428</v>
      </c>
      <c r="M446" s="344" t="s">
        <v>139</v>
      </c>
      <c r="N446" s="344">
        <v>220028</v>
      </c>
    </row>
    <row r="447" spans="1:14" ht="15">
      <c r="A447" s="344">
        <v>60428</v>
      </c>
      <c r="B447" s="345" t="s">
        <v>137</v>
      </c>
      <c r="C447" s="344">
        <v>220028</v>
      </c>
      <c r="D447" s="344" t="str">
        <f t="shared" si="18"/>
        <v>220028</v>
      </c>
      <c r="E447" s="346" t="s">
        <v>140</v>
      </c>
      <c r="F447" s="344" t="s">
        <v>141</v>
      </c>
      <c r="G447" s="344" t="str">
        <f t="shared" si="19"/>
        <v>60428AXLE 2</v>
      </c>
      <c r="H447" s="344">
        <v>2</v>
      </c>
      <c r="I447" s="344">
        <v>15</v>
      </c>
      <c r="J447" s="344">
        <v>2</v>
      </c>
      <c r="K447" s="344">
        <v>7</v>
      </c>
      <c r="L447" t="str">
        <f t="shared" si="20"/>
        <v>60428</v>
      </c>
      <c r="M447" s="344" t="s">
        <v>141</v>
      </c>
      <c r="N447" s="344">
        <v>220028</v>
      </c>
    </row>
    <row r="448" spans="1:14" ht="15">
      <c r="A448" s="344">
        <v>60428</v>
      </c>
      <c r="B448" s="345" t="s">
        <v>137</v>
      </c>
      <c r="C448" s="344">
        <v>220028</v>
      </c>
      <c r="D448" s="344" t="str">
        <f t="shared" si="18"/>
        <v>220028</v>
      </c>
      <c r="E448" s="346" t="s">
        <v>142</v>
      </c>
      <c r="F448" s="344" t="s">
        <v>143</v>
      </c>
      <c r="G448" s="344" t="str">
        <f t="shared" si="19"/>
        <v>60428AXLE 3</v>
      </c>
      <c r="H448" s="344">
        <v>3</v>
      </c>
      <c r="I448" s="344">
        <v>14</v>
      </c>
      <c r="J448" s="344">
        <v>3</v>
      </c>
      <c r="K448" s="344">
        <v>6</v>
      </c>
      <c r="L448" t="str">
        <f t="shared" si="20"/>
        <v>60428</v>
      </c>
      <c r="M448" s="344" t="s">
        <v>143</v>
      </c>
      <c r="N448" s="344">
        <v>220028</v>
      </c>
    </row>
    <row r="449" spans="1:14" ht="15">
      <c r="A449" s="344">
        <v>60428</v>
      </c>
      <c r="B449" s="345" t="s">
        <v>137</v>
      </c>
      <c r="C449" s="344">
        <v>220028</v>
      </c>
      <c r="D449" s="344" t="str">
        <f t="shared" si="18"/>
        <v>220028</v>
      </c>
      <c r="E449" s="346" t="s">
        <v>144</v>
      </c>
      <c r="F449" s="344" t="s">
        <v>145</v>
      </c>
      <c r="G449" s="344" t="str">
        <f t="shared" si="19"/>
        <v>60428AXLE 4</v>
      </c>
      <c r="H449" s="344">
        <v>4</v>
      </c>
      <c r="I449" s="344">
        <v>13</v>
      </c>
      <c r="J449" s="344">
        <v>4</v>
      </c>
      <c r="K449" s="344">
        <v>5</v>
      </c>
      <c r="L449" t="str">
        <f t="shared" si="20"/>
        <v>60428</v>
      </c>
      <c r="M449" s="344" t="s">
        <v>145</v>
      </c>
      <c r="N449" s="344">
        <v>220028</v>
      </c>
    </row>
    <row r="450" spans="1:14" ht="15">
      <c r="A450" s="344">
        <v>60329</v>
      </c>
      <c r="B450" s="345" t="s">
        <v>137</v>
      </c>
      <c r="C450" s="344">
        <v>220029</v>
      </c>
      <c r="D450" s="344" t="str">
        <f t="shared" si="18"/>
        <v>220029</v>
      </c>
      <c r="E450" s="346" t="s">
        <v>138</v>
      </c>
      <c r="F450" s="344" t="s">
        <v>139</v>
      </c>
      <c r="G450" s="344" t="str">
        <f t="shared" si="19"/>
        <v>60329AXLE 1</v>
      </c>
      <c r="H450" s="344">
        <v>16</v>
      </c>
      <c r="I450" s="344">
        <v>1</v>
      </c>
      <c r="J450" s="344">
        <v>1</v>
      </c>
      <c r="K450" s="344">
        <v>8</v>
      </c>
      <c r="L450" t="str">
        <f t="shared" si="20"/>
        <v>60329</v>
      </c>
      <c r="M450" s="344" t="s">
        <v>139</v>
      </c>
      <c r="N450" s="344">
        <v>220029</v>
      </c>
    </row>
    <row r="451" spans="1:14" ht="15">
      <c r="A451" s="344">
        <v>60329</v>
      </c>
      <c r="B451" s="345" t="s">
        <v>137</v>
      </c>
      <c r="C451" s="344">
        <v>220029</v>
      </c>
      <c r="D451" s="344" t="str">
        <f t="shared" ref="D451:D514" si="21">CONCATENATE(B451,C451)</f>
        <v>220029</v>
      </c>
      <c r="E451" s="346" t="s">
        <v>140</v>
      </c>
      <c r="F451" s="344" t="s">
        <v>141</v>
      </c>
      <c r="G451" s="344" t="str">
        <f t="shared" ref="G451:G514" si="22">CONCATENATE(A451,F451)</f>
        <v>60329AXLE 2</v>
      </c>
      <c r="H451" s="344">
        <v>15</v>
      </c>
      <c r="I451" s="344">
        <v>2</v>
      </c>
      <c r="J451" s="344">
        <v>2</v>
      </c>
      <c r="K451" s="344">
        <v>7</v>
      </c>
      <c r="L451" t="str">
        <f t="shared" ref="L451:L514" si="23">CONCATENATE(A451,B451)</f>
        <v>60329</v>
      </c>
      <c r="M451" s="344" t="s">
        <v>141</v>
      </c>
      <c r="N451" s="344">
        <v>220029</v>
      </c>
    </row>
    <row r="452" spans="1:14" ht="15">
      <c r="A452" s="344">
        <v>60329</v>
      </c>
      <c r="B452" s="345" t="s">
        <v>137</v>
      </c>
      <c r="C452" s="344">
        <v>220029</v>
      </c>
      <c r="D452" s="344" t="str">
        <f t="shared" si="21"/>
        <v>220029</v>
      </c>
      <c r="E452" s="346" t="s">
        <v>142</v>
      </c>
      <c r="F452" s="344" t="s">
        <v>143</v>
      </c>
      <c r="G452" s="344" t="str">
        <f t="shared" si="22"/>
        <v>60329AXLE 3</v>
      </c>
      <c r="H452" s="344">
        <v>14</v>
      </c>
      <c r="I452" s="344">
        <v>3</v>
      </c>
      <c r="J452" s="344">
        <v>3</v>
      </c>
      <c r="K452" s="344">
        <v>6</v>
      </c>
      <c r="L452" t="str">
        <f t="shared" si="23"/>
        <v>60329</v>
      </c>
      <c r="M452" s="344" t="s">
        <v>143</v>
      </c>
      <c r="N452" s="344">
        <v>220029</v>
      </c>
    </row>
    <row r="453" spans="1:14" ht="15">
      <c r="A453" s="344">
        <v>60329</v>
      </c>
      <c r="B453" s="345" t="s">
        <v>137</v>
      </c>
      <c r="C453" s="344">
        <v>220029</v>
      </c>
      <c r="D453" s="344" t="str">
        <f t="shared" si="21"/>
        <v>220029</v>
      </c>
      <c r="E453" s="346" t="s">
        <v>144</v>
      </c>
      <c r="F453" s="344" t="s">
        <v>145</v>
      </c>
      <c r="G453" s="344" t="str">
        <f t="shared" si="22"/>
        <v>60329AXLE 4</v>
      </c>
      <c r="H453" s="344">
        <v>13</v>
      </c>
      <c r="I453" s="344">
        <v>4</v>
      </c>
      <c r="J453" s="344">
        <v>4</v>
      </c>
      <c r="K453" s="344">
        <v>5</v>
      </c>
      <c r="L453" t="str">
        <f t="shared" si="23"/>
        <v>60329</v>
      </c>
      <c r="M453" s="344" t="s">
        <v>145</v>
      </c>
      <c r="N453" s="344">
        <v>220029</v>
      </c>
    </row>
    <row r="454" spans="1:14" ht="15">
      <c r="A454" s="344">
        <v>60729</v>
      </c>
      <c r="B454" s="345" t="s">
        <v>137</v>
      </c>
      <c r="C454" s="344">
        <v>220029</v>
      </c>
      <c r="D454" s="344" t="str">
        <f t="shared" si="21"/>
        <v>220029</v>
      </c>
      <c r="E454" s="346" t="s">
        <v>144</v>
      </c>
      <c r="F454" s="344" t="s">
        <v>139</v>
      </c>
      <c r="G454" s="344" t="str">
        <f t="shared" si="22"/>
        <v>60729AXLE 1</v>
      </c>
      <c r="H454" s="344">
        <v>9</v>
      </c>
      <c r="I454" s="344">
        <v>8</v>
      </c>
      <c r="J454" s="344">
        <v>1</v>
      </c>
      <c r="K454" s="344">
        <v>8</v>
      </c>
      <c r="L454" t="str">
        <f t="shared" si="23"/>
        <v>60729</v>
      </c>
      <c r="M454" s="344" t="s">
        <v>139</v>
      </c>
      <c r="N454" s="344">
        <v>220029</v>
      </c>
    </row>
    <row r="455" spans="1:14" ht="15">
      <c r="A455" s="344">
        <v>60729</v>
      </c>
      <c r="B455" s="345" t="s">
        <v>137</v>
      </c>
      <c r="C455" s="344">
        <v>220029</v>
      </c>
      <c r="D455" s="344" t="str">
        <f t="shared" si="21"/>
        <v>220029</v>
      </c>
      <c r="E455" s="346" t="s">
        <v>140</v>
      </c>
      <c r="F455" s="344" t="s">
        <v>141</v>
      </c>
      <c r="G455" s="344" t="str">
        <f t="shared" si="22"/>
        <v>60729AXLE 2</v>
      </c>
      <c r="H455" s="344">
        <v>10</v>
      </c>
      <c r="I455" s="344">
        <v>7</v>
      </c>
      <c r="J455" s="344">
        <v>2</v>
      </c>
      <c r="K455" s="344">
        <v>7</v>
      </c>
      <c r="L455" t="str">
        <f t="shared" si="23"/>
        <v>60729</v>
      </c>
      <c r="M455" s="344" t="s">
        <v>141</v>
      </c>
      <c r="N455" s="344">
        <v>220029</v>
      </c>
    </row>
    <row r="456" spans="1:14" ht="15">
      <c r="A456" s="344">
        <v>60729</v>
      </c>
      <c r="B456" s="345" t="s">
        <v>137</v>
      </c>
      <c r="C456" s="344">
        <v>220029</v>
      </c>
      <c r="D456" s="344" t="str">
        <f t="shared" si="21"/>
        <v>220029</v>
      </c>
      <c r="E456" s="346" t="s">
        <v>140</v>
      </c>
      <c r="F456" s="344" t="s">
        <v>143</v>
      </c>
      <c r="G456" s="344" t="str">
        <f t="shared" si="22"/>
        <v>60729AXLE 3</v>
      </c>
      <c r="H456" s="344">
        <v>11</v>
      </c>
      <c r="I456" s="344">
        <v>6</v>
      </c>
      <c r="J456" s="344">
        <v>3</v>
      </c>
      <c r="K456" s="344">
        <v>6</v>
      </c>
      <c r="L456" t="str">
        <f t="shared" si="23"/>
        <v>60729</v>
      </c>
      <c r="M456" s="344" t="s">
        <v>143</v>
      </c>
      <c r="N456" s="344">
        <v>220029</v>
      </c>
    </row>
    <row r="457" spans="1:14" ht="15">
      <c r="A457" s="344">
        <v>60729</v>
      </c>
      <c r="B457" s="345" t="s">
        <v>137</v>
      </c>
      <c r="C457" s="344">
        <v>220029</v>
      </c>
      <c r="D457" s="344" t="str">
        <f t="shared" si="21"/>
        <v>220029</v>
      </c>
      <c r="E457" s="346" t="s">
        <v>144</v>
      </c>
      <c r="F457" s="344" t="s">
        <v>145</v>
      </c>
      <c r="G457" s="344" t="str">
        <f t="shared" si="22"/>
        <v>60729AXLE 4</v>
      </c>
      <c r="H457" s="344">
        <v>12</v>
      </c>
      <c r="I457" s="344">
        <v>5</v>
      </c>
      <c r="J457" s="344">
        <v>4</v>
      </c>
      <c r="K457" s="344">
        <v>5</v>
      </c>
      <c r="L457" t="str">
        <f t="shared" si="23"/>
        <v>60729</v>
      </c>
      <c r="M457" s="344" t="s">
        <v>145</v>
      </c>
      <c r="N457" s="344">
        <v>220029</v>
      </c>
    </row>
    <row r="458" spans="1:14" ht="15">
      <c r="A458" s="344">
        <v>60229</v>
      </c>
      <c r="B458" s="345" t="s">
        <v>137</v>
      </c>
      <c r="C458" s="344">
        <v>220029</v>
      </c>
      <c r="D458" s="344" t="str">
        <f t="shared" si="21"/>
        <v>220029</v>
      </c>
      <c r="E458" s="346" t="s">
        <v>144</v>
      </c>
      <c r="F458" s="344" t="s">
        <v>139</v>
      </c>
      <c r="G458" s="344" t="str">
        <f t="shared" si="22"/>
        <v>60229AXLE 1</v>
      </c>
      <c r="H458" s="344">
        <v>5</v>
      </c>
      <c r="I458" s="344">
        <v>12</v>
      </c>
      <c r="J458" s="344">
        <v>1</v>
      </c>
      <c r="K458" s="344">
        <v>8</v>
      </c>
      <c r="L458" t="str">
        <f t="shared" si="23"/>
        <v>60229</v>
      </c>
      <c r="M458" s="344" t="s">
        <v>139</v>
      </c>
      <c r="N458" s="344">
        <v>220029</v>
      </c>
    </row>
    <row r="459" spans="1:14" ht="15">
      <c r="A459" s="344">
        <v>60229</v>
      </c>
      <c r="B459" s="345" t="s">
        <v>137</v>
      </c>
      <c r="C459" s="344">
        <v>220029</v>
      </c>
      <c r="D459" s="344" t="str">
        <f t="shared" si="21"/>
        <v>220029</v>
      </c>
      <c r="E459" s="346" t="s">
        <v>140</v>
      </c>
      <c r="F459" s="344" t="s">
        <v>141</v>
      </c>
      <c r="G459" s="344" t="str">
        <f t="shared" si="22"/>
        <v>60229AXLE 2</v>
      </c>
      <c r="H459" s="344">
        <v>6</v>
      </c>
      <c r="I459" s="344">
        <v>11</v>
      </c>
      <c r="J459" s="344">
        <v>2</v>
      </c>
      <c r="K459" s="344">
        <v>7</v>
      </c>
      <c r="L459" t="str">
        <f t="shared" si="23"/>
        <v>60229</v>
      </c>
      <c r="M459" s="344" t="s">
        <v>141</v>
      </c>
      <c r="N459" s="344">
        <v>220029</v>
      </c>
    </row>
    <row r="460" spans="1:14" ht="15">
      <c r="A460" s="344">
        <v>60229</v>
      </c>
      <c r="B460" s="345" t="s">
        <v>137</v>
      </c>
      <c r="C460" s="344">
        <v>220029</v>
      </c>
      <c r="D460" s="344" t="str">
        <f t="shared" si="21"/>
        <v>220029</v>
      </c>
      <c r="E460" s="346" t="s">
        <v>140</v>
      </c>
      <c r="F460" s="344" t="s">
        <v>143</v>
      </c>
      <c r="G460" s="344" t="str">
        <f t="shared" si="22"/>
        <v>60229AXLE 3</v>
      </c>
      <c r="H460" s="344">
        <v>7</v>
      </c>
      <c r="I460" s="344">
        <v>10</v>
      </c>
      <c r="J460" s="344">
        <v>3</v>
      </c>
      <c r="K460" s="344">
        <v>6</v>
      </c>
      <c r="L460" t="str">
        <f t="shared" si="23"/>
        <v>60229</v>
      </c>
      <c r="M460" s="344" t="s">
        <v>143</v>
      </c>
      <c r="N460" s="344">
        <v>220029</v>
      </c>
    </row>
    <row r="461" spans="1:14" ht="15">
      <c r="A461" s="344">
        <v>60229</v>
      </c>
      <c r="B461" s="345" t="s">
        <v>137</v>
      </c>
      <c r="C461" s="344">
        <v>220029</v>
      </c>
      <c r="D461" s="344" t="str">
        <f t="shared" si="21"/>
        <v>220029</v>
      </c>
      <c r="E461" s="346" t="s">
        <v>144</v>
      </c>
      <c r="F461" s="344" t="s">
        <v>145</v>
      </c>
      <c r="G461" s="344" t="str">
        <f t="shared" si="22"/>
        <v>60229AXLE 4</v>
      </c>
      <c r="H461" s="344">
        <v>8</v>
      </c>
      <c r="I461" s="344">
        <v>9</v>
      </c>
      <c r="J461" s="344">
        <v>4</v>
      </c>
      <c r="K461" s="344">
        <v>5</v>
      </c>
      <c r="L461" t="str">
        <f t="shared" si="23"/>
        <v>60229</v>
      </c>
      <c r="M461" s="344" t="s">
        <v>145</v>
      </c>
      <c r="N461" s="344">
        <v>220029</v>
      </c>
    </row>
    <row r="462" spans="1:14" ht="15">
      <c r="A462" s="344">
        <v>60429</v>
      </c>
      <c r="B462" s="345" t="s">
        <v>137</v>
      </c>
      <c r="C462" s="344">
        <v>220029</v>
      </c>
      <c r="D462" s="344" t="str">
        <f t="shared" si="21"/>
        <v>220029</v>
      </c>
      <c r="E462" s="346" t="s">
        <v>138</v>
      </c>
      <c r="F462" s="344" t="s">
        <v>139</v>
      </c>
      <c r="G462" s="344" t="str">
        <f t="shared" si="22"/>
        <v>60429AXLE 1</v>
      </c>
      <c r="H462" s="344">
        <v>1</v>
      </c>
      <c r="I462" s="344">
        <v>16</v>
      </c>
      <c r="J462" s="344">
        <v>1</v>
      </c>
      <c r="K462" s="344">
        <v>8</v>
      </c>
      <c r="L462" t="str">
        <f t="shared" si="23"/>
        <v>60429</v>
      </c>
      <c r="M462" s="344" t="s">
        <v>139</v>
      </c>
      <c r="N462" s="344">
        <v>220029</v>
      </c>
    </row>
    <row r="463" spans="1:14" ht="15">
      <c r="A463" s="344">
        <v>60429</v>
      </c>
      <c r="B463" s="345" t="s">
        <v>137</v>
      </c>
      <c r="C463" s="344">
        <v>220029</v>
      </c>
      <c r="D463" s="344" t="str">
        <f t="shared" si="21"/>
        <v>220029</v>
      </c>
      <c r="E463" s="346" t="s">
        <v>140</v>
      </c>
      <c r="F463" s="344" t="s">
        <v>141</v>
      </c>
      <c r="G463" s="344" t="str">
        <f t="shared" si="22"/>
        <v>60429AXLE 2</v>
      </c>
      <c r="H463" s="344">
        <v>2</v>
      </c>
      <c r="I463" s="344">
        <v>15</v>
      </c>
      <c r="J463" s="344">
        <v>2</v>
      </c>
      <c r="K463" s="344">
        <v>7</v>
      </c>
      <c r="L463" t="str">
        <f t="shared" si="23"/>
        <v>60429</v>
      </c>
      <c r="M463" s="344" t="s">
        <v>141</v>
      </c>
      <c r="N463" s="344">
        <v>220029</v>
      </c>
    </row>
    <row r="464" spans="1:14" ht="15">
      <c r="A464" s="344">
        <v>60429</v>
      </c>
      <c r="B464" s="345" t="s">
        <v>137</v>
      </c>
      <c r="C464" s="344">
        <v>220029</v>
      </c>
      <c r="D464" s="344" t="str">
        <f t="shared" si="21"/>
        <v>220029</v>
      </c>
      <c r="E464" s="346" t="s">
        <v>142</v>
      </c>
      <c r="F464" s="344" t="s">
        <v>143</v>
      </c>
      <c r="G464" s="344" t="str">
        <f t="shared" si="22"/>
        <v>60429AXLE 3</v>
      </c>
      <c r="H464" s="344">
        <v>3</v>
      </c>
      <c r="I464" s="344">
        <v>14</v>
      </c>
      <c r="J464" s="344">
        <v>3</v>
      </c>
      <c r="K464" s="344">
        <v>6</v>
      </c>
      <c r="L464" t="str">
        <f t="shared" si="23"/>
        <v>60429</v>
      </c>
      <c r="M464" s="344" t="s">
        <v>143</v>
      </c>
      <c r="N464" s="344">
        <v>220029</v>
      </c>
    </row>
    <row r="465" spans="1:14" ht="15">
      <c r="A465" s="344">
        <v>60429</v>
      </c>
      <c r="B465" s="345" t="s">
        <v>137</v>
      </c>
      <c r="C465" s="344">
        <v>220029</v>
      </c>
      <c r="D465" s="344" t="str">
        <f t="shared" si="21"/>
        <v>220029</v>
      </c>
      <c r="E465" s="346" t="s">
        <v>144</v>
      </c>
      <c r="F465" s="344" t="s">
        <v>145</v>
      </c>
      <c r="G465" s="344" t="str">
        <f t="shared" si="22"/>
        <v>60429AXLE 4</v>
      </c>
      <c r="H465" s="344">
        <v>4</v>
      </c>
      <c r="I465" s="344">
        <v>13</v>
      </c>
      <c r="J465" s="344">
        <v>4</v>
      </c>
      <c r="K465" s="344">
        <v>5</v>
      </c>
      <c r="L465" t="str">
        <f t="shared" si="23"/>
        <v>60429</v>
      </c>
      <c r="M465" s="344" t="s">
        <v>145</v>
      </c>
      <c r="N465" s="344">
        <v>220029</v>
      </c>
    </row>
    <row r="466" spans="1:14" ht="15">
      <c r="A466" s="344">
        <v>60330</v>
      </c>
      <c r="B466" s="345" t="s">
        <v>137</v>
      </c>
      <c r="C466" s="344">
        <v>220030</v>
      </c>
      <c r="D466" s="344" t="str">
        <f t="shared" si="21"/>
        <v>220030</v>
      </c>
      <c r="E466" s="346" t="s">
        <v>138</v>
      </c>
      <c r="F466" s="344" t="s">
        <v>139</v>
      </c>
      <c r="G466" s="344" t="str">
        <f t="shared" si="22"/>
        <v>60330AXLE 1</v>
      </c>
      <c r="H466" s="344">
        <v>16</v>
      </c>
      <c r="I466" s="344">
        <v>1</v>
      </c>
      <c r="J466" s="344">
        <v>1</v>
      </c>
      <c r="K466" s="344">
        <v>8</v>
      </c>
      <c r="L466" t="str">
        <f t="shared" si="23"/>
        <v>60330</v>
      </c>
      <c r="M466" s="344" t="s">
        <v>139</v>
      </c>
      <c r="N466" s="344">
        <v>220030</v>
      </c>
    </row>
    <row r="467" spans="1:14" ht="15">
      <c r="A467" s="344">
        <v>60330</v>
      </c>
      <c r="B467" s="345" t="s">
        <v>137</v>
      </c>
      <c r="C467" s="344">
        <v>220030</v>
      </c>
      <c r="D467" s="344" t="str">
        <f t="shared" si="21"/>
        <v>220030</v>
      </c>
      <c r="E467" s="346" t="s">
        <v>140</v>
      </c>
      <c r="F467" s="344" t="s">
        <v>141</v>
      </c>
      <c r="G467" s="344" t="str">
        <f t="shared" si="22"/>
        <v>60330AXLE 2</v>
      </c>
      <c r="H467" s="344">
        <v>15</v>
      </c>
      <c r="I467" s="344">
        <v>2</v>
      </c>
      <c r="J467" s="344">
        <v>2</v>
      </c>
      <c r="K467" s="344">
        <v>7</v>
      </c>
      <c r="L467" t="str">
        <f t="shared" si="23"/>
        <v>60330</v>
      </c>
      <c r="M467" s="344" t="s">
        <v>141</v>
      </c>
      <c r="N467" s="344">
        <v>220030</v>
      </c>
    </row>
    <row r="468" spans="1:14" ht="15">
      <c r="A468" s="344">
        <v>60330</v>
      </c>
      <c r="B468" s="345" t="s">
        <v>137</v>
      </c>
      <c r="C468" s="344">
        <v>220030</v>
      </c>
      <c r="D468" s="344" t="str">
        <f t="shared" si="21"/>
        <v>220030</v>
      </c>
      <c r="E468" s="346" t="s">
        <v>142</v>
      </c>
      <c r="F468" s="344" t="s">
        <v>143</v>
      </c>
      <c r="G468" s="344" t="str">
        <f t="shared" si="22"/>
        <v>60330AXLE 3</v>
      </c>
      <c r="H468" s="344">
        <v>14</v>
      </c>
      <c r="I468" s="344">
        <v>3</v>
      </c>
      <c r="J468" s="344">
        <v>3</v>
      </c>
      <c r="K468" s="344">
        <v>6</v>
      </c>
      <c r="L468" t="str">
        <f t="shared" si="23"/>
        <v>60330</v>
      </c>
      <c r="M468" s="344" t="s">
        <v>143</v>
      </c>
      <c r="N468" s="344">
        <v>220030</v>
      </c>
    </row>
    <row r="469" spans="1:14" ht="15">
      <c r="A469" s="344">
        <v>60330</v>
      </c>
      <c r="B469" s="345" t="s">
        <v>137</v>
      </c>
      <c r="C469" s="344">
        <v>220030</v>
      </c>
      <c r="D469" s="344" t="str">
        <f t="shared" si="21"/>
        <v>220030</v>
      </c>
      <c r="E469" s="346" t="s">
        <v>144</v>
      </c>
      <c r="F469" s="344" t="s">
        <v>145</v>
      </c>
      <c r="G469" s="344" t="str">
        <f t="shared" si="22"/>
        <v>60330AXLE 4</v>
      </c>
      <c r="H469" s="344">
        <v>13</v>
      </c>
      <c r="I469" s="344">
        <v>4</v>
      </c>
      <c r="J469" s="344">
        <v>4</v>
      </c>
      <c r="K469" s="344">
        <v>5</v>
      </c>
      <c r="L469" t="str">
        <f t="shared" si="23"/>
        <v>60330</v>
      </c>
      <c r="M469" s="344" t="s">
        <v>145</v>
      </c>
      <c r="N469" s="344">
        <v>220030</v>
      </c>
    </row>
    <row r="470" spans="1:14" ht="15">
      <c r="A470" s="344">
        <v>60730</v>
      </c>
      <c r="B470" s="345" t="s">
        <v>137</v>
      </c>
      <c r="C470" s="344">
        <v>220030</v>
      </c>
      <c r="D470" s="344" t="str">
        <f t="shared" si="21"/>
        <v>220030</v>
      </c>
      <c r="E470" s="346" t="s">
        <v>144</v>
      </c>
      <c r="F470" s="344" t="s">
        <v>139</v>
      </c>
      <c r="G470" s="344" t="str">
        <f t="shared" si="22"/>
        <v>60730AXLE 1</v>
      </c>
      <c r="H470" s="344">
        <v>9</v>
      </c>
      <c r="I470" s="344">
        <v>8</v>
      </c>
      <c r="J470" s="344">
        <v>1</v>
      </c>
      <c r="K470" s="344">
        <v>8</v>
      </c>
      <c r="L470" t="str">
        <f t="shared" si="23"/>
        <v>60730</v>
      </c>
      <c r="M470" s="344" t="s">
        <v>139</v>
      </c>
      <c r="N470" s="344">
        <v>220030</v>
      </c>
    </row>
    <row r="471" spans="1:14" ht="15">
      <c r="A471" s="344">
        <v>60730</v>
      </c>
      <c r="B471" s="345" t="s">
        <v>137</v>
      </c>
      <c r="C471" s="344">
        <v>220030</v>
      </c>
      <c r="D471" s="344" t="str">
        <f t="shared" si="21"/>
        <v>220030</v>
      </c>
      <c r="E471" s="346" t="s">
        <v>140</v>
      </c>
      <c r="F471" s="344" t="s">
        <v>141</v>
      </c>
      <c r="G471" s="344" t="str">
        <f t="shared" si="22"/>
        <v>60730AXLE 2</v>
      </c>
      <c r="H471" s="344">
        <v>10</v>
      </c>
      <c r="I471" s="344">
        <v>7</v>
      </c>
      <c r="J471" s="344">
        <v>2</v>
      </c>
      <c r="K471" s="344">
        <v>7</v>
      </c>
      <c r="L471" t="str">
        <f t="shared" si="23"/>
        <v>60730</v>
      </c>
      <c r="M471" s="344" t="s">
        <v>141</v>
      </c>
      <c r="N471" s="344">
        <v>220030</v>
      </c>
    </row>
    <row r="472" spans="1:14" ht="15">
      <c r="A472" s="344">
        <v>60730</v>
      </c>
      <c r="B472" s="345" t="s">
        <v>137</v>
      </c>
      <c r="C472" s="344">
        <v>220030</v>
      </c>
      <c r="D472" s="344" t="str">
        <f t="shared" si="21"/>
        <v>220030</v>
      </c>
      <c r="E472" s="346" t="s">
        <v>140</v>
      </c>
      <c r="F472" s="344" t="s">
        <v>143</v>
      </c>
      <c r="G472" s="344" t="str">
        <f t="shared" si="22"/>
        <v>60730AXLE 3</v>
      </c>
      <c r="H472" s="344">
        <v>11</v>
      </c>
      <c r="I472" s="344">
        <v>6</v>
      </c>
      <c r="J472" s="344">
        <v>3</v>
      </c>
      <c r="K472" s="344">
        <v>6</v>
      </c>
      <c r="L472" t="str">
        <f t="shared" si="23"/>
        <v>60730</v>
      </c>
      <c r="M472" s="344" t="s">
        <v>143</v>
      </c>
      <c r="N472" s="344">
        <v>220030</v>
      </c>
    </row>
    <row r="473" spans="1:14" ht="15">
      <c r="A473" s="344">
        <v>60730</v>
      </c>
      <c r="B473" s="345" t="s">
        <v>137</v>
      </c>
      <c r="C473" s="344">
        <v>220030</v>
      </c>
      <c r="D473" s="344" t="str">
        <f t="shared" si="21"/>
        <v>220030</v>
      </c>
      <c r="E473" s="346" t="s">
        <v>144</v>
      </c>
      <c r="F473" s="344" t="s">
        <v>145</v>
      </c>
      <c r="G473" s="344" t="str">
        <f t="shared" si="22"/>
        <v>60730AXLE 4</v>
      </c>
      <c r="H473" s="344">
        <v>12</v>
      </c>
      <c r="I473" s="344">
        <v>5</v>
      </c>
      <c r="J473" s="344">
        <v>4</v>
      </c>
      <c r="K473" s="344">
        <v>5</v>
      </c>
      <c r="L473" t="str">
        <f t="shared" si="23"/>
        <v>60730</v>
      </c>
      <c r="M473" s="344" t="s">
        <v>145</v>
      </c>
      <c r="N473" s="344">
        <v>220030</v>
      </c>
    </row>
    <row r="474" spans="1:14" ht="15">
      <c r="A474" s="344">
        <v>60230</v>
      </c>
      <c r="B474" s="345" t="s">
        <v>137</v>
      </c>
      <c r="C474" s="344">
        <v>220030</v>
      </c>
      <c r="D474" s="344" t="str">
        <f t="shared" si="21"/>
        <v>220030</v>
      </c>
      <c r="E474" s="346" t="s">
        <v>144</v>
      </c>
      <c r="F474" s="344" t="s">
        <v>139</v>
      </c>
      <c r="G474" s="344" t="str">
        <f t="shared" si="22"/>
        <v>60230AXLE 1</v>
      </c>
      <c r="H474" s="344">
        <v>5</v>
      </c>
      <c r="I474" s="344">
        <v>12</v>
      </c>
      <c r="J474" s="344">
        <v>1</v>
      </c>
      <c r="K474" s="344">
        <v>8</v>
      </c>
      <c r="L474" t="str">
        <f t="shared" si="23"/>
        <v>60230</v>
      </c>
      <c r="M474" s="344" t="s">
        <v>139</v>
      </c>
      <c r="N474" s="344">
        <v>220030</v>
      </c>
    </row>
    <row r="475" spans="1:14" ht="15">
      <c r="A475" s="344">
        <v>60230</v>
      </c>
      <c r="B475" s="345" t="s">
        <v>137</v>
      </c>
      <c r="C475" s="344">
        <v>220030</v>
      </c>
      <c r="D475" s="344" t="str">
        <f t="shared" si="21"/>
        <v>220030</v>
      </c>
      <c r="E475" s="346" t="s">
        <v>140</v>
      </c>
      <c r="F475" s="344" t="s">
        <v>141</v>
      </c>
      <c r="G475" s="344" t="str">
        <f t="shared" si="22"/>
        <v>60230AXLE 2</v>
      </c>
      <c r="H475" s="344">
        <v>6</v>
      </c>
      <c r="I475" s="344">
        <v>11</v>
      </c>
      <c r="J475" s="344">
        <v>2</v>
      </c>
      <c r="K475" s="344">
        <v>7</v>
      </c>
      <c r="L475" t="str">
        <f t="shared" si="23"/>
        <v>60230</v>
      </c>
      <c r="M475" s="344" t="s">
        <v>141</v>
      </c>
      <c r="N475" s="344">
        <v>220030</v>
      </c>
    </row>
    <row r="476" spans="1:14" ht="15">
      <c r="A476" s="344">
        <v>60230</v>
      </c>
      <c r="B476" s="345" t="s">
        <v>137</v>
      </c>
      <c r="C476" s="344">
        <v>220030</v>
      </c>
      <c r="D476" s="344" t="str">
        <f t="shared" si="21"/>
        <v>220030</v>
      </c>
      <c r="E476" s="346" t="s">
        <v>140</v>
      </c>
      <c r="F476" s="344" t="s">
        <v>143</v>
      </c>
      <c r="G476" s="344" t="str">
        <f t="shared" si="22"/>
        <v>60230AXLE 3</v>
      </c>
      <c r="H476" s="344">
        <v>7</v>
      </c>
      <c r="I476" s="344">
        <v>10</v>
      </c>
      <c r="J476" s="344">
        <v>3</v>
      </c>
      <c r="K476" s="344">
        <v>6</v>
      </c>
      <c r="L476" t="str">
        <f t="shared" si="23"/>
        <v>60230</v>
      </c>
      <c r="M476" s="344" t="s">
        <v>143</v>
      </c>
      <c r="N476" s="344">
        <v>220030</v>
      </c>
    </row>
    <row r="477" spans="1:14" ht="15">
      <c r="A477" s="344">
        <v>60230</v>
      </c>
      <c r="B477" s="345" t="s">
        <v>137</v>
      </c>
      <c r="C477" s="344">
        <v>220030</v>
      </c>
      <c r="D477" s="344" t="str">
        <f t="shared" si="21"/>
        <v>220030</v>
      </c>
      <c r="E477" s="346" t="s">
        <v>144</v>
      </c>
      <c r="F477" s="344" t="s">
        <v>145</v>
      </c>
      <c r="G477" s="344" t="str">
        <f t="shared" si="22"/>
        <v>60230AXLE 4</v>
      </c>
      <c r="H477" s="344">
        <v>8</v>
      </c>
      <c r="I477" s="344">
        <v>9</v>
      </c>
      <c r="J477" s="344">
        <v>4</v>
      </c>
      <c r="K477" s="344">
        <v>5</v>
      </c>
      <c r="L477" t="str">
        <f t="shared" si="23"/>
        <v>60230</v>
      </c>
      <c r="M477" s="344" t="s">
        <v>145</v>
      </c>
      <c r="N477" s="344">
        <v>220030</v>
      </c>
    </row>
    <row r="478" spans="1:14" ht="15">
      <c r="A478" s="344">
        <v>60430</v>
      </c>
      <c r="B478" s="345" t="s">
        <v>137</v>
      </c>
      <c r="C478" s="344">
        <v>220030</v>
      </c>
      <c r="D478" s="344" t="str">
        <f t="shared" si="21"/>
        <v>220030</v>
      </c>
      <c r="E478" s="346" t="s">
        <v>138</v>
      </c>
      <c r="F478" s="344" t="s">
        <v>139</v>
      </c>
      <c r="G478" s="344" t="str">
        <f t="shared" si="22"/>
        <v>60430AXLE 1</v>
      </c>
      <c r="H478" s="344">
        <v>1</v>
      </c>
      <c r="I478" s="344">
        <v>16</v>
      </c>
      <c r="J478" s="344">
        <v>1</v>
      </c>
      <c r="K478" s="344">
        <v>8</v>
      </c>
      <c r="L478" t="str">
        <f t="shared" si="23"/>
        <v>60430</v>
      </c>
      <c r="M478" s="344" t="s">
        <v>139</v>
      </c>
      <c r="N478" s="344">
        <v>220030</v>
      </c>
    </row>
    <row r="479" spans="1:14" ht="15">
      <c r="A479" s="344">
        <v>60430</v>
      </c>
      <c r="B479" s="345" t="s">
        <v>137</v>
      </c>
      <c r="C479" s="344">
        <v>220030</v>
      </c>
      <c r="D479" s="344" t="str">
        <f t="shared" si="21"/>
        <v>220030</v>
      </c>
      <c r="E479" s="346" t="s">
        <v>140</v>
      </c>
      <c r="F479" s="344" t="s">
        <v>141</v>
      </c>
      <c r="G479" s="344" t="str">
        <f t="shared" si="22"/>
        <v>60430AXLE 2</v>
      </c>
      <c r="H479" s="344">
        <v>2</v>
      </c>
      <c r="I479" s="344">
        <v>15</v>
      </c>
      <c r="J479" s="344">
        <v>2</v>
      </c>
      <c r="K479" s="344">
        <v>7</v>
      </c>
      <c r="L479" t="str">
        <f t="shared" si="23"/>
        <v>60430</v>
      </c>
      <c r="M479" s="344" t="s">
        <v>141</v>
      </c>
      <c r="N479" s="344">
        <v>220030</v>
      </c>
    </row>
    <row r="480" spans="1:14" ht="15">
      <c r="A480" s="344">
        <v>60430</v>
      </c>
      <c r="B480" s="345" t="s">
        <v>137</v>
      </c>
      <c r="C480" s="344">
        <v>220030</v>
      </c>
      <c r="D480" s="344" t="str">
        <f t="shared" si="21"/>
        <v>220030</v>
      </c>
      <c r="E480" s="346" t="s">
        <v>142</v>
      </c>
      <c r="F480" s="344" t="s">
        <v>143</v>
      </c>
      <c r="G480" s="344" t="str">
        <f t="shared" si="22"/>
        <v>60430AXLE 3</v>
      </c>
      <c r="H480" s="344">
        <v>3</v>
      </c>
      <c r="I480" s="344">
        <v>14</v>
      </c>
      <c r="J480" s="344">
        <v>3</v>
      </c>
      <c r="K480" s="344">
        <v>6</v>
      </c>
      <c r="L480" t="str">
        <f t="shared" si="23"/>
        <v>60430</v>
      </c>
      <c r="M480" s="344" t="s">
        <v>143</v>
      </c>
      <c r="N480" s="344">
        <v>220030</v>
      </c>
    </row>
    <row r="481" spans="1:14" ht="15">
      <c r="A481" s="344">
        <v>60430</v>
      </c>
      <c r="B481" s="345" t="s">
        <v>137</v>
      </c>
      <c r="C481" s="344">
        <v>220030</v>
      </c>
      <c r="D481" s="344" t="str">
        <f t="shared" si="21"/>
        <v>220030</v>
      </c>
      <c r="E481" s="346" t="s">
        <v>144</v>
      </c>
      <c r="F481" s="344" t="s">
        <v>145</v>
      </c>
      <c r="G481" s="344" t="str">
        <f t="shared" si="22"/>
        <v>60430AXLE 4</v>
      </c>
      <c r="H481" s="344">
        <v>4</v>
      </c>
      <c r="I481" s="344">
        <v>13</v>
      </c>
      <c r="J481" s="344">
        <v>4</v>
      </c>
      <c r="K481" s="344">
        <v>5</v>
      </c>
      <c r="L481" t="str">
        <f t="shared" si="23"/>
        <v>60430</v>
      </c>
      <c r="M481" s="344" t="s">
        <v>145</v>
      </c>
      <c r="N481" s="344">
        <v>220030</v>
      </c>
    </row>
    <row r="482" spans="1:14" ht="15">
      <c r="A482" s="344">
        <v>60331</v>
      </c>
      <c r="B482" s="345" t="s">
        <v>137</v>
      </c>
      <c r="C482" s="344">
        <v>220031</v>
      </c>
      <c r="D482" s="344" t="str">
        <f t="shared" si="21"/>
        <v>220031</v>
      </c>
      <c r="E482" s="346" t="s">
        <v>138</v>
      </c>
      <c r="F482" s="344" t="s">
        <v>139</v>
      </c>
      <c r="G482" s="344" t="str">
        <f t="shared" si="22"/>
        <v>60331AXLE 1</v>
      </c>
      <c r="H482" s="344">
        <v>16</v>
      </c>
      <c r="I482" s="344">
        <v>1</v>
      </c>
      <c r="J482" s="344">
        <v>1</v>
      </c>
      <c r="K482" s="344">
        <v>8</v>
      </c>
      <c r="L482" t="str">
        <f t="shared" si="23"/>
        <v>60331</v>
      </c>
      <c r="M482" s="344" t="s">
        <v>139</v>
      </c>
      <c r="N482" s="344">
        <v>220031</v>
      </c>
    </row>
    <row r="483" spans="1:14" ht="15">
      <c r="A483" s="344">
        <v>60331</v>
      </c>
      <c r="B483" s="345" t="s">
        <v>137</v>
      </c>
      <c r="C483" s="344">
        <v>220031</v>
      </c>
      <c r="D483" s="344" t="str">
        <f t="shared" si="21"/>
        <v>220031</v>
      </c>
      <c r="E483" s="346" t="s">
        <v>140</v>
      </c>
      <c r="F483" s="344" t="s">
        <v>141</v>
      </c>
      <c r="G483" s="344" t="str">
        <f t="shared" si="22"/>
        <v>60331AXLE 2</v>
      </c>
      <c r="H483" s="344">
        <v>15</v>
      </c>
      <c r="I483" s="344">
        <v>2</v>
      </c>
      <c r="J483" s="344">
        <v>2</v>
      </c>
      <c r="K483" s="344">
        <v>7</v>
      </c>
      <c r="L483" t="str">
        <f t="shared" si="23"/>
        <v>60331</v>
      </c>
      <c r="M483" s="344" t="s">
        <v>141</v>
      </c>
      <c r="N483" s="344">
        <v>220031</v>
      </c>
    </row>
    <row r="484" spans="1:14" ht="15">
      <c r="A484" s="344">
        <v>60331</v>
      </c>
      <c r="B484" s="345" t="s">
        <v>137</v>
      </c>
      <c r="C484" s="344">
        <v>220031</v>
      </c>
      <c r="D484" s="344" t="str">
        <f t="shared" si="21"/>
        <v>220031</v>
      </c>
      <c r="E484" s="346" t="s">
        <v>142</v>
      </c>
      <c r="F484" s="344" t="s">
        <v>143</v>
      </c>
      <c r="G484" s="344" t="str">
        <f t="shared" si="22"/>
        <v>60331AXLE 3</v>
      </c>
      <c r="H484" s="344">
        <v>14</v>
      </c>
      <c r="I484" s="344">
        <v>3</v>
      </c>
      <c r="J484" s="344">
        <v>3</v>
      </c>
      <c r="K484" s="344">
        <v>6</v>
      </c>
      <c r="L484" t="str">
        <f t="shared" si="23"/>
        <v>60331</v>
      </c>
      <c r="M484" s="344" t="s">
        <v>143</v>
      </c>
      <c r="N484" s="344">
        <v>220031</v>
      </c>
    </row>
    <row r="485" spans="1:14" ht="15">
      <c r="A485" s="344">
        <v>60331</v>
      </c>
      <c r="B485" s="345" t="s">
        <v>137</v>
      </c>
      <c r="C485" s="344">
        <v>220031</v>
      </c>
      <c r="D485" s="344" t="str">
        <f t="shared" si="21"/>
        <v>220031</v>
      </c>
      <c r="E485" s="346" t="s">
        <v>144</v>
      </c>
      <c r="F485" s="344" t="s">
        <v>145</v>
      </c>
      <c r="G485" s="344" t="str">
        <f t="shared" si="22"/>
        <v>60331AXLE 4</v>
      </c>
      <c r="H485" s="344">
        <v>13</v>
      </c>
      <c r="I485" s="344">
        <v>4</v>
      </c>
      <c r="J485" s="344">
        <v>4</v>
      </c>
      <c r="K485" s="344">
        <v>5</v>
      </c>
      <c r="L485" t="str">
        <f t="shared" si="23"/>
        <v>60331</v>
      </c>
      <c r="M485" s="344" t="s">
        <v>145</v>
      </c>
      <c r="N485" s="344">
        <v>220031</v>
      </c>
    </row>
    <row r="486" spans="1:14" ht="15">
      <c r="A486" s="344">
        <v>60731</v>
      </c>
      <c r="B486" s="345" t="s">
        <v>137</v>
      </c>
      <c r="C486" s="344">
        <v>220031</v>
      </c>
      <c r="D486" s="344" t="str">
        <f t="shared" si="21"/>
        <v>220031</v>
      </c>
      <c r="E486" s="346" t="s">
        <v>144</v>
      </c>
      <c r="F486" s="344" t="s">
        <v>139</v>
      </c>
      <c r="G486" s="344" t="str">
        <f t="shared" si="22"/>
        <v>60731AXLE 1</v>
      </c>
      <c r="H486" s="344">
        <v>9</v>
      </c>
      <c r="I486" s="344">
        <v>8</v>
      </c>
      <c r="J486" s="344">
        <v>1</v>
      </c>
      <c r="K486" s="344">
        <v>8</v>
      </c>
      <c r="L486" t="str">
        <f t="shared" si="23"/>
        <v>60731</v>
      </c>
      <c r="M486" s="344" t="s">
        <v>139</v>
      </c>
      <c r="N486" s="344">
        <v>220031</v>
      </c>
    </row>
    <row r="487" spans="1:14" ht="15">
      <c r="A487" s="344">
        <v>60731</v>
      </c>
      <c r="B487" s="345" t="s">
        <v>137</v>
      </c>
      <c r="C487" s="344">
        <v>220031</v>
      </c>
      <c r="D487" s="344" t="str">
        <f t="shared" si="21"/>
        <v>220031</v>
      </c>
      <c r="E487" s="346" t="s">
        <v>140</v>
      </c>
      <c r="F487" s="344" t="s">
        <v>141</v>
      </c>
      <c r="G487" s="344" t="str">
        <f t="shared" si="22"/>
        <v>60731AXLE 2</v>
      </c>
      <c r="H487" s="344">
        <v>10</v>
      </c>
      <c r="I487" s="344">
        <v>7</v>
      </c>
      <c r="J487" s="344">
        <v>2</v>
      </c>
      <c r="K487" s="344">
        <v>7</v>
      </c>
      <c r="L487" t="str">
        <f t="shared" si="23"/>
        <v>60731</v>
      </c>
      <c r="M487" s="344" t="s">
        <v>141</v>
      </c>
      <c r="N487" s="344">
        <v>220031</v>
      </c>
    </row>
    <row r="488" spans="1:14" ht="15">
      <c r="A488" s="344">
        <v>60731</v>
      </c>
      <c r="B488" s="345" t="s">
        <v>137</v>
      </c>
      <c r="C488" s="344">
        <v>220031</v>
      </c>
      <c r="D488" s="344" t="str">
        <f t="shared" si="21"/>
        <v>220031</v>
      </c>
      <c r="E488" s="346" t="s">
        <v>140</v>
      </c>
      <c r="F488" s="344" t="s">
        <v>143</v>
      </c>
      <c r="G488" s="344" t="str">
        <f t="shared" si="22"/>
        <v>60731AXLE 3</v>
      </c>
      <c r="H488" s="344">
        <v>11</v>
      </c>
      <c r="I488" s="344">
        <v>6</v>
      </c>
      <c r="J488" s="344">
        <v>3</v>
      </c>
      <c r="K488" s="344">
        <v>6</v>
      </c>
      <c r="L488" t="str">
        <f t="shared" si="23"/>
        <v>60731</v>
      </c>
      <c r="M488" s="344" t="s">
        <v>143</v>
      </c>
      <c r="N488" s="344">
        <v>220031</v>
      </c>
    </row>
    <row r="489" spans="1:14" ht="15">
      <c r="A489" s="344">
        <v>60731</v>
      </c>
      <c r="B489" s="345" t="s">
        <v>137</v>
      </c>
      <c r="C489" s="344">
        <v>220031</v>
      </c>
      <c r="D489" s="344" t="str">
        <f t="shared" si="21"/>
        <v>220031</v>
      </c>
      <c r="E489" s="346" t="s">
        <v>144</v>
      </c>
      <c r="F489" s="344" t="s">
        <v>145</v>
      </c>
      <c r="G489" s="344" t="str">
        <f t="shared" si="22"/>
        <v>60731AXLE 4</v>
      </c>
      <c r="H489" s="344">
        <v>12</v>
      </c>
      <c r="I489" s="344">
        <v>5</v>
      </c>
      <c r="J489" s="344">
        <v>4</v>
      </c>
      <c r="K489" s="344">
        <v>5</v>
      </c>
      <c r="L489" t="str">
        <f t="shared" si="23"/>
        <v>60731</v>
      </c>
      <c r="M489" s="344" t="s">
        <v>145</v>
      </c>
      <c r="N489" s="344">
        <v>220031</v>
      </c>
    </row>
    <row r="490" spans="1:14" ht="15">
      <c r="A490" s="344">
        <v>60231</v>
      </c>
      <c r="B490" s="345" t="s">
        <v>137</v>
      </c>
      <c r="C490" s="344">
        <v>220031</v>
      </c>
      <c r="D490" s="344" t="str">
        <f t="shared" si="21"/>
        <v>220031</v>
      </c>
      <c r="E490" s="346" t="s">
        <v>144</v>
      </c>
      <c r="F490" s="344" t="s">
        <v>139</v>
      </c>
      <c r="G490" s="344" t="str">
        <f t="shared" si="22"/>
        <v>60231AXLE 1</v>
      </c>
      <c r="H490" s="344">
        <v>5</v>
      </c>
      <c r="I490" s="344">
        <v>12</v>
      </c>
      <c r="J490" s="344">
        <v>1</v>
      </c>
      <c r="K490" s="344">
        <v>8</v>
      </c>
      <c r="L490" t="str">
        <f t="shared" si="23"/>
        <v>60231</v>
      </c>
      <c r="M490" s="344" t="s">
        <v>139</v>
      </c>
      <c r="N490" s="344">
        <v>220031</v>
      </c>
    </row>
    <row r="491" spans="1:14" ht="15">
      <c r="A491" s="344">
        <v>60231</v>
      </c>
      <c r="B491" s="345" t="s">
        <v>137</v>
      </c>
      <c r="C491" s="344">
        <v>220031</v>
      </c>
      <c r="D491" s="344" t="str">
        <f t="shared" si="21"/>
        <v>220031</v>
      </c>
      <c r="E491" s="346" t="s">
        <v>140</v>
      </c>
      <c r="F491" s="344" t="s">
        <v>141</v>
      </c>
      <c r="G491" s="344" t="str">
        <f t="shared" si="22"/>
        <v>60231AXLE 2</v>
      </c>
      <c r="H491" s="344">
        <v>6</v>
      </c>
      <c r="I491" s="344">
        <v>11</v>
      </c>
      <c r="J491" s="344">
        <v>2</v>
      </c>
      <c r="K491" s="344">
        <v>7</v>
      </c>
      <c r="L491" t="str">
        <f t="shared" si="23"/>
        <v>60231</v>
      </c>
      <c r="M491" s="344" t="s">
        <v>141</v>
      </c>
      <c r="N491" s="344">
        <v>220031</v>
      </c>
    </row>
    <row r="492" spans="1:14" ht="15">
      <c r="A492" s="344">
        <v>60231</v>
      </c>
      <c r="B492" s="345" t="s">
        <v>137</v>
      </c>
      <c r="C492" s="344">
        <v>220031</v>
      </c>
      <c r="D492" s="344" t="str">
        <f t="shared" si="21"/>
        <v>220031</v>
      </c>
      <c r="E492" s="346" t="s">
        <v>140</v>
      </c>
      <c r="F492" s="344" t="s">
        <v>143</v>
      </c>
      <c r="G492" s="344" t="str">
        <f t="shared" si="22"/>
        <v>60231AXLE 3</v>
      </c>
      <c r="H492" s="344">
        <v>7</v>
      </c>
      <c r="I492" s="344">
        <v>10</v>
      </c>
      <c r="J492" s="344">
        <v>3</v>
      </c>
      <c r="K492" s="344">
        <v>6</v>
      </c>
      <c r="L492" t="str">
        <f t="shared" si="23"/>
        <v>60231</v>
      </c>
      <c r="M492" s="344" t="s">
        <v>143</v>
      </c>
      <c r="N492" s="344">
        <v>220031</v>
      </c>
    </row>
    <row r="493" spans="1:14" ht="15">
      <c r="A493" s="344">
        <v>60231</v>
      </c>
      <c r="B493" s="345" t="s">
        <v>137</v>
      </c>
      <c r="C493" s="344">
        <v>220031</v>
      </c>
      <c r="D493" s="344" t="str">
        <f t="shared" si="21"/>
        <v>220031</v>
      </c>
      <c r="E493" s="346" t="s">
        <v>144</v>
      </c>
      <c r="F493" s="344" t="s">
        <v>145</v>
      </c>
      <c r="G493" s="344" t="str">
        <f t="shared" si="22"/>
        <v>60231AXLE 4</v>
      </c>
      <c r="H493" s="344">
        <v>8</v>
      </c>
      <c r="I493" s="344">
        <v>9</v>
      </c>
      <c r="J493" s="344">
        <v>4</v>
      </c>
      <c r="K493" s="344">
        <v>5</v>
      </c>
      <c r="L493" t="str">
        <f t="shared" si="23"/>
        <v>60231</v>
      </c>
      <c r="M493" s="344" t="s">
        <v>145</v>
      </c>
      <c r="N493" s="344">
        <v>220031</v>
      </c>
    </row>
    <row r="494" spans="1:14" ht="15">
      <c r="A494" s="344">
        <v>60431</v>
      </c>
      <c r="B494" s="345" t="s">
        <v>137</v>
      </c>
      <c r="C494" s="344">
        <v>220031</v>
      </c>
      <c r="D494" s="344" t="str">
        <f t="shared" si="21"/>
        <v>220031</v>
      </c>
      <c r="E494" s="346" t="s">
        <v>138</v>
      </c>
      <c r="F494" s="344" t="s">
        <v>139</v>
      </c>
      <c r="G494" s="344" t="str">
        <f t="shared" si="22"/>
        <v>60431AXLE 1</v>
      </c>
      <c r="H494" s="344">
        <v>1</v>
      </c>
      <c r="I494" s="344">
        <v>16</v>
      </c>
      <c r="J494" s="344">
        <v>1</v>
      </c>
      <c r="K494" s="344">
        <v>8</v>
      </c>
      <c r="L494" t="str">
        <f t="shared" si="23"/>
        <v>60431</v>
      </c>
      <c r="M494" s="344" t="s">
        <v>139</v>
      </c>
      <c r="N494" s="344">
        <v>220031</v>
      </c>
    </row>
    <row r="495" spans="1:14" ht="15">
      <c r="A495" s="344">
        <v>60431</v>
      </c>
      <c r="B495" s="345" t="s">
        <v>137</v>
      </c>
      <c r="C495" s="344">
        <v>220031</v>
      </c>
      <c r="D495" s="344" t="str">
        <f t="shared" si="21"/>
        <v>220031</v>
      </c>
      <c r="E495" s="346" t="s">
        <v>140</v>
      </c>
      <c r="F495" s="344" t="s">
        <v>141</v>
      </c>
      <c r="G495" s="344" t="str">
        <f t="shared" si="22"/>
        <v>60431AXLE 2</v>
      </c>
      <c r="H495" s="344">
        <v>2</v>
      </c>
      <c r="I495" s="344">
        <v>15</v>
      </c>
      <c r="J495" s="344">
        <v>2</v>
      </c>
      <c r="K495" s="344">
        <v>7</v>
      </c>
      <c r="L495" t="str">
        <f t="shared" si="23"/>
        <v>60431</v>
      </c>
      <c r="M495" s="344" t="s">
        <v>141</v>
      </c>
      <c r="N495" s="344">
        <v>220031</v>
      </c>
    </row>
    <row r="496" spans="1:14" ht="15">
      <c r="A496" s="344">
        <v>60431</v>
      </c>
      <c r="B496" s="345" t="s">
        <v>137</v>
      </c>
      <c r="C496" s="344">
        <v>220031</v>
      </c>
      <c r="D496" s="344" t="str">
        <f t="shared" si="21"/>
        <v>220031</v>
      </c>
      <c r="E496" s="346" t="s">
        <v>142</v>
      </c>
      <c r="F496" s="344" t="s">
        <v>143</v>
      </c>
      <c r="G496" s="344" t="str">
        <f t="shared" si="22"/>
        <v>60431AXLE 3</v>
      </c>
      <c r="H496" s="344">
        <v>3</v>
      </c>
      <c r="I496" s="344">
        <v>14</v>
      </c>
      <c r="J496" s="344">
        <v>3</v>
      </c>
      <c r="K496" s="344">
        <v>6</v>
      </c>
      <c r="L496" t="str">
        <f t="shared" si="23"/>
        <v>60431</v>
      </c>
      <c r="M496" s="344" t="s">
        <v>143</v>
      </c>
      <c r="N496" s="344">
        <v>220031</v>
      </c>
    </row>
    <row r="497" spans="1:14" ht="15">
      <c r="A497" s="344">
        <v>60431</v>
      </c>
      <c r="B497" s="345" t="s">
        <v>137</v>
      </c>
      <c r="C497" s="344">
        <v>220031</v>
      </c>
      <c r="D497" s="344" t="str">
        <f t="shared" si="21"/>
        <v>220031</v>
      </c>
      <c r="E497" s="346" t="s">
        <v>144</v>
      </c>
      <c r="F497" s="344" t="s">
        <v>145</v>
      </c>
      <c r="G497" s="344" t="str">
        <f t="shared" si="22"/>
        <v>60431AXLE 4</v>
      </c>
      <c r="H497" s="344">
        <v>4</v>
      </c>
      <c r="I497" s="344">
        <v>13</v>
      </c>
      <c r="J497" s="344">
        <v>4</v>
      </c>
      <c r="K497" s="344">
        <v>5</v>
      </c>
      <c r="L497" t="str">
        <f t="shared" si="23"/>
        <v>60431</v>
      </c>
      <c r="M497" s="344" t="s">
        <v>145</v>
      </c>
      <c r="N497" s="344">
        <v>220031</v>
      </c>
    </row>
    <row r="498" spans="1:14" ht="15">
      <c r="A498" s="344">
        <v>60332</v>
      </c>
      <c r="B498" s="345" t="s">
        <v>137</v>
      </c>
      <c r="C498" s="344">
        <v>220032</v>
      </c>
      <c r="D498" s="344" t="str">
        <f t="shared" si="21"/>
        <v>220032</v>
      </c>
      <c r="E498" s="346" t="s">
        <v>138</v>
      </c>
      <c r="F498" s="344" t="s">
        <v>139</v>
      </c>
      <c r="G498" s="344" t="str">
        <f t="shared" si="22"/>
        <v>60332AXLE 1</v>
      </c>
      <c r="H498" s="344">
        <v>16</v>
      </c>
      <c r="I498" s="344">
        <v>1</v>
      </c>
      <c r="J498" s="344">
        <v>1</v>
      </c>
      <c r="K498" s="344">
        <v>8</v>
      </c>
      <c r="L498" t="str">
        <f t="shared" si="23"/>
        <v>60332</v>
      </c>
      <c r="M498" s="344" t="s">
        <v>139</v>
      </c>
      <c r="N498" s="344">
        <v>220032</v>
      </c>
    </row>
    <row r="499" spans="1:14" ht="15">
      <c r="A499" s="344">
        <v>60332</v>
      </c>
      <c r="B499" s="345" t="s">
        <v>137</v>
      </c>
      <c r="C499" s="344">
        <v>220032</v>
      </c>
      <c r="D499" s="344" t="str">
        <f t="shared" si="21"/>
        <v>220032</v>
      </c>
      <c r="E499" s="346" t="s">
        <v>140</v>
      </c>
      <c r="F499" s="344" t="s">
        <v>141</v>
      </c>
      <c r="G499" s="344" t="str">
        <f t="shared" si="22"/>
        <v>60332AXLE 2</v>
      </c>
      <c r="H499" s="344">
        <v>15</v>
      </c>
      <c r="I499" s="344">
        <v>2</v>
      </c>
      <c r="J499" s="344">
        <v>2</v>
      </c>
      <c r="K499" s="344">
        <v>7</v>
      </c>
      <c r="L499" t="str">
        <f t="shared" si="23"/>
        <v>60332</v>
      </c>
      <c r="M499" s="344" t="s">
        <v>141</v>
      </c>
      <c r="N499" s="344">
        <v>220032</v>
      </c>
    </row>
    <row r="500" spans="1:14" ht="15">
      <c r="A500" s="344">
        <v>60332</v>
      </c>
      <c r="B500" s="345" t="s">
        <v>137</v>
      </c>
      <c r="C500" s="344">
        <v>220032</v>
      </c>
      <c r="D500" s="344" t="str">
        <f t="shared" si="21"/>
        <v>220032</v>
      </c>
      <c r="E500" s="346" t="s">
        <v>142</v>
      </c>
      <c r="F500" s="344" t="s">
        <v>143</v>
      </c>
      <c r="G500" s="344" t="str">
        <f t="shared" si="22"/>
        <v>60332AXLE 3</v>
      </c>
      <c r="H500" s="344">
        <v>14</v>
      </c>
      <c r="I500" s="344">
        <v>3</v>
      </c>
      <c r="J500" s="344">
        <v>3</v>
      </c>
      <c r="K500" s="344">
        <v>6</v>
      </c>
      <c r="L500" t="str">
        <f t="shared" si="23"/>
        <v>60332</v>
      </c>
      <c r="M500" s="344" t="s">
        <v>143</v>
      </c>
      <c r="N500" s="344">
        <v>220032</v>
      </c>
    </row>
    <row r="501" spans="1:14" ht="15">
      <c r="A501" s="344">
        <v>60332</v>
      </c>
      <c r="B501" s="345" t="s">
        <v>137</v>
      </c>
      <c r="C501" s="344">
        <v>220032</v>
      </c>
      <c r="D501" s="344" t="str">
        <f t="shared" si="21"/>
        <v>220032</v>
      </c>
      <c r="E501" s="346" t="s">
        <v>144</v>
      </c>
      <c r="F501" s="344" t="s">
        <v>145</v>
      </c>
      <c r="G501" s="344" t="str">
        <f t="shared" si="22"/>
        <v>60332AXLE 4</v>
      </c>
      <c r="H501" s="344">
        <v>13</v>
      </c>
      <c r="I501" s="344">
        <v>4</v>
      </c>
      <c r="J501" s="344">
        <v>4</v>
      </c>
      <c r="K501" s="344">
        <v>5</v>
      </c>
      <c r="L501" t="str">
        <f t="shared" si="23"/>
        <v>60332</v>
      </c>
      <c r="M501" s="344" t="s">
        <v>145</v>
      </c>
      <c r="N501" s="344">
        <v>220032</v>
      </c>
    </row>
    <row r="502" spans="1:14" ht="15">
      <c r="A502" s="344">
        <v>60732</v>
      </c>
      <c r="B502" s="345" t="s">
        <v>137</v>
      </c>
      <c r="C502" s="344">
        <v>220032</v>
      </c>
      <c r="D502" s="344" t="str">
        <f t="shared" si="21"/>
        <v>220032</v>
      </c>
      <c r="E502" s="346" t="s">
        <v>144</v>
      </c>
      <c r="F502" s="344" t="s">
        <v>139</v>
      </c>
      <c r="G502" s="344" t="str">
        <f t="shared" si="22"/>
        <v>60732AXLE 1</v>
      </c>
      <c r="H502" s="344">
        <v>9</v>
      </c>
      <c r="I502" s="344">
        <v>8</v>
      </c>
      <c r="J502" s="344">
        <v>1</v>
      </c>
      <c r="K502" s="344">
        <v>8</v>
      </c>
      <c r="L502" t="str">
        <f t="shared" si="23"/>
        <v>60732</v>
      </c>
      <c r="M502" s="344" t="s">
        <v>139</v>
      </c>
      <c r="N502" s="344">
        <v>220032</v>
      </c>
    </row>
    <row r="503" spans="1:14" ht="15">
      <c r="A503" s="344">
        <v>60732</v>
      </c>
      <c r="B503" s="345" t="s">
        <v>137</v>
      </c>
      <c r="C503" s="344">
        <v>220032</v>
      </c>
      <c r="D503" s="344" t="str">
        <f t="shared" si="21"/>
        <v>220032</v>
      </c>
      <c r="E503" s="346" t="s">
        <v>140</v>
      </c>
      <c r="F503" s="344" t="s">
        <v>141</v>
      </c>
      <c r="G503" s="344" t="str">
        <f t="shared" si="22"/>
        <v>60732AXLE 2</v>
      </c>
      <c r="H503" s="344">
        <v>10</v>
      </c>
      <c r="I503" s="344">
        <v>7</v>
      </c>
      <c r="J503" s="344">
        <v>2</v>
      </c>
      <c r="K503" s="344">
        <v>7</v>
      </c>
      <c r="L503" t="str">
        <f t="shared" si="23"/>
        <v>60732</v>
      </c>
      <c r="M503" s="344" t="s">
        <v>141</v>
      </c>
      <c r="N503" s="344">
        <v>220032</v>
      </c>
    </row>
    <row r="504" spans="1:14" ht="15">
      <c r="A504" s="344">
        <v>60732</v>
      </c>
      <c r="B504" s="345" t="s">
        <v>137</v>
      </c>
      <c r="C504" s="344">
        <v>220032</v>
      </c>
      <c r="D504" s="344" t="str">
        <f t="shared" si="21"/>
        <v>220032</v>
      </c>
      <c r="E504" s="346" t="s">
        <v>140</v>
      </c>
      <c r="F504" s="344" t="s">
        <v>143</v>
      </c>
      <c r="G504" s="344" t="str">
        <f t="shared" si="22"/>
        <v>60732AXLE 3</v>
      </c>
      <c r="H504" s="344">
        <v>11</v>
      </c>
      <c r="I504" s="344">
        <v>6</v>
      </c>
      <c r="J504" s="344">
        <v>3</v>
      </c>
      <c r="K504" s="344">
        <v>6</v>
      </c>
      <c r="L504" t="str">
        <f t="shared" si="23"/>
        <v>60732</v>
      </c>
      <c r="M504" s="344" t="s">
        <v>143</v>
      </c>
      <c r="N504" s="344">
        <v>220032</v>
      </c>
    </row>
    <row r="505" spans="1:14" ht="15">
      <c r="A505" s="344">
        <v>60732</v>
      </c>
      <c r="B505" s="345" t="s">
        <v>137</v>
      </c>
      <c r="C505" s="344">
        <v>220032</v>
      </c>
      <c r="D505" s="344" t="str">
        <f t="shared" si="21"/>
        <v>220032</v>
      </c>
      <c r="E505" s="346" t="s">
        <v>144</v>
      </c>
      <c r="F505" s="344" t="s">
        <v>145</v>
      </c>
      <c r="G505" s="344" t="str">
        <f t="shared" si="22"/>
        <v>60732AXLE 4</v>
      </c>
      <c r="H505" s="344">
        <v>12</v>
      </c>
      <c r="I505" s="344">
        <v>5</v>
      </c>
      <c r="J505" s="344">
        <v>4</v>
      </c>
      <c r="K505" s="344">
        <v>5</v>
      </c>
      <c r="L505" t="str">
        <f t="shared" si="23"/>
        <v>60732</v>
      </c>
      <c r="M505" s="344" t="s">
        <v>145</v>
      </c>
      <c r="N505" s="344">
        <v>220032</v>
      </c>
    </row>
    <row r="506" spans="1:14" ht="15">
      <c r="A506" s="344">
        <v>60232</v>
      </c>
      <c r="B506" s="345" t="s">
        <v>137</v>
      </c>
      <c r="C506" s="344">
        <v>220032</v>
      </c>
      <c r="D506" s="344" t="str">
        <f t="shared" si="21"/>
        <v>220032</v>
      </c>
      <c r="E506" s="346" t="s">
        <v>144</v>
      </c>
      <c r="F506" s="344" t="s">
        <v>139</v>
      </c>
      <c r="G506" s="344" t="str">
        <f t="shared" si="22"/>
        <v>60232AXLE 1</v>
      </c>
      <c r="H506" s="344">
        <v>5</v>
      </c>
      <c r="I506" s="344">
        <v>12</v>
      </c>
      <c r="J506" s="344">
        <v>1</v>
      </c>
      <c r="K506" s="344">
        <v>8</v>
      </c>
      <c r="L506" t="str">
        <f t="shared" si="23"/>
        <v>60232</v>
      </c>
      <c r="M506" s="344" t="s">
        <v>139</v>
      </c>
      <c r="N506" s="344">
        <v>220032</v>
      </c>
    </row>
    <row r="507" spans="1:14" ht="15">
      <c r="A507" s="344">
        <v>60232</v>
      </c>
      <c r="B507" s="345" t="s">
        <v>137</v>
      </c>
      <c r="C507" s="344">
        <v>220032</v>
      </c>
      <c r="D507" s="344" t="str">
        <f t="shared" si="21"/>
        <v>220032</v>
      </c>
      <c r="E507" s="346" t="s">
        <v>140</v>
      </c>
      <c r="F507" s="344" t="s">
        <v>141</v>
      </c>
      <c r="G507" s="344" t="str">
        <f t="shared" si="22"/>
        <v>60232AXLE 2</v>
      </c>
      <c r="H507" s="344">
        <v>6</v>
      </c>
      <c r="I507" s="344">
        <v>11</v>
      </c>
      <c r="J507" s="344">
        <v>2</v>
      </c>
      <c r="K507" s="344">
        <v>7</v>
      </c>
      <c r="L507" t="str">
        <f t="shared" si="23"/>
        <v>60232</v>
      </c>
      <c r="M507" s="344" t="s">
        <v>141</v>
      </c>
      <c r="N507" s="344">
        <v>220032</v>
      </c>
    </row>
    <row r="508" spans="1:14" ht="15">
      <c r="A508" s="344">
        <v>60232</v>
      </c>
      <c r="B508" s="345" t="s">
        <v>137</v>
      </c>
      <c r="C508" s="344">
        <v>220032</v>
      </c>
      <c r="D508" s="344" t="str">
        <f t="shared" si="21"/>
        <v>220032</v>
      </c>
      <c r="E508" s="346" t="s">
        <v>140</v>
      </c>
      <c r="F508" s="344" t="s">
        <v>143</v>
      </c>
      <c r="G508" s="344" t="str">
        <f t="shared" si="22"/>
        <v>60232AXLE 3</v>
      </c>
      <c r="H508" s="344">
        <v>7</v>
      </c>
      <c r="I508" s="344">
        <v>10</v>
      </c>
      <c r="J508" s="344">
        <v>3</v>
      </c>
      <c r="K508" s="344">
        <v>6</v>
      </c>
      <c r="L508" t="str">
        <f t="shared" si="23"/>
        <v>60232</v>
      </c>
      <c r="M508" s="344" t="s">
        <v>143</v>
      </c>
      <c r="N508" s="344">
        <v>220032</v>
      </c>
    </row>
    <row r="509" spans="1:14" ht="15">
      <c r="A509" s="344">
        <v>60232</v>
      </c>
      <c r="B509" s="345" t="s">
        <v>137</v>
      </c>
      <c r="C509" s="344">
        <v>220032</v>
      </c>
      <c r="D509" s="344" t="str">
        <f t="shared" si="21"/>
        <v>220032</v>
      </c>
      <c r="E509" s="346" t="s">
        <v>144</v>
      </c>
      <c r="F509" s="344" t="s">
        <v>145</v>
      </c>
      <c r="G509" s="344" t="str">
        <f t="shared" si="22"/>
        <v>60232AXLE 4</v>
      </c>
      <c r="H509" s="344">
        <v>8</v>
      </c>
      <c r="I509" s="344">
        <v>9</v>
      </c>
      <c r="J509" s="344">
        <v>4</v>
      </c>
      <c r="K509" s="344">
        <v>5</v>
      </c>
      <c r="L509" t="str">
        <f t="shared" si="23"/>
        <v>60232</v>
      </c>
      <c r="M509" s="344" t="s">
        <v>145</v>
      </c>
      <c r="N509" s="344">
        <v>220032</v>
      </c>
    </row>
    <row r="510" spans="1:14" ht="15">
      <c r="A510" s="344">
        <v>60432</v>
      </c>
      <c r="B510" s="345" t="s">
        <v>137</v>
      </c>
      <c r="C510" s="344">
        <v>220032</v>
      </c>
      <c r="D510" s="344" t="str">
        <f t="shared" si="21"/>
        <v>220032</v>
      </c>
      <c r="E510" s="346" t="s">
        <v>138</v>
      </c>
      <c r="F510" s="344" t="s">
        <v>139</v>
      </c>
      <c r="G510" s="344" t="str">
        <f t="shared" si="22"/>
        <v>60432AXLE 1</v>
      </c>
      <c r="H510" s="344">
        <v>1</v>
      </c>
      <c r="I510" s="344">
        <v>16</v>
      </c>
      <c r="J510" s="344">
        <v>1</v>
      </c>
      <c r="K510" s="344">
        <v>8</v>
      </c>
      <c r="L510" t="str">
        <f t="shared" si="23"/>
        <v>60432</v>
      </c>
      <c r="M510" s="344" t="s">
        <v>139</v>
      </c>
      <c r="N510" s="344">
        <v>220032</v>
      </c>
    </row>
    <row r="511" spans="1:14" ht="15">
      <c r="A511" s="344">
        <v>60432</v>
      </c>
      <c r="B511" s="345" t="s">
        <v>137</v>
      </c>
      <c r="C511" s="344">
        <v>220032</v>
      </c>
      <c r="D511" s="344" t="str">
        <f t="shared" si="21"/>
        <v>220032</v>
      </c>
      <c r="E511" s="346" t="s">
        <v>140</v>
      </c>
      <c r="F511" s="344" t="s">
        <v>141</v>
      </c>
      <c r="G511" s="344" t="str">
        <f t="shared" si="22"/>
        <v>60432AXLE 2</v>
      </c>
      <c r="H511" s="344">
        <v>2</v>
      </c>
      <c r="I511" s="344">
        <v>15</v>
      </c>
      <c r="J511" s="344">
        <v>2</v>
      </c>
      <c r="K511" s="344">
        <v>7</v>
      </c>
      <c r="L511" t="str">
        <f t="shared" si="23"/>
        <v>60432</v>
      </c>
      <c r="M511" s="344" t="s">
        <v>141</v>
      </c>
      <c r="N511" s="344">
        <v>220032</v>
      </c>
    </row>
    <row r="512" spans="1:14" ht="15">
      <c r="A512" s="344">
        <v>60432</v>
      </c>
      <c r="B512" s="345" t="s">
        <v>137</v>
      </c>
      <c r="C512" s="344">
        <v>220032</v>
      </c>
      <c r="D512" s="344" t="str">
        <f t="shared" si="21"/>
        <v>220032</v>
      </c>
      <c r="E512" s="346" t="s">
        <v>142</v>
      </c>
      <c r="F512" s="344" t="s">
        <v>143</v>
      </c>
      <c r="G512" s="344" t="str">
        <f t="shared" si="22"/>
        <v>60432AXLE 3</v>
      </c>
      <c r="H512" s="344">
        <v>3</v>
      </c>
      <c r="I512" s="344">
        <v>14</v>
      </c>
      <c r="J512" s="344">
        <v>3</v>
      </c>
      <c r="K512" s="344">
        <v>6</v>
      </c>
      <c r="L512" t="str">
        <f t="shared" si="23"/>
        <v>60432</v>
      </c>
      <c r="M512" s="344" t="s">
        <v>143</v>
      </c>
      <c r="N512" s="344">
        <v>220032</v>
      </c>
    </row>
    <row r="513" spans="1:14" ht="15">
      <c r="A513" s="344">
        <v>60432</v>
      </c>
      <c r="B513" s="345" t="s">
        <v>137</v>
      </c>
      <c r="C513" s="344">
        <v>220032</v>
      </c>
      <c r="D513" s="344" t="str">
        <f t="shared" si="21"/>
        <v>220032</v>
      </c>
      <c r="E513" s="346" t="s">
        <v>144</v>
      </c>
      <c r="F513" s="344" t="s">
        <v>145</v>
      </c>
      <c r="G513" s="344" t="str">
        <f t="shared" si="22"/>
        <v>60432AXLE 4</v>
      </c>
      <c r="H513" s="344">
        <v>4</v>
      </c>
      <c r="I513" s="344">
        <v>13</v>
      </c>
      <c r="J513" s="344">
        <v>4</v>
      </c>
      <c r="K513" s="344">
        <v>5</v>
      </c>
      <c r="L513" t="str">
        <f t="shared" si="23"/>
        <v>60432</v>
      </c>
      <c r="M513" s="344" t="s">
        <v>145</v>
      </c>
      <c r="N513" s="344">
        <v>220032</v>
      </c>
    </row>
    <row r="514" spans="1:14" ht="15">
      <c r="A514" s="344">
        <v>60333</v>
      </c>
      <c r="B514" s="345" t="s">
        <v>137</v>
      </c>
      <c r="C514" s="344">
        <v>220033</v>
      </c>
      <c r="D514" s="344" t="str">
        <f t="shared" si="21"/>
        <v>220033</v>
      </c>
      <c r="E514" s="346" t="s">
        <v>138</v>
      </c>
      <c r="F514" s="344" t="s">
        <v>139</v>
      </c>
      <c r="G514" s="344" t="str">
        <f t="shared" si="22"/>
        <v>60333AXLE 1</v>
      </c>
      <c r="H514" s="344">
        <v>16</v>
      </c>
      <c r="I514" s="344">
        <v>1</v>
      </c>
      <c r="J514" s="344">
        <v>1</v>
      </c>
      <c r="K514" s="344">
        <v>8</v>
      </c>
      <c r="L514" t="str">
        <f t="shared" si="23"/>
        <v>60333</v>
      </c>
      <c r="M514" s="344" t="s">
        <v>139</v>
      </c>
      <c r="N514" s="344">
        <v>220033</v>
      </c>
    </row>
    <row r="515" spans="1:14" ht="15">
      <c r="A515" s="344">
        <v>60333</v>
      </c>
      <c r="B515" s="345" t="s">
        <v>137</v>
      </c>
      <c r="C515" s="344">
        <v>220033</v>
      </c>
      <c r="D515" s="344" t="str">
        <f t="shared" ref="D515:D578" si="24">CONCATENATE(B515,C515)</f>
        <v>220033</v>
      </c>
      <c r="E515" s="346" t="s">
        <v>140</v>
      </c>
      <c r="F515" s="344" t="s">
        <v>141</v>
      </c>
      <c r="G515" s="344" t="str">
        <f t="shared" ref="G515:G578" si="25">CONCATENATE(A515,F515)</f>
        <v>60333AXLE 2</v>
      </c>
      <c r="H515" s="344">
        <v>15</v>
      </c>
      <c r="I515" s="344">
        <v>2</v>
      </c>
      <c r="J515" s="344">
        <v>2</v>
      </c>
      <c r="K515" s="344">
        <v>7</v>
      </c>
      <c r="L515" t="str">
        <f t="shared" ref="L515:L578" si="26">CONCATENATE(A515,B515)</f>
        <v>60333</v>
      </c>
      <c r="M515" s="344" t="s">
        <v>141</v>
      </c>
      <c r="N515" s="344">
        <v>220033</v>
      </c>
    </row>
    <row r="516" spans="1:14" ht="15">
      <c r="A516" s="344">
        <v>60333</v>
      </c>
      <c r="B516" s="345" t="s">
        <v>137</v>
      </c>
      <c r="C516" s="344">
        <v>220033</v>
      </c>
      <c r="D516" s="344" t="str">
        <f t="shared" si="24"/>
        <v>220033</v>
      </c>
      <c r="E516" s="346" t="s">
        <v>142</v>
      </c>
      <c r="F516" s="344" t="s">
        <v>143</v>
      </c>
      <c r="G516" s="344" t="str">
        <f t="shared" si="25"/>
        <v>60333AXLE 3</v>
      </c>
      <c r="H516" s="344">
        <v>14</v>
      </c>
      <c r="I516" s="344">
        <v>3</v>
      </c>
      <c r="J516" s="344">
        <v>3</v>
      </c>
      <c r="K516" s="344">
        <v>6</v>
      </c>
      <c r="L516" t="str">
        <f t="shared" si="26"/>
        <v>60333</v>
      </c>
      <c r="M516" s="344" t="s">
        <v>143</v>
      </c>
      <c r="N516" s="344">
        <v>220033</v>
      </c>
    </row>
    <row r="517" spans="1:14" ht="15">
      <c r="A517" s="344">
        <v>60333</v>
      </c>
      <c r="B517" s="345" t="s">
        <v>137</v>
      </c>
      <c r="C517" s="344">
        <v>220033</v>
      </c>
      <c r="D517" s="344" t="str">
        <f t="shared" si="24"/>
        <v>220033</v>
      </c>
      <c r="E517" s="346" t="s">
        <v>144</v>
      </c>
      <c r="F517" s="344" t="s">
        <v>145</v>
      </c>
      <c r="G517" s="344" t="str">
        <f t="shared" si="25"/>
        <v>60333AXLE 4</v>
      </c>
      <c r="H517" s="344">
        <v>13</v>
      </c>
      <c r="I517" s="344">
        <v>4</v>
      </c>
      <c r="J517" s="344">
        <v>4</v>
      </c>
      <c r="K517" s="344">
        <v>5</v>
      </c>
      <c r="L517" t="str">
        <f t="shared" si="26"/>
        <v>60333</v>
      </c>
      <c r="M517" s="344" t="s">
        <v>145</v>
      </c>
      <c r="N517" s="344">
        <v>220033</v>
      </c>
    </row>
    <row r="518" spans="1:14" ht="15">
      <c r="A518" s="344">
        <v>60733</v>
      </c>
      <c r="B518" s="345" t="s">
        <v>137</v>
      </c>
      <c r="C518" s="344">
        <v>220033</v>
      </c>
      <c r="D518" s="344" t="str">
        <f t="shared" si="24"/>
        <v>220033</v>
      </c>
      <c r="E518" s="346" t="s">
        <v>144</v>
      </c>
      <c r="F518" s="344" t="s">
        <v>139</v>
      </c>
      <c r="G518" s="344" t="str">
        <f t="shared" si="25"/>
        <v>60733AXLE 1</v>
      </c>
      <c r="H518" s="344">
        <v>9</v>
      </c>
      <c r="I518" s="344">
        <v>8</v>
      </c>
      <c r="J518" s="344">
        <v>1</v>
      </c>
      <c r="K518" s="344">
        <v>8</v>
      </c>
      <c r="L518" t="str">
        <f t="shared" si="26"/>
        <v>60733</v>
      </c>
      <c r="M518" s="344" t="s">
        <v>139</v>
      </c>
      <c r="N518" s="344">
        <v>220033</v>
      </c>
    </row>
    <row r="519" spans="1:14" ht="15">
      <c r="A519" s="344">
        <v>60733</v>
      </c>
      <c r="B519" s="345" t="s">
        <v>137</v>
      </c>
      <c r="C519" s="344">
        <v>220033</v>
      </c>
      <c r="D519" s="344" t="str">
        <f t="shared" si="24"/>
        <v>220033</v>
      </c>
      <c r="E519" s="346" t="s">
        <v>140</v>
      </c>
      <c r="F519" s="344" t="s">
        <v>141</v>
      </c>
      <c r="G519" s="344" t="str">
        <f t="shared" si="25"/>
        <v>60733AXLE 2</v>
      </c>
      <c r="H519" s="344">
        <v>10</v>
      </c>
      <c r="I519" s="344">
        <v>7</v>
      </c>
      <c r="J519" s="344">
        <v>2</v>
      </c>
      <c r="K519" s="344">
        <v>7</v>
      </c>
      <c r="L519" t="str">
        <f t="shared" si="26"/>
        <v>60733</v>
      </c>
      <c r="M519" s="344" t="s">
        <v>141</v>
      </c>
      <c r="N519" s="344">
        <v>220033</v>
      </c>
    </row>
    <row r="520" spans="1:14" ht="15">
      <c r="A520" s="344">
        <v>60733</v>
      </c>
      <c r="B520" s="345" t="s">
        <v>137</v>
      </c>
      <c r="C520" s="344">
        <v>220033</v>
      </c>
      <c r="D520" s="344" t="str">
        <f t="shared" si="24"/>
        <v>220033</v>
      </c>
      <c r="E520" s="346" t="s">
        <v>140</v>
      </c>
      <c r="F520" s="344" t="s">
        <v>143</v>
      </c>
      <c r="G520" s="344" t="str">
        <f t="shared" si="25"/>
        <v>60733AXLE 3</v>
      </c>
      <c r="H520" s="344">
        <v>11</v>
      </c>
      <c r="I520" s="344">
        <v>6</v>
      </c>
      <c r="J520" s="344">
        <v>3</v>
      </c>
      <c r="K520" s="344">
        <v>6</v>
      </c>
      <c r="L520" t="str">
        <f t="shared" si="26"/>
        <v>60733</v>
      </c>
      <c r="M520" s="344" t="s">
        <v>143</v>
      </c>
      <c r="N520" s="344">
        <v>220033</v>
      </c>
    </row>
    <row r="521" spans="1:14" ht="15">
      <c r="A521" s="344">
        <v>60733</v>
      </c>
      <c r="B521" s="345" t="s">
        <v>137</v>
      </c>
      <c r="C521" s="344">
        <v>220033</v>
      </c>
      <c r="D521" s="344" t="str">
        <f t="shared" si="24"/>
        <v>220033</v>
      </c>
      <c r="E521" s="346" t="s">
        <v>144</v>
      </c>
      <c r="F521" s="344" t="s">
        <v>145</v>
      </c>
      <c r="G521" s="344" t="str">
        <f t="shared" si="25"/>
        <v>60733AXLE 4</v>
      </c>
      <c r="H521" s="344">
        <v>12</v>
      </c>
      <c r="I521" s="344">
        <v>5</v>
      </c>
      <c r="J521" s="344">
        <v>4</v>
      </c>
      <c r="K521" s="344">
        <v>5</v>
      </c>
      <c r="L521" t="str">
        <f t="shared" si="26"/>
        <v>60733</v>
      </c>
      <c r="M521" s="344" t="s">
        <v>145</v>
      </c>
      <c r="N521" s="344">
        <v>220033</v>
      </c>
    </row>
    <row r="522" spans="1:14" ht="15">
      <c r="A522" s="344">
        <v>60233</v>
      </c>
      <c r="B522" s="345" t="s">
        <v>137</v>
      </c>
      <c r="C522" s="344">
        <v>220033</v>
      </c>
      <c r="D522" s="344" t="str">
        <f t="shared" si="24"/>
        <v>220033</v>
      </c>
      <c r="E522" s="346" t="s">
        <v>144</v>
      </c>
      <c r="F522" s="344" t="s">
        <v>139</v>
      </c>
      <c r="G522" s="344" t="str">
        <f t="shared" si="25"/>
        <v>60233AXLE 1</v>
      </c>
      <c r="H522" s="344">
        <v>5</v>
      </c>
      <c r="I522" s="344">
        <v>12</v>
      </c>
      <c r="J522" s="344">
        <v>1</v>
      </c>
      <c r="K522" s="344">
        <v>8</v>
      </c>
      <c r="L522" t="str">
        <f t="shared" si="26"/>
        <v>60233</v>
      </c>
      <c r="M522" s="344" t="s">
        <v>139</v>
      </c>
      <c r="N522" s="344">
        <v>220033</v>
      </c>
    </row>
    <row r="523" spans="1:14" ht="15">
      <c r="A523" s="344">
        <v>60233</v>
      </c>
      <c r="B523" s="345" t="s">
        <v>137</v>
      </c>
      <c r="C523" s="344">
        <v>220033</v>
      </c>
      <c r="D523" s="344" t="str">
        <f t="shared" si="24"/>
        <v>220033</v>
      </c>
      <c r="E523" s="346" t="s">
        <v>140</v>
      </c>
      <c r="F523" s="344" t="s">
        <v>141</v>
      </c>
      <c r="G523" s="344" t="str">
        <f t="shared" si="25"/>
        <v>60233AXLE 2</v>
      </c>
      <c r="H523" s="344">
        <v>6</v>
      </c>
      <c r="I523" s="344">
        <v>11</v>
      </c>
      <c r="J523" s="344">
        <v>2</v>
      </c>
      <c r="K523" s="344">
        <v>7</v>
      </c>
      <c r="L523" t="str">
        <f t="shared" si="26"/>
        <v>60233</v>
      </c>
      <c r="M523" s="344" t="s">
        <v>141</v>
      </c>
      <c r="N523" s="344">
        <v>220033</v>
      </c>
    </row>
    <row r="524" spans="1:14" ht="15">
      <c r="A524" s="344">
        <v>60233</v>
      </c>
      <c r="B524" s="345" t="s">
        <v>137</v>
      </c>
      <c r="C524" s="344">
        <v>220033</v>
      </c>
      <c r="D524" s="344" t="str">
        <f t="shared" si="24"/>
        <v>220033</v>
      </c>
      <c r="E524" s="346" t="s">
        <v>140</v>
      </c>
      <c r="F524" s="344" t="s">
        <v>143</v>
      </c>
      <c r="G524" s="344" t="str">
        <f t="shared" si="25"/>
        <v>60233AXLE 3</v>
      </c>
      <c r="H524" s="344">
        <v>7</v>
      </c>
      <c r="I524" s="344">
        <v>10</v>
      </c>
      <c r="J524" s="344">
        <v>3</v>
      </c>
      <c r="K524" s="344">
        <v>6</v>
      </c>
      <c r="L524" t="str">
        <f t="shared" si="26"/>
        <v>60233</v>
      </c>
      <c r="M524" s="344" t="s">
        <v>143</v>
      </c>
      <c r="N524" s="344">
        <v>220033</v>
      </c>
    </row>
    <row r="525" spans="1:14" ht="15">
      <c r="A525" s="344">
        <v>60233</v>
      </c>
      <c r="B525" s="345" t="s">
        <v>137</v>
      </c>
      <c r="C525" s="344">
        <v>220033</v>
      </c>
      <c r="D525" s="344" t="str">
        <f t="shared" si="24"/>
        <v>220033</v>
      </c>
      <c r="E525" s="346" t="s">
        <v>144</v>
      </c>
      <c r="F525" s="344" t="s">
        <v>145</v>
      </c>
      <c r="G525" s="344" t="str">
        <f t="shared" si="25"/>
        <v>60233AXLE 4</v>
      </c>
      <c r="H525" s="344">
        <v>8</v>
      </c>
      <c r="I525" s="344">
        <v>9</v>
      </c>
      <c r="J525" s="344">
        <v>4</v>
      </c>
      <c r="K525" s="344">
        <v>5</v>
      </c>
      <c r="L525" t="str">
        <f t="shared" si="26"/>
        <v>60233</v>
      </c>
      <c r="M525" s="344" t="s">
        <v>145</v>
      </c>
      <c r="N525" s="344">
        <v>220033</v>
      </c>
    </row>
    <row r="526" spans="1:14" ht="15">
      <c r="A526" s="344">
        <v>60433</v>
      </c>
      <c r="B526" s="345" t="s">
        <v>137</v>
      </c>
      <c r="C526" s="344">
        <v>220033</v>
      </c>
      <c r="D526" s="344" t="str">
        <f t="shared" si="24"/>
        <v>220033</v>
      </c>
      <c r="E526" s="346" t="s">
        <v>138</v>
      </c>
      <c r="F526" s="344" t="s">
        <v>139</v>
      </c>
      <c r="G526" s="344" t="str">
        <f t="shared" si="25"/>
        <v>60433AXLE 1</v>
      </c>
      <c r="H526" s="344">
        <v>1</v>
      </c>
      <c r="I526" s="344">
        <v>16</v>
      </c>
      <c r="J526" s="344">
        <v>1</v>
      </c>
      <c r="K526" s="344">
        <v>8</v>
      </c>
      <c r="L526" t="str">
        <f t="shared" si="26"/>
        <v>60433</v>
      </c>
      <c r="M526" s="344" t="s">
        <v>139</v>
      </c>
      <c r="N526" s="344">
        <v>220033</v>
      </c>
    </row>
    <row r="527" spans="1:14" ht="15">
      <c r="A527" s="344">
        <v>60433</v>
      </c>
      <c r="B527" s="345" t="s">
        <v>137</v>
      </c>
      <c r="C527" s="344">
        <v>220033</v>
      </c>
      <c r="D527" s="344" t="str">
        <f t="shared" si="24"/>
        <v>220033</v>
      </c>
      <c r="E527" s="346" t="s">
        <v>140</v>
      </c>
      <c r="F527" s="344" t="s">
        <v>141</v>
      </c>
      <c r="G527" s="344" t="str">
        <f t="shared" si="25"/>
        <v>60433AXLE 2</v>
      </c>
      <c r="H527" s="344">
        <v>2</v>
      </c>
      <c r="I527" s="344">
        <v>15</v>
      </c>
      <c r="J527" s="344">
        <v>2</v>
      </c>
      <c r="K527" s="344">
        <v>7</v>
      </c>
      <c r="L527" t="str">
        <f t="shared" si="26"/>
        <v>60433</v>
      </c>
      <c r="M527" s="344" t="s">
        <v>141</v>
      </c>
      <c r="N527" s="344">
        <v>220033</v>
      </c>
    </row>
    <row r="528" spans="1:14" ht="15">
      <c r="A528" s="344">
        <v>60433</v>
      </c>
      <c r="B528" s="345" t="s">
        <v>137</v>
      </c>
      <c r="C528" s="344">
        <v>220033</v>
      </c>
      <c r="D528" s="344" t="str">
        <f t="shared" si="24"/>
        <v>220033</v>
      </c>
      <c r="E528" s="346" t="s">
        <v>142</v>
      </c>
      <c r="F528" s="344" t="s">
        <v>143</v>
      </c>
      <c r="G528" s="344" t="str">
        <f t="shared" si="25"/>
        <v>60433AXLE 3</v>
      </c>
      <c r="H528" s="344">
        <v>3</v>
      </c>
      <c r="I528" s="344">
        <v>14</v>
      </c>
      <c r="J528" s="344">
        <v>3</v>
      </c>
      <c r="K528" s="344">
        <v>6</v>
      </c>
      <c r="L528" t="str">
        <f t="shared" si="26"/>
        <v>60433</v>
      </c>
      <c r="M528" s="344" t="s">
        <v>143</v>
      </c>
      <c r="N528" s="344">
        <v>220033</v>
      </c>
    </row>
    <row r="529" spans="1:14" ht="15">
      <c r="A529" s="344">
        <v>60433</v>
      </c>
      <c r="B529" s="345" t="s">
        <v>137</v>
      </c>
      <c r="C529" s="344">
        <v>220033</v>
      </c>
      <c r="D529" s="344" t="str">
        <f t="shared" si="24"/>
        <v>220033</v>
      </c>
      <c r="E529" s="346" t="s">
        <v>144</v>
      </c>
      <c r="F529" s="344" t="s">
        <v>145</v>
      </c>
      <c r="G529" s="344" t="str">
        <f t="shared" si="25"/>
        <v>60433AXLE 4</v>
      </c>
      <c r="H529" s="344">
        <v>4</v>
      </c>
      <c r="I529" s="344">
        <v>13</v>
      </c>
      <c r="J529" s="344">
        <v>4</v>
      </c>
      <c r="K529" s="344">
        <v>5</v>
      </c>
      <c r="L529" t="str">
        <f t="shared" si="26"/>
        <v>60433</v>
      </c>
      <c r="M529" s="344" t="s">
        <v>145</v>
      </c>
      <c r="N529" s="344">
        <v>220033</v>
      </c>
    </row>
    <row r="530" spans="1:14" ht="15">
      <c r="A530" s="344">
        <v>60334</v>
      </c>
      <c r="B530" s="345" t="s">
        <v>137</v>
      </c>
      <c r="C530" s="344">
        <v>220034</v>
      </c>
      <c r="D530" s="344" t="str">
        <f t="shared" si="24"/>
        <v>220034</v>
      </c>
      <c r="E530" s="346" t="s">
        <v>138</v>
      </c>
      <c r="F530" s="344" t="s">
        <v>139</v>
      </c>
      <c r="G530" s="344" t="str">
        <f t="shared" si="25"/>
        <v>60334AXLE 1</v>
      </c>
      <c r="H530" s="344">
        <v>16</v>
      </c>
      <c r="I530" s="344">
        <v>1</v>
      </c>
      <c r="J530" s="344">
        <v>1</v>
      </c>
      <c r="K530" s="344">
        <v>8</v>
      </c>
      <c r="L530" t="str">
        <f t="shared" si="26"/>
        <v>60334</v>
      </c>
      <c r="M530" s="344" t="s">
        <v>139</v>
      </c>
      <c r="N530" s="344">
        <v>220034</v>
      </c>
    </row>
    <row r="531" spans="1:14" ht="15">
      <c r="A531" s="344">
        <v>60334</v>
      </c>
      <c r="B531" s="345" t="s">
        <v>137</v>
      </c>
      <c r="C531" s="344">
        <v>220034</v>
      </c>
      <c r="D531" s="344" t="str">
        <f t="shared" si="24"/>
        <v>220034</v>
      </c>
      <c r="E531" s="346" t="s">
        <v>140</v>
      </c>
      <c r="F531" s="344" t="s">
        <v>141</v>
      </c>
      <c r="G531" s="344" t="str">
        <f t="shared" si="25"/>
        <v>60334AXLE 2</v>
      </c>
      <c r="H531" s="344">
        <v>15</v>
      </c>
      <c r="I531" s="344">
        <v>2</v>
      </c>
      <c r="J531" s="344">
        <v>2</v>
      </c>
      <c r="K531" s="344">
        <v>7</v>
      </c>
      <c r="L531" t="str">
        <f t="shared" si="26"/>
        <v>60334</v>
      </c>
      <c r="M531" s="344" t="s">
        <v>141</v>
      </c>
      <c r="N531" s="344">
        <v>220034</v>
      </c>
    </row>
    <row r="532" spans="1:14" ht="15">
      <c r="A532" s="344">
        <v>60334</v>
      </c>
      <c r="B532" s="345" t="s">
        <v>137</v>
      </c>
      <c r="C532" s="344">
        <v>220034</v>
      </c>
      <c r="D532" s="344" t="str">
        <f t="shared" si="24"/>
        <v>220034</v>
      </c>
      <c r="E532" s="346" t="s">
        <v>142</v>
      </c>
      <c r="F532" s="344" t="s">
        <v>143</v>
      </c>
      <c r="G532" s="344" t="str">
        <f t="shared" si="25"/>
        <v>60334AXLE 3</v>
      </c>
      <c r="H532" s="344">
        <v>14</v>
      </c>
      <c r="I532" s="344">
        <v>3</v>
      </c>
      <c r="J532" s="344">
        <v>3</v>
      </c>
      <c r="K532" s="344">
        <v>6</v>
      </c>
      <c r="L532" t="str">
        <f t="shared" si="26"/>
        <v>60334</v>
      </c>
      <c r="M532" s="344" t="s">
        <v>143</v>
      </c>
      <c r="N532" s="344">
        <v>220034</v>
      </c>
    </row>
    <row r="533" spans="1:14" ht="15">
      <c r="A533" s="344">
        <v>60334</v>
      </c>
      <c r="B533" s="345" t="s">
        <v>137</v>
      </c>
      <c r="C533" s="344">
        <v>220034</v>
      </c>
      <c r="D533" s="344" t="str">
        <f t="shared" si="24"/>
        <v>220034</v>
      </c>
      <c r="E533" s="346" t="s">
        <v>144</v>
      </c>
      <c r="F533" s="344" t="s">
        <v>145</v>
      </c>
      <c r="G533" s="344" t="str">
        <f t="shared" si="25"/>
        <v>60334AXLE 4</v>
      </c>
      <c r="H533" s="344">
        <v>13</v>
      </c>
      <c r="I533" s="344">
        <v>4</v>
      </c>
      <c r="J533" s="344">
        <v>4</v>
      </c>
      <c r="K533" s="344">
        <v>5</v>
      </c>
      <c r="L533" t="str">
        <f t="shared" si="26"/>
        <v>60334</v>
      </c>
      <c r="M533" s="344" t="s">
        <v>145</v>
      </c>
      <c r="N533" s="344">
        <v>220034</v>
      </c>
    </row>
    <row r="534" spans="1:14" ht="15">
      <c r="A534" s="344">
        <v>60734</v>
      </c>
      <c r="B534" s="345" t="s">
        <v>137</v>
      </c>
      <c r="C534" s="344">
        <v>220034</v>
      </c>
      <c r="D534" s="344" t="str">
        <f t="shared" si="24"/>
        <v>220034</v>
      </c>
      <c r="E534" s="346" t="s">
        <v>144</v>
      </c>
      <c r="F534" s="344" t="s">
        <v>139</v>
      </c>
      <c r="G534" s="344" t="str">
        <f t="shared" si="25"/>
        <v>60734AXLE 1</v>
      </c>
      <c r="H534" s="344">
        <v>9</v>
      </c>
      <c r="I534" s="344">
        <v>8</v>
      </c>
      <c r="J534" s="344">
        <v>1</v>
      </c>
      <c r="K534" s="344">
        <v>8</v>
      </c>
      <c r="L534" t="str">
        <f t="shared" si="26"/>
        <v>60734</v>
      </c>
      <c r="M534" s="344" t="s">
        <v>139</v>
      </c>
      <c r="N534" s="344">
        <v>220034</v>
      </c>
    </row>
    <row r="535" spans="1:14" ht="15">
      <c r="A535" s="344">
        <v>60734</v>
      </c>
      <c r="B535" s="345" t="s">
        <v>137</v>
      </c>
      <c r="C535" s="344">
        <v>220034</v>
      </c>
      <c r="D535" s="344" t="str">
        <f t="shared" si="24"/>
        <v>220034</v>
      </c>
      <c r="E535" s="346" t="s">
        <v>140</v>
      </c>
      <c r="F535" s="344" t="s">
        <v>141</v>
      </c>
      <c r="G535" s="344" t="str">
        <f t="shared" si="25"/>
        <v>60734AXLE 2</v>
      </c>
      <c r="H535" s="344">
        <v>10</v>
      </c>
      <c r="I535" s="344">
        <v>7</v>
      </c>
      <c r="J535" s="344">
        <v>2</v>
      </c>
      <c r="K535" s="344">
        <v>7</v>
      </c>
      <c r="L535" t="str">
        <f t="shared" si="26"/>
        <v>60734</v>
      </c>
      <c r="M535" s="344" t="s">
        <v>141</v>
      </c>
      <c r="N535" s="344">
        <v>220034</v>
      </c>
    </row>
    <row r="536" spans="1:14" ht="15">
      <c r="A536" s="344">
        <v>60734</v>
      </c>
      <c r="B536" s="345" t="s">
        <v>137</v>
      </c>
      <c r="C536" s="344">
        <v>220034</v>
      </c>
      <c r="D536" s="344" t="str">
        <f t="shared" si="24"/>
        <v>220034</v>
      </c>
      <c r="E536" s="346" t="s">
        <v>140</v>
      </c>
      <c r="F536" s="344" t="s">
        <v>143</v>
      </c>
      <c r="G536" s="344" t="str">
        <f t="shared" si="25"/>
        <v>60734AXLE 3</v>
      </c>
      <c r="H536" s="344">
        <v>11</v>
      </c>
      <c r="I536" s="344">
        <v>6</v>
      </c>
      <c r="J536" s="344">
        <v>3</v>
      </c>
      <c r="K536" s="344">
        <v>6</v>
      </c>
      <c r="L536" t="str">
        <f t="shared" si="26"/>
        <v>60734</v>
      </c>
      <c r="M536" s="344" t="s">
        <v>143</v>
      </c>
      <c r="N536" s="344">
        <v>220034</v>
      </c>
    </row>
    <row r="537" spans="1:14" ht="15">
      <c r="A537" s="344">
        <v>60734</v>
      </c>
      <c r="B537" s="345" t="s">
        <v>137</v>
      </c>
      <c r="C537" s="344">
        <v>220034</v>
      </c>
      <c r="D537" s="344" t="str">
        <f t="shared" si="24"/>
        <v>220034</v>
      </c>
      <c r="E537" s="346" t="s">
        <v>144</v>
      </c>
      <c r="F537" s="344" t="s">
        <v>145</v>
      </c>
      <c r="G537" s="344" t="str">
        <f t="shared" si="25"/>
        <v>60734AXLE 4</v>
      </c>
      <c r="H537" s="344">
        <v>12</v>
      </c>
      <c r="I537" s="344">
        <v>5</v>
      </c>
      <c r="J537" s="344">
        <v>4</v>
      </c>
      <c r="K537" s="344">
        <v>5</v>
      </c>
      <c r="L537" t="str">
        <f t="shared" si="26"/>
        <v>60734</v>
      </c>
      <c r="M537" s="344" t="s">
        <v>145</v>
      </c>
      <c r="N537" s="344">
        <v>220034</v>
      </c>
    </row>
    <row r="538" spans="1:14" ht="15">
      <c r="A538" s="344">
        <v>60234</v>
      </c>
      <c r="B538" s="345" t="s">
        <v>137</v>
      </c>
      <c r="C538" s="344">
        <v>220034</v>
      </c>
      <c r="D538" s="344" t="str">
        <f t="shared" si="24"/>
        <v>220034</v>
      </c>
      <c r="E538" s="346" t="s">
        <v>144</v>
      </c>
      <c r="F538" s="344" t="s">
        <v>139</v>
      </c>
      <c r="G538" s="344" t="str">
        <f t="shared" si="25"/>
        <v>60234AXLE 1</v>
      </c>
      <c r="H538" s="344">
        <v>5</v>
      </c>
      <c r="I538" s="344">
        <v>12</v>
      </c>
      <c r="J538" s="344">
        <v>1</v>
      </c>
      <c r="K538" s="344">
        <v>8</v>
      </c>
      <c r="L538" t="str">
        <f t="shared" si="26"/>
        <v>60234</v>
      </c>
      <c r="M538" s="344" t="s">
        <v>139</v>
      </c>
      <c r="N538" s="344">
        <v>220034</v>
      </c>
    </row>
    <row r="539" spans="1:14" ht="15">
      <c r="A539" s="344">
        <v>60234</v>
      </c>
      <c r="B539" s="345" t="s">
        <v>137</v>
      </c>
      <c r="C539" s="344">
        <v>220034</v>
      </c>
      <c r="D539" s="344" t="str">
        <f t="shared" si="24"/>
        <v>220034</v>
      </c>
      <c r="E539" s="346" t="s">
        <v>140</v>
      </c>
      <c r="F539" s="344" t="s">
        <v>141</v>
      </c>
      <c r="G539" s="344" t="str">
        <f t="shared" si="25"/>
        <v>60234AXLE 2</v>
      </c>
      <c r="H539" s="344">
        <v>6</v>
      </c>
      <c r="I539" s="344">
        <v>11</v>
      </c>
      <c r="J539" s="344">
        <v>2</v>
      </c>
      <c r="K539" s="344">
        <v>7</v>
      </c>
      <c r="L539" t="str">
        <f t="shared" si="26"/>
        <v>60234</v>
      </c>
      <c r="M539" s="344" t="s">
        <v>141</v>
      </c>
      <c r="N539" s="344">
        <v>220034</v>
      </c>
    </row>
    <row r="540" spans="1:14" ht="15">
      <c r="A540" s="344">
        <v>60234</v>
      </c>
      <c r="B540" s="345" t="s">
        <v>137</v>
      </c>
      <c r="C540" s="344">
        <v>220034</v>
      </c>
      <c r="D540" s="344" t="str">
        <f t="shared" si="24"/>
        <v>220034</v>
      </c>
      <c r="E540" s="346" t="s">
        <v>140</v>
      </c>
      <c r="F540" s="344" t="s">
        <v>143</v>
      </c>
      <c r="G540" s="344" t="str">
        <f t="shared" si="25"/>
        <v>60234AXLE 3</v>
      </c>
      <c r="H540" s="344">
        <v>7</v>
      </c>
      <c r="I540" s="344">
        <v>10</v>
      </c>
      <c r="J540" s="344">
        <v>3</v>
      </c>
      <c r="K540" s="344">
        <v>6</v>
      </c>
      <c r="L540" t="str">
        <f t="shared" si="26"/>
        <v>60234</v>
      </c>
      <c r="M540" s="344" t="s">
        <v>143</v>
      </c>
      <c r="N540" s="344">
        <v>220034</v>
      </c>
    </row>
    <row r="541" spans="1:14" ht="15">
      <c r="A541" s="344">
        <v>60234</v>
      </c>
      <c r="B541" s="345" t="s">
        <v>137</v>
      </c>
      <c r="C541" s="344">
        <v>220034</v>
      </c>
      <c r="D541" s="344" t="str">
        <f t="shared" si="24"/>
        <v>220034</v>
      </c>
      <c r="E541" s="346" t="s">
        <v>144</v>
      </c>
      <c r="F541" s="344" t="s">
        <v>145</v>
      </c>
      <c r="G541" s="344" t="str">
        <f t="shared" si="25"/>
        <v>60234AXLE 4</v>
      </c>
      <c r="H541" s="344">
        <v>8</v>
      </c>
      <c r="I541" s="344">
        <v>9</v>
      </c>
      <c r="J541" s="344">
        <v>4</v>
      </c>
      <c r="K541" s="344">
        <v>5</v>
      </c>
      <c r="L541" t="str">
        <f t="shared" si="26"/>
        <v>60234</v>
      </c>
      <c r="M541" s="344" t="s">
        <v>145</v>
      </c>
      <c r="N541" s="344">
        <v>220034</v>
      </c>
    </row>
    <row r="542" spans="1:14" ht="15">
      <c r="A542" s="344">
        <v>60434</v>
      </c>
      <c r="B542" s="345" t="s">
        <v>137</v>
      </c>
      <c r="C542" s="344">
        <v>220034</v>
      </c>
      <c r="D542" s="344" t="str">
        <f t="shared" si="24"/>
        <v>220034</v>
      </c>
      <c r="E542" s="346" t="s">
        <v>138</v>
      </c>
      <c r="F542" s="344" t="s">
        <v>139</v>
      </c>
      <c r="G542" s="344" t="str">
        <f t="shared" si="25"/>
        <v>60434AXLE 1</v>
      </c>
      <c r="H542" s="344">
        <v>1</v>
      </c>
      <c r="I542" s="344">
        <v>16</v>
      </c>
      <c r="J542" s="344">
        <v>1</v>
      </c>
      <c r="K542" s="344">
        <v>8</v>
      </c>
      <c r="L542" t="str">
        <f t="shared" si="26"/>
        <v>60434</v>
      </c>
      <c r="M542" s="344" t="s">
        <v>139</v>
      </c>
      <c r="N542" s="344">
        <v>220034</v>
      </c>
    </row>
    <row r="543" spans="1:14" ht="15">
      <c r="A543" s="344">
        <v>60434</v>
      </c>
      <c r="B543" s="345" t="s">
        <v>137</v>
      </c>
      <c r="C543" s="344">
        <v>220034</v>
      </c>
      <c r="D543" s="344" t="str">
        <f t="shared" si="24"/>
        <v>220034</v>
      </c>
      <c r="E543" s="346" t="s">
        <v>140</v>
      </c>
      <c r="F543" s="344" t="s">
        <v>141</v>
      </c>
      <c r="G543" s="344" t="str">
        <f t="shared" si="25"/>
        <v>60434AXLE 2</v>
      </c>
      <c r="H543" s="344">
        <v>2</v>
      </c>
      <c r="I543" s="344">
        <v>15</v>
      </c>
      <c r="J543" s="344">
        <v>2</v>
      </c>
      <c r="K543" s="344">
        <v>7</v>
      </c>
      <c r="L543" t="str">
        <f t="shared" si="26"/>
        <v>60434</v>
      </c>
      <c r="M543" s="344" t="s">
        <v>141</v>
      </c>
      <c r="N543" s="344">
        <v>220034</v>
      </c>
    </row>
    <row r="544" spans="1:14" ht="15">
      <c r="A544" s="344">
        <v>60434</v>
      </c>
      <c r="B544" s="345" t="s">
        <v>137</v>
      </c>
      <c r="C544" s="344">
        <v>220034</v>
      </c>
      <c r="D544" s="344" t="str">
        <f t="shared" si="24"/>
        <v>220034</v>
      </c>
      <c r="E544" s="346" t="s">
        <v>142</v>
      </c>
      <c r="F544" s="344" t="s">
        <v>143</v>
      </c>
      <c r="G544" s="344" t="str">
        <f t="shared" si="25"/>
        <v>60434AXLE 3</v>
      </c>
      <c r="H544" s="344">
        <v>3</v>
      </c>
      <c r="I544" s="344">
        <v>14</v>
      </c>
      <c r="J544" s="344">
        <v>3</v>
      </c>
      <c r="K544" s="344">
        <v>6</v>
      </c>
      <c r="L544" t="str">
        <f t="shared" si="26"/>
        <v>60434</v>
      </c>
      <c r="M544" s="344" t="s">
        <v>143</v>
      </c>
      <c r="N544" s="344">
        <v>220034</v>
      </c>
    </row>
    <row r="545" spans="1:14" ht="15">
      <c r="A545" s="344">
        <v>60434</v>
      </c>
      <c r="B545" s="345" t="s">
        <v>137</v>
      </c>
      <c r="C545" s="344">
        <v>220034</v>
      </c>
      <c r="D545" s="344" t="str">
        <f t="shared" si="24"/>
        <v>220034</v>
      </c>
      <c r="E545" s="346" t="s">
        <v>144</v>
      </c>
      <c r="F545" s="344" t="s">
        <v>145</v>
      </c>
      <c r="G545" s="344" t="str">
        <f t="shared" si="25"/>
        <v>60434AXLE 4</v>
      </c>
      <c r="H545" s="344">
        <v>4</v>
      </c>
      <c r="I545" s="344">
        <v>13</v>
      </c>
      <c r="J545" s="344">
        <v>4</v>
      </c>
      <c r="K545" s="344">
        <v>5</v>
      </c>
      <c r="L545" t="str">
        <f t="shared" si="26"/>
        <v>60434</v>
      </c>
      <c r="M545" s="344" t="s">
        <v>145</v>
      </c>
      <c r="N545" s="344">
        <v>220034</v>
      </c>
    </row>
    <row r="546" spans="1:14" ht="15">
      <c r="A546" s="344">
        <v>60351</v>
      </c>
      <c r="B546" s="345" t="s">
        <v>137</v>
      </c>
      <c r="C546" s="344">
        <v>221101</v>
      </c>
      <c r="D546" s="344" t="str">
        <f t="shared" si="24"/>
        <v>221101</v>
      </c>
      <c r="E546" s="346" t="s">
        <v>146</v>
      </c>
      <c r="F546" s="344" t="s">
        <v>139</v>
      </c>
      <c r="G546" s="344" t="str">
        <f t="shared" si="25"/>
        <v>60351AXLE 1</v>
      </c>
      <c r="H546" s="344">
        <v>20</v>
      </c>
      <c r="I546" s="344">
        <v>1</v>
      </c>
      <c r="J546" s="344">
        <v>1</v>
      </c>
      <c r="K546" s="344">
        <v>8</v>
      </c>
      <c r="L546" t="str">
        <f t="shared" si="26"/>
        <v>60351</v>
      </c>
      <c r="M546" s="344" t="s">
        <v>139</v>
      </c>
      <c r="N546" s="344">
        <v>221101</v>
      </c>
    </row>
    <row r="547" spans="1:14" ht="15">
      <c r="A547" s="344">
        <v>60351</v>
      </c>
      <c r="B547" s="345" t="s">
        <v>137</v>
      </c>
      <c r="C547" s="344">
        <v>221101</v>
      </c>
      <c r="D547" s="344" t="str">
        <f t="shared" si="24"/>
        <v>221101</v>
      </c>
      <c r="E547" s="346" t="s">
        <v>147</v>
      </c>
      <c r="F547" s="344" t="s">
        <v>141</v>
      </c>
      <c r="G547" s="344" t="str">
        <f t="shared" si="25"/>
        <v>60351AXLE 2</v>
      </c>
      <c r="H547" s="344">
        <v>19</v>
      </c>
      <c r="I547" s="344">
        <v>2</v>
      </c>
      <c r="J547" s="344">
        <v>2</v>
      </c>
      <c r="K547" s="344">
        <v>7</v>
      </c>
      <c r="L547" t="str">
        <f t="shared" si="26"/>
        <v>60351</v>
      </c>
      <c r="M547" s="344" t="s">
        <v>141</v>
      </c>
      <c r="N547" s="344">
        <v>221101</v>
      </c>
    </row>
    <row r="548" spans="1:14" ht="15">
      <c r="A548" s="344">
        <v>60351</v>
      </c>
      <c r="B548" s="345" t="s">
        <v>137</v>
      </c>
      <c r="C548" s="344">
        <v>221101</v>
      </c>
      <c r="D548" s="344" t="str">
        <f t="shared" si="24"/>
        <v>221101</v>
      </c>
      <c r="E548" s="346" t="s">
        <v>147</v>
      </c>
      <c r="F548" s="344" t="s">
        <v>143</v>
      </c>
      <c r="G548" s="344" t="str">
        <f t="shared" si="25"/>
        <v>60351AXLE 3</v>
      </c>
      <c r="H548" s="344">
        <v>18</v>
      </c>
      <c r="I548" s="344">
        <v>3</v>
      </c>
      <c r="J548" s="344">
        <v>3</v>
      </c>
      <c r="K548" s="344">
        <v>6</v>
      </c>
      <c r="L548" t="str">
        <f t="shared" si="26"/>
        <v>60351</v>
      </c>
      <c r="M548" s="344" t="s">
        <v>143</v>
      </c>
      <c r="N548" s="344">
        <v>221101</v>
      </c>
    </row>
    <row r="549" spans="1:14" ht="15">
      <c r="A549" s="344">
        <v>60351</v>
      </c>
      <c r="B549" s="345" t="s">
        <v>137</v>
      </c>
      <c r="C549" s="344">
        <v>221101</v>
      </c>
      <c r="D549" s="344" t="str">
        <f t="shared" si="24"/>
        <v>221101</v>
      </c>
      <c r="E549" s="346" t="s">
        <v>146</v>
      </c>
      <c r="F549" s="344" t="s">
        <v>145</v>
      </c>
      <c r="G549" s="344" t="str">
        <f t="shared" si="25"/>
        <v>60351AXLE 4</v>
      </c>
      <c r="H549" s="344">
        <v>17</v>
      </c>
      <c r="I549" s="344">
        <v>4</v>
      </c>
      <c r="J549" s="344">
        <v>4</v>
      </c>
      <c r="K549" s="344">
        <v>5</v>
      </c>
      <c r="L549" t="str">
        <f t="shared" si="26"/>
        <v>60351</v>
      </c>
      <c r="M549" s="344" t="s">
        <v>145</v>
      </c>
      <c r="N549" s="344">
        <v>221101</v>
      </c>
    </row>
    <row r="550" spans="1:14" ht="15">
      <c r="A550" s="344">
        <v>60951</v>
      </c>
      <c r="B550" s="345" t="s">
        <v>137</v>
      </c>
      <c r="C550" s="344">
        <v>221101</v>
      </c>
      <c r="D550" s="344" t="str">
        <f t="shared" si="24"/>
        <v>221101</v>
      </c>
      <c r="E550" s="346" t="s">
        <v>146</v>
      </c>
      <c r="F550" s="344" t="s">
        <v>139</v>
      </c>
      <c r="G550" s="344" t="str">
        <f t="shared" si="25"/>
        <v>60951AXLE 1</v>
      </c>
      <c r="H550" s="344">
        <v>13</v>
      </c>
      <c r="I550" s="344">
        <v>8</v>
      </c>
      <c r="J550" s="344">
        <v>1</v>
      </c>
      <c r="K550" s="344">
        <v>8</v>
      </c>
      <c r="L550" t="str">
        <f t="shared" si="26"/>
        <v>60951</v>
      </c>
      <c r="M550" s="344" t="s">
        <v>139</v>
      </c>
      <c r="N550" s="344">
        <v>221101</v>
      </c>
    </row>
    <row r="551" spans="1:14" ht="15">
      <c r="A551" s="344">
        <v>60951</v>
      </c>
      <c r="B551" s="345" t="s">
        <v>137</v>
      </c>
      <c r="C551" s="344">
        <v>221101</v>
      </c>
      <c r="D551" s="344" t="str">
        <f t="shared" si="24"/>
        <v>221101</v>
      </c>
      <c r="E551" s="346" t="s">
        <v>147</v>
      </c>
      <c r="F551" s="344" t="s">
        <v>141</v>
      </c>
      <c r="G551" s="344" t="str">
        <f t="shared" si="25"/>
        <v>60951AXLE 2</v>
      </c>
      <c r="H551" s="344">
        <v>14</v>
      </c>
      <c r="I551" s="344">
        <v>7</v>
      </c>
      <c r="J551" s="344">
        <v>2</v>
      </c>
      <c r="K551" s="344">
        <v>7</v>
      </c>
      <c r="L551" t="str">
        <f t="shared" si="26"/>
        <v>60951</v>
      </c>
      <c r="M551" s="344" t="s">
        <v>141</v>
      </c>
      <c r="N551" s="344">
        <v>221101</v>
      </c>
    </row>
    <row r="552" spans="1:14" ht="15">
      <c r="A552" s="344">
        <v>60951</v>
      </c>
      <c r="B552" s="345" t="s">
        <v>137</v>
      </c>
      <c r="C552" s="344">
        <v>221101</v>
      </c>
      <c r="D552" s="344" t="str">
        <f t="shared" si="24"/>
        <v>221101</v>
      </c>
      <c r="E552" s="346" t="s">
        <v>147</v>
      </c>
      <c r="F552" s="344" t="s">
        <v>143</v>
      </c>
      <c r="G552" s="344" t="str">
        <f t="shared" si="25"/>
        <v>60951AXLE 3</v>
      </c>
      <c r="H552" s="344">
        <v>15</v>
      </c>
      <c r="I552" s="344">
        <v>6</v>
      </c>
      <c r="J552" s="344">
        <v>3</v>
      </c>
      <c r="K552" s="344">
        <v>6</v>
      </c>
      <c r="L552" t="str">
        <f t="shared" si="26"/>
        <v>60951</v>
      </c>
      <c r="M552" s="344" t="s">
        <v>143</v>
      </c>
      <c r="N552" s="344">
        <v>221101</v>
      </c>
    </row>
    <row r="553" spans="1:14" ht="15">
      <c r="A553" s="344">
        <v>60951</v>
      </c>
      <c r="B553" s="345" t="s">
        <v>137</v>
      </c>
      <c r="C553" s="344">
        <v>221101</v>
      </c>
      <c r="D553" s="344" t="str">
        <f t="shared" si="24"/>
        <v>221101</v>
      </c>
      <c r="E553" s="346" t="s">
        <v>146</v>
      </c>
      <c r="F553" s="344" t="s">
        <v>145</v>
      </c>
      <c r="G553" s="344" t="str">
        <f t="shared" si="25"/>
        <v>60951AXLE 4</v>
      </c>
      <c r="H553" s="344">
        <v>16</v>
      </c>
      <c r="I553" s="344">
        <v>5</v>
      </c>
      <c r="J553" s="344">
        <v>4</v>
      </c>
      <c r="K553" s="344">
        <v>5</v>
      </c>
      <c r="L553" t="str">
        <f t="shared" si="26"/>
        <v>60951</v>
      </c>
      <c r="M553" s="344" t="s">
        <v>145</v>
      </c>
      <c r="N553" s="344">
        <v>221101</v>
      </c>
    </row>
    <row r="554" spans="1:14" ht="15">
      <c r="A554" s="344">
        <v>60851</v>
      </c>
      <c r="B554" s="345" t="s">
        <v>137</v>
      </c>
      <c r="C554" s="344">
        <v>221101</v>
      </c>
      <c r="D554" s="344" t="str">
        <f t="shared" si="24"/>
        <v>221101</v>
      </c>
      <c r="E554" s="346" t="s">
        <v>146</v>
      </c>
      <c r="F554" s="344" t="s">
        <v>139</v>
      </c>
      <c r="G554" s="344" t="str">
        <f t="shared" si="25"/>
        <v>60851AXLE 1</v>
      </c>
      <c r="H554" s="344">
        <v>9</v>
      </c>
      <c r="I554" s="344">
        <v>12</v>
      </c>
      <c r="J554" s="344">
        <v>1</v>
      </c>
      <c r="K554" s="344">
        <v>8</v>
      </c>
      <c r="L554" t="str">
        <f t="shared" si="26"/>
        <v>60851</v>
      </c>
      <c r="M554" s="344" t="s">
        <v>139</v>
      </c>
      <c r="N554" s="344">
        <v>221101</v>
      </c>
    </row>
    <row r="555" spans="1:14" ht="15">
      <c r="A555" s="344">
        <v>60851</v>
      </c>
      <c r="B555" s="345" t="s">
        <v>137</v>
      </c>
      <c r="C555" s="344">
        <v>221101</v>
      </c>
      <c r="D555" s="344" t="str">
        <f t="shared" si="24"/>
        <v>221101</v>
      </c>
      <c r="E555" s="346" t="s">
        <v>147</v>
      </c>
      <c r="F555" s="344" t="s">
        <v>141</v>
      </c>
      <c r="G555" s="344" t="str">
        <f t="shared" si="25"/>
        <v>60851AXLE 2</v>
      </c>
      <c r="H555" s="344">
        <v>10</v>
      </c>
      <c r="I555" s="344">
        <v>11</v>
      </c>
      <c r="J555" s="344">
        <v>2</v>
      </c>
      <c r="K555" s="344">
        <v>7</v>
      </c>
      <c r="L555" t="str">
        <f t="shared" si="26"/>
        <v>60851</v>
      </c>
      <c r="M555" s="344" t="s">
        <v>141</v>
      </c>
      <c r="N555" s="344">
        <v>221101</v>
      </c>
    </row>
    <row r="556" spans="1:14" ht="15">
      <c r="A556" s="344">
        <v>60851</v>
      </c>
      <c r="B556" s="345" t="s">
        <v>137</v>
      </c>
      <c r="C556" s="344">
        <v>221101</v>
      </c>
      <c r="D556" s="344" t="str">
        <f t="shared" si="24"/>
        <v>221101</v>
      </c>
      <c r="E556" s="346" t="s">
        <v>147</v>
      </c>
      <c r="F556" s="344" t="s">
        <v>143</v>
      </c>
      <c r="G556" s="344" t="str">
        <f t="shared" si="25"/>
        <v>60851AXLE 3</v>
      </c>
      <c r="H556" s="344">
        <v>11</v>
      </c>
      <c r="I556" s="344">
        <v>10</v>
      </c>
      <c r="J556" s="344">
        <v>3</v>
      </c>
      <c r="K556" s="344">
        <v>6</v>
      </c>
      <c r="L556" t="str">
        <f t="shared" si="26"/>
        <v>60851</v>
      </c>
      <c r="M556" s="344" t="s">
        <v>143</v>
      </c>
      <c r="N556" s="344">
        <v>221101</v>
      </c>
    </row>
    <row r="557" spans="1:14" ht="15">
      <c r="A557" s="344">
        <v>60851</v>
      </c>
      <c r="B557" s="345" t="s">
        <v>137</v>
      </c>
      <c r="C557" s="344">
        <v>221101</v>
      </c>
      <c r="D557" s="344" t="str">
        <f t="shared" si="24"/>
        <v>221101</v>
      </c>
      <c r="E557" s="346" t="s">
        <v>146</v>
      </c>
      <c r="F557" s="344" t="s">
        <v>145</v>
      </c>
      <c r="G557" s="344" t="str">
        <f t="shared" si="25"/>
        <v>60851AXLE 4</v>
      </c>
      <c r="H557" s="344">
        <v>12</v>
      </c>
      <c r="I557" s="344">
        <v>9</v>
      </c>
      <c r="J557" s="344">
        <v>4</v>
      </c>
      <c r="K557" s="344">
        <v>5</v>
      </c>
      <c r="L557" t="str">
        <f t="shared" si="26"/>
        <v>60851</v>
      </c>
      <c r="M557" s="344" t="s">
        <v>145</v>
      </c>
      <c r="N557" s="344">
        <v>221101</v>
      </c>
    </row>
    <row r="558" spans="1:14" ht="15">
      <c r="A558" s="344">
        <v>60751</v>
      </c>
      <c r="B558" s="345" t="s">
        <v>137</v>
      </c>
      <c r="C558" s="344">
        <v>221101</v>
      </c>
      <c r="D558" s="344" t="str">
        <f t="shared" si="24"/>
        <v>221101</v>
      </c>
      <c r="E558" s="346" t="s">
        <v>146</v>
      </c>
      <c r="F558" s="344" t="s">
        <v>139</v>
      </c>
      <c r="G558" s="344" t="str">
        <f t="shared" si="25"/>
        <v>60751AXLE 1</v>
      </c>
      <c r="H558" s="344">
        <v>5</v>
      </c>
      <c r="I558" s="344">
        <v>16</v>
      </c>
      <c r="J558" s="344">
        <v>1</v>
      </c>
      <c r="K558" s="344">
        <v>8</v>
      </c>
      <c r="L558" t="str">
        <f t="shared" si="26"/>
        <v>60751</v>
      </c>
      <c r="M558" s="344" t="s">
        <v>139</v>
      </c>
      <c r="N558" s="344">
        <v>221101</v>
      </c>
    </row>
    <row r="559" spans="1:14" ht="15">
      <c r="A559" s="344">
        <v>60751</v>
      </c>
      <c r="B559" s="345" t="s">
        <v>137</v>
      </c>
      <c r="C559" s="344">
        <v>221101</v>
      </c>
      <c r="D559" s="344" t="str">
        <f t="shared" si="24"/>
        <v>221101</v>
      </c>
      <c r="E559" s="346" t="s">
        <v>147</v>
      </c>
      <c r="F559" s="344" t="s">
        <v>141</v>
      </c>
      <c r="G559" s="344" t="str">
        <f t="shared" si="25"/>
        <v>60751AXLE 2</v>
      </c>
      <c r="H559" s="344">
        <v>6</v>
      </c>
      <c r="I559" s="344">
        <v>15</v>
      </c>
      <c r="J559" s="344">
        <v>2</v>
      </c>
      <c r="K559" s="344">
        <v>7</v>
      </c>
      <c r="L559" t="str">
        <f t="shared" si="26"/>
        <v>60751</v>
      </c>
      <c r="M559" s="344" t="s">
        <v>141</v>
      </c>
      <c r="N559" s="344">
        <v>221101</v>
      </c>
    </row>
    <row r="560" spans="1:14" ht="15">
      <c r="A560" s="344">
        <v>60751</v>
      </c>
      <c r="B560" s="345" t="s">
        <v>137</v>
      </c>
      <c r="C560" s="344">
        <v>221101</v>
      </c>
      <c r="D560" s="344" t="str">
        <f t="shared" si="24"/>
        <v>221101</v>
      </c>
      <c r="E560" s="346" t="s">
        <v>147</v>
      </c>
      <c r="F560" s="344" t="s">
        <v>143</v>
      </c>
      <c r="G560" s="344" t="str">
        <f t="shared" si="25"/>
        <v>60751AXLE 3</v>
      </c>
      <c r="H560" s="344">
        <v>7</v>
      </c>
      <c r="I560" s="344">
        <v>14</v>
      </c>
      <c r="J560" s="344">
        <v>3</v>
      </c>
      <c r="K560" s="344">
        <v>6</v>
      </c>
      <c r="L560" t="str">
        <f t="shared" si="26"/>
        <v>60751</v>
      </c>
      <c r="M560" s="344" t="s">
        <v>143</v>
      </c>
      <c r="N560" s="344">
        <v>221101</v>
      </c>
    </row>
    <row r="561" spans="1:14" ht="15">
      <c r="A561" s="344">
        <v>60751</v>
      </c>
      <c r="B561" s="345" t="s">
        <v>137</v>
      </c>
      <c r="C561" s="344">
        <v>221101</v>
      </c>
      <c r="D561" s="344" t="str">
        <f t="shared" si="24"/>
        <v>221101</v>
      </c>
      <c r="E561" s="346" t="s">
        <v>146</v>
      </c>
      <c r="F561" s="344" t="s">
        <v>145</v>
      </c>
      <c r="G561" s="344" t="str">
        <f t="shared" si="25"/>
        <v>60751AXLE 4</v>
      </c>
      <c r="H561" s="344">
        <v>8</v>
      </c>
      <c r="I561" s="344">
        <v>13</v>
      </c>
      <c r="J561" s="344">
        <v>4</v>
      </c>
      <c r="K561" s="344">
        <v>5</v>
      </c>
      <c r="L561" t="str">
        <f t="shared" si="26"/>
        <v>60751</v>
      </c>
      <c r="M561" s="344" t="s">
        <v>145</v>
      </c>
      <c r="N561" s="344">
        <v>221101</v>
      </c>
    </row>
    <row r="562" spans="1:14" ht="15">
      <c r="A562" s="344">
        <v>60451</v>
      </c>
      <c r="B562" s="345" t="s">
        <v>137</v>
      </c>
      <c r="C562" s="344">
        <v>221101</v>
      </c>
      <c r="D562" s="344" t="str">
        <f t="shared" si="24"/>
        <v>221101</v>
      </c>
      <c r="E562" s="346" t="s">
        <v>146</v>
      </c>
      <c r="F562" s="344" t="s">
        <v>139</v>
      </c>
      <c r="G562" s="344" t="str">
        <f t="shared" si="25"/>
        <v>60451AXLE 1</v>
      </c>
      <c r="H562" s="344">
        <v>1</v>
      </c>
      <c r="I562" s="344">
        <v>20</v>
      </c>
      <c r="J562" s="344">
        <v>1</v>
      </c>
      <c r="K562" s="344">
        <v>8</v>
      </c>
      <c r="L562" t="str">
        <f t="shared" si="26"/>
        <v>60451</v>
      </c>
      <c r="M562" s="344" t="s">
        <v>139</v>
      </c>
      <c r="N562" s="344">
        <v>221101</v>
      </c>
    </row>
    <row r="563" spans="1:14" ht="15">
      <c r="A563" s="344">
        <v>60451</v>
      </c>
      <c r="B563" s="345" t="s">
        <v>137</v>
      </c>
      <c r="C563" s="344">
        <v>221101</v>
      </c>
      <c r="D563" s="344" t="str">
        <f t="shared" si="24"/>
        <v>221101</v>
      </c>
      <c r="E563" s="346" t="s">
        <v>147</v>
      </c>
      <c r="F563" s="344" t="s">
        <v>141</v>
      </c>
      <c r="G563" s="344" t="str">
        <f t="shared" si="25"/>
        <v>60451AXLE 2</v>
      </c>
      <c r="H563" s="344">
        <v>2</v>
      </c>
      <c r="I563" s="344">
        <v>19</v>
      </c>
      <c r="J563" s="344">
        <v>2</v>
      </c>
      <c r="K563" s="344">
        <v>7</v>
      </c>
      <c r="L563" t="str">
        <f t="shared" si="26"/>
        <v>60451</v>
      </c>
      <c r="M563" s="344" t="s">
        <v>141</v>
      </c>
      <c r="N563" s="344">
        <v>221101</v>
      </c>
    </row>
    <row r="564" spans="1:14" ht="15">
      <c r="A564" s="344">
        <v>60451</v>
      </c>
      <c r="B564" s="345" t="s">
        <v>137</v>
      </c>
      <c r="C564" s="344">
        <v>221101</v>
      </c>
      <c r="D564" s="344" t="str">
        <f t="shared" si="24"/>
        <v>221101</v>
      </c>
      <c r="E564" s="346" t="s">
        <v>147</v>
      </c>
      <c r="F564" s="344" t="s">
        <v>143</v>
      </c>
      <c r="G564" s="344" t="str">
        <f t="shared" si="25"/>
        <v>60451AXLE 3</v>
      </c>
      <c r="H564" s="344">
        <v>3</v>
      </c>
      <c r="I564" s="344">
        <v>18</v>
      </c>
      <c r="J564" s="344">
        <v>3</v>
      </c>
      <c r="K564" s="344">
        <v>6</v>
      </c>
      <c r="L564" t="str">
        <f t="shared" si="26"/>
        <v>60451</v>
      </c>
      <c r="M564" s="344" t="s">
        <v>143</v>
      </c>
      <c r="N564" s="344">
        <v>221101</v>
      </c>
    </row>
    <row r="565" spans="1:14" ht="15">
      <c r="A565" s="344">
        <v>60451</v>
      </c>
      <c r="B565" s="345" t="s">
        <v>137</v>
      </c>
      <c r="C565" s="344">
        <v>221101</v>
      </c>
      <c r="D565" s="344" t="str">
        <f t="shared" si="24"/>
        <v>221101</v>
      </c>
      <c r="E565" s="346" t="s">
        <v>146</v>
      </c>
      <c r="F565" s="344" t="s">
        <v>145</v>
      </c>
      <c r="G565" s="344" t="str">
        <f t="shared" si="25"/>
        <v>60451AXLE 4</v>
      </c>
      <c r="H565" s="344">
        <v>4</v>
      </c>
      <c r="I565" s="344">
        <v>17</v>
      </c>
      <c r="J565" s="344">
        <v>4</v>
      </c>
      <c r="K565" s="344">
        <v>5</v>
      </c>
      <c r="L565" t="str">
        <f t="shared" si="26"/>
        <v>60451</v>
      </c>
      <c r="M565" s="344" t="s">
        <v>145</v>
      </c>
      <c r="N565" s="344">
        <v>221101</v>
      </c>
    </row>
    <row r="566" spans="1:14" ht="15">
      <c r="A566" s="344">
        <v>60352</v>
      </c>
      <c r="B566" s="345" t="s">
        <v>137</v>
      </c>
      <c r="C566" s="344">
        <v>221102</v>
      </c>
      <c r="D566" s="344" t="str">
        <f t="shared" si="24"/>
        <v>221102</v>
      </c>
      <c r="E566" s="346" t="s">
        <v>146</v>
      </c>
      <c r="F566" s="344" t="s">
        <v>139</v>
      </c>
      <c r="G566" s="344" t="str">
        <f t="shared" si="25"/>
        <v>60352AXLE 1</v>
      </c>
      <c r="H566" s="344">
        <v>20</v>
      </c>
      <c r="I566" s="344">
        <v>1</v>
      </c>
      <c r="J566" s="344">
        <v>1</v>
      </c>
      <c r="K566" s="344">
        <v>8</v>
      </c>
      <c r="L566" t="str">
        <f t="shared" si="26"/>
        <v>60352</v>
      </c>
      <c r="M566" s="344" t="s">
        <v>139</v>
      </c>
      <c r="N566" s="344">
        <v>221102</v>
      </c>
    </row>
    <row r="567" spans="1:14" ht="15">
      <c r="A567" s="344">
        <v>60352</v>
      </c>
      <c r="B567" s="345" t="s">
        <v>137</v>
      </c>
      <c r="C567" s="344">
        <v>221102</v>
      </c>
      <c r="D567" s="344" t="str">
        <f t="shared" si="24"/>
        <v>221102</v>
      </c>
      <c r="E567" s="346" t="s">
        <v>147</v>
      </c>
      <c r="F567" s="344" t="s">
        <v>141</v>
      </c>
      <c r="G567" s="344" t="str">
        <f t="shared" si="25"/>
        <v>60352AXLE 2</v>
      </c>
      <c r="H567" s="344">
        <v>19</v>
      </c>
      <c r="I567" s="344">
        <v>2</v>
      </c>
      <c r="J567" s="344">
        <v>2</v>
      </c>
      <c r="K567" s="344">
        <v>7</v>
      </c>
      <c r="L567" t="str">
        <f t="shared" si="26"/>
        <v>60352</v>
      </c>
      <c r="M567" s="344" t="s">
        <v>141</v>
      </c>
      <c r="N567" s="344">
        <v>221102</v>
      </c>
    </row>
    <row r="568" spans="1:14" ht="15">
      <c r="A568" s="344">
        <v>60352</v>
      </c>
      <c r="B568" s="345" t="s">
        <v>137</v>
      </c>
      <c r="C568" s="344">
        <v>221102</v>
      </c>
      <c r="D568" s="344" t="str">
        <f t="shared" si="24"/>
        <v>221102</v>
      </c>
      <c r="E568" s="346" t="s">
        <v>147</v>
      </c>
      <c r="F568" s="344" t="s">
        <v>143</v>
      </c>
      <c r="G568" s="344" t="str">
        <f t="shared" si="25"/>
        <v>60352AXLE 3</v>
      </c>
      <c r="H568" s="344">
        <v>18</v>
      </c>
      <c r="I568" s="344">
        <v>3</v>
      </c>
      <c r="J568" s="344">
        <v>3</v>
      </c>
      <c r="K568" s="344">
        <v>6</v>
      </c>
      <c r="L568" t="str">
        <f t="shared" si="26"/>
        <v>60352</v>
      </c>
      <c r="M568" s="344" t="s">
        <v>143</v>
      </c>
      <c r="N568" s="344">
        <v>221102</v>
      </c>
    </row>
    <row r="569" spans="1:14" ht="15">
      <c r="A569" s="344">
        <v>60352</v>
      </c>
      <c r="B569" s="345" t="s">
        <v>137</v>
      </c>
      <c r="C569" s="344">
        <v>221102</v>
      </c>
      <c r="D569" s="344" t="str">
        <f t="shared" si="24"/>
        <v>221102</v>
      </c>
      <c r="E569" s="346" t="s">
        <v>146</v>
      </c>
      <c r="F569" s="344" t="s">
        <v>145</v>
      </c>
      <c r="G569" s="344" t="str">
        <f t="shared" si="25"/>
        <v>60352AXLE 4</v>
      </c>
      <c r="H569" s="344">
        <v>17</v>
      </c>
      <c r="I569" s="344">
        <v>4</v>
      </c>
      <c r="J569" s="344">
        <v>4</v>
      </c>
      <c r="K569" s="344">
        <v>5</v>
      </c>
      <c r="L569" t="str">
        <f t="shared" si="26"/>
        <v>60352</v>
      </c>
      <c r="M569" s="344" t="s">
        <v>145</v>
      </c>
      <c r="N569" s="344">
        <v>221102</v>
      </c>
    </row>
    <row r="570" spans="1:14" ht="15">
      <c r="A570" s="344">
        <v>60952</v>
      </c>
      <c r="B570" s="345" t="s">
        <v>137</v>
      </c>
      <c r="C570" s="344">
        <v>221102</v>
      </c>
      <c r="D570" s="344" t="str">
        <f t="shared" si="24"/>
        <v>221102</v>
      </c>
      <c r="E570" s="346" t="s">
        <v>146</v>
      </c>
      <c r="F570" s="344" t="s">
        <v>139</v>
      </c>
      <c r="G570" s="344" t="str">
        <f t="shared" si="25"/>
        <v>60952AXLE 1</v>
      </c>
      <c r="H570" s="344">
        <v>13</v>
      </c>
      <c r="I570" s="344">
        <v>8</v>
      </c>
      <c r="J570" s="344">
        <v>1</v>
      </c>
      <c r="K570" s="344">
        <v>8</v>
      </c>
      <c r="L570" t="str">
        <f t="shared" si="26"/>
        <v>60952</v>
      </c>
      <c r="M570" s="344" t="s">
        <v>139</v>
      </c>
      <c r="N570" s="344">
        <v>221102</v>
      </c>
    </row>
    <row r="571" spans="1:14" ht="15">
      <c r="A571" s="344">
        <v>60952</v>
      </c>
      <c r="B571" s="345" t="s">
        <v>137</v>
      </c>
      <c r="C571" s="344">
        <v>221102</v>
      </c>
      <c r="D571" s="344" t="str">
        <f t="shared" si="24"/>
        <v>221102</v>
      </c>
      <c r="E571" s="346" t="s">
        <v>147</v>
      </c>
      <c r="F571" s="344" t="s">
        <v>141</v>
      </c>
      <c r="G571" s="344" t="str">
        <f t="shared" si="25"/>
        <v>60952AXLE 2</v>
      </c>
      <c r="H571" s="344">
        <v>14</v>
      </c>
      <c r="I571" s="344">
        <v>7</v>
      </c>
      <c r="J571" s="344">
        <v>2</v>
      </c>
      <c r="K571" s="344">
        <v>7</v>
      </c>
      <c r="L571" t="str">
        <f t="shared" si="26"/>
        <v>60952</v>
      </c>
      <c r="M571" s="344" t="s">
        <v>141</v>
      </c>
      <c r="N571" s="344">
        <v>221102</v>
      </c>
    </row>
    <row r="572" spans="1:14" ht="15">
      <c r="A572" s="344">
        <v>60952</v>
      </c>
      <c r="B572" s="345" t="s">
        <v>137</v>
      </c>
      <c r="C572" s="344">
        <v>221102</v>
      </c>
      <c r="D572" s="344" t="str">
        <f t="shared" si="24"/>
        <v>221102</v>
      </c>
      <c r="E572" s="346" t="s">
        <v>147</v>
      </c>
      <c r="F572" s="344" t="s">
        <v>143</v>
      </c>
      <c r="G572" s="344" t="str">
        <f t="shared" si="25"/>
        <v>60952AXLE 3</v>
      </c>
      <c r="H572" s="344">
        <v>15</v>
      </c>
      <c r="I572" s="344">
        <v>6</v>
      </c>
      <c r="J572" s="344">
        <v>3</v>
      </c>
      <c r="K572" s="344">
        <v>6</v>
      </c>
      <c r="L572" t="str">
        <f t="shared" si="26"/>
        <v>60952</v>
      </c>
      <c r="M572" s="344" t="s">
        <v>143</v>
      </c>
      <c r="N572" s="344">
        <v>221102</v>
      </c>
    </row>
    <row r="573" spans="1:14" ht="15">
      <c r="A573" s="344">
        <v>60952</v>
      </c>
      <c r="B573" s="345" t="s">
        <v>137</v>
      </c>
      <c r="C573" s="344">
        <v>221102</v>
      </c>
      <c r="D573" s="344" t="str">
        <f t="shared" si="24"/>
        <v>221102</v>
      </c>
      <c r="E573" s="346" t="s">
        <v>146</v>
      </c>
      <c r="F573" s="344" t="s">
        <v>145</v>
      </c>
      <c r="G573" s="344" t="str">
        <f t="shared" si="25"/>
        <v>60952AXLE 4</v>
      </c>
      <c r="H573" s="344">
        <v>16</v>
      </c>
      <c r="I573" s="344">
        <v>5</v>
      </c>
      <c r="J573" s="344">
        <v>4</v>
      </c>
      <c r="K573" s="344">
        <v>5</v>
      </c>
      <c r="L573" t="str">
        <f t="shared" si="26"/>
        <v>60952</v>
      </c>
      <c r="M573" s="344" t="s">
        <v>145</v>
      </c>
      <c r="N573" s="344">
        <v>221102</v>
      </c>
    </row>
    <row r="574" spans="1:14" ht="15">
      <c r="A574" s="344">
        <v>60852</v>
      </c>
      <c r="B574" s="345" t="s">
        <v>137</v>
      </c>
      <c r="C574" s="344">
        <v>221102</v>
      </c>
      <c r="D574" s="344" t="str">
        <f t="shared" si="24"/>
        <v>221102</v>
      </c>
      <c r="E574" s="346" t="s">
        <v>146</v>
      </c>
      <c r="F574" s="344" t="s">
        <v>139</v>
      </c>
      <c r="G574" s="344" t="str">
        <f t="shared" si="25"/>
        <v>60852AXLE 1</v>
      </c>
      <c r="H574" s="344">
        <v>9</v>
      </c>
      <c r="I574" s="344">
        <v>12</v>
      </c>
      <c r="J574" s="344">
        <v>1</v>
      </c>
      <c r="K574" s="344">
        <v>8</v>
      </c>
      <c r="L574" t="str">
        <f t="shared" si="26"/>
        <v>60852</v>
      </c>
      <c r="M574" s="344" t="s">
        <v>139</v>
      </c>
      <c r="N574" s="344">
        <v>221102</v>
      </c>
    </row>
    <row r="575" spans="1:14" ht="15">
      <c r="A575" s="344">
        <v>60852</v>
      </c>
      <c r="B575" s="345" t="s">
        <v>137</v>
      </c>
      <c r="C575" s="344">
        <v>221102</v>
      </c>
      <c r="D575" s="344" t="str">
        <f t="shared" si="24"/>
        <v>221102</v>
      </c>
      <c r="E575" s="346" t="s">
        <v>147</v>
      </c>
      <c r="F575" s="344" t="s">
        <v>141</v>
      </c>
      <c r="G575" s="344" t="str">
        <f t="shared" si="25"/>
        <v>60852AXLE 2</v>
      </c>
      <c r="H575" s="344">
        <v>10</v>
      </c>
      <c r="I575" s="344">
        <v>11</v>
      </c>
      <c r="J575" s="344">
        <v>2</v>
      </c>
      <c r="K575" s="344">
        <v>7</v>
      </c>
      <c r="L575" t="str">
        <f t="shared" si="26"/>
        <v>60852</v>
      </c>
      <c r="M575" s="344" t="s">
        <v>141</v>
      </c>
      <c r="N575" s="344">
        <v>221102</v>
      </c>
    </row>
    <row r="576" spans="1:14" ht="15">
      <c r="A576" s="344">
        <v>60852</v>
      </c>
      <c r="B576" s="345" t="s">
        <v>137</v>
      </c>
      <c r="C576" s="344">
        <v>221102</v>
      </c>
      <c r="D576" s="344" t="str">
        <f t="shared" si="24"/>
        <v>221102</v>
      </c>
      <c r="E576" s="346" t="s">
        <v>147</v>
      </c>
      <c r="F576" s="344" t="s">
        <v>143</v>
      </c>
      <c r="G576" s="344" t="str">
        <f t="shared" si="25"/>
        <v>60852AXLE 3</v>
      </c>
      <c r="H576" s="344">
        <v>11</v>
      </c>
      <c r="I576" s="344">
        <v>10</v>
      </c>
      <c r="J576" s="344">
        <v>3</v>
      </c>
      <c r="K576" s="344">
        <v>6</v>
      </c>
      <c r="L576" t="str">
        <f t="shared" si="26"/>
        <v>60852</v>
      </c>
      <c r="M576" s="344" t="s">
        <v>143</v>
      </c>
      <c r="N576" s="344">
        <v>221102</v>
      </c>
    </row>
    <row r="577" spans="1:14" ht="15">
      <c r="A577" s="344">
        <v>60852</v>
      </c>
      <c r="B577" s="345" t="s">
        <v>137</v>
      </c>
      <c r="C577" s="344">
        <v>221102</v>
      </c>
      <c r="D577" s="344" t="str">
        <f t="shared" si="24"/>
        <v>221102</v>
      </c>
      <c r="E577" s="346" t="s">
        <v>146</v>
      </c>
      <c r="F577" s="344" t="s">
        <v>145</v>
      </c>
      <c r="G577" s="344" t="str">
        <f t="shared" si="25"/>
        <v>60852AXLE 4</v>
      </c>
      <c r="H577" s="344">
        <v>12</v>
      </c>
      <c r="I577" s="344">
        <v>9</v>
      </c>
      <c r="J577" s="344">
        <v>4</v>
      </c>
      <c r="K577" s="344">
        <v>5</v>
      </c>
      <c r="L577" t="str">
        <f t="shared" si="26"/>
        <v>60852</v>
      </c>
      <c r="M577" s="344" t="s">
        <v>145</v>
      </c>
      <c r="N577" s="344">
        <v>221102</v>
      </c>
    </row>
    <row r="578" spans="1:14" ht="15">
      <c r="A578" s="344">
        <v>60752</v>
      </c>
      <c r="B578" s="345" t="s">
        <v>137</v>
      </c>
      <c r="C578" s="344">
        <v>221102</v>
      </c>
      <c r="D578" s="344" t="str">
        <f t="shared" si="24"/>
        <v>221102</v>
      </c>
      <c r="E578" s="346" t="s">
        <v>146</v>
      </c>
      <c r="F578" s="344" t="s">
        <v>139</v>
      </c>
      <c r="G578" s="344" t="str">
        <f t="shared" si="25"/>
        <v>60752AXLE 1</v>
      </c>
      <c r="H578" s="344">
        <v>5</v>
      </c>
      <c r="I578" s="344">
        <v>16</v>
      </c>
      <c r="J578" s="344">
        <v>1</v>
      </c>
      <c r="K578" s="344">
        <v>8</v>
      </c>
      <c r="L578" t="str">
        <f t="shared" si="26"/>
        <v>60752</v>
      </c>
      <c r="M578" s="344" t="s">
        <v>139</v>
      </c>
      <c r="N578" s="344">
        <v>221102</v>
      </c>
    </row>
    <row r="579" spans="1:14" ht="15">
      <c r="A579" s="344">
        <v>60752</v>
      </c>
      <c r="B579" s="345" t="s">
        <v>137</v>
      </c>
      <c r="C579" s="344">
        <v>221102</v>
      </c>
      <c r="D579" s="344" t="str">
        <f t="shared" ref="D579:D642" si="27">CONCATENATE(B579,C579)</f>
        <v>221102</v>
      </c>
      <c r="E579" s="346" t="s">
        <v>147</v>
      </c>
      <c r="F579" s="344" t="s">
        <v>141</v>
      </c>
      <c r="G579" s="344" t="str">
        <f t="shared" ref="G579:G642" si="28">CONCATENATE(A579,F579)</f>
        <v>60752AXLE 2</v>
      </c>
      <c r="H579" s="344">
        <v>6</v>
      </c>
      <c r="I579" s="344">
        <v>15</v>
      </c>
      <c r="J579" s="344">
        <v>2</v>
      </c>
      <c r="K579" s="344">
        <v>7</v>
      </c>
      <c r="L579" t="str">
        <f t="shared" ref="L579:L642" si="29">CONCATENATE(A579,B579)</f>
        <v>60752</v>
      </c>
      <c r="M579" s="344" t="s">
        <v>141</v>
      </c>
      <c r="N579" s="344">
        <v>221102</v>
      </c>
    </row>
    <row r="580" spans="1:14" ht="15">
      <c r="A580" s="344">
        <v>60752</v>
      </c>
      <c r="B580" s="345" t="s">
        <v>137</v>
      </c>
      <c r="C580" s="344">
        <v>221102</v>
      </c>
      <c r="D580" s="344" t="str">
        <f t="shared" si="27"/>
        <v>221102</v>
      </c>
      <c r="E580" s="346" t="s">
        <v>147</v>
      </c>
      <c r="F580" s="344" t="s">
        <v>143</v>
      </c>
      <c r="G580" s="344" t="str">
        <f t="shared" si="28"/>
        <v>60752AXLE 3</v>
      </c>
      <c r="H580" s="344">
        <v>7</v>
      </c>
      <c r="I580" s="344">
        <v>14</v>
      </c>
      <c r="J580" s="344">
        <v>3</v>
      </c>
      <c r="K580" s="344">
        <v>6</v>
      </c>
      <c r="L580" t="str">
        <f t="shared" si="29"/>
        <v>60752</v>
      </c>
      <c r="M580" s="344" t="s">
        <v>143</v>
      </c>
      <c r="N580" s="344">
        <v>221102</v>
      </c>
    </row>
    <row r="581" spans="1:14" ht="15">
      <c r="A581" s="344">
        <v>60752</v>
      </c>
      <c r="B581" s="345" t="s">
        <v>137</v>
      </c>
      <c r="C581" s="344">
        <v>221102</v>
      </c>
      <c r="D581" s="344" t="str">
        <f t="shared" si="27"/>
        <v>221102</v>
      </c>
      <c r="E581" s="346" t="s">
        <v>146</v>
      </c>
      <c r="F581" s="344" t="s">
        <v>145</v>
      </c>
      <c r="G581" s="344" t="str">
        <f t="shared" si="28"/>
        <v>60752AXLE 4</v>
      </c>
      <c r="H581" s="344">
        <v>8</v>
      </c>
      <c r="I581" s="344">
        <v>13</v>
      </c>
      <c r="J581" s="344">
        <v>4</v>
      </c>
      <c r="K581" s="344">
        <v>5</v>
      </c>
      <c r="L581" t="str">
        <f t="shared" si="29"/>
        <v>60752</v>
      </c>
      <c r="M581" s="344" t="s">
        <v>145</v>
      </c>
      <c r="N581" s="344">
        <v>221102</v>
      </c>
    </row>
    <row r="582" spans="1:14" ht="15">
      <c r="A582" s="344">
        <v>60452</v>
      </c>
      <c r="B582" s="345" t="s">
        <v>137</v>
      </c>
      <c r="C582" s="344">
        <v>221102</v>
      </c>
      <c r="D582" s="344" t="str">
        <f t="shared" si="27"/>
        <v>221102</v>
      </c>
      <c r="E582" s="346" t="s">
        <v>146</v>
      </c>
      <c r="F582" s="344" t="s">
        <v>139</v>
      </c>
      <c r="G582" s="344" t="str">
        <f t="shared" si="28"/>
        <v>60452AXLE 1</v>
      </c>
      <c r="H582" s="344">
        <v>1</v>
      </c>
      <c r="I582" s="344">
        <v>20</v>
      </c>
      <c r="J582" s="344">
        <v>1</v>
      </c>
      <c r="K582" s="344">
        <v>8</v>
      </c>
      <c r="L582" t="str">
        <f t="shared" si="29"/>
        <v>60452</v>
      </c>
      <c r="M582" s="344" t="s">
        <v>139</v>
      </c>
      <c r="N582" s="344">
        <v>221102</v>
      </c>
    </row>
    <row r="583" spans="1:14" ht="15">
      <c r="A583" s="344">
        <v>60452</v>
      </c>
      <c r="B583" s="345" t="s">
        <v>137</v>
      </c>
      <c r="C583" s="344">
        <v>221102</v>
      </c>
      <c r="D583" s="344" t="str">
        <f t="shared" si="27"/>
        <v>221102</v>
      </c>
      <c r="E583" s="346" t="s">
        <v>147</v>
      </c>
      <c r="F583" s="344" t="s">
        <v>141</v>
      </c>
      <c r="G583" s="344" t="str">
        <f t="shared" si="28"/>
        <v>60452AXLE 2</v>
      </c>
      <c r="H583" s="344">
        <v>2</v>
      </c>
      <c r="I583" s="344">
        <v>19</v>
      </c>
      <c r="J583" s="344">
        <v>2</v>
      </c>
      <c r="K583" s="344">
        <v>7</v>
      </c>
      <c r="L583" t="str">
        <f t="shared" si="29"/>
        <v>60452</v>
      </c>
      <c r="M583" s="344" t="s">
        <v>141</v>
      </c>
      <c r="N583" s="344">
        <v>221102</v>
      </c>
    </row>
    <row r="584" spans="1:14" ht="15">
      <c r="A584" s="344">
        <v>60452</v>
      </c>
      <c r="B584" s="345" t="s">
        <v>137</v>
      </c>
      <c r="C584" s="344">
        <v>221102</v>
      </c>
      <c r="D584" s="344" t="str">
        <f t="shared" si="27"/>
        <v>221102</v>
      </c>
      <c r="E584" s="346" t="s">
        <v>147</v>
      </c>
      <c r="F584" s="344" t="s">
        <v>143</v>
      </c>
      <c r="G584" s="344" t="str">
        <f t="shared" si="28"/>
        <v>60452AXLE 3</v>
      </c>
      <c r="H584" s="344">
        <v>3</v>
      </c>
      <c r="I584" s="344">
        <v>18</v>
      </c>
      <c r="J584" s="344">
        <v>3</v>
      </c>
      <c r="K584" s="344">
        <v>6</v>
      </c>
      <c r="L584" t="str">
        <f t="shared" si="29"/>
        <v>60452</v>
      </c>
      <c r="M584" s="344" t="s">
        <v>143</v>
      </c>
      <c r="N584" s="344">
        <v>221102</v>
      </c>
    </row>
    <row r="585" spans="1:14" ht="15">
      <c r="A585" s="344">
        <v>60452</v>
      </c>
      <c r="B585" s="345" t="s">
        <v>137</v>
      </c>
      <c r="C585" s="344">
        <v>221102</v>
      </c>
      <c r="D585" s="344" t="str">
        <f t="shared" si="27"/>
        <v>221102</v>
      </c>
      <c r="E585" s="346" t="s">
        <v>146</v>
      </c>
      <c r="F585" s="344" t="s">
        <v>145</v>
      </c>
      <c r="G585" s="344" t="str">
        <f t="shared" si="28"/>
        <v>60452AXLE 4</v>
      </c>
      <c r="H585" s="344">
        <v>4</v>
      </c>
      <c r="I585" s="344">
        <v>17</v>
      </c>
      <c r="J585" s="344">
        <v>4</v>
      </c>
      <c r="K585" s="344">
        <v>5</v>
      </c>
      <c r="L585" t="str">
        <f t="shared" si="29"/>
        <v>60452</v>
      </c>
      <c r="M585" s="344" t="s">
        <v>145</v>
      </c>
      <c r="N585" s="344">
        <v>221102</v>
      </c>
    </row>
    <row r="586" spans="1:14" ht="15">
      <c r="A586" s="344">
        <v>60353</v>
      </c>
      <c r="B586" s="345" t="s">
        <v>137</v>
      </c>
      <c r="C586" s="344">
        <v>221103</v>
      </c>
      <c r="D586" s="344" t="str">
        <f t="shared" si="27"/>
        <v>221103</v>
      </c>
      <c r="E586" s="346" t="s">
        <v>146</v>
      </c>
      <c r="F586" s="344" t="s">
        <v>139</v>
      </c>
      <c r="G586" s="344" t="str">
        <f t="shared" si="28"/>
        <v>60353AXLE 1</v>
      </c>
      <c r="H586" s="344">
        <v>20</v>
      </c>
      <c r="I586" s="344">
        <v>1</v>
      </c>
      <c r="J586" s="344">
        <v>1</v>
      </c>
      <c r="K586" s="344">
        <v>8</v>
      </c>
      <c r="L586" t="str">
        <f t="shared" si="29"/>
        <v>60353</v>
      </c>
      <c r="M586" s="344" t="s">
        <v>139</v>
      </c>
      <c r="N586" s="344">
        <v>221103</v>
      </c>
    </row>
    <row r="587" spans="1:14" ht="15">
      <c r="A587" s="344">
        <v>60353</v>
      </c>
      <c r="B587" s="345" t="s">
        <v>137</v>
      </c>
      <c r="C587" s="344">
        <v>221103</v>
      </c>
      <c r="D587" s="344" t="str">
        <f t="shared" si="27"/>
        <v>221103</v>
      </c>
      <c r="E587" s="346" t="s">
        <v>147</v>
      </c>
      <c r="F587" s="344" t="s">
        <v>141</v>
      </c>
      <c r="G587" s="344" t="str">
        <f t="shared" si="28"/>
        <v>60353AXLE 2</v>
      </c>
      <c r="H587" s="344">
        <v>19</v>
      </c>
      <c r="I587" s="344">
        <v>2</v>
      </c>
      <c r="J587" s="344">
        <v>2</v>
      </c>
      <c r="K587" s="344">
        <v>7</v>
      </c>
      <c r="L587" t="str">
        <f t="shared" si="29"/>
        <v>60353</v>
      </c>
      <c r="M587" s="344" t="s">
        <v>141</v>
      </c>
      <c r="N587" s="344">
        <v>221103</v>
      </c>
    </row>
    <row r="588" spans="1:14" ht="15">
      <c r="A588" s="344">
        <v>60353</v>
      </c>
      <c r="B588" s="345" t="s">
        <v>137</v>
      </c>
      <c r="C588" s="344">
        <v>221103</v>
      </c>
      <c r="D588" s="344" t="str">
        <f t="shared" si="27"/>
        <v>221103</v>
      </c>
      <c r="E588" s="346" t="s">
        <v>147</v>
      </c>
      <c r="F588" s="344" t="s">
        <v>143</v>
      </c>
      <c r="G588" s="344" t="str">
        <f t="shared" si="28"/>
        <v>60353AXLE 3</v>
      </c>
      <c r="H588" s="344">
        <v>18</v>
      </c>
      <c r="I588" s="344">
        <v>3</v>
      </c>
      <c r="J588" s="344">
        <v>3</v>
      </c>
      <c r="K588" s="344">
        <v>6</v>
      </c>
      <c r="L588" t="str">
        <f t="shared" si="29"/>
        <v>60353</v>
      </c>
      <c r="M588" s="344" t="s">
        <v>143</v>
      </c>
      <c r="N588" s="344">
        <v>221103</v>
      </c>
    </row>
    <row r="589" spans="1:14" ht="15">
      <c r="A589" s="344">
        <v>60353</v>
      </c>
      <c r="B589" s="345" t="s">
        <v>137</v>
      </c>
      <c r="C589" s="344">
        <v>221103</v>
      </c>
      <c r="D589" s="344" t="str">
        <f t="shared" si="27"/>
        <v>221103</v>
      </c>
      <c r="E589" s="346" t="s">
        <v>146</v>
      </c>
      <c r="F589" s="344" t="s">
        <v>145</v>
      </c>
      <c r="G589" s="344" t="str">
        <f t="shared" si="28"/>
        <v>60353AXLE 4</v>
      </c>
      <c r="H589" s="344">
        <v>17</v>
      </c>
      <c r="I589" s="344">
        <v>4</v>
      </c>
      <c r="J589" s="344">
        <v>4</v>
      </c>
      <c r="K589" s="344">
        <v>5</v>
      </c>
      <c r="L589" t="str">
        <f t="shared" si="29"/>
        <v>60353</v>
      </c>
      <c r="M589" s="344" t="s">
        <v>145</v>
      </c>
      <c r="N589" s="344">
        <v>221103</v>
      </c>
    </row>
    <row r="590" spans="1:14" ht="15">
      <c r="A590" s="344">
        <v>60953</v>
      </c>
      <c r="B590" s="345" t="s">
        <v>137</v>
      </c>
      <c r="C590" s="344">
        <v>221103</v>
      </c>
      <c r="D590" s="344" t="str">
        <f t="shared" si="27"/>
        <v>221103</v>
      </c>
      <c r="E590" s="346" t="s">
        <v>146</v>
      </c>
      <c r="F590" s="344" t="s">
        <v>139</v>
      </c>
      <c r="G590" s="344" t="str">
        <f t="shared" si="28"/>
        <v>60953AXLE 1</v>
      </c>
      <c r="H590" s="344">
        <v>13</v>
      </c>
      <c r="I590" s="344">
        <v>8</v>
      </c>
      <c r="J590" s="344">
        <v>1</v>
      </c>
      <c r="K590" s="344">
        <v>8</v>
      </c>
      <c r="L590" t="str">
        <f t="shared" si="29"/>
        <v>60953</v>
      </c>
      <c r="M590" s="344" t="s">
        <v>139</v>
      </c>
      <c r="N590" s="344">
        <v>221103</v>
      </c>
    </row>
    <row r="591" spans="1:14" ht="15">
      <c r="A591" s="344">
        <v>60953</v>
      </c>
      <c r="B591" s="345" t="s">
        <v>137</v>
      </c>
      <c r="C591" s="344">
        <v>221103</v>
      </c>
      <c r="D591" s="344" t="str">
        <f t="shared" si="27"/>
        <v>221103</v>
      </c>
      <c r="E591" s="346" t="s">
        <v>147</v>
      </c>
      <c r="F591" s="344" t="s">
        <v>141</v>
      </c>
      <c r="G591" s="344" t="str">
        <f t="shared" si="28"/>
        <v>60953AXLE 2</v>
      </c>
      <c r="H591" s="344">
        <v>14</v>
      </c>
      <c r="I591" s="344">
        <v>7</v>
      </c>
      <c r="J591" s="344">
        <v>2</v>
      </c>
      <c r="K591" s="344">
        <v>7</v>
      </c>
      <c r="L591" t="str">
        <f t="shared" si="29"/>
        <v>60953</v>
      </c>
      <c r="M591" s="344" t="s">
        <v>141</v>
      </c>
      <c r="N591" s="344">
        <v>221103</v>
      </c>
    </row>
    <row r="592" spans="1:14" ht="15">
      <c r="A592" s="344">
        <v>60953</v>
      </c>
      <c r="B592" s="345" t="s">
        <v>137</v>
      </c>
      <c r="C592" s="344">
        <v>221103</v>
      </c>
      <c r="D592" s="344" t="str">
        <f t="shared" si="27"/>
        <v>221103</v>
      </c>
      <c r="E592" s="346" t="s">
        <v>147</v>
      </c>
      <c r="F592" s="344" t="s">
        <v>143</v>
      </c>
      <c r="G592" s="344" t="str">
        <f t="shared" si="28"/>
        <v>60953AXLE 3</v>
      </c>
      <c r="H592" s="344">
        <v>15</v>
      </c>
      <c r="I592" s="344">
        <v>6</v>
      </c>
      <c r="J592" s="344">
        <v>3</v>
      </c>
      <c r="K592" s="344">
        <v>6</v>
      </c>
      <c r="L592" t="str">
        <f t="shared" si="29"/>
        <v>60953</v>
      </c>
      <c r="M592" s="344" t="s">
        <v>143</v>
      </c>
      <c r="N592" s="344">
        <v>221103</v>
      </c>
    </row>
    <row r="593" spans="1:14" ht="15">
      <c r="A593" s="344">
        <v>60953</v>
      </c>
      <c r="B593" s="345" t="s">
        <v>137</v>
      </c>
      <c r="C593" s="344">
        <v>221103</v>
      </c>
      <c r="D593" s="344" t="str">
        <f t="shared" si="27"/>
        <v>221103</v>
      </c>
      <c r="E593" s="346" t="s">
        <v>146</v>
      </c>
      <c r="F593" s="344" t="s">
        <v>145</v>
      </c>
      <c r="G593" s="344" t="str">
        <f t="shared" si="28"/>
        <v>60953AXLE 4</v>
      </c>
      <c r="H593" s="344">
        <v>16</v>
      </c>
      <c r="I593" s="344">
        <v>5</v>
      </c>
      <c r="J593" s="344">
        <v>4</v>
      </c>
      <c r="K593" s="344">
        <v>5</v>
      </c>
      <c r="L593" t="str">
        <f t="shared" si="29"/>
        <v>60953</v>
      </c>
      <c r="M593" s="344" t="s">
        <v>145</v>
      </c>
      <c r="N593" s="344">
        <v>221103</v>
      </c>
    </row>
    <row r="594" spans="1:14" ht="15">
      <c r="A594" s="344">
        <v>60853</v>
      </c>
      <c r="B594" s="345" t="s">
        <v>137</v>
      </c>
      <c r="C594" s="344">
        <v>221103</v>
      </c>
      <c r="D594" s="344" t="str">
        <f t="shared" si="27"/>
        <v>221103</v>
      </c>
      <c r="E594" s="346" t="s">
        <v>146</v>
      </c>
      <c r="F594" s="344" t="s">
        <v>139</v>
      </c>
      <c r="G594" s="344" t="str">
        <f t="shared" si="28"/>
        <v>60853AXLE 1</v>
      </c>
      <c r="H594" s="344">
        <v>9</v>
      </c>
      <c r="I594" s="344">
        <v>12</v>
      </c>
      <c r="J594" s="344">
        <v>1</v>
      </c>
      <c r="K594" s="344">
        <v>8</v>
      </c>
      <c r="L594" t="str">
        <f t="shared" si="29"/>
        <v>60853</v>
      </c>
      <c r="M594" s="344" t="s">
        <v>139</v>
      </c>
      <c r="N594" s="344">
        <v>221103</v>
      </c>
    </row>
    <row r="595" spans="1:14" ht="15">
      <c r="A595" s="344">
        <v>60853</v>
      </c>
      <c r="B595" s="345" t="s">
        <v>137</v>
      </c>
      <c r="C595" s="344">
        <v>221103</v>
      </c>
      <c r="D595" s="344" t="str">
        <f t="shared" si="27"/>
        <v>221103</v>
      </c>
      <c r="E595" s="346" t="s">
        <v>147</v>
      </c>
      <c r="F595" s="344" t="s">
        <v>141</v>
      </c>
      <c r="G595" s="344" t="str">
        <f t="shared" si="28"/>
        <v>60853AXLE 2</v>
      </c>
      <c r="H595" s="344">
        <v>10</v>
      </c>
      <c r="I595" s="344">
        <v>11</v>
      </c>
      <c r="J595" s="344">
        <v>2</v>
      </c>
      <c r="K595" s="344">
        <v>7</v>
      </c>
      <c r="L595" t="str">
        <f t="shared" si="29"/>
        <v>60853</v>
      </c>
      <c r="M595" s="344" t="s">
        <v>141</v>
      </c>
      <c r="N595" s="344">
        <v>221103</v>
      </c>
    </row>
    <row r="596" spans="1:14" ht="15">
      <c r="A596" s="344">
        <v>60853</v>
      </c>
      <c r="B596" s="345" t="s">
        <v>137</v>
      </c>
      <c r="C596" s="344">
        <v>221103</v>
      </c>
      <c r="D596" s="344" t="str">
        <f t="shared" si="27"/>
        <v>221103</v>
      </c>
      <c r="E596" s="346" t="s">
        <v>147</v>
      </c>
      <c r="F596" s="344" t="s">
        <v>143</v>
      </c>
      <c r="G596" s="344" t="str">
        <f t="shared" si="28"/>
        <v>60853AXLE 3</v>
      </c>
      <c r="H596" s="344">
        <v>11</v>
      </c>
      <c r="I596" s="344">
        <v>10</v>
      </c>
      <c r="J596" s="344">
        <v>3</v>
      </c>
      <c r="K596" s="344">
        <v>6</v>
      </c>
      <c r="L596" t="str">
        <f t="shared" si="29"/>
        <v>60853</v>
      </c>
      <c r="M596" s="344" t="s">
        <v>143</v>
      </c>
      <c r="N596" s="344">
        <v>221103</v>
      </c>
    </row>
    <row r="597" spans="1:14" ht="15">
      <c r="A597" s="344">
        <v>60853</v>
      </c>
      <c r="B597" s="345" t="s">
        <v>137</v>
      </c>
      <c r="C597" s="344">
        <v>221103</v>
      </c>
      <c r="D597" s="344" t="str">
        <f t="shared" si="27"/>
        <v>221103</v>
      </c>
      <c r="E597" s="346" t="s">
        <v>146</v>
      </c>
      <c r="F597" s="344" t="s">
        <v>145</v>
      </c>
      <c r="G597" s="344" t="str">
        <f t="shared" si="28"/>
        <v>60853AXLE 4</v>
      </c>
      <c r="H597" s="344">
        <v>12</v>
      </c>
      <c r="I597" s="344">
        <v>9</v>
      </c>
      <c r="J597" s="344">
        <v>4</v>
      </c>
      <c r="K597" s="344">
        <v>5</v>
      </c>
      <c r="L597" t="str">
        <f t="shared" si="29"/>
        <v>60853</v>
      </c>
      <c r="M597" s="344" t="s">
        <v>145</v>
      </c>
      <c r="N597" s="344">
        <v>221103</v>
      </c>
    </row>
    <row r="598" spans="1:14" ht="15">
      <c r="A598" s="344">
        <v>60753</v>
      </c>
      <c r="B598" s="345" t="s">
        <v>137</v>
      </c>
      <c r="C598" s="344">
        <v>221103</v>
      </c>
      <c r="D598" s="344" t="str">
        <f t="shared" si="27"/>
        <v>221103</v>
      </c>
      <c r="E598" s="346" t="s">
        <v>146</v>
      </c>
      <c r="F598" s="344" t="s">
        <v>139</v>
      </c>
      <c r="G598" s="344" t="str">
        <f t="shared" si="28"/>
        <v>60753AXLE 1</v>
      </c>
      <c r="H598" s="344">
        <v>5</v>
      </c>
      <c r="I598" s="344">
        <v>16</v>
      </c>
      <c r="J598" s="344">
        <v>1</v>
      </c>
      <c r="K598" s="344">
        <v>8</v>
      </c>
      <c r="L598" t="str">
        <f t="shared" si="29"/>
        <v>60753</v>
      </c>
      <c r="M598" s="344" t="s">
        <v>139</v>
      </c>
      <c r="N598" s="344">
        <v>221103</v>
      </c>
    </row>
    <row r="599" spans="1:14" ht="15">
      <c r="A599" s="344">
        <v>60753</v>
      </c>
      <c r="B599" s="345" t="s">
        <v>137</v>
      </c>
      <c r="C599" s="344">
        <v>221103</v>
      </c>
      <c r="D599" s="344" t="str">
        <f t="shared" si="27"/>
        <v>221103</v>
      </c>
      <c r="E599" s="346" t="s">
        <v>147</v>
      </c>
      <c r="F599" s="344" t="s">
        <v>141</v>
      </c>
      <c r="G599" s="344" t="str">
        <f t="shared" si="28"/>
        <v>60753AXLE 2</v>
      </c>
      <c r="H599" s="344">
        <v>6</v>
      </c>
      <c r="I599" s="344">
        <v>15</v>
      </c>
      <c r="J599" s="344">
        <v>2</v>
      </c>
      <c r="K599" s="344">
        <v>7</v>
      </c>
      <c r="L599" t="str">
        <f t="shared" si="29"/>
        <v>60753</v>
      </c>
      <c r="M599" s="344" t="s">
        <v>141</v>
      </c>
      <c r="N599" s="344">
        <v>221103</v>
      </c>
    </row>
    <row r="600" spans="1:14" ht="15">
      <c r="A600" s="344">
        <v>60753</v>
      </c>
      <c r="B600" s="345" t="s">
        <v>137</v>
      </c>
      <c r="C600" s="344">
        <v>221103</v>
      </c>
      <c r="D600" s="344" t="str">
        <f t="shared" si="27"/>
        <v>221103</v>
      </c>
      <c r="E600" s="346" t="s">
        <v>147</v>
      </c>
      <c r="F600" s="344" t="s">
        <v>143</v>
      </c>
      <c r="G600" s="344" t="str">
        <f t="shared" si="28"/>
        <v>60753AXLE 3</v>
      </c>
      <c r="H600" s="344">
        <v>7</v>
      </c>
      <c r="I600" s="344">
        <v>14</v>
      </c>
      <c r="J600" s="344">
        <v>3</v>
      </c>
      <c r="K600" s="344">
        <v>6</v>
      </c>
      <c r="L600" t="str">
        <f t="shared" si="29"/>
        <v>60753</v>
      </c>
      <c r="M600" s="344" t="s">
        <v>143</v>
      </c>
      <c r="N600" s="344">
        <v>221103</v>
      </c>
    </row>
    <row r="601" spans="1:14" ht="15">
      <c r="A601" s="344">
        <v>60753</v>
      </c>
      <c r="B601" s="345" t="s">
        <v>137</v>
      </c>
      <c r="C601" s="344">
        <v>221103</v>
      </c>
      <c r="D601" s="344" t="str">
        <f t="shared" si="27"/>
        <v>221103</v>
      </c>
      <c r="E601" s="346" t="s">
        <v>146</v>
      </c>
      <c r="F601" s="344" t="s">
        <v>145</v>
      </c>
      <c r="G601" s="344" t="str">
        <f t="shared" si="28"/>
        <v>60753AXLE 4</v>
      </c>
      <c r="H601" s="344">
        <v>8</v>
      </c>
      <c r="I601" s="344">
        <v>13</v>
      </c>
      <c r="J601" s="344">
        <v>4</v>
      </c>
      <c r="K601" s="344">
        <v>5</v>
      </c>
      <c r="L601" t="str">
        <f t="shared" si="29"/>
        <v>60753</v>
      </c>
      <c r="M601" s="344" t="s">
        <v>145</v>
      </c>
      <c r="N601" s="344">
        <v>221103</v>
      </c>
    </row>
    <row r="602" spans="1:14" ht="15">
      <c r="A602" s="344">
        <v>60453</v>
      </c>
      <c r="B602" s="345" t="s">
        <v>137</v>
      </c>
      <c r="C602" s="344">
        <v>221103</v>
      </c>
      <c r="D602" s="344" t="str">
        <f t="shared" si="27"/>
        <v>221103</v>
      </c>
      <c r="E602" s="346" t="s">
        <v>146</v>
      </c>
      <c r="F602" s="344" t="s">
        <v>139</v>
      </c>
      <c r="G602" s="344" t="str">
        <f t="shared" si="28"/>
        <v>60453AXLE 1</v>
      </c>
      <c r="H602" s="344">
        <v>1</v>
      </c>
      <c r="I602" s="344">
        <v>20</v>
      </c>
      <c r="J602" s="344">
        <v>1</v>
      </c>
      <c r="K602" s="344">
        <v>8</v>
      </c>
      <c r="L602" t="str">
        <f t="shared" si="29"/>
        <v>60453</v>
      </c>
      <c r="M602" s="344" t="s">
        <v>139</v>
      </c>
      <c r="N602" s="344">
        <v>221103</v>
      </c>
    </row>
    <row r="603" spans="1:14" ht="15">
      <c r="A603" s="344">
        <v>60453</v>
      </c>
      <c r="B603" s="345" t="s">
        <v>137</v>
      </c>
      <c r="C603" s="344">
        <v>221103</v>
      </c>
      <c r="D603" s="344" t="str">
        <f t="shared" si="27"/>
        <v>221103</v>
      </c>
      <c r="E603" s="346" t="s">
        <v>147</v>
      </c>
      <c r="F603" s="344" t="s">
        <v>141</v>
      </c>
      <c r="G603" s="344" t="str">
        <f t="shared" si="28"/>
        <v>60453AXLE 2</v>
      </c>
      <c r="H603" s="344">
        <v>2</v>
      </c>
      <c r="I603" s="344">
        <v>19</v>
      </c>
      <c r="J603" s="344">
        <v>2</v>
      </c>
      <c r="K603" s="344">
        <v>7</v>
      </c>
      <c r="L603" t="str">
        <f t="shared" si="29"/>
        <v>60453</v>
      </c>
      <c r="M603" s="344" t="s">
        <v>141</v>
      </c>
      <c r="N603" s="344">
        <v>221103</v>
      </c>
    </row>
    <row r="604" spans="1:14" ht="15">
      <c r="A604" s="344">
        <v>60453</v>
      </c>
      <c r="B604" s="345" t="s">
        <v>137</v>
      </c>
      <c r="C604" s="344">
        <v>221103</v>
      </c>
      <c r="D604" s="344" t="str">
        <f t="shared" si="27"/>
        <v>221103</v>
      </c>
      <c r="E604" s="346" t="s">
        <v>147</v>
      </c>
      <c r="F604" s="344" t="s">
        <v>143</v>
      </c>
      <c r="G604" s="344" t="str">
        <f t="shared" si="28"/>
        <v>60453AXLE 3</v>
      </c>
      <c r="H604" s="344">
        <v>3</v>
      </c>
      <c r="I604" s="344">
        <v>18</v>
      </c>
      <c r="J604" s="344">
        <v>3</v>
      </c>
      <c r="K604" s="344">
        <v>6</v>
      </c>
      <c r="L604" t="str">
        <f t="shared" si="29"/>
        <v>60453</v>
      </c>
      <c r="M604" s="344" t="s">
        <v>143</v>
      </c>
      <c r="N604" s="344">
        <v>221103</v>
      </c>
    </row>
    <row r="605" spans="1:14" ht="15">
      <c r="A605" s="344">
        <v>60453</v>
      </c>
      <c r="B605" s="345" t="s">
        <v>137</v>
      </c>
      <c r="C605" s="344">
        <v>221103</v>
      </c>
      <c r="D605" s="344" t="str">
        <f t="shared" si="27"/>
        <v>221103</v>
      </c>
      <c r="E605" s="346" t="s">
        <v>146</v>
      </c>
      <c r="F605" s="344" t="s">
        <v>145</v>
      </c>
      <c r="G605" s="344" t="str">
        <f t="shared" si="28"/>
        <v>60453AXLE 4</v>
      </c>
      <c r="H605" s="344">
        <v>4</v>
      </c>
      <c r="I605" s="344">
        <v>17</v>
      </c>
      <c r="J605" s="344">
        <v>4</v>
      </c>
      <c r="K605" s="344">
        <v>5</v>
      </c>
      <c r="L605" t="str">
        <f t="shared" si="29"/>
        <v>60453</v>
      </c>
      <c r="M605" s="344" t="s">
        <v>145</v>
      </c>
      <c r="N605" s="344">
        <v>221103</v>
      </c>
    </row>
    <row r="606" spans="1:14" ht="15">
      <c r="A606" s="344">
        <v>60354</v>
      </c>
      <c r="B606" s="345" t="s">
        <v>137</v>
      </c>
      <c r="C606" s="344">
        <v>221104</v>
      </c>
      <c r="D606" s="344" t="str">
        <f t="shared" si="27"/>
        <v>221104</v>
      </c>
      <c r="E606" s="346" t="s">
        <v>146</v>
      </c>
      <c r="F606" s="344" t="s">
        <v>139</v>
      </c>
      <c r="G606" s="344" t="str">
        <f t="shared" si="28"/>
        <v>60354AXLE 1</v>
      </c>
      <c r="H606" s="344">
        <v>20</v>
      </c>
      <c r="I606" s="344">
        <v>1</v>
      </c>
      <c r="J606" s="344">
        <v>1</v>
      </c>
      <c r="K606" s="344">
        <v>8</v>
      </c>
      <c r="L606" t="str">
        <f t="shared" si="29"/>
        <v>60354</v>
      </c>
      <c r="M606" s="344" t="s">
        <v>139</v>
      </c>
      <c r="N606" s="344">
        <v>221104</v>
      </c>
    </row>
    <row r="607" spans="1:14" ht="15">
      <c r="A607" s="344">
        <v>60354</v>
      </c>
      <c r="B607" s="345" t="s">
        <v>137</v>
      </c>
      <c r="C607" s="344">
        <v>221104</v>
      </c>
      <c r="D607" s="344" t="str">
        <f t="shared" si="27"/>
        <v>221104</v>
      </c>
      <c r="E607" s="346" t="s">
        <v>147</v>
      </c>
      <c r="F607" s="344" t="s">
        <v>141</v>
      </c>
      <c r="G607" s="344" t="str">
        <f t="shared" si="28"/>
        <v>60354AXLE 2</v>
      </c>
      <c r="H607" s="344">
        <v>19</v>
      </c>
      <c r="I607" s="344">
        <v>2</v>
      </c>
      <c r="J607" s="344">
        <v>2</v>
      </c>
      <c r="K607" s="344">
        <v>7</v>
      </c>
      <c r="L607" t="str">
        <f t="shared" si="29"/>
        <v>60354</v>
      </c>
      <c r="M607" s="344" t="s">
        <v>141</v>
      </c>
      <c r="N607" s="344">
        <v>221104</v>
      </c>
    </row>
    <row r="608" spans="1:14" ht="15">
      <c r="A608" s="344">
        <v>60354</v>
      </c>
      <c r="B608" s="345" t="s">
        <v>137</v>
      </c>
      <c r="C608" s="344">
        <v>221104</v>
      </c>
      <c r="D608" s="344" t="str">
        <f t="shared" si="27"/>
        <v>221104</v>
      </c>
      <c r="E608" s="346" t="s">
        <v>147</v>
      </c>
      <c r="F608" s="344" t="s">
        <v>143</v>
      </c>
      <c r="G608" s="344" t="str">
        <f t="shared" si="28"/>
        <v>60354AXLE 3</v>
      </c>
      <c r="H608" s="344">
        <v>18</v>
      </c>
      <c r="I608" s="344">
        <v>3</v>
      </c>
      <c r="J608" s="344">
        <v>3</v>
      </c>
      <c r="K608" s="344">
        <v>6</v>
      </c>
      <c r="L608" t="str">
        <f t="shared" si="29"/>
        <v>60354</v>
      </c>
      <c r="M608" s="344" t="s">
        <v>143</v>
      </c>
      <c r="N608" s="344">
        <v>221104</v>
      </c>
    </row>
    <row r="609" spans="1:14" ht="15">
      <c r="A609" s="344">
        <v>60354</v>
      </c>
      <c r="B609" s="345" t="s">
        <v>137</v>
      </c>
      <c r="C609" s="344">
        <v>221104</v>
      </c>
      <c r="D609" s="344" t="str">
        <f t="shared" si="27"/>
        <v>221104</v>
      </c>
      <c r="E609" s="346" t="s">
        <v>146</v>
      </c>
      <c r="F609" s="344" t="s">
        <v>145</v>
      </c>
      <c r="G609" s="344" t="str">
        <f t="shared" si="28"/>
        <v>60354AXLE 4</v>
      </c>
      <c r="H609" s="344">
        <v>17</v>
      </c>
      <c r="I609" s="344">
        <v>4</v>
      </c>
      <c r="J609" s="344">
        <v>4</v>
      </c>
      <c r="K609" s="344">
        <v>5</v>
      </c>
      <c r="L609" t="str">
        <f t="shared" si="29"/>
        <v>60354</v>
      </c>
      <c r="M609" s="344" t="s">
        <v>145</v>
      </c>
      <c r="N609" s="344">
        <v>221104</v>
      </c>
    </row>
    <row r="610" spans="1:14" ht="15">
      <c r="A610" s="344">
        <v>60954</v>
      </c>
      <c r="B610" s="345" t="s">
        <v>137</v>
      </c>
      <c r="C610" s="344">
        <v>221104</v>
      </c>
      <c r="D610" s="344" t="str">
        <f t="shared" si="27"/>
        <v>221104</v>
      </c>
      <c r="E610" s="346" t="s">
        <v>146</v>
      </c>
      <c r="F610" s="344" t="s">
        <v>139</v>
      </c>
      <c r="G610" s="344" t="str">
        <f t="shared" si="28"/>
        <v>60954AXLE 1</v>
      </c>
      <c r="H610" s="344">
        <v>13</v>
      </c>
      <c r="I610" s="344">
        <v>8</v>
      </c>
      <c r="J610" s="344">
        <v>1</v>
      </c>
      <c r="K610" s="344">
        <v>8</v>
      </c>
      <c r="L610" t="str">
        <f t="shared" si="29"/>
        <v>60954</v>
      </c>
      <c r="M610" s="344" t="s">
        <v>139</v>
      </c>
      <c r="N610" s="344">
        <v>221104</v>
      </c>
    </row>
    <row r="611" spans="1:14" ht="15">
      <c r="A611" s="344">
        <v>60954</v>
      </c>
      <c r="B611" s="345" t="s">
        <v>137</v>
      </c>
      <c r="C611" s="344">
        <v>221104</v>
      </c>
      <c r="D611" s="344" t="str">
        <f t="shared" si="27"/>
        <v>221104</v>
      </c>
      <c r="E611" s="346" t="s">
        <v>147</v>
      </c>
      <c r="F611" s="344" t="s">
        <v>141</v>
      </c>
      <c r="G611" s="344" t="str">
        <f t="shared" si="28"/>
        <v>60954AXLE 2</v>
      </c>
      <c r="H611" s="344">
        <v>14</v>
      </c>
      <c r="I611" s="344">
        <v>7</v>
      </c>
      <c r="J611" s="344">
        <v>2</v>
      </c>
      <c r="K611" s="344">
        <v>7</v>
      </c>
      <c r="L611" t="str">
        <f t="shared" si="29"/>
        <v>60954</v>
      </c>
      <c r="M611" s="344" t="s">
        <v>141</v>
      </c>
      <c r="N611" s="344">
        <v>221104</v>
      </c>
    </row>
    <row r="612" spans="1:14" ht="15">
      <c r="A612" s="344">
        <v>60954</v>
      </c>
      <c r="B612" s="345" t="s">
        <v>137</v>
      </c>
      <c r="C612" s="344">
        <v>221104</v>
      </c>
      <c r="D612" s="344" t="str">
        <f t="shared" si="27"/>
        <v>221104</v>
      </c>
      <c r="E612" s="346" t="s">
        <v>147</v>
      </c>
      <c r="F612" s="344" t="s">
        <v>143</v>
      </c>
      <c r="G612" s="344" t="str">
        <f t="shared" si="28"/>
        <v>60954AXLE 3</v>
      </c>
      <c r="H612" s="344">
        <v>15</v>
      </c>
      <c r="I612" s="344">
        <v>6</v>
      </c>
      <c r="J612" s="344">
        <v>3</v>
      </c>
      <c r="K612" s="344">
        <v>6</v>
      </c>
      <c r="L612" t="str">
        <f t="shared" si="29"/>
        <v>60954</v>
      </c>
      <c r="M612" s="344" t="s">
        <v>143</v>
      </c>
      <c r="N612" s="344">
        <v>221104</v>
      </c>
    </row>
    <row r="613" spans="1:14" ht="15">
      <c r="A613" s="344">
        <v>60954</v>
      </c>
      <c r="B613" s="345" t="s">
        <v>137</v>
      </c>
      <c r="C613" s="344">
        <v>221104</v>
      </c>
      <c r="D613" s="344" t="str">
        <f t="shared" si="27"/>
        <v>221104</v>
      </c>
      <c r="E613" s="346" t="s">
        <v>146</v>
      </c>
      <c r="F613" s="344" t="s">
        <v>145</v>
      </c>
      <c r="G613" s="344" t="str">
        <f t="shared" si="28"/>
        <v>60954AXLE 4</v>
      </c>
      <c r="H613" s="344">
        <v>16</v>
      </c>
      <c r="I613" s="344">
        <v>5</v>
      </c>
      <c r="J613" s="344">
        <v>4</v>
      </c>
      <c r="K613" s="344">
        <v>5</v>
      </c>
      <c r="L613" t="str">
        <f t="shared" si="29"/>
        <v>60954</v>
      </c>
      <c r="M613" s="344" t="s">
        <v>145</v>
      </c>
      <c r="N613" s="344">
        <v>221104</v>
      </c>
    </row>
    <row r="614" spans="1:14" ht="15">
      <c r="A614" s="344">
        <v>60854</v>
      </c>
      <c r="B614" s="345" t="s">
        <v>137</v>
      </c>
      <c r="C614" s="344">
        <v>221104</v>
      </c>
      <c r="D614" s="344" t="str">
        <f t="shared" si="27"/>
        <v>221104</v>
      </c>
      <c r="E614" s="346" t="s">
        <v>146</v>
      </c>
      <c r="F614" s="344" t="s">
        <v>139</v>
      </c>
      <c r="G614" s="344" t="str">
        <f t="shared" si="28"/>
        <v>60854AXLE 1</v>
      </c>
      <c r="H614" s="344">
        <v>9</v>
      </c>
      <c r="I614" s="344">
        <v>12</v>
      </c>
      <c r="J614" s="344">
        <v>1</v>
      </c>
      <c r="K614" s="344">
        <v>8</v>
      </c>
      <c r="L614" t="str">
        <f t="shared" si="29"/>
        <v>60854</v>
      </c>
      <c r="M614" s="344" t="s">
        <v>139</v>
      </c>
      <c r="N614" s="344">
        <v>221104</v>
      </c>
    </row>
    <row r="615" spans="1:14" ht="15">
      <c r="A615" s="344">
        <v>60854</v>
      </c>
      <c r="B615" s="345" t="s">
        <v>137</v>
      </c>
      <c r="C615" s="344">
        <v>221104</v>
      </c>
      <c r="D615" s="344" t="str">
        <f t="shared" si="27"/>
        <v>221104</v>
      </c>
      <c r="E615" s="346" t="s">
        <v>147</v>
      </c>
      <c r="F615" s="344" t="s">
        <v>141</v>
      </c>
      <c r="G615" s="344" t="str">
        <f t="shared" si="28"/>
        <v>60854AXLE 2</v>
      </c>
      <c r="H615" s="344">
        <v>10</v>
      </c>
      <c r="I615" s="344">
        <v>11</v>
      </c>
      <c r="J615" s="344">
        <v>2</v>
      </c>
      <c r="K615" s="344">
        <v>7</v>
      </c>
      <c r="L615" t="str">
        <f t="shared" si="29"/>
        <v>60854</v>
      </c>
      <c r="M615" s="344" t="s">
        <v>141</v>
      </c>
      <c r="N615" s="344">
        <v>221104</v>
      </c>
    </row>
    <row r="616" spans="1:14" ht="15">
      <c r="A616" s="344">
        <v>60854</v>
      </c>
      <c r="B616" s="345" t="s">
        <v>137</v>
      </c>
      <c r="C616" s="344">
        <v>221104</v>
      </c>
      <c r="D616" s="344" t="str">
        <f t="shared" si="27"/>
        <v>221104</v>
      </c>
      <c r="E616" s="346" t="s">
        <v>147</v>
      </c>
      <c r="F616" s="344" t="s">
        <v>143</v>
      </c>
      <c r="G616" s="344" t="str">
        <f t="shared" si="28"/>
        <v>60854AXLE 3</v>
      </c>
      <c r="H616" s="344">
        <v>11</v>
      </c>
      <c r="I616" s="344">
        <v>10</v>
      </c>
      <c r="J616" s="344">
        <v>3</v>
      </c>
      <c r="K616" s="344">
        <v>6</v>
      </c>
      <c r="L616" t="str">
        <f t="shared" si="29"/>
        <v>60854</v>
      </c>
      <c r="M616" s="344" t="s">
        <v>143</v>
      </c>
      <c r="N616" s="344">
        <v>221104</v>
      </c>
    </row>
    <row r="617" spans="1:14" ht="15">
      <c r="A617" s="344">
        <v>60854</v>
      </c>
      <c r="B617" s="345" t="s">
        <v>137</v>
      </c>
      <c r="C617" s="344">
        <v>221104</v>
      </c>
      <c r="D617" s="344" t="str">
        <f t="shared" si="27"/>
        <v>221104</v>
      </c>
      <c r="E617" s="346" t="s">
        <v>146</v>
      </c>
      <c r="F617" s="344" t="s">
        <v>145</v>
      </c>
      <c r="G617" s="344" t="str">
        <f t="shared" si="28"/>
        <v>60854AXLE 4</v>
      </c>
      <c r="H617" s="344">
        <v>12</v>
      </c>
      <c r="I617" s="344">
        <v>9</v>
      </c>
      <c r="J617" s="344">
        <v>4</v>
      </c>
      <c r="K617" s="344">
        <v>5</v>
      </c>
      <c r="L617" t="str">
        <f t="shared" si="29"/>
        <v>60854</v>
      </c>
      <c r="M617" s="344" t="s">
        <v>145</v>
      </c>
      <c r="N617" s="344">
        <v>221104</v>
      </c>
    </row>
    <row r="618" spans="1:14" ht="15">
      <c r="A618" s="344">
        <v>60754</v>
      </c>
      <c r="B618" s="345" t="s">
        <v>137</v>
      </c>
      <c r="C618" s="344">
        <v>221104</v>
      </c>
      <c r="D618" s="344" t="str">
        <f t="shared" si="27"/>
        <v>221104</v>
      </c>
      <c r="E618" s="346" t="s">
        <v>146</v>
      </c>
      <c r="F618" s="344" t="s">
        <v>139</v>
      </c>
      <c r="G618" s="344" t="str">
        <f t="shared" si="28"/>
        <v>60754AXLE 1</v>
      </c>
      <c r="H618" s="344">
        <v>5</v>
      </c>
      <c r="I618" s="344">
        <v>16</v>
      </c>
      <c r="J618" s="344">
        <v>1</v>
      </c>
      <c r="K618" s="344">
        <v>8</v>
      </c>
      <c r="L618" t="str">
        <f t="shared" si="29"/>
        <v>60754</v>
      </c>
      <c r="M618" s="344" t="s">
        <v>139</v>
      </c>
      <c r="N618" s="344">
        <v>221104</v>
      </c>
    </row>
    <row r="619" spans="1:14" ht="15">
      <c r="A619" s="344">
        <v>60754</v>
      </c>
      <c r="B619" s="345" t="s">
        <v>137</v>
      </c>
      <c r="C619" s="344">
        <v>221104</v>
      </c>
      <c r="D619" s="344" t="str">
        <f t="shared" si="27"/>
        <v>221104</v>
      </c>
      <c r="E619" s="346" t="s">
        <v>147</v>
      </c>
      <c r="F619" s="344" t="s">
        <v>141</v>
      </c>
      <c r="G619" s="344" t="str">
        <f t="shared" si="28"/>
        <v>60754AXLE 2</v>
      </c>
      <c r="H619" s="344">
        <v>6</v>
      </c>
      <c r="I619" s="344">
        <v>15</v>
      </c>
      <c r="J619" s="344">
        <v>2</v>
      </c>
      <c r="K619" s="344">
        <v>7</v>
      </c>
      <c r="L619" t="str">
        <f t="shared" si="29"/>
        <v>60754</v>
      </c>
      <c r="M619" s="344" t="s">
        <v>141</v>
      </c>
      <c r="N619" s="344">
        <v>221104</v>
      </c>
    </row>
    <row r="620" spans="1:14" ht="15">
      <c r="A620" s="344">
        <v>60754</v>
      </c>
      <c r="B620" s="345" t="s">
        <v>137</v>
      </c>
      <c r="C620" s="344">
        <v>221104</v>
      </c>
      <c r="D620" s="344" t="str">
        <f t="shared" si="27"/>
        <v>221104</v>
      </c>
      <c r="E620" s="346" t="s">
        <v>147</v>
      </c>
      <c r="F620" s="344" t="s">
        <v>143</v>
      </c>
      <c r="G620" s="344" t="str">
        <f t="shared" si="28"/>
        <v>60754AXLE 3</v>
      </c>
      <c r="H620" s="344">
        <v>7</v>
      </c>
      <c r="I620" s="344">
        <v>14</v>
      </c>
      <c r="J620" s="344">
        <v>3</v>
      </c>
      <c r="K620" s="344">
        <v>6</v>
      </c>
      <c r="L620" t="str">
        <f t="shared" si="29"/>
        <v>60754</v>
      </c>
      <c r="M620" s="344" t="s">
        <v>143</v>
      </c>
      <c r="N620" s="344">
        <v>221104</v>
      </c>
    </row>
    <row r="621" spans="1:14" ht="15">
      <c r="A621" s="344">
        <v>60754</v>
      </c>
      <c r="B621" s="345" t="s">
        <v>137</v>
      </c>
      <c r="C621" s="344">
        <v>221104</v>
      </c>
      <c r="D621" s="344" t="str">
        <f t="shared" si="27"/>
        <v>221104</v>
      </c>
      <c r="E621" s="346" t="s">
        <v>146</v>
      </c>
      <c r="F621" s="344" t="s">
        <v>145</v>
      </c>
      <c r="G621" s="344" t="str">
        <f t="shared" si="28"/>
        <v>60754AXLE 4</v>
      </c>
      <c r="H621" s="344">
        <v>8</v>
      </c>
      <c r="I621" s="344">
        <v>13</v>
      </c>
      <c r="J621" s="344">
        <v>4</v>
      </c>
      <c r="K621" s="344">
        <v>5</v>
      </c>
      <c r="L621" t="str">
        <f t="shared" si="29"/>
        <v>60754</v>
      </c>
      <c r="M621" s="344" t="s">
        <v>145</v>
      </c>
      <c r="N621" s="344">
        <v>221104</v>
      </c>
    </row>
    <row r="622" spans="1:14" ht="15">
      <c r="A622" s="344">
        <v>60454</v>
      </c>
      <c r="B622" s="345" t="s">
        <v>137</v>
      </c>
      <c r="C622" s="344">
        <v>221104</v>
      </c>
      <c r="D622" s="344" t="str">
        <f t="shared" si="27"/>
        <v>221104</v>
      </c>
      <c r="E622" s="346" t="s">
        <v>146</v>
      </c>
      <c r="F622" s="344" t="s">
        <v>139</v>
      </c>
      <c r="G622" s="344" t="str">
        <f t="shared" si="28"/>
        <v>60454AXLE 1</v>
      </c>
      <c r="H622" s="344">
        <v>1</v>
      </c>
      <c r="I622" s="344">
        <v>20</v>
      </c>
      <c r="J622" s="344">
        <v>1</v>
      </c>
      <c r="K622" s="344">
        <v>8</v>
      </c>
      <c r="L622" t="str">
        <f t="shared" si="29"/>
        <v>60454</v>
      </c>
      <c r="M622" s="344" t="s">
        <v>139</v>
      </c>
      <c r="N622" s="344">
        <v>221104</v>
      </c>
    </row>
    <row r="623" spans="1:14" ht="15">
      <c r="A623" s="344">
        <v>60454</v>
      </c>
      <c r="B623" s="345" t="s">
        <v>137</v>
      </c>
      <c r="C623" s="344">
        <v>221104</v>
      </c>
      <c r="D623" s="344" t="str">
        <f t="shared" si="27"/>
        <v>221104</v>
      </c>
      <c r="E623" s="346" t="s">
        <v>147</v>
      </c>
      <c r="F623" s="344" t="s">
        <v>141</v>
      </c>
      <c r="G623" s="344" t="str">
        <f t="shared" si="28"/>
        <v>60454AXLE 2</v>
      </c>
      <c r="H623" s="344">
        <v>2</v>
      </c>
      <c r="I623" s="344">
        <v>19</v>
      </c>
      <c r="J623" s="344">
        <v>2</v>
      </c>
      <c r="K623" s="344">
        <v>7</v>
      </c>
      <c r="L623" t="str">
        <f t="shared" si="29"/>
        <v>60454</v>
      </c>
      <c r="M623" s="344" t="s">
        <v>141</v>
      </c>
      <c r="N623" s="344">
        <v>221104</v>
      </c>
    </row>
    <row r="624" spans="1:14" ht="15">
      <c r="A624" s="344">
        <v>60454</v>
      </c>
      <c r="B624" s="345" t="s">
        <v>137</v>
      </c>
      <c r="C624" s="344">
        <v>221104</v>
      </c>
      <c r="D624" s="344" t="str">
        <f t="shared" si="27"/>
        <v>221104</v>
      </c>
      <c r="E624" s="346" t="s">
        <v>147</v>
      </c>
      <c r="F624" s="344" t="s">
        <v>143</v>
      </c>
      <c r="G624" s="344" t="str">
        <f t="shared" si="28"/>
        <v>60454AXLE 3</v>
      </c>
      <c r="H624" s="344">
        <v>3</v>
      </c>
      <c r="I624" s="344">
        <v>18</v>
      </c>
      <c r="J624" s="344">
        <v>3</v>
      </c>
      <c r="K624" s="344">
        <v>6</v>
      </c>
      <c r="L624" t="str">
        <f t="shared" si="29"/>
        <v>60454</v>
      </c>
      <c r="M624" s="344" t="s">
        <v>143</v>
      </c>
      <c r="N624" s="344">
        <v>221104</v>
      </c>
    </row>
    <row r="625" spans="1:14" ht="15">
      <c r="A625" s="344">
        <v>60454</v>
      </c>
      <c r="B625" s="345" t="s">
        <v>137</v>
      </c>
      <c r="C625" s="344">
        <v>221104</v>
      </c>
      <c r="D625" s="344" t="str">
        <f t="shared" si="27"/>
        <v>221104</v>
      </c>
      <c r="E625" s="346" t="s">
        <v>146</v>
      </c>
      <c r="F625" s="344" t="s">
        <v>145</v>
      </c>
      <c r="G625" s="344" t="str">
        <f t="shared" si="28"/>
        <v>60454AXLE 4</v>
      </c>
      <c r="H625" s="344">
        <v>4</v>
      </c>
      <c r="I625" s="344">
        <v>17</v>
      </c>
      <c r="J625" s="344">
        <v>4</v>
      </c>
      <c r="K625" s="344">
        <v>5</v>
      </c>
      <c r="L625" t="str">
        <f t="shared" si="29"/>
        <v>60454</v>
      </c>
      <c r="M625" s="344" t="s">
        <v>145</v>
      </c>
      <c r="N625" s="344">
        <v>221104</v>
      </c>
    </row>
    <row r="626" spans="1:14" ht="15">
      <c r="A626" s="344">
        <v>60355</v>
      </c>
      <c r="B626" s="345" t="s">
        <v>137</v>
      </c>
      <c r="C626" s="344">
        <v>221105</v>
      </c>
      <c r="D626" s="344" t="str">
        <f t="shared" si="27"/>
        <v>221105</v>
      </c>
      <c r="E626" s="346" t="s">
        <v>146</v>
      </c>
      <c r="F626" s="344" t="s">
        <v>139</v>
      </c>
      <c r="G626" s="344" t="str">
        <f t="shared" si="28"/>
        <v>60355AXLE 1</v>
      </c>
      <c r="H626" s="344">
        <v>20</v>
      </c>
      <c r="I626" s="344">
        <v>1</v>
      </c>
      <c r="J626" s="344">
        <v>1</v>
      </c>
      <c r="K626" s="344">
        <v>8</v>
      </c>
      <c r="L626" t="str">
        <f t="shared" si="29"/>
        <v>60355</v>
      </c>
      <c r="M626" s="344" t="s">
        <v>139</v>
      </c>
      <c r="N626" s="344">
        <v>221105</v>
      </c>
    </row>
    <row r="627" spans="1:14" ht="15">
      <c r="A627" s="344">
        <v>60355</v>
      </c>
      <c r="B627" s="345" t="s">
        <v>137</v>
      </c>
      <c r="C627" s="344">
        <v>221105</v>
      </c>
      <c r="D627" s="344" t="str">
        <f t="shared" si="27"/>
        <v>221105</v>
      </c>
      <c r="E627" s="346" t="s">
        <v>147</v>
      </c>
      <c r="F627" s="344" t="s">
        <v>141</v>
      </c>
      <c r="G627" s="344" t="str">
        <f t="shared" si="28"/>
        <v>60355AXLE 2</v>
      </c>
      <c r="H627" s="344">
        <v>19</v>
      </c>
      <c r="I627" s="344">
        <v>2</v>
      </c>
      <c r="J627" s="344">
        <v>2</v>
      </c>
      <c r="K627" s="344">
        <v>7</v>
      </c>
      <c r="L627" t="str">
        <f t="shared" si="29"/>
        <v>60355</v>
      </c>
      <c r="M627" s="344" t="s">
        <v>141</v>
      </c>
      <c r="N627" s="344">
        <v>221105</v>
      </c>
    </row>
    <row r="628" spans="1:14" ht="15">
      <c r="A628" s="344">
        <v>60355</v>
      </c>
      <c r="B628" s="345" t="s">
        <v>137</v>
      </c>
      <c r="C628" s="344">
        <v>221105</v>
      </c>
      <c r="D628" s="344" t="str">
        <f t="shared" si="27"/>
        <v>221105</v>
      </c>
      <c r="E628" s="346" t="s">
        <v>147</v>
      </c>
      <c r="F628" s="344" t="s">
        <v>143</v>
      </c>
      <c r="G628" s="344" t="str">
        <f t="shared" si="28"/>
        <v>60355AXLE 3</v>
      </c>
      <c r="H628" s="344">
        <v>18</v>
      </c>
      <c r="I628" s="344">
        <v>3</v>
      </c>
      <c r="J628" s="344">
        <v>3</v>
      </c>
      <c r="K628" s="344">
        <v>6</v>
      </c>
      <c r="L628" t="str">
        <f t="shared" si="29"/>
        <v>60355</v>
      </c>
      <c r="M628" s="344" t="s">
        <v>143</v>
      </c>
      <c r="N628" s="344">
        <v>221105</v>
      </c>
    </row>
    <row r="629" spans="1:14" ht="15">
      <c r="A629" s="344">
        <v>60355</v>
      </c>
      <c r="B629" s="345" t="s">
        <v>137</v>
      </c>
      <c r="C629" s="344">
        <v>221105</v>
      </c>
      <c r="D629" s="344" t="str">
        <f t="shared" si="27"/>
        <v>221105</v>
      </c>
      <c r="E629" s="346" t="s">
        <v>146</v>
      </c>
      <c r="F629" s="344" t="s">
        <v>145</v>
      </c>
      <c r="G629" s="344" t="str">
        <f t="shared" si="28"/>
        <v>60355AXLE 4</v>
      </c>
      <c r="H629" s="344">
        <v>17</v>
      </c>
      <c r="I629" s="344">
        <v>4</v>
      </c>
      <c r="J629" s="344">
        <v>4</v>
      </c>
      <c r="K629" s="344">
        <v>5</v>
      </c>
      <c r="L629" t="str">
        <f t="shared" si="29"/>
        <v>60355</v>
      </c>
      <c r="M629" s="344" t="s">
        <v>145</v>
      </c>
      <c r="N629" s="344">
        <v>221105</v>
      </c>
    </row>
    <row r="630" spans="1:14" ht="15">
      <c r="A630" s="344">
        <v>60955</v>
      </c>
      <c r="B630" s="345" t="s">
        <v>137</v>
      </c>
      <c r="C630" s="344">
        <v>221105</v>
      </c>
      <c r="D630" s="344" t="str">
        <f t="shared" si="27"/>
        <v>221105</v>
      </c>
      <c r="E630" s="346" t="s">
        <v>146</v>
      </c>
      <c r="F630" s="344" t="s">
        <v>139</v>
      </c>
      <c r="G630" s="344" t="str">
        <f t="shared" si="28"/>
        <v>60955AXLE 1</v>
      </c>
      <c r="H630" s="344">
        <v>13</v>
      </c>
      <c r="I630" s="344">
        <v>8</v>
      </c>
      <c r="J630" s="344">
        <v>1</v>
      </c>
      <c r="K630" s="344">
        <v>8</v>
      </c>
      <c r="L630" t="str">
        <f t="shared" si="29"/>
        <v>60955</v>
      </c>
      <c r="M630" s="344" t="s">
        <v>139</v>
      </c>
      <c r="N630" s="344">
        <v>221105</v>
      </c>
    </row>
    <row r="631" spans="1:14" ht="15">
      <c r="A631" s="344">
        <v>60955</v>
      </c>
      <c r="B631" s="345" t="s">
        <v>137</v>
      </c>
      <c r="C631" s="344">
        <v>221105</v>
      </c>
      <c r="D631" s="344" t="str">
        <f t="shared" si="27"/>
        <v>221105</v>
      </c>
      <c r="E631" s="346" t="s">
        <v>147</v>
      </c>
      <c r="F631" s="344" t="s">
        <v>141</v>
      </c>
      <c r="G631" s="344" t="str">
        <f t="shared" si="28"/>
        <v>60955AXLE 2</v>
      </c>
      <c r="H631" s="344">
        <v>14</v>
      </c>
      <c r="I631" s="344">
        <v>7</v>
      </c>
      <c r="J631" s="344">
        <v>2</v>
      </c>
      <c r="K631" s="344">
        <v>7</v>
      </c>
      <c r="L631" t="str">
        <f t="shared" si="29"/>
        <v>60955</v>
      </c>
      <c r="M631" s="344" t="s">
        <v>141</v>
      </c>
      <c r="N631" s="344">
        <v>221105</v>
      </c>
    </row>
    <row r="632" spans="1:14" ht="15">
      <c r="A632" s="344">
        <v>60955</v>
      </c>
      <c r="B632" s="345" t="s">
        <v>137</v>
      </c>
      <c r="C632" s="344">
        <v>221105</v>
      </c>
      <c r="D632" s="344" t="str">
        <f t="shared" si="27"/>
        <v>221105</v>
      </c>
      <c r="E632" s="346" t="s">
        <v>147</v>
      </c>
      <c r="F632" s="344" t="s">
        <v>143</v>
      </c>
      <c r="G632" s="344" t="str">
        <f t="shared" si="28"/>
        <v>60955AXLE 3</v>
      </c>
      <c r="H632" s="344">
        <v>15</v>
      </c>
      <c r="I632" s="344">
        <v>6</v>
      </c>
      <c r="J632" s="344">
        <v>3</v>
      </c>
      <c r="K632" s="344">
        <v>6</v>
      </c>
      <c r="L632" t="str">
        <f t="shared" si="29"/>
        <v>60955</v>
      </c>
      <c r="M632" s="344" t="s">
        <v>143</v>
      </c>
      <c r="N632" s="344">
        <v>221105</v>
      </c>
    </row>
    <row r="633" spans="1:14" ht="15">
      <c r="A633" s="344">
        <v>60955</v>
      </c>
      <c r="B633" s="345" t="s">
        <v>137</v>
      </c>
      <c r="C633" s="344">
        <v>221105</v>
      </c>
      <c r="D633" s="344" t="str">
        <f t="shared" si="27"/>
        <v>221105</v>
      </c>
      <c r="E633" s="346" t="s">
        <v>146</v>
      </c>
      <c r="F633" s="344" t="s">
        <v>145</v>
      </c>
      <c r="G633" s="344" t="str">
        <f t="shared" si="28"/>
        <v>60955AXLE 4</v>
      </c>
      <c r="H633" s="344">
        <v>16</v>
      </c>
      <c r="I633" s="344">
        <v>5</v>
      </c>
      <c r="J633" s="344">
        <v>4</v>
      </c>
      <c r="K633" s="344">
        <v>5</v>
      </c>
      <c r="L633" t="str">
        <f t="shared" si="29"/>
        <v>60955</v>
      </c>
      <c r="M633" s="344" t="s">
        <v>145</v>
      </c>
      <c r="N633" s="344">
        <v>221105</v>
      </c>
    </row>
    <row r="634" spans="1:14" ht="15">
      <c r="A634" s="344">
        <v>60855</v>
      </c>
      <c r="B634" s="345" t="s">
        <v>137</v>
      </c>
      <c r="C634" s="344">
        <v>221105</v>
      </c>
      <c r="D634" s="344" t="str">
        <f t="shared" si="27"/>
        <v>221105</v>
      </c>
      <c r="E634" s="346" t="s">
        <v>146</v>
      </c>
      <c r="F634" s="344" t="s">
        <v>139</v>
      </c>
      <c r="G634" s="344" t="str">
        <f t="shared" si="28"/>
        <v>60855AXLE 1</v>
      </c>
      <c r="H634" s="344">
        <v>9</v>
      </c>
      <c r="I634" s="344">
        <v>12</v>
      </c>
      <c r="J634" s="344">
        <v>1</v>
      </c>
      <c r="K634" s="344">
        <v>8</v>
      </c>
      <c r="L634" t="str">
        <f t="shared" si="29"/>
        <v>60855</v>
      </c>
      <c r="M634" s="344" t="s">
        <v>139</v>
      </c>
      <c r="N634" s="344">
        <v>221105</v>
      </c>
    </row>
    <row r="635" spans="1:14" ht="15">
      <c r="A635" s="344">
        <v>60855</v>
      </c>
      <c r="B635" s="345" t="s">
        <v>137</v>
      </c>
      <c r="C635" s="344">
        <v>221105</v>
      </c>
      <c r="D635" s="344" t="str">
        <f t="shared" si="27"/>
        <v>221105</v>
      </c>
      <c r="E635" s="346" t="s">
        <v>147</v>
      </c>
      <c r="F635" s="344" t="s">
        <v>141</v>
      </c>
      <c r="G635" s="344" t="str">
        <f t="shared" si="28"/>
        <v>60855AXLE 2</v>
      </c>
      <c r="H635" s="344">
        <v>10</v>
      </c>
      <c r="I635" s="344">
        <v>11</v>
      </c>
      <c r="J635" s="344">
        <v>2</v>
      </c>
      <c r="K635" s="344">
        <v>7</v>
      </c>
      <c r="L635" t="str">
        <f t="shared" si="29"/>
        <v>60855</v>
      </c>
      <c r="M635" s="344" t="s">
        <v>141</v>
      </c>
      <c r="N635" s="344">
        <v>221105</v>
      </c>
    </row>
    <row r="636" spans="1:14" ht="15">
      <c r="A636" s="344">
        <v>60855</v>
      </c>
      <c r="B636" s="345" t="s">
        <v>137</v>
      </c>
      <c r="C636" s="344">
        <v>221105</v>
      </c>
      <c r="D636" s="344" t="str">
        <f t="shared" si="27"/>
        <v>221105</v>
      </c>
      <c r="E636" s="346" t="s">
        <v>147</v>
      </c>
      <c r="F636" s="344" t="s">
        <v>143</v>
      </c>
      <c r="G636" s="344" t="str">
        <f t="shared" si="28"/>
        <v>60855AXLE 3</v>
      </c>
      <c r="H636" s="344">
        <v>11</v>
      </c>
      <c r="I636" s="344">
        <v>10</v>
      </c>
      <c r="J636" s="344">
        <v>3</v>
      </c>
      <c r="K636" s="344">
        <v>6</v>
      </c>
      <c r="L636" t="str">
        <f t="shared" si="29"/>
        <v>60855</v>
      </c>
      <c r="M636" s="344" t="s">
        <v>143</v>
      </c>
      <c r="N636" s="344">
        <v>221105</v>
      </c>
    </row>
    <row r="637" spans="1:14" ht="15">
      <c r="A637" s="344">
        <v>60855</v>
      </c>
      <c r="B637" s="345" t="s">
        <v>137</v>
      </c>
      <c r="C637" s="344">
        <v>221105</v>
      </c>
      <c r="D637" s="344" t="str">
        <f t="shared" si="27"/>
        <v>221105</v>
      </c>
      <c r="E637" s="346" t="s">
        <v>146</v>
      </c>
      <c r="F637" s="344" t="s">
        <v>145</v>
      </c>
      <c r="G637" s="344" t="str">
        <f t="shared" si="28"/>
        <v>60855AXLE 4</v>
      </c>
      <c r="H637" s="344">
        <v>12</v>
      </c>
      <c r="I637" s="344">
        <v>9</v>
      </c>
      <c r="J637" s="344">
        <v>4</v>
      </c>
      <c r="K637" s="344">
        <v>5</v>
      </c>
      <c r="L637" t="str">
        <f t="shared" si="29"/>
        <v>60855</v>
      </c>
      <c r="M637" s="344" t="s">
        <v>145</v>
      </c>
      <c r="N637" s="344">
        <v>221105</v>
      </c>
    </row>
    <row r="638" spans="1:14" ht="15">
      <c r="A638" s="344">
        <v>60755</v>
      </c>
      <c r="B638" s="345" t="s">
        <v>137</v>
      </c>
      <c r="C638" s="344">
        <v>221105</v>
      </c>
      <c r="D638" s="344" t="str">
        <f t="shared" si="27"/>
        <v>221105</v>
      </c>
      <c r="E638" s="346" t="s">
        <v>146</v>
      </c>
      <c r="F638" s="344" t="s">
        <v>139</v>
      </c>
      <c r="G638" s="344" t="str">
        <f t="shared" si="28"/>
        <v>60755AXLE 1</v>
      </c>
      <c r="H638" s="344">
        <v>5</v>
      </c>
      <c r="I638" s="344">
        <v>16</v>
      </c>
      <c r="J638" s="344">
        <v>1</v>
      </c>
      <c r="K638" s="344">
        <v>8</v>
      </c>
      <c r="L638" t="str">
        <f t="shared" si="29"/>
        <v>60755</v>
      </c>
      <c r="M638" s="344" t="s">
        <v>139</v>
      </c>
      <c r="N638" s="344">
        <v>221105</v>
      </c>
    </row>
    <row r="639" spans="1:14" ht="15">
      <c r="A639" s="344">
        <v>60755</v>
      </c>
      <c r="B639" s="345" t="s">
        <v>137</v>
      </c>
      <c r="C639" s="344">
        <v>221105</v>
      </c>
      <c r="D639" s="344" t="str">
        <f t="shared" si="27"/>
        <v>221105</v>
      </c>
      <c r="E639" s="346" t="s">
        <v>147</v>
      </c>
      <c r="F639" s="344" t="s">
        <v>141</v>
      </c>
      <c r="G639" s="344" t="str">
        <f t="shared" si="28"/>
        <v>60755AXLE 2</v>
      </c>
      <c r="H639" s="344">
        <v>6</v>
      </c>
      <c r="I639" s="344">
        <v>15</v>
      </c>
      <c r="J639" s="344">
        <v>2</v>
      </c>
      <c r="K639" s="344">
        <v>7</v>
      </c>
      <c r="L639" t="str">
        <f t="shared" si="29"/>
        <v>60755</v>
      </c>
      <c r="M639" s="344" t="s">
        <v>141</v>
      </c>
      <c r="N639" s="344">
        <v>221105</v>
      </c>
    </row>
    <row r="640" spans="1:14" ht="15">
      <c r="A640" s="344">
        <v>60755</v>
      </c>
      <c r="B640" s="345" t="s">
        <v>137</v>
      </c>
      <c r="C640" s="344">
        <v>221105</v>
      </c>
      <c r="D640" s="344" t="str">
        <f t="shared" si="27"/>
        <v>221105</v>
      </c>
      <c r="E640" s="346" t="s">
        <v>147</v>
      </c>
      <c r="F640" s="344" t="s">
        <v>143</v>
      </c>
      <c r="G640" s="344" t="str">
        <f t="shared" si="28"/>
        <v>60755AXLE 3</v>
      </c>
      <c r="H640" s="344">
        <v>7</v>
      </c>
      <c r="I640" s="344">
        <v>14</v>
      </c>
      <c r="J640" s="344">
        <v>3</v>
      </c>
      <c r="K640" s="344">
        <v>6</v>
      </c>
      <c r="L640" t="str">
        <f t="shared" si="29"/>
        <v>60755</v>
      </c>
      <c r="M640" s="344" t="s">
        <v>143</v>
      </c>
      <c r="N640" s="344">
        <v>221105</v>
      </c>
    </row>
    <row r="641" spans="1:14" ht="15">
      <c r="A641" s="344">
        <v>60755</v>
      </c>
      <c r="B641" s="345" t="s">
        <v>137</v>
      </c>
      <c r="C641" s="344">
        <v>221105</v>
      </c>
      <c r="D641" s="344" t="str">
        <f t="shared" si="27"/>
        <v>221105</v>
      </c>
      <c r="E641" s="346" t="s">
        <v>146</v>
      </c>
      <c r="F641" s="344" t="s">
        <v>145</v>
      </c>
      <c r="G641" s="344" t="str">
        <f t="shared" si="28"/>
        <v>60755AXLE 4</v>
      </c>
      <c r="H641" s="344">
        <v>8</v>
      </c>
      <c r="I641" s="344">
        <v>13</v>
      </c>
      <c r="J641" s="344">
        <v>4</v>
      </c>
      <c r="K641" s="344">
        <v>5</v>
      </c>
      <c r="L641" t="str">
        <f t="shared" si="29"/>
        <v>60755</v>
      </c>
      <c r="M641" s="344" t="s">
        <v>145</v>
      </c>
      <c r="N641" s="344">
        <v>221105</v>
      </c>
    </row>
    <row r="642" spans="1:14" ht="15">
      <c r="A642" s="344">
        <v>60455</v>
      </c>
      <c r="B642" s="345" t="s">
        <v>137</v>
      </c>
      <c r="C642" s="344">
        <v>221105</v>
      </c>
      <c r="D642" s="344" t="str">
        <f t="shared" si="27"/>
        <v>221105</v>
      </c>
      <c r="E642" s="346" t="s">
        <v>146</v>
      </c>
      <c r="F642" s="344" t="s">
        <v>139</v>
      </c>
      <c r="G642" s="344" t="str">
        <f t="shared" si="28"/>
        <v>60455AXLE 1</v>
      </c>
      <c r="H642" s="344">
        <v>1</v>
      </c>
      <c r="I642" s="344">
        <v>20</v>
      </c>
      <c r="J642" s="344">
        <v>1</v>
      </c>
      <c r="K642" s="344">
        <v>8</v>
      </c>
      <c r="L642" t="str">
        <f t="shared" si="29"/>
        <v>60455</v>
      </c>
      <c r="M642" s="344" t="s">
        <v>139</v>
      </c>
      <c r="N642" s="344">
        <v>221105</v>
      </c>
    </row>
    <row r="643" spans="1:14" ht="15">
      <c r="A643" s="344">
        <v>60455</v>
      </c>
      <c r="B643" s="345" t="s">
        <v>137</v>
      </c>
      <c r="C643" s="344">
        <v>221105</v>
      </c>
      <c r="D643" s="344" t="str">
        <f t="shared" ref="D643:D706" si="30">CONCATENATE(B643,C643)</f>
        <v>221105</v>
      </c>
      <c r="E643" s="346" t="s">
        <v>147</v>
      </c>
      <c r="F643" s="344" t="s">
        <v>141</v>
      </c>
      <c r="G643" s="344" t="str">
        <f t="shared" ref="G643:G706" si="31">CONCATENATE(A643,F643)</f>
        <v>60455AXLE 2</v>
      </c>
      <c r="H643" s="344">
        <v>2</v>
      </c>
      <c r="I643" s="344">
        <v>19</v>
      </c>
      <c r="J643" s="344">
        <v>2</v>
      </c>
      <c r="K643" s="344">
        <v>7</v>
      </c>
      <c r="L643" t="str">
        <f t="shared" ref="L643:L706" si="32">CONCATENATE(A643,B643)</f>
        <v>60455</v>
      </c>
      <c r="M643" s="344" t="s">
        <v>141</v>
      </c>
      <c r="N643" s="344">
        <v>221105</v>
      </c>
    </row>
    <row r="644" spans="1:14" ht="15">
      <c r="A644" s="344">
        <v>60455</v>
      </c>
      <c r="B644" s="345" t="s">
        <v>137</v>
      </c>
      <c r="C644" s="344">
        <v>221105</v>
      </c>
      <c r="D644" s="344" t="str">
        <f t="shared" si="30"/>
        <v>221105</v>
      </c>
      <c r="E644" s="346" t="s">
        <v>147</v>
      </c>
      <c r="F644" s="344" t="s">
        <v>143</v>
      </c>
      <c r="G644" s="344" t="str">
        <f t="shared" si="31"/>
        <v>60455AXLE 3</v>
      </c>
      <c r="H644" s="344">
        <v>3</v>
      </c>
      <c r="I644" s="344">
        <v>18</v>
      </c>
      <c r="J644" s="344">
        <v>3</v>
      </c>
      <c r="K644" s="344">
        <v>6</v>
      </c>
      <c r="L644" t="str">
        <f t="shared" si="32"/>
        <v>60455</v>
      </c>
      <c r="M644" s="344" t="s">
        <v>143</v>
      </c>
      <c r="N644" s="344">
        <v>221105</v>
      </c>
    </row>
    <row r="645" spans="1:14" ht="15">
      <c r="A645" s="344">
        <v>60455</v>
      </c>
      <c r="B645" s="345" t="s">
        <v>137</v>
      </c>
      <c r="C645" s="344">
        <v>221105</v>
      </c>
      <c r="D645" s="344" t="str">
        <f t="shared" si="30"/>
        <v>221105</v>
      </c>
      <c r="E645" s="346" t="s">
        <v>146</v>
      </c>
      <c r="F645" s="344" t="s">
        <v>145</v>
      </c>
      <c r="G645" s="344" t="str">
        <f t="shared" si="31"/>
        <v>60455AXLE 4</v>
      </c>
      <c r="H645" s="344">
        <v>4</v>
      </c>
      <c r="I645" s="344">
        <v>17</v>
      </c>
      <c r="J645" s="344">
        <v>4</v>
      </c>
      <c r="K645" s="344">
        <v>5</v>
      </c>
      <c r="L645" t="str">
        <f t="shared" si="32"/>
        <v>60455</v>
      </c>
      <c r="M645" s="344" t="s">
        <v>145</v>
      </c>
      <c r="N645" s="344">
        <v>221105</v>
      </c>
    </row>
    <row r="646" spans="1:14" ht="15">
      <c r="A646" s="344">
        <v>60356</v>
      </c>
      <c r="B646" s="345" t="s">
        <v>137</v>
      </c>
      <c r="C646" s="344">
        <v>221106</v>
      </c>
      <c r="D646" s="344" t="str">
        <f t="shared" si="30"/>
        <v>221106</v>
      </c>
      <c r="E646" s="346" t="s">
        <v>146</v>
      </c>
      <c r="F646" s="344" t="s">
        <v>139</v>
      </c>
      <c r="G646" s="344" t="str">
        <f t="shared" si="31"/>
        <v>60356AXLE 1</v>
      </c>
      <c r="H646" s="344">
        <v>20</v>
      </c>
      <c r="I646" s="344">
        <v>1</v>
      </c>
      <c r="J646" s="344">
        <v>1</v>
      </c>
      <c r="K646" s="344">
        <v>8</v>
      </c>
      <c r="L646" t="str">
        <f t="shared" si="32"/>
        <v>60356</v>
      </c>
      <c r="M646" s="344" t="s">
        <v>139</v>
      </c>
      <c r="N646" s="344">
        <v>221106</v>
      </c>
    </row>
    <row r="647" spans="1:14" ht="15">
      <c r="A647" s="344">
        <v>60356</v>
      </c>
      <c r="B647" s="345" t="s">
        <v>137</v>
      </c>
      <c r="C647" s="344">
        <v>221106</v>
      </c>
      <c r="D647" s="344" t="str">
        <f t="shared" si="30"/>
        <v>221106</v>
      </c>
      <c r="E647" s="346" t="s">
        <v>147</v>
      </c>
      <c r="F647" s="344" t="s">
        <v>141</v>
      </c>
      <c r="G647" s="344" t="str">
        <f t="shared" si="31"/>
        <v>60356AXLE 2</v>
      </c>
      <c r="H647" s="344">
        <v>19</v>
      </c>
      <c r="I647" s="344">
        <v>2</v>
      </c>
      <c r="J647" s="344">
        <v>2</v>
      </c>
      <c r="K647" s="344">
        <v>7</v>
      </c>
      <c r="L647" t="str">
        <f t="shared" si="32"/>
        <v>60356</v>
      </c>
      <c r="M647" s="344" t="s">
        <v>141</v>
      </c>
      <c r="N647" s="344">
        <v>221106</v>
      </c>
    </row>
    <row r="648" spans="1:14" ht="15">
      <c r="A648" s="344">
        <v>60356</v>
      </c>
      <c r="B648" s="345" t="s">
        <v>137</v>
      </c>
      <c r="C648" s="344">
        <v>221106</v>
      </c>
      <c r="D648" s="344" t="str">
        <f t="shared" si="30"/>
        <v>221106</v>
      </c>
      <c r="E648" s="346" t="s">
        <v>147</v>
      </c>
      <c r="F648" s="344" t="s">
        <v>143</v>
      </c>
      <c r="G648" s="344" t="str">
        <f t="shared" si="31"/>
        <v>60356AXLE 3</v>
      </c>
      <c r="H648" s="344">
        <v>18</v>
      </c>
      <c r="I648" s="344">
        <v>3</v>
      </c>
      <c r="J648" s="344">
        <v>3</v>
      </c>
      <c r="K648" s="344">
        <v>6</v>
      </c>
      <c r="L648" t="str">
        <f t="shared" si="32"/>
        <v>60356</v>
      </c>
      <c r="M648" s="344" t="s">
        <v>143</v>
      </c>
      <c r="N648" s="344">
        <v>221106</v>
      </c>
    </row>
    <row r="649" spans="1:14" ht="15">
      <c r="A649" s="344">
        <v>60356</v>
      </c>
      <c r="B649" s="345" t="s">
        <v>137</v>
      </c>
      <c r="C649" s="344">
        <v>221106</v>
      </c>
      <c r="D649" s="344" t="str">
        <f t="shared" si="30"/>
        <v>221106</v>
      </c>
      <c r="E649" s="346" t="s">
        <v>146</v>
      </c>
      <c r="F649" s="344" t="s">
        <v>145</v>
      </c>
      <c r="G649" s="344" t="str">
        <f t="shared" si="31"/>
        <v>60356AXLE 4</v>
      </c>
      <c r="H649" s="344">
        <v>17</v>
      </c>
      <c r="I649" s="344">
        <v>4</v>
      </c>
      <c r="J649" s="344">
        <v>4</v>
      </c>
      <c r="K649" s="344">
        <v>5</v>
      </c>
      <c r="L649" t="str">
        <f t="shared" si="32"/>
        <v>60356</v>
      </c>
      <c r="M649" s="344" t="s">
        <v>145</v>
      </c>
      <c r="N649" s="344">
        <v>221106</v>
      </c>
    </row>
    <row r="650" spans="1:14" ht="15">
      <c r="A650" s="344">
        <v>60956</v>
      </c>
      <c r="B650" s="345" t="s">
        <v>137</v>
      </c>
      <c r="C650" s="344">
        <v>221106</v>
      </c>
      <c r="D650" s="344" t="str">
        <f t="shared" si="30"/>
        <v>221106</v>
      </c>
      <c r="E650" s="346" t="s">
        <v>146</v>
      </c>
      <c r="F650" s="344" t="s">
        <v>139</v>
      </c>
      <c r="G650" s="344" t="str">
        <f t="shared" si="31"/>
        <v>60956AXLE 1</v>
      </c>
      <c r="H650" s="344">
        <v>13</v>
      </c>
      <c r="I650" s="344">
        <v>8</v>
      </c>
      <c r="J650" s="344">
        <v>1</v>
      </c>
      <c r="K650" s="344">
        <v>8</v>
      </c>
      <c r="L650" t="str">
        <f t="shared" si="32"/>
        <v>60956</v>
      </c>
      <c r="M650" s="344" t="s">
        <v>139</v>
      </c>
      <c r="N650" s="344">
        <v>221106</v>
      </c>
    </row>
    <row r="651" spans="1:14" ht="15">
      <c r="A651" s="344">
        <v>60956</v>
      </c>
      <c r="B651" s="345" t="s">
        <v>137</v>
      </c>
      <c r="C651" s="344">
        <v>221106</v>
      </c>
      <c r="D651" s="344" t="str">
        <f t="shared" si="30"/>
        <v>221106</v>
      </c>
      <c r="E651" s="346" t="s">
        <v>147</v>
      </c>
      <c r="F651" s="344" t="s">
        <v>141</v>
      </c>
      <c r="G651" s="344" t="str">
        <f t="shared" si="31"/>
        <v>60956AXLE 2</v>
      </c>
      <c r="H651" s="344">
        <v>14</v>
      </c>
      <c r="I651" s="344">
        <v>7</v>
      </c>
      <c r="J651" s="344">
        <v>2</v>
      </c>
      <c r="K651" s="344">
        <v>7</v>
      </c>
      <c r="L651" t="str">
        <f t="shared" si="32"/>
        <v>60956</v>
      </c>
      <c r="M651" s="344" t="s">
        <v>141</v>
      </c>
      <c r="N651" s="344">
        <v>221106</v>
      </c>
    </row>
    <row r="652" spans="1:14" ht="15">
      <c r="A652" s="344">
        <v>60956</v>
      </c>
      <c r="B652" s="345" t="s">
        <v>137</v>
      </c>
      <c r="C652" s="344">
        <v>221106</v>
      </c>
      <c r="D652" s="344" t="str">
        <f t="shared" si="30"/>
        <v>221106</v>
      </c>
      <c r="E652" s="346" t="s">
        <v>147</v>
      </c>
      <c r="F652" s="344" t="s">
        <v>143</v>
      </c>
      <c r="G652" s="344" t="str">
        <f t="shared" si="31"/>
        <v>60956AXLE 3</v>
      </c>
      <c r="H652" s="344">
        <v>15</v>
      </c>
      <c r="I652" s="344">
        <v>6</v>
      </c>
      <c r="J652" s="344">
        <v>3</v>
      </c>
      <c r="K652" s="344">
        <v>6</v>
      </c>
      <c r="L652" t="str">
        <f t="shared" si="32"/>
        <v>60956</v>
      </c>
      <c r="M652" s="344" t="s">
        <v>143</v>
      </c>
      <c r="N652" s="344">
        <v>221106</v>
      </c>
    </row>
    <row r="653" spans="1:14" ht="15">
      <c r="A653" s="344">
        <v>60956</v>
      </c>
      <c r="B653" s="345" t="s">
        <v>137</v>
      </c>
      <c r="C653" s="344">
        <v>221106</v>
      </c>
      <c r="D653" s="344" t="str">
        <f t="shared" si="30"/>
        <v>221106</v>
      </c>
      <c r="E653" s="346" t="s">
        <v>146</v>
      </c>
      <c r="F653" s="344" t="s">
        <v>145</v>
      </c>
      <c r="G653" s="344" t="str">
        <f t="shared" si="31"/>
        <v>60956AXLE 4</v>
      </c>
      <c r="H653" s="344">
        <v>16</v>
      </c>
      <c r="I653" s="344">
        <v>5</v>
      </c>
      <c r="J653" s="344">
        <v>4</v>
      </c>
      <c r="K653" s="344">
        <v>5</v>
      </c>
      <c r="L653" t="str">
        <f t="shared" si="32"/>
        <v>60956</v>
      </c>
      <c r="M653" s="344" t="s">
        <v>145</v>
      </c>
      <c r="N653" s="344">
        <v>221106</v>
      </c>
    </row>
    <row r="654" spans="1:14" ht="15">
      <c r="A654" s="344">
        <v>60856</v>
      </c>
      <c r="B654" s="345" t="s">
        <v>137</v>
      </c>
      <c r="C654" s="344">
        <v>221106</v>
      </c>
      <c r="D654" s="344" t="str">
        <f t="shared" si="30"/>
        <v>221106</v>
      </c>
      <c r="E654" s="346" t="s">
        <v>146</v>
      </c>
      <c r="F654" s="344" t="s">
        <v>139</v>
      </c>
      <c r="G654" s="344" t="str">
        <f t="shared" si="31"/>
        <v>60856AXLE 1</v>
      </c>
      <c r="H654" s="344">
        <v>9</v>
      </c>
      <c r="I654" s="344">
        <v>12</v>
      </c>
      <c r="J654" s="344">
        <v>1</v>
      </c>
      <c r="K654" s="344">
        <v>8</v>
      </c>
      <c r="L654" t="str">
        <f t="shared" si="32"/>
        <v>60856</v>
      </c>
      <c r="M654" s="344" t="s">
        <v>139</v>
      </c>
      <c r="N654" s="344">
        <v>221106</v>
      </c>
    </row>
    <row r="655" spans="1:14" ht="15">
      <c r="A655" s="344">
        <v>60856</v>
      </c>
      <c r="B655" s="345" t="s">
        <v>137</v>
      </c>
      <c r="C655" s="344">
        <v>221106</v>
      </c>
      <c r="D655" s="344" t="str">
        <f t="shared" si="30"/>
        <v>221106</v>
      </c>
      <c r="E655" s="346" t="s">
        <v>147</v>
      </c>
      <c r="F655" s="344" t="s">
        <v>141</v>
      </c>
      <c r="G655" s="344" t="str">
        <f t="shared" si="31"/>
        <v>60856AXLE 2</v>
      </c>
      <c r="H655" s="344">
        <v>10</v>
      </c>
      <c r="I655" s="344">
        <v>11</v>
      </c>
      <c r="J655" s="344">
        <v>2</v>
      </c>
      <c r="K655" s="344">
        <v>7</v>
      </c>
      <c r="L655" t="str">
        <f t="shared" si="32"/>
        <v>60856</v>
      </c>
      <c r="M655" s="344" t="s">
        <v>141</v>
      </c>
      <c r="N655" s="344">
        <v>221106</v>
      </c>
    </row>
    <row r="656" spans="1:14" ht="15">
      <c r="A656" s="344">
        <v>60856</v>
      </c>
      <c r="B656" s="345" t="s">
        <v>137</v>
      </c>
      <c r="C656" s="344">
        <v>221106</v>
      </c>
      <c r="D656" s="344" t="str">
        <f t="shared" si="30"/>
        <v>221106</v>
      </c>
      <c r="E656" s="346" t="s">
        <v>147</v>
      </c>
      <c r="F656" s="344" t="s">
        <v>143</v>
      </c>
      <c r="G656" s="344" t="str">
        <f t="shared" si="31"/>
        <v>60856AXLE 3</v>
      </c>
      <c r="H656" s="344">
        <v>11</v>
      </c>
      <c r="I656" s="344">
        <v>10</v>
      </c>
      <c r="J656" s="344">
        <v>3</v>
      </c>
      <c r="K656" s="344">
        <v>6</v>
      </c>
      <c r="L656" t="str">
        <f t="shared" si="32"/>
        <v>60856</v>
      </c>
      <c r="M656" s="344" t="s">
        <v>143</v>
      </c>
      <c r="N656" s="344">
        <v>221106</v>
      </c>
    </row>
    <row r="657" spans="1:14" ht="15">
      <c r="A657" s="344">
        <v>60856</v>
      </c>
      <c r="B657" s="345" t="s">
        <v>137</v>
      </c>
      <c r="C657" s="344">
        <v>221106</v>
      </c>
      <c r="D657" s="344" t="str">
        <f t="shared" si="30"/>
        <v>221106</v>
      </c>
      <c r="E657" s="346" t="s">
        <v>146</v>
      </c>
      <c r="F657" s="344" t="s">
        <v>145</v>
      </c>
      <c r="G657" s="344" t="str">
        <f t="shared" si="31"/>
        <v>60856AXLE 4</v>
      </c>
      <c r="H657" s="344">
        <v>12</v>
      </c>
      <c r="I657" s="344">
        <v>9</v>
      </c>
      <c r="J657" s="344">
        <v>4</v>
      </c>
      <c r="K657" s="344">
        <v>5</v>
      </c>
      <c r="L657" t="str">
        <f t="shared" si="32"/>
        <v>60856</v>
      </c>
      <c r="M657" s="344" t="s">
        <v>145</v>
      </c>
      <c r="N657" s="344">
        <v>221106</v>
      </c>
    </row>
    <row r="658" spans="1:14" ht="15">
      <c r="A658" s="344">
        <v>60756</v>
      </c>
      <c r="B658" s="345" t="s">
        <v>137</v>
      </c>
      <c r="C658" s="344">
        <v>221106</v>
      </c>
      <c r="D658" s="344" t="str">
        <f t="shared" si="30"/>
        <v>221106</v>
      </c>
      <c r="E658" s="346" t="s">
        <v>146</v>
      </c>
      <c r="F658" s="344" t="s">
        <v>139</v>
      </c>
      <c r="G658" s="344" t="str">
        <f t="shared" si="31"/>
        <v>60756AXLE 1</v>
      </c>
      <c r="H658" s="344">
        <v>5</v>
      </c>
      <c r="I658" s="344">
        <v>16</v>
      </c>
      <c r="J658" s="344">
        <v>1</v>
      </c>
      <c r="K658" s="344">
        <v>8</v>
      </c>
      <c r="L658" t="str">
        <f t="shared" si="32"/>
        <v>60756</v>
      </c>
      <c r="M658" s="344" t="s">
        <v>139</v>
      </c>
      <c r="N658" s="344">
        <v>221106</v>
      </c>
    </row>
    <row r="659" spans="1:14" ht="15">
      <c r="A659" s="344">
        <v>60756</v>
      </c>
      <c r="B659" s="345" t="s">
        <v>137</v>
      </c>
      <c r="C659" s="344">
        <v>221106</v>
      </c>
      <c r="D659" s="344" t="str">
        <f t="shared" si="30"/>
        <v>221106</v>
      </c>
      <c r="E659" s="346" t="s">
        <v>147</v>
      </c>
      <c r="F659" s="344" t="s">
        <v>141</v>
      </c>
      <c r="G659" s="344" t="str">
        <f t="shared" si="31"/>
        <v>60756AXLE 2</v>
      </c>
      <c r="H659" s="344">
        <v>6</v>
      </c>
      <c r="I659" s="344">
        <v>15</v>
      </c>
      <c r="J659" s="344">
        <v>2</v>
      </c>
      <c r="K659" s="344">
        <v>7</v>
      </c>
      <c r="L659" t="str">
        <f t="shared" si="32"/>
        <v>60756</v>
      </c>
      <c r="M659" s="344" t="s">
        <v>141</v>
      </c>
      <c r="N659" s="344">
        <v>221106</v>
      </c>
    </row>
    <row r="660" spans="1:14" ht="15">
      <c r="A660" s="344">
        <v>60756</v>
      </c>
      <c r="B660" s="345" t="s">
        <v>137</v>
      </c>
      <c r="C660" s="344">
        <v>221106</v>
      </c>
      <c r="D660" s="344" t="str">
        <f t="shared" si="30"/>
        <v>221106</v>
      </c>
      <c r="E660" s="346" t="s">
        <v>147</v>
      </c>
      <c r="F660" s="344" t="s">
        <v>143</v>
      </c>
      <c r="G660" s="344" t="str">
        <f t="shared" si="31"/>
        <v>60756AXLE 3</v>
      </c>
      <c r="H660" s="344">
        <v>7</v>
      </c>
      <c r="I660" s="344">
        <v>14</v>
      </c>
      <c r="J660" s="344">
        <v>3</v>
      </c>
      <c r="K660" s="344">
        <v>6</v>
      </c>
      <c r="L660" t="str">
        <f t="shared" si="32"/>
        <v>60756</v>
      </c>
      <c r="M660" s="344" t="s">
        <v>143</v>
      </c>
      <c r="N660" s="344">
        <v>221106</v>
      </c>
    </row>
    <row r="661" spans="1:14" ht="15">
      <c r="A661" s="344">
        <v>60756</v>
      </c>
      <c r="B661" s="345" t="s">
        <v>137</v>
      </c>
      <c r="C661" s="344">
        <v>221106</v>
      </c>
      <c r="D661" s="344" t="str">
        <f t="shared" si="30"/>
        <v>221106</v>
      </c>
      <c r="E661" s="346" t="s">
        <v>146</v>
      </c>
      <c r="F661" s="344" t="s">
        <v>145</v>
      </c>
      <c r="G661" s="344" t="str">
        <f t="shared" si="31"/>
        <v>60756AXLE 4</v>
      </c>
      <c r="H661" s="344">
        <v>8</v>
      </c>
      <c r="I661" s="344">
        <v>13</v>
      </c>
      <c r="J661" s="344">
        <v>4</v>
      </c>
      <c r="K661" s="344">
        <v>5</v>
      </c>
      <c r="L661" t="str">
        <f t="shared" si="32"/>
        <v>60756</v>
      </c>
      <c r="M661" s="344" t="s">
        <v>145</v>
      </c>
      <c r="N661" s="344">
        <v>221106</v>
      </c>
    </row>
    <row r="662" spans="1:14" ht="15">
      <c r="A662" s="344">
        <v>60456</v>
      </c>
      <c r="B662" s="345" t="s">
        <v>137</v>
      </c>
      <c r="C662" s="344">
        <v>221106</v>
      </c>
      <c r="D662" s="344" t="str">
        <f t="shared" si="30"/>
        <v>221106</v>
      </c>
      <c r="E662" s="346" t="s">
        <v>146</v>
      </c>
      <c r="F662" s="344" t="s">
        <v>139</v>
      </c>
      <c r="G662" s="344" t="str">
        <f t="shared" si="31"/>
        <v>60456AXLE 1</v>
      </c>
      <c r="H662" s="344">
        <v>1</v>
      </c>
      <c r="I662" s="344">
        <v>20</v>
      </c>
      <c r="J662" s="344">
        <v>1</v>
      </c>
      <c r="K662" s="344">
        <v>8</v>
      </c>
      <c r="L662" t="str">
        <f t="shared" si="32"/>
        <v>60456</v>
      </c>
      <c r="M662" s="344" t="s">
        <v>139</v>
      </c>
      <c r="N662" s="344">
        <v>221106</v>
      </c>
    </row>
    <row r="663" spans="1:14" ht="15">
      <c r="A663" s="344">
        <v>60456</v>
      </c>
      <c r="B663" s="345" t="s">
        <v>137</v>
      </c>
      <c r="C663" s="344">
        <v>221106</v>
      </c>
      <c r="D663" s="344" t="str">
        <f t="shared" si="30"/>
        <v>221106</v>
      </c>
      <c r="E663" s="346" t="s">
        <v>147</v>
      </c>
      <c r="F663" s="344" t="s">
        <v>141</v>
      </c>
      <c r="G663" s="344" t="str">
        <f t="shared" si="31"/>
        <v>60456AXLE 2</v>
      </c>
      <c r="H663" s="344">
        <v>2</v>
      </c>
      <c r="I663" s="344">
        <v>19</v>
      </c>
      <c r="J663" s="344">
        <v>2</v>
      </c>
      <c r="K663" s="344">
        <v>7</v>
      </c>
      <c r="L663" t="str">
        <f t="shared" si="32"/>
        <v>60456</v>
      </c>
      <c r="M663" s="344" t="s">
        <v>141</v>
      </c>
      <c r="N663" s="344">
        <v>221106</v>
      </c>
    </row>
    <row r="664" spans="1:14" ht="15">
      <c r="A664" s="344">
        <v>60456</v>
      </c>
      <c r="B664" s="345" t="s">
        <v>137</v>
      </c>
      <c r="C664" s="344">
        <v>221106</v>
      </c>
      <c r="D664" s="344" t="str">
        <f t="shared" si="30"/>
        <v>221106</v>
      </c>
      <c r="E664" s="346" t="s">
        <v>147</v>
      </c>
      <c r="F664" s="344" t="s">
        <v>143</v>
      </c>
      <c r="G664" s="344" t="str">
        <f t="shared" si="31"/>
        <v>60456AXLE 3</v>
      </c>
      <c r="H664" s="344">
        <v>3</v>
      </c>
      <c r="I664" s="344">
        <v>18</v>
      </c>
      <c r="J664" s="344">
        <v>3</v>
      </c>
      <c r="K664" s="344">
        <v>6</v>
      </c>
      <c r="L664" t="str">
        <f t="shared" si="32"/>
        <v>60456</v>
      </c>
      <c r="M664" s="344" t="s">
        <v>143</v>
      </c>
      <c r="N664" s="344">
        <v>221106</v>
      </c>
    </row>
    <row r="665" spans="1:14" ht="15">
      <c r="A665" s="344">
        <v>60456</v>
      </c>
      <c r="B665" s="345" t="s">
        <v>137</v>
      </c>
      <c r="C665" s="344">
        <v>221106</v>
      </c>
      <c r="D665" s="344" t="str">
        <f t="shared" si="30"/>
        <v>221106</v>
      </c>
      <c r="E665" s="346" t="s">
        <v>146</v>
      </c>
      <c r="F665" s="344" t="s">
        <v>145</v>
      </c>
      <c r="G665" s="344" t="str">
        <f t="shared" si="31"/>
        <v>60456AXLE 4</v>
      </c>
      <c r="H665" s="344">
        <v>4</v>
      </c>
      <c r="I665" s="344">
        <v>17</v>
      </c>
      <c r="J665" s="344">
        <v>4</v>
      </c>
      <c r="K665" s="344">
        <v>5</v>
      </c>
      <c r="L665" t="str">
        <f t="shared" si="32"/>
        <v>60456</v>
      </c>
      <c r="M665" s="344" t="s">
        <v>145</v>
      </c>
      <c r="N665" s="344">
        <v>221106</v>
      </c>
    </row>
    <row r="666" spans="1:14" ht="15">
      <c r="A666" s="344">
        <v>60357</v>
      </c>
      <c r="B666" s="345" t="s">
        <v>137</v>
      </c>
      <c r="C666" s="344">
        <v>221107</v>
      </c>
      <c r="D666" s="344" t="str">
        <f t="shared" si="30"/>
        <v>221107</v>
      </c>
      <c r="E666" s="346" t="s">
        <v>146</v>
      </c>
      <c r="F666" s="344" t="s">
        <v>139</v>
      </c>
      <c r="G666" s="344" t="str">
        <f t="shared" si="31"/>
        <v>60357AXLE 1</v>
      </c>
      <c r="H666" s="344">
        <v>20</v>
      </c>
      <c r="I666" s="344">
        <v>1</v>
      </c>
      <c r="J666" s="344">
        <v>1</v>
      </c>
      <c r="K666" s="344">
        <v>8</v>
      </c>
      <c r="L666" t="str">
        <f t="shared" si="32"/>
        <v>60357</v>
      </c>
      <c r="M666" s="344" t="s">
        <v>139</v>
      </c>
      <c r="N666" s="344">
        <v>221107</v>
      </c>
    </row>
    <row r="667" spans="1:14" ht="15">
      <c r="A667" s="344">
        <v>60357</v>
      </c>
      <c r="B667" s="345" t="s">
        <v>137</v>
      </c>
      <c r="C667" s="344">
        <v>221107</v>
      </c>
      <c r="D667" s="344" t="str">
        <f t="shared" si="30"/>
        <v>221107</v>
      </c>
      <c r="E667" s="346" t="s">
        <v>147</v>
      </c>
      <c r="F667" s="344" t="s">
        <v>141</v>
      </c>
      <c r="G667" s="344" t="str">
        <f t="shared" si="31"/>
        <v>60357AXLE 2</v>
      </c>
      <c r="H667" s="344">
        <v>19</v>
      </c>
      <c r="I667" s="344">
        <v>2</v>
      </c>
      <c r="J667" s="344">
        <v>2</v>
      </c>
      <c r="K667" s="344">
        <v>7</v>
      </c>
      <c r="L667" t="str">
        <f t="shared" si="32"/>
        <v>60357</v>
      </c>
      <c r="M667" s="344" t="s">
        <v>141</v>
      </c>
      <c r="N667" s="344">
        <v>221107</v>
      </c>
    </row>
    <row r="668" spans="1:14" ht="15">
      <c r="A668" s="344">
        <v>60357</v>
      </c>
      <c r="B668" s="345" t="s">
        <v>137</v>
      </c>
      <c r="C668" s="344">
        <v>221107</v>
      </c>
      <c r="D668" s="344" t="str">
        <f t="shared" si="30"/>
        <v>221107</v>
      </c>
      <c r="E668" s="346" t="s">
        <v>147</v>
      </c>
      <c r="F668" s="344" t="s">
        <v>143</v>
      </c>
      <c r="G668" s="344" t="str">
        <f t="shared" si="31"/>
        <v>60357AXLE 3</v>
      </c>
      <c r="H668" s="344">
        <v>18</v>
      </c>
      <c r="I668" s="344">
        <v>3</v>
      </c>
      <c r="J668" s="344">
        <v>3</v>
      </c>
      <c r="K668" s="344">
        <v>6</v>
      </c>
      <c r="L668" t="str">
        <f t="shared" si="32"/>
        <v>60357</v>
      </c>
      <c r="M668" s="344" t="s">
        <v>143</v>
      </c>
      <c r="N668" s="344">
        <v>221107</v>
      </c>
    </row>
    <row r="669" spans="1:14" ht="15">
      <c r="A669" s="344">
        <v>60357</v>
      </c>
      <c r="B669" s="345" t="s">
        <v>137</v>
      </c>
      <c r="C669" s="344">
        <v>221107</v>
      </c>
      <c r="D669" s="344" t="str">
        <f t="shared" si="30"/>
        <v>221107</v>
      </c>
      <c r="E669" s="346" t="s">
        <v>146</v>
      </c>
      <c r="F669" s="344" t="s">
        <v>145</v>
      </c>
      <c r="G669" s="344" t="str">
        <f t="shared" si="31"/>
        <v>60357AXLE 4</v>
      </c>
      <c r="H669" s="344">
        <v>17</v>
      </c>
      <c r="I669" s="344">
        <v>4</v>
      </c>
      <c r="J669" s="344">
        <v>4</v>
      </c>
      <c r="K669" s="344">
        <v>5</v>
      </c>
      <c r="L669" t="str">
        <f t="shared" si="32"/>
        <v>60357</v>
      </c>
      <c r="M669" s="344" t="s">
        <v>145</v>
      </c>
      <c r="N669" s="344">
        <v>221107</v>
      </c>
    </row>
    <row r="670" spans="1:14" ht="15">
      <c r="A670" s="344">
        <v>60957</v>
      </c>
      <c r="B670" s="345" t="s">
        <v>137</v>
      </c>
      <c r="C670" s="344">
        <v>221107</v>
      </c>
      <c r="D670" s="344" t="str">
        <f t="shared" si="30"/>
        <v>221107</v>
      </c>
      <c r="E670" s="346" t="s">
        <v>146</v>
      </c>
      <c r="F670" s="344" t="s">
        <v>139</v>
      </c>
      <c r="G670" s="344" t="str">
        <f t="shared" si="31"/>
        <v>60957AXLE 1</v>
      </c>
      <c r="H670" s="344">
        <v>13</v>
      </c>
      <c r="I670" s="344">
        <v>8</v>
      </c>
      <c r="J670" s="344">
        <v>1</v>
      </c>
      <c r="K670" s="344">
        <v>8</v>
      </c>
      <c r="L670" t="str">
        <f t="shared" si="32"/>
        <v>60957</v>
      </c>
      <c r="M670" s="344" t="s">
        <v>139</v>
      </c>
      <c r="N670" s="344">
        <v>221107</v>
      </c>
    </row>
    <row r="671" spans="1:14" ht="15">
      <c r="A671" s="344">
        <v>60957</v>
      </c>
      <c r="B671" s="345" t="s">
        <v>137</v>
      </c>
      <c r="C671" s="344">
        <v>221107</v>
      </c>
      <c r="D671" s="344" t="str">
        <f t="shared" si="30"/>
        <v>221107</v>
      </c>
      <c r="E671" s="346" t="s">
        <v>147</v>
      </c>
      <c r="F671" s="344" t="s">
        <v>141</v>
      </c>
      <c r="G671" s="344" t="str">
        <f t="shared" si="31"/>
        <v>60957AXLE 2</v>
      </c>
      <c r="H671" s="344">
        <v>14</v>
      </c>
      <c r="I671" s="344">
        <v>7</v>
      </c>
      <c r="J671" s="344">
        <v>2</v>
      </c>
      <c r="K671" s="344">
        <v>7</v>
      </c>
      <c r="L671" t="str">
        <f t="shared" si="32"/>
        <v>60957</v>
      </c>
      <c r="M671" s="344" t="s">
        <v>141</v>
      </c>
      <c r="N671" s="344">
        <v>221107</v>
      </c>
    </row>
    <row r="672" spans="1:14" ht="15">
      <c r="A672" s="344">
        <v>60957</v>
      </c>
      <c r="B672" s="345" t="s">
        <v>137</v>
      </c>
      <c r="C672" s="344">
        <v>221107</v>
      </c>
      <c r="D672" s="344" t="str">
        <f t="shared" si="30"/>
        <v>221107</v>
      </c>
      <c r="E672" s="346" t="s">
        <v>147</v>
      </c>
      <c r="F672" s="344" t="s">
        <v>143</v>
      </c>
      <c r="G672" s="344" t="str">
        <f t="shared" si="31"/>
        <v>60957AXLE 3</v>
      </c>
      <c r="H672" s="344">
        <v>15</v>
      </c>
      <c r="I672" s="344">
        <v>6</v>
      </c>
      <c r="J672" s="344">
        <v>3</v>
      </c>
      <c r="K672" s="344">
        <v>6</v>
      </c>
      <c r="L672" t="str">
        <f t="shared" si="32"/>
        <v>60957</v>
      </c>
      <c r="M672" s="344" t="s">
        <v>143</v>
      </c>
      <c r="N672" s="344">
        <v>221107</v>
      </c>
    </row>
    <row r="673" spans="1:14" ht="15">
      <c r="A673" s="344">
        <v>60957</v>
      </c>
      <c r="B673" s="345" t="s">
        <v>137</v>
      </c>
      <c r="C673" s="344">
        <v>221107</v>
      </c>
      <c r="D673" s="344" t="str">
        <f t="shared" si="30"/>
        <v>221107</v>
      </c>
      <c r="E673" s="346" t="s">
        <v>146</v>
      </c>
      <c r="F673" s="344" t="s">
        <v>145</v>
      </c>
      <c r="G673" s="344" t="str">
        <f t="shared" si="31"/>
        <v>60957AXLE 4</v>
      </c>
      <c r="H673" s="344">
        <v>16</v>
      </c>
      <c r="I673" s="344">
        <v>5</v>
      </c>
      <c r="J673" s="344">
        <v>4</v>
      </c>
      <c r="K673" s="344">
        <v>5</v>
      </c>
      <c r="L673" t="str">
        <f t="shared" si="32"/>
        <v>60957</v>
      </c>
      <c r="M673" s="344" t="s">
        <v>145</v>
      </c>
      <c r="N673" s="344">
        <v>221107</v>
      </c>
    </row>
    <row r="674" spans="1:14" ht="15">
      <c r="A674" s="344">
        <v>60857</v>
      </c>
      <c r="B674" s="345" t="s">
        <v>137</v>
      </c>
      <c r="C674" s="344">
        <v>221107</v>
      </c>
      <c r="D674" s="344" t="str">
        <f t="shared" si="30"/>
        <v>221107</v>
      </c>
      <c r="E674" s="346" t="s">
        <v>146</v>
      </c>
      <c r="F674" s="344" t="s">
        <v>139</v>
      </c>
      <c r="G674" s="344" t="str">
        <f t="shared" si="31"/>
        <v>60857AXLE 1</v>
      </c>
      <c r="H674" s="344">
        <v>9</v>
      </c>
      <c r="I674" s="344">
        <v>12</v>
      </c>
      <c r="J674" s="344">
        <v>1</v>
      </c>
      <c r="K674" s="344">
        <v>8</v>
      </c>
      <c r="L674" t="str">
        <f t="shared" si="32"/>
        <v>60857</v>
      </c>
      <c r="M674" s="344" t="s">
        <v>139</v>
      </c>
      <c r="N674" s="344">
        <v>221107</v>
      </c>
    </row>
    <row r="675" spans="1:14" ht="15">
      <c r="A675" s="344">
        <v>60857</v>
      </c>
      <c r="B675" s="345" t="s">
        <v>137</v>
      </c>
      <c r="C675" s="344">
        <v>221107</v>
      </c>
      <c r="D675" s="344" t="str">
        <f t="shared" si="30"/>
        <v>221107</v>
      </c>
      <c r="E675" s="346" t="s">
        <v>147</v>
      </c>
      <c r="F675" s="344" t="s">
        <v>141</v>
      </c>
      <c r="G675" s="344" t="str">
        <f t="shared" si="31"/>
        <v>60857AXLE 2</v>
      </c>
      <c r="H675" s="344">
        <v>10</v>
      </c>
      <c r="I675" s="344">
        <v>11</v>
      </c>
      <c r="J675" s="344">
        <v>2</v>
      </c>
      <c r="K675" s="344">
        <v>7</v>
      </c>
      <c r="L675" t="str">
        <f t="shared" si="32"/>
        <v>60857</v>
      </c>
      <c r="M675" s="344" t="s">
        <v>141</v>
      </c>
      <c r="N675" s="344">
        <v>221107</v>
      </c>
    </row>
    <row r="676" spans="1:14" ht="15">
      <c r="A676" s="344">
        <v>60857</v>
      </c>
      <c r="B676" s="345" t="s">
        <v>137</v>
      </c>
      <c r="C676" s="344">
        <v>221107</v>
      </c>
      <c r="D676" s="344" t="str">
        <f t="shared" si="30"/>
        <v>221107</v>
      </c>
      <c r="E676" s="346" t="s">
        <v>147</v>
      </c>
      <c r="F676" s="344" t="s">
        <v>143</v>
      </c>
      <c r="G676" s="344" t="str">
        <f t="shared" si="31"/>
        <v>60857AXLE 3</v>
      </c>
      <c r="H676" s="344">
        <v>11</v>
      </c>
      <c r="I676" s="344">
        <v>10</v>
      </c>
      <c r="J676" s="344">
        <v>3</v>
      </c>
      <c r="K676" s="344">
        <v>6</v>
      </c>
      <c r="L676" t="str">
        <f t="shared" si="32"/>
        <v>60857</v>
      </c>
      <c r="M676" s="344" t="s">
        <v>143</v>
      </c>
      <c r="N676" s="344">
        <v>221107</v>
      </c>
    </row>
    <row r="677" spans="1:14" ht="15">
      <c r="A677" s="344">
        <v>60857</v>
      </c>
      <c r="B677" s="345" t="s">
        <v>137</v>
      </c>
      <c r="C677" s="344">
        <v>221107</v>
      </c>
      <c r="D677" s="344" t="str">
        <f t="shared" si="30"/>
        <v>221107</v>
      </c>
      <c r="E677" s="346" t="s">
        <v>146</v>
      </c>
      <c r="F677" s="344" t="s">
        <v>145</v>
      </c>
      <c r="G677" s="344" t="str">
        <f t="shared" si="31"/>
        <v>60857AXLE 4</v>
      </c>
      <c r="H677" s="344">
        <v>12</v>
      </c>
      <c r="I677" s="344">
        <v>9</v>
      </c>
      <c r="J677" s="344">
        <v>4</v>
      </c>
      <c r="K677" s="344">
        <v>5</v>
      </c>
      <c r="L677" t="str">
        <f t="shared" si="32"/>
        <v>60857</v>
      </c>
      <c r="M677" s="344" t="s">
        <v>145</v>
      </c>
      <c r="N677" s="344">
        <v>221107</v>
      </c>
    </row>
    <row r="678" spans="1:14" ht="15">
      <c r="A678" s="344">
        <v>60757</v>
      </c>
      <c r="B678" s="345" t="s">
        <v>137</v>
      </c>
      <c r="C678" s="344">
        <v>221107</v>
      </c>
      <c r="D678" s="344" t="str">
        <f t="shared" si="30"/>
        <v>221107</v>
      </c>
      <c r="E678" s="346" t="s">
        <v>146</v>
      </c>
      <c r="F678" s="344" t="s">
        <v>139</v>
      </c>
      <c r="G678" s="344" t="str">
        <f t="shared" si="31"/>
        <v>60757AXLE 1</v>
      </c>
      <c r="H678" s="344">
        <v>5</v>
      </c>
      <c r="I678" s="344">
        <v>16</v>
      </c>
      <c r="J678" s="344">
        <v>1</v>
      </c>
      <c r="K678" s="344">
        <v>8</v>
      </c>
      <c r="L678" t="str">
        <f t="shared" si="32"/>
        <v>60757</v>
      </c>
      <c r="M678" s="344" t="s">
        <v>139</v>
      </c>
      <c r="N678" s="344">
        <v>221107</v>
      </c>
    </row>
    <row r="679" spans="1:14" ht="15">
      <c r="A679" s="344">
        <v>60757</v>
      </c>
      <c r="B679" s="345" t="s">
        <v>137</v>
      </c>
      <c r="C679" s="344">
        <v>221107</v>
      </c>
      <c r="D679" s="344" t="str">
        <f t="shared" si="30"/>
        <v>221107</v>
      </c>
      <c r="E679" s="346" t="s">
        <v>147</v>
      </c>
      <c r="F679" s="344" t="s">
        <v>141</v>
      </c>
      <c r="G679" s="344" t="str">
        <f t="shared" si="31"/>
        <v>60757AXLE 2</v>
      </c>
      <c r="H679" s="344">
        <v>6</v>
      </c>
      <c r="I679" s="344">
        <v>15</v>
      </c>
      <c r="J679" s="344">
        <v>2</v>
      </c>
      <c r="K679" s="344">
        <v>7</v>
      </c>
      <c r="L679" t="str">
        <f t="shared" si="32"/>
        <v>60757</v>
      </c>
      <c r="M679" s="344" t="s">
        <v>141</v>
      </c>
      <c r="N679" s="344">
        <v>221107</v>
      </c>
    </row>
    <row r="680" spans="1:14" ht="15">
      <c r="A680" s="344">
        <v>60757</v>
      </c>
      <c r="B680" s="345" t="s">
        <v>137</v>
      </c>
      <c r="C680" s="344">
        <v>221107</v>
      </c>
      <c r="D680" s="344" t="str">
        <f t="shared" si="30"/>
        <v>221107</v>
      </c>
      <c r="E680" s="346" t="s">
        <v>147</v>
      </c>
      <c r="F680" s="344" t="s">
        <v>143</v>
      </c>
      <c r="G680" s="344" t="str">
        <f t="shared" si="31"/>
        <v>60757AXLE 3</v>
      </c>
      <c r="H680" s="344">
        <v>7</v>
      </c>
      <c r="I680" s="344">
        <v>14</v>
      </c>
      <c r="J680" s="344">
        <v>3</v>
      </c>
      <c r="K680" s="344">
        <v>6</v>
      </c>
      <c r="L680" t="str">
        <f t="shared" si="32"/>
        <v>60757</v>
      </c>
      <c r="M680" s="344" t="s">
        <v>143</v>
      </c>
      <c r="N680" s="344">
        <v>221107</v>
      </c>
    </row>
    <row r="681" spans="1:14" ht="15">
      <c r="A681" s="344">
        <v>60757</v>
      </c>
      <c r="B681" s="345" t="s">
        <v>137</v>
      </c>
      <c r="C681" s="344">
        <v>221107</v>
      </c>
      <c r="D681" s="344" t="str">
        <f t="shared" si="30"/>
        <v>221107</v>
      </c>
      <c r="E681" s="346" t="s">
        <v>146</v>
      </c>
      <c r="F681" s="344" t="s">
        <v>145</v>
      </c>
      <c r="G681" s="344" t="str">
        <f t="shared" si="31"/>
        <v>60757AXLE 4</v>
      </c>
      <c r="H681" s="344">
        <v>8</v>
      </c>
      <c r="I681" s="344">
        <v>13</v>
      </c>
      <c r="J681" s="344">
        <v>4</v>
      </c>
      <c r="K681" s="344">
        <v>5</v>
      </c>
      <c r="L681" t="str">
        <f t="shared" si="32"/>
        <v>60757</v>
      </c>
      <c r="M681" s="344" t="s">
        <v>145</v>
      </c>
      <c r="N681" s="344">
        <v>221107</v>
      </c>
    </row>
    <row r="682" spans="1:14" ht="15">
      <c r="A682" s="344">
        <v>60457</v>
      </c>
      <c r="B682" s="345" t="s">
        <v>137</v>
      </c>
      <c r="C682" s="344">
        <v>221107</v>
      </c>
      <c r="D682" s="344" t="str">
        <f t="shared" si="30"/>
        <v>221107</v>
      </c>
      <c r="E682" s="346" t="s">
        <v>146</v>
      </c>
      <c r="F682" s="344" t="s">
        <v>139</v>
      </c>
      <c r="G682" s="344" t="str">
        <f t="shared" si="31"/>
        <v>60457AXLE 1</v>
      </c>
      <c r="H682" s="344">
        <v>1</v>
      </c>
      <c r="I682" s="344">
        <v>20</v>
      </c>
      <c r="J682" s="344">
        <v>1</v>
      </c>
      <c r="K682" s="344">
        <v>8</v>
      </c>
      <c r="L682" t="str">
        <f t="shared" si="32"/>
        <v>60457</v>
      </c>
      <c r="M682" s="344" t="s">
        <v>139</v>
      </c>
      <c r="N682" s="344">
        <v>221107</v>
      </c>
    </row>
    <row r="683" spans="1:14" ht="15">
      <c r="A683" s="344">
        <v>60457</v>
      </c>
      <c r="B683" s="345" t="s">
        <v>137</v>
      </c>
      <c r="C683" s="344">
        <v>221107</v>
      </c>
      <c r="D683" s="344" t="str">
        <f t="shared" si="30"/>
        <v>221107</v>
      </c>
      <c r="E683" s="346" t="s">
        <v>147</v>
      </c>
      <c r="F683" s="344" t="s">
        <v>141</v>
      </c>
      <c r="G683" s="344" t="str">
        <f t="shared" si="31"/>
        <v>60457AXLE 2</v>
      </c>
      <c r="H683" s="344">
        <v>2</v>
      </c>
      <c r="I683" s="344">
        <v>19</v>
      </c>
      <c r="J683" s="344">
        <v>2</v>
      </c>
      <c r="K683" s="344">
        <v>7</v>
      </c>
      <c r="L683" t="str">
        <f t="shared" si="32"/>
        <v>60457</v>
      </c>
      <c r="M683" s="344" t="s">
        <v>141</v>
      </c>
      <c r="N683" s="344">
        <v>221107</v>
      </c>
    </row>
    <row r="684" spans="1:14" ht="15">
      <c r="A684" s="344">
        <v>60457</v>
      </c>
      <c r="B684" s="345" t="s">
        <v>137</v>
      </c>
      <c r="C684" s="344">
        <v>221107</v>
      </c>
      <c r="D684" s="344" t="str">
        <f t="shared" si="30"/>
        <v>221107</v>
      </c>
      <c r="E684" s="346" t="s">
        <v>147</v>
      </c>
      <c r="F684" s="344" t="s">
        <v>143</v>
      </c>
      <c r="G684" s="344" t="str">
        <f t="shared" si="31"/>
        <v>60457AXLE 3</v>
      </c>
      <c r="H684" s="344">
        <v>3</v>
      </c>
      <c r="I684" s="344">
        <v>18</v>
      </c>
      <c r="J684" s="344">
        <v>3</v>
      </c>
      <c r="K684" s="344">
        <v>6</v>
      </c>
      <c r="L684" t="str">
        <f t="shared" si="32"/>
        <v>60457</v>
      </c>
      <c r="M684" s="344" t="s">
        <v>143</v>
      </c>
      <c r="N684" s="344">
        <v>221107</v>
      </c>
    </row>
    <row r="685" spans="1:14" ht="15">
      <c r="A685" s="344">
        <v>60457</v>
      </c>
      <c r="B685" s="345" t="s">
        <v>137</v>
      </c>
      <c r="C685" s="344">
        <v>221107</v>
      </c>
      <c r="D685" s="344" t="str">
        <f t="shared" si="30"/>
        <v>221107</v>
      </c>
      <c r="E685" s="346" t="s">
        <v>146</v>
      </c>
      <c r="F685" s="344" t="s">
        <v>145</v>
      </c>
      <c r="G685" s="344" t="str">
        <f t="shared" si="31"/>
        <v>60457AXLE 4</v>
      </c>
      <c r="H685" s="344">
        <v>4</v>
      </c>
      <c r="I685" s="344">
        <v>17</v>
      </c>
      <c r="J685" s="344">
        <v>4</v>
      </c>
      <c r="K685" s="344">
        <v>5</v>
      </c>
      <c r="L685" t="str">
        <f t="shared" si="32"/>
        <v>60457</v>
      </c>
      <c r="M685" s="344" t="s">
        <v>145</v>
      </c>
      <c r="N685" s="344">
        <v>221107</v>
      </c>
    </row>
    <row r="686" spans="1:14" ht="15">
      <c r="A686" s="344">
        <v>60358</v>
      </c>
      <c r="B686" s="345" t="s">
        <v>137</v>
      </c>
      <c r="C686" s="344">
        <v>221108</v>
      </c>
      <c r="D686" s="344" t="str">
        <f t="shared" si="30"/>
        <v>221108</v>
      </c>
      <c r="E686" s="346" t="s">
        <v>146</v>
      </c>
      <c r="F686" s="344" t="s">
        <v>139</v>
      </c>
      <c r="G686" s="344" t="str">
        <f t="shared" si="31"/>
        <v>60358AXLE 1</v>
      </c>
      <c r="H686" s="344">
        <v>20</v>
      </c>
      <c r="I686" s="344">
        <v>1</v>
      </c>
      <c r="J686" s="344">
        <v>1</v>
      </c>
      <c r="K686" s="344">
        <v>8</v>
      </c>
      <c r="L686" t="str">
        <f t="shared" si="32"/>
        <v>60358</v>
      </c>
      <c r="M686" s="344" t="s">
        <v>139</v>
      </c>
      <c r="N686" s="344">
        <v>221108</v>
      </c>
    </row>
    <row r="687" spans="1:14" ht="15">
      <c r="A687" s="344">
        <v>60358</v>
      </c>
      <c r="B687" s="345" t="s">
        <v>137</v>
      </c>
      <c r="C687" s="344">
        <v>221108</v>
      </c>
      <c r="D687" s="344" t="str">
        <f t="shared" si="30"/>
        <v>221108</v>
      </c>
      <c r="E687" s="346" t="s">
        <v>147</v>
      </c>
      <c r="F687" s="344" t="s">
        <v>141</v>
      </c>
      <c r="G687" s="344" t="str">
        <f t="shared" si="31"/>
        <v>60358AXLE 2</v>
      </c>
      <c r="H687" s="344">
        <v>19</v>
      </c>
      <c r="I687" s="344">
        <v>2</v>
      </c>
      <c r="J687" s="344">
        <v>2</v>
      </c>
      <c r="K687" s="344">
        <v>7</v>
      </c>
      <c r="L687" t="str">
        <f t="shared" si="32"/>
        <v>60358</v>
      </c>
      <c r="M687" s="344" t="s">
        <v>141</v>
      </c>
      <c r="N687" s="344">
        <v>221108</v>
      </c>
    </row>
    <row r="688" spans="1:14" ht="15">
      <c r="A688" s="344">
        <v>60358</v>
      </c>
      <c r="B688" s="345" t="s">
        <v>137</v>
      </c>
      <c r="C688" s="344">
        <v>221108</v>
      </c>
      <c r="D688" s="344" t="str">
        <f t="shared" si="30"/>
        <v>221108</v>
      </c>
      <c r="E688" s="346" t="s">
        <v>147</v>
      </c>
      <c r="F688" s="344" t="s">
        <v>143</v>
      </c>
      <c r="G688" s="344" t="str">
        <f t="shared" si="31"/>
        <v>60358AXLE 3</v>
      </c>
      <c r="H688" s="344">
        <v>18</v>
      </c>
      <c r="I688" s="344">
        <v>3</v>
      </c>
      <c r="J688" s="344">
        <v>3</v>
      </c>
      <c r="K688" s="344">
        <v>6</v>
      </c>
      <c r="L688" t="str">
        <f t="shared" si="32"/>
        <v>60358</v>
      </c>
      <c r="M688" s="344" t="s">
        <v>143</v>
      </c>
      <c r="N688" s="344">
        <v>221108</v>
      </c>
    </row>
    <row r="689" spans="1:14" ht="15">
      <c r="A689" s="344">
        <v>60358</v>
      </c>
      <c r="B689" s="345" t="s">
        <v>137</v>
      </c>
      <c r="C689" s="344">
        <v>221108</v>
      </c>
      <c r="D689" s="344" t="str">
        <f t="shared" si="30"/>
        <v>221108</v>
      </c>
      <c r="E689" s="346" t="s">
        <v>146</v>
      </c>
      <c r="F689" s="344" t="s">
        <v>145</v>
      </c>
      <c r="G689" s="344" t="str">
        <f t="shared" si="31"/>
        <v>60358AXLE 4</v>
      </c>
      <c r="H689" s="344">
        <v>17</v>
      </c>
      <c r="I689" s="344">
        <v>4</v>
      </c>
      <c r="J689" s="344">
        <v>4</v>
      </c>
      <c r="K689" s="344">
        <v>5</v>
      </c>
      <c r="L689" t="str">
        <f t="shared" si="32"/>
        <v>60358</v>
      </c>
      <c r="M689" s="344" t="s">
        <v>145</v>
      </c>
      <c r="N689" s="344">
        <v>221108</v>
      </c>
    </row>
    <row r="690" spans="1:14" ht="15">
      <c r="A690" s="344">
        <v>60958</v>
      </c>
      <c r="B690" s="345" t="s">
        <v>137</v>
      </c>
      <c r="C690" s="344">
        <v>221108</v>
      </c>
      <c r="D690" s="344" t="str">
        <f t="shared" si="30"/>
        <v>221108</v>
      </c>
      <c r="E690" s="346" t="s">
        <v>146</v>
      </c>
      <c r="F690" s="344" t="s">
        <v>139</v>
      </c>
      <c r="G690" s="344" t="str">
        <f t="shared" si="31"/>
        <v>60958AXLE 1</v>
      </c>
      <c r="H690" s="344">
        <v>13</v>
      </c>
      <c r="I690" s="344">
        <v>8</v>
      </c>
      <c r="J690" s="344">
        <v>1</v>
      </c>
      <c r="K690" s="344">
        <v>8</v>
      </c>
      <c r="L690" t="str">
        <f t="shared" si="32"/>
        <v>60958</v>
      </c>
      <c r="M690" s="344" t="s">
        <v>139</v>
      </c>
      <c r="N690" s="344">
        <v>221108</v>
      </c>
    </row>
    <row r="691" spans="1:14" ht="15">
      <c r="A691" s="344">
        <v>60958</v>
      </c>
      <c r="B691" s="345" t="s">
        <v>137</v>
      </c>
      <c r="C691" s="344">
        <v>221108</v>
      </c>
      <c r="D691" s="344" t="str">
        <f t="shared" si="30"/>
        <v>221108</v>
      </c>
      <c r="E691" s="346" t="s">
        <v>147</v>
      </c>
      <c r="F691" s="344" t="s">
        <v>141</v>
      </c>
      <c r="G691" s="344" t="str">
        <f t="shared" si="31"/>
        <v>60958AXLE 2</v>
      </c>
      <c r="H691" s="344">
        <v>14</v>
      </c>
      <c r="I691" s="344">
        <v>7</v>
      </c>
      <c r="J691" s="344">
        <v>2</v>
      </c>
      <c r="K691" s="344">
        <v>7</v>
      </c>
      <c r="L691" t="str">
        <f t="shared" si="32"/>
        <v>60958</v>
      </c>
      <c r="M691" s="344" t="s">
        <v>141</v>
      </c>
      <c r="N691" s="344">
        <v>221108</v>
      </c>
    </row>
    <row r="692" spans="1:14" ht="15">
      <c r="A692" s="344">
        <v>60958</v>
      </c>
      <c r="B692" s="345" t="s">
        <v>137</v>
      </c>
      <c r="C692" s="344">
        <v>221108</v>
      </c>
      <c r="D692" s="344" t="str">
        <f t="shared" si="30"/>
        <v>221108</v>
      </c>
      <c r="E692" s="346" t="s">
        <v>147</v>
      </c>
      <c r="F692" s="344" t="s">
        <v>143</v>
      </c>
      <c r="G692" s="344" t="str">
        <f t="shared" si="31"/>
        <v>60958AXLE 3</v>
      </c>
      <c r="H692" s="344">
        <v>15</v>
      </c>
      <c r="I692" s="344">
        <v>6</v>
      </c>
      <c r="J692" s="344">
        <v>3</v>
      </c>
      <c r="K692" s="344">
        <v>6</v>
      </c>
      <c r="L692" t="str">
        <f t="shared" si="32"/>
        <v>60958</v>
      </c>
      <c r="M692" s="344" t="s">
        <v>143</v>
      </c>
      <c r="N692" s="344">
        <v>221108</v>
      </c>
    </row>
    <row r="693" spans="1:14" ht="15">
      <c r="A693" s="344">
        <v>60958</v>
      </c>
      <c r="B693" s="345" t="s">
        <v>137</v>
      </c>
      <c r="C693" s="344">
        <v>221108</v>
      </c>
      <c r="D693" s="344" t="str">
        <f t="shared" si="30"/>
        <v>221108</v>
      </c>
      <c r="E693" s="346" t="s">
        <v>146</v>
      </c>
      <c r="F693" s="344" t="s">
        <v>145</v>
      </c>
      <c r="G693" s="344" t="str">
        <f t="shared" si="31"/>
        <v>60958AXLE 4</v>
      </c>
      <c r="H693" s="344">
        <v>16</v>
      </c>
      <c r="I693" s="344">
        <v>5</v>
      </c>
      <c r="J693" s="344">
        <v>4</v>
      </c>
      <c r="K693" s="344">
        <v>5</v>
      </c>
      <c r="L693" t="str">
        <f t="shared" si="32"/>
        <v>60958</v>
      </c>
      <c r="M693" s="344" t="s">
        <v>145</v>
      </c>
      <c r="N693" s="344">
        <v>221108</v>
      </c>
    </row>
    <row r="694" spans="1:14" ht="15">
      <c r="A694" s="344">
        <v>60858</v>
      </c>
      <c r="B694" s="345" t="s">
        <v>137</v>
      </c>
      <c r="C694" s="344">
        <v>221108</v>
      </c>
      <c r="D694" s="344" t="str">
        <f t="shared" si="30"/>
        <v>221108</v>
      </c>
      <c r="E694" s="346" t="s">
        <v>146</v>
      </c>
      <c r="F694" s="344" t="s">
        <v>139</v>
      </c>
      <c r="G694" s="344" t="str">
        <f t="shared" si="31"/>
        <v>60858AXLE 1</v>
      </c>
      <c r="H694" s="344">
        <v>9</v>
      </c>
      <c r="I694" s="344">
        <v>12</v>
      </c>
      <c r="J694" s="344">
        <v>1</v>
      </c>
      <c r="K694" s="344">
        <v>8</v>
      </c>
      <c r="L694" t="str">
        <f t="shared" si="32"/>
        <v>60858</v>
      </c>
      <c r="M694" s="344" t="s">
        <v>139</v>
      </c>
      <c r="N694" s="344">
        <v>221108</v>
      </c>
    </row>
    <row r="695" spans="1:14" ht="15">
      <c r="A695" s="344">
        <v>60858</v>
      </c>
      <c r="B695" s="345" t="s">
        <v>137</v>
      </c>
      <c r="C695" s="344">
        <v>221108</v>
      </c>
      <c r="D695" s="344" t="str">
        <f t="shared" si="30"/>
        <v>221108</v>
      </c>
      <c r="E695" s="346" t="s">
        <v>147</v>
      </c>
      <c r="F695" s="344" t="s">
        <v>141</v>
      </c>
      <c r="G695" s="344" t="str">
        <f t="shared" si="31"/>
        <v>60858AXLE 2</v>
      </c>
      <c r="H695" s="344">
        <v>10</v>
      </c>
      <c r="I695" s="344">
        <v>11</v>
      </c>
      <c r="J695" s="344">
        <v>2</v>
      </c>
      <c r="K695" s="344">
        <v>7</v>
      </c>
      <c r="L695" t="str">
        <f t="shared" si="32"/>
        <v>60858</v>
      </c>
      <c r="M695" s="344" t="s">
        <v>141</v>
      </c>
      <c r="N695" s="344">
        <v>221108</v>
      </c>
    </row>
    <row r="696" spans="1:14" ht="15">
      <c r="A696" s="344">
        <v>60858</v>
      </c>
      <c r="B696" s="345" t="s">
        <v>137</v>
      </c>
      <c r="C696" s="344">
        <v>221108</v>
      </c>
      <c r="D696" s="344" t="str">
        <f t="shared" si="30"/>
        <v>221108</v>
      </c>
      <c r="E696" s="346" t="s">
        <v>147</v>
      </c>
      <c r="F696" s="344" t="s">
        <v>143</v>
      </c>
      <c r="G696" s="344" t="str">
        <f t="shared" si="31"/>
        <v>60858AXLE 3</v>
      </c>
      <c r="H696" s="344">
        <v>11</v>
      </c>
      <c r="I696" s="344">
        <v>10</v>
      </c>
      <c r="J696" s="344">
        <v>3</v>
      </c>
      <c r="K696" s="344">
        <v>6</v>
      </c>
      <c r="L696" t="str">
        <f t="shared" si="32"/>
        <v>60858</v>
      </c>
      <c r="M696" s="344" t="s">
        <v>143</v>
      </c>
      <c r="N696" s="344">
        <v>221108</v>
      </c>
    </row>
    <row r="697" spans="1:14" ht="15">
      <c r="A697" s="344">
        <v>60858</v>
      </c>
      <c r="B697" s="345" t="s">
        <v>137</v>
      </c>
      <c r="C697" s="344">
        <v>221108</v>
      </c>
      <c r="D697" s="344" t="str">
        <f t="shared" si="30"/>
        <v>221108</v>
      </c>
      <c r="E697" s="346" t="s">
        <v>146</v>
      </c>
      <c r="F697" s="344" t="s">
        <v>145</v>
      </c>
      <c r="G697" s="344" t="str">
        <f t="shared" si="31"/>
        <v>60858AXLE 4</v>
      </c>
      <c r="H697" s="344">
        <v>12</v>
      </c>
      <c r="I697" s="344">
        <v>9</v>
      </c>
      <c r="J697" s="344">
        <v>4</v>
      </c>
      <c r="K697" s="344">
        <v>5</v>
      </c>
      <c r="L697" t="str">
        <f t="shared" si="32"/>
        <v>60858</v>
      </c>
      <c r="M697" s="344" t="s">
        <v>145</v>
      </c>
      <c r="N697" s="344">
        <v>221108</v>
      </c>
    </row>
    <row r="698" spans="1:14" ht="15">
      <c r="A698" s="344">
        <v>60758</v>
      </c>
      <c r="B698" s="345" t="s">
        <v>137</v>
      </c>
      <c r="C698" s="344">
        <v>221108</v>
      </c>
      <c r="D698" s="344" t="str">
        <f t="shared" si="30"/>
        <v>221108</v>
      </c>
      <c r="E698" s="346" t="s">
        <v>146</v>
      </c>
      <c r="F698" s="344" t="s">
        <v>139</v>
      </c>
      <c r="G698" s="344" t="str">
        <f t="shared" si="31"/>
        <v>60758AXLE 1</v>
      </c>
      <c r="H698" s="344">
        <v>5</v>
      </c>
      <c r="I698" s="344">
        <v>16</v>
      </c>
      <c r="J698" s="344">
        <v>1</v>
      </c>
      <c r="K698" s="344">
        <v>8</v>
      </c>
      <c r="L698" t="str">
        <f t="shared" si="32"/>
        <v>60758</v>
      </c>
      <c r="M698" s="344" t="s">
        <v>139</v>
      </c>
      <c r="N698" s="344">
        <v>221108</v>
      </c>
    </row>
    <row r="699" spans="1:14" ht="15">
      <c r="A699" s="344">
        <v>60758</v>
      </c>
      <c r="B699" s="345" t="s">
        <v>137</v>
      </c>
      <c r="C699" s="344">
        <v>221108</v>
      </c>
      <c r="D699" s="344" t="str">
        <f t="shared" si="30"/>
        <v>221108</v>
      </c>
      <c r="E699" s="346" t="s">
        <v>147</v>
      </c>
      <c r="F699" s="344" t="s">
        <v>141</v>
      </c>
      <c r="G699" s="344" t="str">
        <f t="shared" si="31"/>
        <v>60758AXLE 2</v>
      </c>
      <c r="H699" s="344">
        <v>6</v>
      </c>
      <c r="I699" s="344">
        <v>15</v>
      </c>
      <c r="J699" s="344">
        <v>2</v>
      </c>
      <c r="K699" s="344">
        <v>7</v>
      </c>
      <c r="L699" t="str">
        <f t="shared" si="32"/>
        <v>60758</v>
      </c>
      <c r="M699" s="344" t="s">
        <v>141</v>
      </c>
      <c r="N699" s="344">
        <v>221108</v>
      </c>
    </row>
    <row r="700" spans="1:14" ht="15">
      <c r="A700" s="344">
        <v>60758</v>
      </c>
      <c r="B700" s="345" t="s">
        <v>137</v>
      </c>
      <c r="C700" s="344">
        <v>221108</v>
      </c>
      <c r="D700" s="344" t="str">
        <f t="shared" si="30"/>
        <v>221108</v>
      </c>
      <c r="E700" s="346" t="s">
        <v>147</v>
      </c>
      <c r="F700" s="344" t="s">
        <v>143</v>
      </c>
      <c r="G700" s="344" t="str">
        <f t="shared" si="31"/>
        <v>60758AXLE 3</v>
      </c>
      <c r="H700" s="344">
        <v>7</v>
      </c>
      <c r="I700" s="344">
        <v>14</v>
      </c>
      <c r="J700" s="344">
        <v>3</v>
      </c>
      <c r="K700" s="344">
        <v>6</v>
      </c>
      <c r="L700" t="str">
        <f t="shared" si="32"/>
        <v>60758</v>
      </c>
      <c r="M700" s="344" t="s">
        <v>143</v>
      </c>
      <c r="N700" s="344">
        <v>221108</v>
      </c>
    </row>
    <row r="701" spans="1:14" ht="15">
      <c r="A701" s="344">
        <v>60758</v>
      </c>
      <c r="B701" s="345" t="s">
        <v>137</v>
      </c>
      <c r="C701" s="344">
        <v>221108</v>
      </c>
      <c r="D701" s="344" t="str">
        <f t="shared" si="30"/>
        <v>221108</v>
      </c>
      <c r="E701" s="346" t="s">
        <v>146</v>
      </c>
      <c r="F701" s="344" t="s">
        <v>145</v>
      </c>
      <c r="G701" s="344" t="str">
        <f t="shared" si="31"/>
        <v>60758AXLE 4</v>
      </c>
      <c r="H701" s="344">
        <v>8</v>
      </c>
      <c r="I701" s="344">
        <v>13</v>
      </c>
      <c r="J701" s="344">
        <v>4</v>
      </c>
      <c r="K701" s="344">
        <v>5</v>
      </c>
      <c r="L701" t="str">
        <f t="shared" si="32"/>
        <v>60758</v>
      </c>
      <c r="M701" s="344" t="s">
        <v>145</v>
      </c>
      <c r="N701" s="344">
        <v>221108</v>
      </c>
    </row>
    <row r="702" spans="1:14" ht="15">
      <c r="A702" s="344">
        <v>60458</v>
      </c>
      <c r="B702" s="345" t="s">
        <v>137</v>
      </c>
      <c r="C702" s="344">
        <v>221108</v>
      </c>
      <c r="D702" s="344" t="str">
        <f t="shared" si="30"/>
        <v>221108</v>
      </c>
      <c r="E702" s="346" t="s">
        <v>146</v>
      </c>
      <c r="F702" s="344" t="s">
        <v>139</v>
      </c>
      <c r="G702" s="344" t="str">
        <f t="shared" si="31"/>
        <v>60458AXLE 1</v>
      </c>
      <c r="H702" s="344">
        <v>1</v>
      </c>
      <c r="I702" s="344">
        <v>20</v>
      </c>
      <c r="J702" s="344">
        <v>1</v>
      </c>
      <c r="K702" s="344">
        <v>8</v>
      </c>
      <c r="L702" t="str">
        <f t="shared" si="32"/>
        <v>60458</v>
      </c>
      <c r="M702" s="344" t="s">
        <v>139</v>
      </c>
      <c r="N702" s="344">
        <v>221108</v>
      </c>
    </row>
    <row r="703" spans="1:14" ht="15">
      <c r="A703" s="344">
        <v>60458</v>
      </c>
      <c r="B703" s="345" t="s">
        <v>137</v>
      </c>
      <c r="C703" s="344">
        <v>221108</v>
      </c>
      <c r="D703" s="344" t="str">
        <f t="shared" si="30"/>
        <v>221108</v>
      </c>
      <c r="E703" s="346" t="s">
        <v>147</v>
      </c>
      <c r="F703" s="344" t="s">
        <v>141</v>
      </c>
      <c r="G703" s="344" t="str">
        <f t="shared" si="31"/>
        <v>60458AXLE 2</v>
      </c>
      <c r="H703" s="344">
        <v>2</v>
      </c>
      <c r="I703" s="344">
        <v>19</v>
      </c>
      <c r="J703" s="344">
        <v>2</v>
      </c>
      <c r="K703" s="344">
        <v>7</v>
      </c>
      <c r="L703" t="str">
        <f t="shared" si="32"/>
        <v>60458</v>
      </c>
      <c r="M703" s="344" t="s">
        <v>141</v>
      </c>
      <c r="N703" s="344">
        <v>221108</v>
      </c>
    </row>
    <row r="704" spans="1:14" ht="15">
      <c r="A704" s="344">
        <v>60458</v>
      </c>
      <c r="B704" s="345" t="s">
        <v>137</v>
      </c>
      <c r="C704" s="344">
        <v>221108</v>
      </c>
      <c r="D704" s="344" t="str">
        <f t="shared" si="30"/>
        <v>221108</v>
      </c>
      <c r="E704" s="346" t="s">
        <v>147</v>
      </c>
      <c r="F704" s="344" t="s">
        <v>143</v>
      </c>
      <c r="G704" s="344" t="str">
        <f t="shared" si="31"/>
        <v>60458AXLE 3</v>
      </c>
      <c r="H704" s="344">
        <v>3</v>
      </c>
      <c r="I704" s="344">
        <v>18</v>
      </c>
      <c r="J704" s="344">
        <v>3</v>
      </c>
      <c r="K704" s="344">
        <v>6</v>
      </c>
      <c r="L704" t="str">
        <f t="shared" si="32"/>
        <v>60458</v>
      </c>
      <c r="M704" s="344" t="s">
        <v>143</v>
      </c>
      <c r="N704" s="344">
        <v>221108</v>
      </c>
    </row>
    <row r="705" spans="1:14" ht="15">
      <c r="A705" s="344">
        <v>60458</v>
      </c>
      <c r="B705" s="345" t="s">
        <v>137</v>
      </c>
      <c r="C705" s="344">
        <v>221108</v>
      </c>
      <c r="D705" s="344" t="str">
        <f t="shared" si="30"/>
        <v>221108</v>
      </c>
      <c r="E705" s="346" t="s">
        <v>146</v>
      </c>
      <c r="F705" s="344" t="s">
        <v>145</v>
      </c>
      <c r="G705" s="344" t="str">
        <f t="shared" si="31"/>
        <v>60458AXLE 4</v>
      </c>
      <c r="H705" s="344">
        <v>4</v>
      </c>
      <c r="I705" s="344">
        <v>17</v>
      </c>
      <c r="J705" s="344">
        <v>4</v>
      </c>
      <c r="K705" s="344">
        <v>5</v>
      </c>
      <c r="L705" t="str">
        <f t="shared" si="32"/>
        <v>60458</v>
      </c>
      <c r="M705" s="344" t="s">
        <v>145</v>
      </c>
      <c r="N705" s="344">
        <v>221108</v>
      </c>
    </row>
    <row r="706" spans="1:14" ht="15">
      <c r="A706" s="344">
        <v>60359</v>
      </c>
      <c r="B706" s="345" t="s">
        <v>137</v>
      </c>
      <c r="C706" s="344">
        <v>221109</v>
      </c>
      <c r="D706" s="344" t="str">
        <f t="shared" si="30"/>
        <v>221109</v>
      </c>
      <c r="E706" s="346" t="s">
        <v>146</v>
      </c>
      <c r="F706" s="344" t="s">
        <v>139</v>
      </c>
      <c r="G706" s="344" t="str">
        <f t="shared" si="31"/>
        <v>60359AXLE 1</v>
      </c>
      <c r="H706" s="344">
        <v>20</v>
      </c>
      <c r="I706" s="344">
        <v>1</v>
      </c>
      <c r="J706" s="344">
        <v>1</v>
      </c>
      <c r="K706" s="344">
        <v>8</v>
      </c>
      <c r="L706" t="str">
        <f t="shared" si="32"/>
        <v>60359</v>
      </c>
      <c r="M706" s="344" t="s">
        <v>139</v>
      </c>
      <c r="N706" s="344">
        <v>221109</v>
      </c>
    </row>
    <row r="707" spans="1:14" ht="15">
      <c r="A707" s="344">
        <v>60359</v>
      </c>
      <c r="B707" s="345" t="s">
        <v>137</v>
      </c>
      <c r="C707" s="344">
        <v>221109</v>
      </c>
      <c r="D707" s="344" t="str">
        <f t="shared" ref="D707:D770" si="33">CONCATENATE(B707,C707)</f>
        <v>221109</v>
      </c>
      <c r="E707" s="346" t="s">
        <v>147</v>
      </c>
      <c r="F707" s="344" t="s">
        <v>141</v>
      </c>
      <c r="G707" s="344" t="str">
        <f t="shared" ref="G707:G770" si="34">CONCATENATE(A707,F707)</f>
        <v>60359AXLE 2</v>
      </c>
      <c r="H707" s="344">
        <v>19</v>
      </c>
      <c r="I707" s="344">
        <v>2</v>
      </c>
      <c r="J707" s="344">
        <v>2</v>
      </c>
      <c r="K707" s="344">
        <v>7</v>
      </c>
      <c r="L707" t="str">
        <f t="shared" ref="L707:L770" si="35">CONCATENATE(A707,B707)</f>
        <v>60359</v>
      </c>
      <c r="M707" s="344" t="s">
        <v>141</v>
      </c>
      <c r="N707" s="344">
        <v>221109</v>
      </c>
    </row>
    <row r="708" spans="1:14" ht="15">
      <c r="A708" s="344">
        <v>60359</v>
      </c>
      <c r="B708" s="345" t="s">
        <v>137</v>
      </c>
      <c r="C708" s="344">
        <v>221109</v>
      </c>
      <c r="D708" s="344" t="str">
        <f t="shared" si="33"/>
        <v>221109</v>
      </c>
      <c r="E708" s="346" t="s">
        <v>147</v>
      </c>
      <c r="F708" s="344" t="s">
        <v>143</v>
      </c>
      <c r="G708" s="344" t="str">
        <f t="shared" si="34"/>
        <v>60359AXLE 3</v>
      </c>
      <c r="H708" s="344">
        <v>18</v>
      </c>
      <c r="I708" s="344">
        <v>3</v>
      </c>
      <c r="J708" s="344">
        <v>3</v>
      </c>
      <c r="K708" s="344">
        <v>6</v>
      </c>
      <c r="L708" t="str">
        <f t="shared" si="35"/>
        <v>60359</v>
      </c>
      <c r="M708" s="344" t="s">
        <v>143</v>
      </c>
      <c r="N708" s="344">
        <v>221109</v>
      </c>
    </row>
    <row r="709" spans="1:14" ht="15">
      <c r="A709" s="344">
        <v>60359</v>
      </c>
      <c r="B709" s="345" t="s">
        <v>137</v>
      </c>
      <c r="C709" s="344">
        <v>221109</v>
      </c>
      <c r="D709" s="344" t="str">
        <f t="shared" si="33"/>
        <v>221109</v>
      </c>
      <c r="E709" s="346" t="s">
        <v>146</v>
      </c>
      <c r="F709" s="344" t="s">
        <v>145</v>
      </c>
      <c r="G709" s="344" t="str">
        <f t="shared" si="34"/>
        <v>60359AXLE 4</v>
      </c>
      <c r="H709" s="344">
        <v>17</v>
      </c>
      <c r="I709" s="344">
        <v>4</v>
      </c>
      <c r="J709" s="344">
        <v>4</v>
      </c>
      <c r="K709" s="344">
        <v>5</v>
      </c>
      <c r="L709" t="str">
        <f t="shared" si="35"/>
        <v>60359</v>
      </c>
      <c r="M709" s="344" t="s">
        <v>145</v>
      </c>
      <c r="N709" s="344">
        <v>221109</v>
      </c>
    </row>
    <row r="710" spans="1:14" ht="15">
      <c r="A710" s="344">
        <v>60959</v>
      </c>
      <c r="B710" s="345" t="s">
        <v>137</v>
      </c>
      <c r="C710" s="344">
        <v>221109</v>
      </c>
      <c r="D710" s="344" t="str">
        <f t="shared" si="33"/>
        <v>221109</v>
      </c>
      <c r="E710" s="346" t="s">
        <v>146</v>
      </c>
      <c r="F710" s="344" t="s">
        <v>139</v>
      </c>
      <c r="G710" s="344" t="str">
        <f t="shared" si="34"/>
        <v>60959AXLE 1</v>
      </c>
      <c r="H710" s="344">
        <v>13</v>
      </c>
      <c r="I710" s="344">
        <v>8</v>
      </c>
      <c r="J710" s="344">
        <v>1</v>
      </c>
      <c r="K710" s="344">
        <v>8</v>
      </c>
      <c r="L710" t="str">
        <f t="shared" si="35"/>
        <v>60959</v>
      </c>
      <c r="M710" s="344" t="s">
        <v>139</v>
      </c>
      <c r="N710" s="344">
        <v>221109</v>
      </c>
    </row>
    <row r="711" spans="1:14" ht="15">
      <c r="A711" s="344">
        <v>60959</v>
      </c>
      <c r="B711" s="345" t="s">
        <v>137</v>
      </c>
      <c r="C711" s="344">
        <v>221109</v>
      </c>
      <c r="D711" s="344" t="str">
        <f t="shared" si="33"/>
        <v>221109</v>
      </c>
      <c r="E711" s="346" t="s">
        <v>147</v>
      </c>
      <c r="F711" s="344" t="s">
        <v>141</v>
      </c>
      <c r="G711" s="344" t="str">
        <f t="shared" si="34"/>
        <v>60959AXLE 2</v>
      </c>
      <c r="H711" s="344">
        <v>14</v>
      </c>
      <c r="I711" s="344">
        <v>7</v>
      </c>
      <c r="J711" s="344">
        <v>2</v>
      </c>
      <c r="K711" s="344">
        <v>7</v>
      </c>
      <c r="L711" t="str">
        <f t="shared" si="35"/>
        <v>60959</v>
      </c>
      <c r="M711" s="344" t="s">
        <v>141</v>
      </c>
      <c r="N711" s="344">
        <v>221109</v>
      </c>
    </row>
    <row r="712" spans="1:14" ht="15">
      <c r="A712" s="344">
        <v>60959</v>
      </c>
      <c r="B712" s="345" t="s">
        <v>137</v>
      </c>
      <c r="C712" s="344">
        <v>221109</v>
      </c>
      <c r="D712" s="344" t="str">
        <f t="shared" si="33"/>
        <v>221109</v>
      </c>
      <c r="E712" s="346" t="s">
        <v>147</v>
      </c>
      <c r="F712" s="344" t="s">
        <v>143</v>
      </c>
      <c r="G712" s="344" t="str">
        <f t="shared" si="34"/>
        <v>60959AXLE 3</v>
      </c>
      <c r="H712" s="344">
        <v>15</v>
      </c>
      <c r="I712" s="344">
        <v>6</v>
      </c>
      <c r="J712" s="344">
        <v>3</v>
      </c>
      <c r="K712" s="344">
        <v>6</v>
      </c>
      <c r="L712" t="str">
        <f t="shared" si="35"/>
        <v>60959</v>
      </c>
      <c r="M712" s="344" t="s">
        <v>143</v>
      </c>
      <c r="N712" s="344">
        <v>221109</v>
      </c>
    </row>
    <row r="713" spans="1:14" ht="15">
      <c r="A713" s="344">
        <v>60959</v>
      </c>
      <c r="B713" s="345" t="s">
        <v>137</v>
      </c>
      <c r="C713" s="344">
        <v>221109</v>
      </c>
      <c r="D713" s="344" t="str">
        <f t="shared" si="33"/>
        <v>221109</v>
      </c>
      <c r="E713" s="346" t="s">
        <v>146</v>
      </c>
      <c r="F713" s="344" t="s">
        <v>145</v>
      </c>
      <c r="G713" s="344" t="str">
        <f t="shared" si="34"/>
        <v>60959AXLE 4</v>
      </c>
      <c r="H713" s="344">
        <v>16</v>
      </c>
      <c r="I713" s="344">
        <v>5</v>
      </c>
      <c r="J713" s="344">
        <v>4</v>
      </c>
      <c r="K713" s="344">
        <v>5</v>
      </c>
      <c r="L713" t="str">
        <f t="shared" si="35"/>
        <v>60959</v>
      </c>
      <c r="M713" s="344" t="s">
        <v>145</v>
      </c>
      <c r="N713" s="344">
        <v>221109</v>
      </c>
    </row>
    <row r="714" spans="1:14" ht="15">
      <c r="A714" s="344">
        <v>60859</v>
      </c>
      <c r="B714" s="345" t="s">
        <v>137</v>
      </c>
      <c r="C714" s="344">
        <v>221109</v>
      </c>
      <c r="D714" s="344" t="str">
        <f t="shared" si="33"/>
        <v>221109</v>
      </c>
      <c r="E714" s="346" t="s">
        <v>146</v>
      </c>
      <c r="F714" s="344" t="s">
        <v>139</v>
      </c>
      <c r="G714" s="344" t="str">
        <f t="shared" si="34"/>
        <v>60859AXLE 1</v>
      </c>
      <c r="H714" s="344">
        <v>9</v>
      </c>
      <c r="I714" s="344">
        <v>12</v>
      </c>
      <c r="J714" s="344">
        <v>1</v>
      </c>
      <c r="K714" s="344">
        <v>8</v>
      </c>
      <c r="L714" t="str">
        <f t="shared" si="35"/>
        <v>60859</v>
      </c>
      <c r="M714" s="344" t="s">
        <v>139</v>
      </c>
      <c r="N714" s="344">
        <v>221109</v>
      </c>
    </row>
    <row r="715" spans="1:14" ht="15">
      <c r="A715" s="344">
        <v>60859</v>
      </c>
      <c r="B715" s="345" t="s">
        <v>137</v>
      </c>
      <c r="C715" s="344">
        <v>221109</v>
      </c>
      <c r="D715" s="344" t="str">
        <f t="shared" si="33"/>
        <v>221109</v>
      </c>
      <c r="E715" s="346" t="s">
        <v>147</v>
      </c>
      <c r="F715" s="344" t="s">
        <v>141</v>
      </c>
      <c r="G715" s="344" t="str">
        <f t="shared" si="34"/>
        <v>60859AXLE 2</v>
      </c>
      <c r="H715" s="344">
        <v>10</v>
      </c>
      <c r="I715" s="344">
        <v>11</v>
      </c>
      <c r="J715" s="344">
        <v>2</v>
      </c>
      <c r="K715" s="344">
        <v>7</v>
      </c>
      <c r="L715" t="str">
        <f t="shared" si="35"/>
        <v>60859</v>
      </c>
      <c r="M715" s="344" t="s">
        <v>141</v>
      </c>
      <c r="N715" s="344">
        <v>221109</v>
      </c>
    </row>
    <row r="716" spans="1:14" ht="15">
      <c r="A716" s="344">
        <v>60859</v>
      </c>
      <c r="B716" s="345" t="s">
        <v>137</v>
      </c>
      <c r="C716" s="344">
        <v>221109</v>
      </c>
      <c r="D716" s="344" t="str">
        <f t="shared" si="33"/>
        <v>221109</v>
      </c>
      <c r="E716" s="346" t="s">
        <v>147</v>
      </c>
      <c r="F716" s="344" t="s">
        <v>143</v>
      </c>
      <c r="G716" s="344" t="str">
        <f t="shared" si="34"/>
        <v>60859AXLE 3</v>
      </c>
      <c r="H716" s="344">
        <v>11</v>
      </c>
      <c r="I716" s="344">
        <v>10</v>
      </c>
      <c r="J716" s="344">
        <v>3</v>
      </c>
      <c r="K716" s="344">
        <v>6</v>
      </c>
      <c r="L716" t="str">
        <f t="shared" si="35"/>
        <v>60859</v>
      </c>
      <c r="M716" s="344" t="s">
        <v>143</v>
      </c>
      <c r="N716" s="344">
        <v>221109</v>
      </c>
    </row>
    <row r="717" spans="1:14" ht="15">
      <c r="A717" s="344">
        <v>60859</v>
      </c>
      <c r="B717" s="345" t="s">
        <v>137</v>
      </c>
      <c r="C717" s="344">
        <v>221109</v>
      </c>
      <c r="D717" s="344" t="str">
        <f t="shared" si="33"/>
        <v>221109</v>
      </c>
      <c r="E717" s="346" t="s">
        <v>146</v>
      </c>
      <c r="F717" s="344" t="s">
        <v>145</v>
      </c>
      <c r="G717" s="344" t="str">
        <f t="shared" si="34"/>
        <v>60859AXLE 4</v>
      </c>
      <c r="H717" s="344">
        <v>12</v>
      </c>
      <c r="I717" s="344">
        <v>9</v>
      </c>
      <c r="J717" s="344">
        <v>4</v>
      </c>
      <c r="K717" s="344">
        <v>5</v>
      </c>
      <c r="L717" t="str">
        <f t="shared" si="35"/>
        <v>60859</v>
      </c>
      <c r="M717" s="344" t="s">
        <v>145</v>
      </c>
      <c r="N717" s="344">
        <v>221109</v>
      </c>
    </row>
    <row r="718" spans="1:14" ht="15">
      <c r="A718" s="344">
        <v>60759</v>
      </c>
      <c r="B718" s="345" t="s">
        <v>137</v>
      </c>
      <c r="C718" s="344">
        <v>221109</v>
      </c>
      <c r="D718" s="344" t="str">
        <f t="shared" si="33"/>
        <v>221109</v>
      </c>
      <c r="E718" s="346" t="s">
        <v>146</v>
      </c>
      <c r="F718" s="344" t="s">
        <v>139</v>
      </c>
      <c r="G718" s="344" t="str">
        <f t="shared" si="34"/>
        <v>60759AXLE 1</v>
      </c>
      <c r="H718" s="344">
        <v>5</v>
      </c>
      <c r="I718" s="344">
        <v>16</v>
      </c>
      <c r="J718" s="344">
        <v>1</v>
      </c>
      <c r="K718" s="344">
        <v>8</v>
      </c>
      <c r="L718" t="str">
        <f t="shared" si="35"/>
        <v>60759</v>
      </c>
      <c r="M718" s="344" t="s">
        <v>139</v>
      </c>
      <c r="N718" s="344">
        <v>221109</v>
      </c>
    </row>
    <row r="719" spans="1:14" ht="15">
      <c r="A719" s="344">
        <v>60759</v>
      </c>
      <c r="B719" s="345" t="s">
        <v>137</v>
      </c>
      <c r="C719" s="344">
        <v>221109</v>
      </c>
      <c r="D719" s="344" t="str">
        <f t="shared" si="33"/>
        <v>221109</v>
      </c>
      <c r="E719" s="346" t="s">
        <v>147</v>
      </c>
      <c r="F719" s="344" t="s">
        <v>141</v>
      </c>
      <c r="G719" s="344" t="str">
        <f t="shared" si="34"/>
        <v>60759AXLE 2</v>
      </c>
      <c r="H719" s="344">
        <v>6</v>
      </c>
      <c r="I719" s="344">
        <v>15</v>
      </c>
      <c r="J719" s="344">
        <v>2</v>
      </c>
      <c r="K719" s="344">
        <v>7</v>
      </c>
      <c r="L719" t="str">
        <f t="shared" si="35"/>
        <v>60759</v>
      </c>
      <c r="M719" s="344" t="s">
        <v>141</v>
      </c>
      <c r="N719" s="344">
        <v>221109</v>
      </c>
    </row>
    <row r="720" spans="1:14" ht="15">
      <c r="A720" s="344">
        <v>60759</v>
      </c>
      <c r="B720" s="345" t="s">
        <v>137</v>
      </c>
      <c r="C720" s="344">
        <v>221109</v>
      </c>
      <c r="D720" s="344" t="str">
        <f t="shared" si="33"/>
        <v>221109</v>
      </c>
      <c r="E720" s="346" t="s">
        <v>147</v>
      </c>
      <c r="F720" s="344" t="s">
        <v>143</v>
      </c>
      <c r="G720" s="344" t="str">
        <f t="shared" si="34"/>
        <v>60759AXLE 3</v>
      </c>
      <c r="H720" s="344">
        <v>7</v>
      </c>
      <c r="I720" s="344">
        <v>14</v>
      </c>
      <c r="J720" s="344">
        <v>3</v>
      </c>
      <c r="K720" s="344">
        <v>6</v>
      </c>
      <c r="L720" t="str">
        <f t="shared" si="35"/>
        <v>60759</v>
      </c>
      <c r="M720" s="344" t="s">
        <v>143</v>
      </c>
      <c r="N720" s="344">
        <v>221109</v>
      </c>
    </row>
    <row r="721" spans="1:14" ht="15">
      <c r="A721" s="344">
        <v>60759</v>
      </c>
      <c r="B721" s="345" t="s">
        <v>137</v>
      </c>
      <c r="C721" s="344">
        <v>221109</v>
      </c>
      <c r="D721" s="344" t="str">
        <f t="shared" si="33"/>
        <v>221109</v>
      </c>
      <c r="E721" s="346" t="s">
        <v>146</v>
      </c>
      <c r="F721" s="344" t="s">
        <v>145</v>
      </c>
      <c r="G721" s="344" t="str">
        <f t="shared" si="34"/>
        <v>60759AXLE 4</v>
      </c>
      <c r="H721" s="344">
        <v>8</v>
      </c>
      <c r="I721" s="344">
        <v>13</v>
      </c>
      <c r="J721" s="344">
        <v>4</v>
      </c>
      <c r="K721" s="344">
        <v>5</v>
      </c>
      <c r="L721" t="str">
        <f t="shared" si="35"/>
        <v>60759</v>
      </c>
      <c r="M721" s="344" t="s">
        <v>145</v>
      </c>
      <c r="N721" s="344">
        <v>221109</v>
      </c>
    </row>
    <row r="722" spans="1:14" ht="15">
      <c r="A722" s="344">
        <v>60459</v>
      </c>
      <c r="B722" s="345" t="s">
        <v>137</v>
      </c>
      <c r="C722" s="344">
        <v>221109</v>
      </c>
      <c r="D722" s="344" t="str">
        <f t="shared" si="33"/>
        <v>221109</v>
      </c>
      <c r="E722" s="346" t="s">
        <v>146</v>
      </c>
      <c r="F722" s="344" t="s">
        <v>139</v>
      </c>
      <c r="G722" s="344" t="str">
        <f t="shared" si="34"/>
        <v>60459AXLE 1</v>
      </c>
      <c r="H722" s="344">
        <v>1</v>
      </c>
      <c r="I722" s="344">
        <v>20</v>
      </c>
      <c r="J722" s="344">
        <v>1</v>
      </c>
      <c r="K722" s="344">
        <v>8</v>
      </c>
      <c r="L722" t="str">
        <f t="shared" si="35"/>
        <v>60459</v>
      </c>
      <c r="M722" s="344" t="s">
        <v>139</v>
      </c>
      <c r="N722" s="344">
        <v>221109</v>
      </c>
    </row>
    <row r="723" spans="1:14" ht="15">
      <c r="A723" s="344">
        <v>60459</v>
      </c>
      <c r="B723" s="345" t="s">
        <v>137</v>
      </c>
      <c r="C723" s="344">
        <v>221109</v>
      </c>
      <c r="D723" s="344" t="str">
        <f t="shared" si="33"/>
        <v>221109</v>
      </c>
      <c r="E723" s="346" t="s">
        <v>147</v>
      </c>
      <c r="F723" s="344" t="s">
        <v>141</v>
      </c>
      <c r="G723" s="344" t="str">
        <f t="shared" si="34"/>
        <v>60459AXLE 2</v>
      </c>
      <c r="H723" s="344">
        <v>2</v>
      </c>
      <c r="I723" s="344">
        <v>19</v>
      </c>
      <c r="J723" s="344">
        <v>2</v>
      </c>
      <c r="K723" s="344">
        <v>7</v>
      </c>
      <c r="L723" t="str">
        <f t="shared" si="35"/>
        <v>60459</v>
      </c>
      <c r="M723" s="344" t="s">
        <v>141</v>
      </c>
      <c r="N723" s="344">
        <v>221109</v>
      </c>
    </row>
    <row r="724" spans="1:14" ht="15">
      <c r="A724" s="344">
        <v>60459</v>
      </c>
      <c r="B724" s="345" t="s">
        <v>137</v>
      </c>
      <c r="C724" s="344">
        <v>221109</v>
      </c>
      <c r="D724" s="344" t="str">
        <f t="shared" si="33"/>
        <v>221109</v>
      </c>
      <c r="E724" s="346" t="s">
        <v>147</v>
      </c>
      <c r="F724" s="344" t="s">
        <v>143</v>
      </c>
      <c r="G724" s="344" t="str">
        <f t="shared" si="34"/>
        <v>60459AXLE 3</v>
      </c>
      <c r="H724" s="344">
        <v>3</v>
      </c>
      <c r="I724" s="344">
        <v>18</v>
      </c>
      <c r="J724" s="344">
        <v>3</v>
      </c>
      <c r="K724" s="344">
        <v>6</v>
      </c>
      <c r="L724" t="str">
        <f t="shared" si="35"/>
        <v>60459</v>
      </c>
      <c r="M724" s="344" t="s">
        <v>143</v>
      </c>
      <c r="N724" s="344">
        <v>221109</v>
      </c>
    </row>
    <row r="725" spans="1:14" ht="15">
      <c r="A725" s="344">
        <v>60459</v>
      </c>
      <c r="B725" s="345" t="s">
        <v>137</v>
      </c>
      <c r="C725" s="344">
        <v>221109</v>
      </c>
      <c r="D725" s="344" t="str">
        <f t="shared" si="33"/>
        <v>221109</v>
      </c>
      <c r="E725" s="346" t="s">
        <v>146</v>
      </c>
      <c r="F725" s="344" t="s">
        <v>145</v>
      </c>
      <c r="G725" s="344" t="str">
        <f t="shared" si="34"/>
        <v>60459AXLE 4</v>
      </c>
      <c r="H725" s="344">
        <v>4</v>
      </c>
      <c r="I725" s="344">
        <v>17</v>
      </c>
      <c r="J725" s="344">
        <v>4</v>
      </c>
      <c r="K725" s="344">
        <v>5</v>
      </c>
      <c r="L725" t="str">
        <f t="shared" si="35"/>
        <v>60459</v>
      </c>
      <c r="M725" s="344" t="s">
        <v>145</v>
      </c>
      <c r="N725" s="344">
        <v>221109</v>
      </c>
    </row>
    <row r="726" spans="1:14" ht="15">
      <c r="A726" s="344">
        <v>60360</v>
      </c>
      <c r="B726" s="345" t="s">
        <v>137</v>
      </c>
      <c r="C726" s="344">
        <v>221110</v>
      </c>
      <c r="D726" s="344" t="str">
        <f t="shared" si="33"/>
        <v>221110</v>
      </c>
      <c r="E726" s="346" t="s">
        <v>146</v>
      </c>
      <c r="F726" s="344" t="s">
        <v>139</v>
      </c>
      <c r="G726" s="344" t="str">
        <f t="shared" si="34"/>
        <v>60360AXLE 1</v>
      </c>
      <c r="H726" s="344">
        <v>20</v>
      </c>
      <c r="I726" s="344">
        <v>1</v>
      </c>
      <c r="J726" s="344">
        <v>1</v>
      </c>
      <c r="K726" s="344">
        <v>8</v>
      </c>
      <c r="L726" t="str">
        <f t="shared" si="35"/>
        <v>60360</v>
      </c>
      <c r="M726" s="344" t="s">
        <v>139</v>
      </c>
      <c r="N726" s="344">
        <v>221110</v>
      </c>
    </row>
    <row r="727" spans="1:14" ht="15">
      <c r="A727" s="344">
        <v>60360</v>
      </c>
      <c r="B727" s="345" t="s">
        <v>137</v>
      </c>
      <c r="C727" s="344">
        <v>221110</v>
      </c>
      <c r="D727" s="344" t="str">
        <f t="shared" si="33"/>
        <v>221110</v>
      </c>
      <c r="E727" s="346" t="s">
        <v>147</v>
      </c>
      <c r="F727" s="344" t="s">
        <v>141</v>
      </c>
      <c r="G727" s="344" t="str">
        <f t="shared" si="34"/>
        <v>60360AXLE 2</v>
      </c>
      <c r="H727" s="344">
        <v>19</v>
      </c>
      <c r="I727" s="344">
        <v>2</v>
      </c>
      <c r="J727" s="344">
        <v>2</v>
      </c>
      <c r="K727" s="344">
        <v>7</v>
      </c>
      <c r="L727" t="str">
        <f t="shared" si="35"/>
        <v>60360</v>
      </c>
      <c r="M727" s="344" t="s">
        <v>141</v>
      </c>
      <c r="N727" s="344">
        <v>221110</v>
      </c>
    </row>
    <row r="728" spans="1:14" ht="15">
      <c r="A728" s="344">
        <v>60360</v>
      </c>
      <c r="B728" s="345" t="s">
        <v>137</v>
      </c>
      <c r="C728" s="344">
        <v>221110</v>
      </c>
      <c r="D728" s="344" t="str">
        <f t="shared" si="33"/>
        <v>221110</v>
      </c>
      <c r="E728" s="346" t="s">
        <v>147</v>
      </c>
      <c r="F728" s="344" t="s">
        <v>143</v>
      </c>
      <c r="G728" s="344" t="str">
        <f t="shared" si="34"/>
        <v>60360AXLE 3</v>
      </c>
      <c r="H728" s="344">
        <v>18</v>
      </c>
      <c r="I728" s="344">
        <v>3</v>
      </c>
      <c r="J728" s="344">
        <v>3</v>
      </c>
      <c r="K728" s="344">
        <v>6</v>
      </c>
      <c r="L728" t="str">
        <f t="shared" si="35"/>
        <v>60360</v>
      </c>
      <c r="M728" s="344" t="s">
        <v>143</v>
      </c>
      <c r="N728" s="344">
        <v>221110</v>
      </c>
    </row>
    <row r="729" spans="1:14" ht="15">
      <c r="A729" s="344">
        <v>60360</v>
      </c>
      <c r="B729" s="345" t="s">
        <v>137</v>
      </c>
      <c r="C729" s="344">
        <v>221110</v>
      </c>
      <c r="D729" s="344" t="str">
        <f t="shared" si="33"/>
        <v>221110</v>
      </c>
      <c r="E729" s="346" t="s">
        <v>146</v>
      </c>
      <c r="F729" s="344" t="s">
        <v>145</v>
      </c>
      <c r="G729" s="344" t="str">
        <f t="shared" si="34"/>
        <v>60360AXLE 4</v>
      </c>
      <c r="H729" s="344">
        <v>17</v>
      </c>
      <c r="I729" s="344">
        <v>4</v>
      </c>
      <c r="J729" s="344">
        <v>4</v>
      </c>
      <c r="K729" s="344">
        <v>5</v>
      </c>
      <c r="L729" t="str">
        <f t="shared" si="35"/>
        <v>60360</v>
      </c>
      <c r="M729" s="344" t="s">
        <v>145</v>
      </c>
      <c r="N729" s="344">
        <v>221110</v>
      </c>
    </row>
    <row r="730" spans="1:14" ht="15">
      <c r="A730" s="344">
        <v>60960</v>
      </c>
      <c r="B730" s="345" t="s">
        <v>137</v>
      </c>
      <c r="C730" s="344">
        <v>221110</v>
      </c>
      <c r="D730" s="344" t="str">
        <f t="shared" si="33"/>
        <v>221110</v>
      </c>
      <c r="E730" s="346" t="s">
        <v>146</v>
      </c>
      <c r="F730" s="344" t="s">
        <v>139</v>
      </c>
      <c r="G730" s="344" t="str">
        <f t="shared" si="34"/>
        <v>60960AXLE 1</v>
      </c>
      <c r="H730" s="344">
        <v>13</v>
      </c>
      <c r="I730" s="344">
        <v>8</v>
      </c>
      <c r="J730" s="344">
        <v>1</v>
      </c>
      <c r="K730" s="344">
        <v>8</v>
      </c>
      <c r="L730" t="str">
        <f t="shared" si="35"/>
        <v>60960</v>
      </c>
      <c r="M730" s="344" t="s">
        <v>139</v>
      </c>
      <c r="N730" s="344">
        <v>221110</v>
      </c>
    </row>
    <row r="731" spans="1:14" ht="15">
      <c r="A731" s="344">
        <v>60960</v>
      </c>
      <c r="B731" s="345" t="s">
        <v>137</v>
      </c>
      <c r="C731" s="344">
        <v>221110</v>
      </c>
      <c r="D731" s="344" t="str">
        <f t="shared" si="33"/>
        <v>221110</v>
      </c>
      <c r="E731" s="346" t="s">
        <v>147</v>
      </c>
      <c r="F731" s="344" t="s">
        <v>141</v>
      </c>
      <c r="G731" s="344" t="str">
        <f t="shared" si="34"/>
        <v>60960AXLE 2</v>
      </c>
      <c r="H731" s="344">
        <v>14</v>
      </c>
      <c r="I731" s="344">
        <v>7</v>
      </c>
      <c r="J731" s="344">
        <v>2</v>
      </c>
      <c r="K731" s="344">
        <v>7</v>
      </c>
      <c r="L731" t="str">
        <f t="shared" si="35"/>
        <v>60960</v>
      </c>
      <c r="M731" s="344" t="s">
        <v>141</v>
      </c>
      <c r="N731" s="344">
        <v>221110</v>
      </c>
    </row>
    <row r="732" spans="1:14" ht="15">
      <c r="A732" s="344">
        <v>60960</v>
      </c>
      <c r="B732" s="345" t="s">
        <v>137</v>
      </c>
      <c r="C732" s="344">
        <v>221110</v>
      </c>
      <c r="D732" s="344" t="str">
        <f t="shared" si="33"/>
        <v>221110</v>
      </c>
      <c r="E732" s="346" t="s">
        <v>147</v>
      </c>
      <c r="F732" s="344" t="s">
        <v>143</v>
      </c>
      <c r="G732" s="344" t="str">
        <f t="shared" si="34"/>
        <v>60960AXLE 3</v>
      </c>
      <c r="H732" s="344">
        <v>15</v>
      </c>
      <c r="I732" s="344">
        <v>6</v>
      </c>
      <c r="J732" s="344">
        <v>3</v>
      </c>
      <c r="K732" s="344">
        <v>6</v>
      </c>
      <c r="L732" t="str">
        <f t="shared" si="35"/>
        <v>60960</v>
      </c>
      <c r="M732" s="344" t="s">
        <v>143</v>
      </c>
      <c r="N732" s="344">
        <v>221110</v>
      </c>
    </row>
    <row r="733" spans="1:14" ht="15">
      <c r="A733" s="344">
        <v>60960</v>
      </c>
      <c r="B733" s="345" t="s">
        <v>137</v>
      </c>
      <c r="C733" s="344">
        <v>221110</v>
      </c>
      <c r="D733" s="344" t="str">
        <f t="shared" si="33"/>
        <v>221110</v>
      </c>
      <c r="E733" s="346" t="s">
        <v>146</v>
      </c>
      <c r="F733" s="344" t="s">
        <v>145</v>
      </c>
      <c r="G733" s="344" t="str">
        <f t="shared" si="34"/>
        <v>60960AXLE 4</v>
      </c>
      <c r="H733" s="344">
        <v>16</v>
      </c>
      <c r="I733" s="344">
        <v>5</v>
      </c>
      <c r="J733" s="344">
        <v>4</v>
      </c>
      <c r="K733" s="344">
        <v>5</v>
      </c>
      <c r="L733" t="str">
        <f t="shared" si="35"/>
        <v>60960</v>
      </c>
      <c r="M733" s="344" t="s">
        <v>145</v>
      </c>
      <c r="N733" s="344">
        <v>221110</v>
      </c>
    </row>
    <row r="734" spans="1:14" ht="15">
      <c r="A734" s="344">
        <v>60860</v>
      </c>
      <c r="B734" s="345" t="s">
        <v>137</v>
      </c>
      <c r="C734" s="344">
        <v>221110</v>
      </c>
      <c r="D734" s="344" t="str">
        <f t="shared" si="33"/>
        <v>221110</v>
      </c>
      <c r="E734" s="346" t="s">
        <v>146</v>
      </c>
      <c r="F734" s="344" t="s">
        <v>139</v>
      </c>
      <c r="G734" s="344" t="str">
        <f t="shared" si="34"/>
        <v>60860AXLE 1</v>
      </c>
      <c r="H734" s="344">
        <v>9</v>
      </c>
      <c r="I734" s="344">
        <v>12</v>
      </c>
      <c r="J734" s="344">
        <v>1</v>
      </c>
      <c r="K734" s="344">
        <v>8</v>
      </c>
      <c r="L734" t="str">
        <f t="shared" si="35"/>
        <v>60860</v>
      </c>
      <c r="M734" s="344" t="s">
        <v>139</v>
      </c>
      <c r="N734" s="344">
        <v>221110</v>
      </c>
    </row>
    <row r="735" spans="1:14" ht="15">
      <c r="A735" s="344">
        <v>60860</v>
      </c>
      <c r="B735" s="345" t="s">
        <v>137</v>
      </c>
      <c r="C735" s="344">
        <v>221110</v>
      </c>
      <c r="D735" s="344" t="str">
        <f t="shared" si="33"/>
        <v>221110</v>
      </c>
      <c r="E735" s="346" t="s">
        <v>147</v>
      </c>
      <c r="F735" s="344" t="s">
        <v>141</v>
      </c>
      <c r="G735" s="344" t="str">
        <f t="shared" si="34"/>
        <v>60860AXLE 2</v>
      </c>
      <c r="H735" s="344">
        <v>10</v>
      </c>
      <c r="I735" s="344">
        <v>11</v>
      </c>
      <c r="J735" s="344">
        <v>2</v>
      </c>
      <c r="K735" s="344">
        <v>7</v>
      </c>
      <c r="L735" t="str">
        <f t="shared" si="35"/>
        <v>60860</v>
      </c>
      <c r="M735" s="344" t="s">
        <v>141</v>
      </c>
      <c r="N735" s="344">
        <v>221110</v>
      </c>
    </row>
    <row r="736" spans="1:14" ht="15">
      <c r="A736" s="344">
        <v>60860</v>
      </c>
      <c r="B736" s="345" t="s">
        <v>137</v>
      </c>
      <c r="C736" s="344">
        <v>221110</v>
      </c>
      <c r="D736" s="344" t="str">
        <f t="shared" si="33"/>
        <v>221110</v>
      </c>
      <c r="E736" s="346" t="s">
        <v>147</v>
      </c>
      <c r="F736" s="344" t="s">
        <v>143</v>
      </c>
      <c r="G736" s="344" t="str">
        <f t="shared" si="34"/>
        <v>60860AXLE 3</v>
      </c>
      <c r="H736" s="344">
        <v>11</v>
      </c>
      <c r="I736" s="344">
        <v>10</v>
      </c>
      <c r="J736" s="344">
        <v>3</v>
      </c>
      <c r="K736" s="344">
        <v>6</v>
      </c>
      <c r="L736" t="str">
        <f t="shared" si="35"/>
        <v>60860</v>
      </c>
      <c r="M736" s="344" t="s">
        <v>143</v>
      </c>
      <c r="N736" s="344">
        <v>221110</v>
      </c>
    </row>
    <row r="737" spans="1:14" ht="15">
      <c r="A737" s="344">
        <v>60860</v>
      </c>
      <c r="B737" s="345" t="s">
        <v>137</v>
      </c>
      <c r="C737" s="344">
        <v>221110</v>
      </c>
      <c r="D737" s="344" t="str">
        <f t="shared" si="33"/>
        <v>221110</v>
      </c>
      <c r="E737" s="346" t="s">
        <v>146</v>
      </c>
      <c r="F737" s="344" t="s">
        <v>145</v>
      </c>
      <c r="G737" s="344" t="str">
        <f t="shared" si="34"/>
        <v>60860AXLE 4</v>
      </c>
      <c r="H737" s="344">
        <v>12</v>
      </c>
      <c r="I737" s="344">
        <v>9</v>
      </c>
      <c r="J737" s="344">
        <v>4</v>
      </c>
      <c r="K737" s="344">
        <v>5</v>
      </c>
      <c r="L737" t="str">
        <f t="shared" si="35"/>
        <v>60860</v>
      </c>
      <c r="M737" s="344" t="s">
        <v>145</v>
      </c>
      <c r="N737" s="344">
        <v>221110</v>
      </c>
    </row>
    <row r="738" spans="1:14" ht="15">
      <c r="A738" s="344">
        <v>60760</v>
      </c>
      <c r="B738" s="345" t="s">
        <v>137</v>
      </c>
      <c r="C738" s="344">
        <v>221110</v>
      </c>
      <c r="D738" s="344" t="str">
        <f t="shared" si="33"/>
        <v>221110</v>
      </c>
      <c r="E738" s="346" t="s">
        <v>146</v>
      </c>
      <c r="F738" s="344" t="s">
        <v>139</v>
      </c>
      <c r="G738" s="344" t="str">
        <f t="shared" si="34"/>
        <v>60760AXLE 1</v>
      </c>
      <c r="H738" s="344">
        <v>5</v>
      </c>
      <c r="I738" s="344">
        <v>16</v>
      </c>
      <c r="J738" s="344">
        <v>1</v>
      </c>
      <c r="K738" s="344">
        <v>8</v>
      </c>
      <c r="L738" t="str">
        <f t="shared" si="35"/>
        <v>60760</v>
      </c>
      <c r="M738" s="344" t="s">
        <v>139</v>
      </c>
      <c r="N738" s="344">
        <v>221110</v>
      </c>
    </row>
    <row r="739" spans="1:14" ht="15">
      <c r="A739" s="344">
        <v>60760</v>
      </c>
      <c r="B739" s="345" t="s">
        <v>137</v>
      </c>
      <c r="C739" s="344">
        <v>221110</v>
      </c>
      <c r="D739" s="344" t="str">
        <f t="shared" si="33"/>
        <v>221110</v>
      </c>
      <c r="E739" s="346" t="s">
        <v>147</v>
      </c>
      <c r="F739" s="344" t="s">
        <v>141</v>
      </c>
      <c r="G739" s="344" t="str">
        <f t="shared" si="34"/>
        <v>60760AXLE 2</v>
      </c>
      <c r="H739" s="344">
        <v>6</v>
      </c>
      <c r="I739" s="344">
        <v>15</v>
      </c>
      <c r="J739" s="344">
        <v>2</v>
      </c>
      <c r="K739" s="344">
        <v>7</v>
      </c>
      <c r="L739" t="str">
        <f t="shared" si="35"/>
        <v>60760</v>
      </c>
      <c r="M739" s="344" t="s">
        <v>141</v>
      </c>
      <c r="N739" s="344">
        <v>221110</v>
      </c>
    </row>
    <row r="740" spans="1:14" ht="15">
      <c r="A740" s="344">
        <v>60760</v>
      </c>
      <c r="B740" s="345" t="s">
        <v>137</v>
      </c>
      <c r="C740" s="344">
        <v>221110</v>
      </c>
      <c r="D740" s="344" t="str">
        <f t="shared" si="33"/>
        <v>221110</v>
      </c>
      <c r="E740" s="346" t="s">
        <v>147</v>
      </c>
      <c r="F740" s="344" t="s">
        <v>143</v>
      </c>
      <c r="G740" s="344" t="str">
        <f t="shared" si="34"/>
        <v>60760AXLE 3</v>
      </c>
      <c r="H740" s="344">
        <v>7</v>
      </c>
      <c r="I740" s="344">
        <v>14</v>
      </c>
      <c r="J740" s="344">
        <v>3</v>
      </c>
      <c r="K740" s="344">
        <v>6</v>
      </c>
      <c r="L740" t="str">
        <f t="shared" si="35"/>
        <v>60760</v>
      </c>
      <c r="M740" s="344" t="s">
        <v>143</v>
      </c>
      <c r="N740" s="344">
        <v>221110</v>
      </c>
    </row>
    <row r="741" spans="1:14" ht="15">
      <c r="A741" s="344">
        <v>60760</v>
      </c>
      <c r="B741" s="345" t="s">
        <v>137</v>
      </c>
      <c r="C741" s="344">
        <v>221110</v>
      </c>
      <c r="D741" s="344" t="str">
        <f t="shared" si="33"/>
        <v>221110</v>
      </c>
      <c r="E741" s="346" t="s">
        <v>146</v>
      </c>
      <c r="F741" s="344" t="s">
        <v>145</v>
      </c>
      <c r="G741" s="344" t="str">
        <f t="shared" si="34"/>
        <v>60760AXLE 4</v>
      </c>
      <c r="H741" s="344">
        <v>8</v>
      </c>
      <c r="I741" s="344">
        <v>13</v>
      </c>
      <c r="J741" s="344">
        <v>4</v>
      </c>
      <c r="K741" s="344">
        <v>5</v>
      </c>
      <c r="L741" t="str">
        <f t="shared" si="35"/>
        <v>60760</v>
      </c>
      <c r="M741" s="344" t="s">
        <v>145</v>
      </c>
      <c r="N741" s="344">
        <v>221110</v>
      </c>
    </row>
    <row r="742" spans="1:14" ht="15">
      <c r="A742" s="344">
        <v>60460</v>
      </c>
      <c r="B742" s="345" t="s">
        <v>137</v>
      </c>
      <c r="C742" s="344">
        <v>221110</v>
      </c>
      <c r="D742" s="344" t="str">
        <f t="shared" si="33"/>
        <v>221110</v>
      </c>
      <c r="E742" s="346" t="s">
        <v>146</v>
      </c>
      <c r="F742" s="344" t="s">
        <v>139</v>
      </c>
      <c r="G742" s="344" t="str">
        <f t="shared" si="34"/>
        <v>60460AXLE 1</v>
      </c>
      <c r="H742" s="344">
        <v>1</v>
      </c>
      <c r="I742" s="344">
        <v>20</v>
      </c>
      <c r="J742" s="344">
        <v>1</v>
      </c>
      <c r="K742" s="344">
        <v>8</v>
      </c>
      <c r="L742" t="str">
        <f t="shared" si="35"/>
        <v>60460</v>
      </c>
      <c r="M742" s="344" t="s">
        <v>139</v>
      </c>
      <c r="N742" s="344">
        <v>221110</v>
      </c>
    </row>
    <row r="743" spans="1:14" ht="15">
      <c r="A743" s="344">
        <v>60460</v>
      </c>
      <c r="B743" s="345" t="s">
        <v>137</v>
      </c>
      <c r="C743" s="344">
        <v>221110</v>
      </c>
      <c r="D743" s="344" t="str">
        <f t="shared" si="33"/>
        <v>221110</v>
      </c>
      <c r="E743" s="346" t="s">
        <v>147</v>
      </c>
      <c r="F743" s="344" t="s">
        <v>141</v>
      </c>
      <c r="G743" s="344" t="str">
        <f t="shared" si="34"/>
        <v>60460AXLE 2</v>
      </c>
      <c r="H743" s="344">
        <v>2</v>
      </c>
      <c r="I743" s="344">
        <v>19</v>
      </c>
      <c r="J743" s="344">
        <v>2</v>
      </c>
      <c r="K743" s="344">
        <v>7</v>
      </c>
      <c r="L743" t="str">
        <f t="shared" si="35"/>
        <v>60460</v>
      </c>
      <c r="M743" s="344" t="s">
        <v>141</v>
      </c>
      <c r="N743" s="344">
        <v>221110</v>
      </c>
    </row>
    <row r="744" spans="1:14" ht="15">
      <c r="A744" s="344">
        <v>60460</v>
      </c>
      <c r="B744" s="345" t="s">
        <v>137</v>
      </c>
      <c r="C744" s="344">
        <v>221110</v>
      </c>
      <c r="D744" s="344" t="str">
        <f t="shared" si="33"/>
        <v>221110</v>
      </c>
      <c r="E744" s="346" t="s">
        <v>147</v>
      </c>
      <c r="F744" s="344" t="s">
        <v>143</v>
      </c>
      <c r="G744" s="344" t="str">
        <f t="shared" si="34"/>
        <v>60460AXLE 3</v>
      </c>
      <c r="H744" s="344">
        <v>3</v>
      </c>
      <c r="I744" s="344">
        <v>18</v>
      </c>
      <c r="J744" s="344">
        <v>3</v>
      </c>
      <c r="K744" s="344">
        <v>6</v>
      </c>
      <c r="L744" t="str">
        <f t="shared" si="35"/>
        <v>60460</v>
      </c>
      <c r="M744" s="344" t="s">
        <v>143</v>
      </c>
      <c r="N744" s="344">
        <v>221110</v>
      </c>
    </row>
    <row r="745" spans="1:14" ht="15">
      <c r="A745" s="344">
        <v>60460</v>
      </c>
      <c r="B745" s="345" t="s">
        <v>137</v>
      </c>
      <c r="C745" s="344">
        <v>221110</v>
      </c>
      <c r="D745" s="344" t="str">
        <f t="shared" si="33"/>
        <v>221110</v>
      </c>
      <c r="E745" s="346" t="s">
        <v>146</v>
      </c>
      <c r="F745" s="344" t="s">
        <v>145</v>
      </c>
      <c r="G745" s="344" t="str">
        <f t="shared" si="34"/>
        <v>60460AXLE 4</v>
      </c>
      <c r="H745" s="344">
        <v>4</v>
      </c>
      <c r="I745" s="344">
        <v>17</v>
      </c>
      <c r="J745" s="344">
        <v>4</v>
      </c>
      <c r="K745" s="344">
        <v>5</v>
      </c>
      <c r="L745" t="str">
        <f t="shared" si="35"/>
        <v>60460</v>
      </c>
      <c r="M745" s="344" t="s">
        <v>145</v>
      </c>
      <c r="N745" s="344">
        <v>221110</v>
      </c>
    </row>
    <row r="746" spans="1:14" ht="15">
      <c r="A746" s="344">
        <v>60361</v>
      </c>
      <c r="B746" s="345" t="s">
        <v>137</v>
      </c>
      <c r="C746" s="344">
        <v>221111</v>
      </c>
      <c r="D746" s="344" t="str">
        <f t="shared" si="33"/>
        <v>221111</v>
      </c>
      <c r="E746" s="346" t="s">
        <v>146</v>
      </c>
      <c r="F746" s="344" t="s">
        <v>139</v>
      </c>
      <c r="G746" s="344" t="str">
        <f t="shared" si="34"/>
        <v>60361AXLE 1</v>
      </c>
      <c r="H746" s="344">
        <v>20</v>
      </c>
      <c r="I746" s="344">
        <v>1</v>
      </c>
      <c r="J746" s="344">
        <v>1</v>
      </c>
      <c r="K746" s="344">
        <v>8</v>
      </c>
      <c r="L746" t="str">
        <f t="shared" si="35"/>
        <v>60361</v>
      </c>
      <c r="M746" s="344" t="s">
        <v>139</v>
      </c>
      <c r="N746" s="344">
        <v>221111</v>
      </c>
    </row>
    <row r="747" spans="1:14" ht="15">
      <c r="A747" s="344">
        <v>60361</v>
      </c>
      <c r="B747" s="345" t="s">
        <v>137</v>
      </c>
      <c r="C747" s="344">
        <v>221111</v>
      </c>
      <c r="D747" s="344" t="str">
        <f t="shared" si="33"/>
        <v>221111</v>
      </c>
      <c r="E747" s="346" t="s">
        <v>147</v>
      </c>
      <c r="F747" s="344" t="s">
        <v>141</v>
      </c>
      <c r="G747" s="344" t="str">
        <f t="shared" si="34"/>
        <v>60361AXLE 2</v>
      </c>
      <c r="H747" s="344">
        <v>19</v>
      </c>
      <c r="I747" s="344">
        <v>2</v>
      </c>
      <c r="J747" s="344">
        <v>2</v>
      </c>
      <c r="K747" s="344">
        <v>7</v>
      </c>
      <c r="L747" t="str">
        <f t="shared" si="35"/>
        <v>60361</v>
      </c>
      <c r="M747" s="344" t="s">
        <v>141</v>
      </c>
      <c r="N747" s="344">
        <v>221111</v>
      </c>
    </row>
    <row r="748" spans="1:14" ht="15">
      <c r="A748" s="344">
        <v>60361</v>
      </c>
      <c r="B748" s="345" t="s">
        <v>137</v>
      </c>
      <c r="C748" s="344">
        <v>221111</v>
      </c>
      <c r="D748" s="344" t="str">
        <f t="shared" si="33"/>
        <v>221111</v>
      </c>
      <c r="E748" s="346" t="s">
        <v>147</v>
      </c>
      <c r="F748" s="344" t="s">
        <v>143</v>
      </c>
      <c r="G748" s="344" t="str">
        <f t="shared" si="34"/>
        <v>60361AXLE 3</v>
      </c>
      <c r="H748" s="344">
        <v>18</v>
      </c>
      <c r="I748" s="344">
        <v>3</v>
      </c>
      <c r="J748" s="344">
        <v>3</v>
      </c>
      <c r="K748" s="344">
        <v>6</v>
      </c>
      <c r="L748" t="str">
        <f t="shared" si="35"/>
        <v>60361</v>
      </c>
      <c r="M748" s="344" t="s">
        <v>143</v>
      </c>
      <c r="N748" s="344">
        <v>221111</v>
      </c>
    </row>
    <row r="749" spans="1:14" ht="15">
      <c r="A749" s="344">
        <v>60361</v>
      </c>
      <c r="B749" s="345" t="s">
        <v>137</v>
      </c>
      <c r="C749" s="344">
        <v>221111</v>
      </c>
      <c r="D749" s="344" t="str">
        <f t="shared" si="33"/>
        <v>221111</v>
      </c>
      <c r="E749" s="346" t="s">
        <v>146</v>
      </c>
      <c r="F749" s="344" t="s">
        <v>145</v>
      </c>
      <c r="G749" s="344" t="str">
        <f t="shared" si="34"/>
        <v>60361AXLE 4</v>
      </c>
      <c r="H749" s="344">
        <v>17</v>
      </c>
      <c r="I749" s="344">
        <v>4</v>
      </c>
      <c r="J749" s="344">
        <v>4</v>
      </c>
      <c r="K749" s="344">
        <v>5</v>
      </c>
      <c r="L749" t="str">
        <f t="shared" si="35"/>
        <v>60361</v>
      </c>
      <c r="M749" s="344" t="s">
        <v>145</v>
      </c>
      <c r="N749" s="344">
        <v>221111</v>
      </c>
    </row>
    <row r="750" spans="1:14" ht="15">
      <c r="A750" s="344">
        <v>60961</v>
      </c>
      <c r="B750" s="345" t="s">
        <v>137</v>
      </c>
      <c r="C750" s="344">
        <v>221111</v>
      </c>
      <c r="D750" s="344" t="str">
        <f t="shared" si="33"/>
        <v>221111</v>
      </c>
      <c r="E750" s="346" t="s">
        <v>146</v>
      </c>
      <c r="F750" s="344" t="s">
        <v>139</v>
      </c>
      <c r="G750" s="344" t="str">
        <f t="shared" si="34"/>
        <v>60961AXLE 1</v>
      </c>
      <c r="H750" s="344">
        <v>13</v>
      </c>
      <c r="I750" s="344">
        <v>8</v>
      </c>
      <c r="J750" s="344">
        <v>1</v>
      </c>
      <c r="K750" s="344">
        <v>8</v>
      </c>
      <c r="L750" t="str">
        <f t="shared" si="35"/>
        <v>60961</v>
      </c>
      <c r="M750" s="344" t="s">
        <v>139</v>
      </c>
      <c r="N750" s="344">
        <v>221111</v>
      </c>
    </row>
    <row r="751" spans="1:14" ht="15">
      <c r="A751" s="344">
        <v>60961</v>
      </c>
      <c r="B751" s="345" t="s">
        <v>137</v>
      </c>
      <c r="C751" s="344">
        <v>221111</v>
      </c>
      <c r="D751" s="344" t="str">
        <f t="shared" si="33"/>
        <v>221111</v>
      </c>
      <c r="E751" s="346" t="s">
        <v>147</v>
      </c>
      <c r="F751" s="344" t="s">
        <v>141</v>
      </c>
      <c r="G751" s="344" t="str">
        <f t="shared" si="34"/>
        <v>60961AXLE 2</v>
      </c>
      <c r="H751" s="344">
        <v>14</v>
      </c>
      <c r="I751" s="344">
        <v>7</v>
      </c>
      <c r="J751" s="344">
        <v>2</v>
      </c>
      <c r="K751" s="344">
        <v>7</v>
      </c>
      <c r="L751" t="str">
        <f t="shared" si="35"/>
        <v>60961</v>
      </c>
      <c r="M751" s="344" t="s">
        <v>141</v>
      </c>
      <c r="N751" s="344">
        <v>221111</v>
      </c>
    </row>
    <row r="752" spans="1:14" ht="15">
      <c r="A752" s="344">
        <v>60961</v>
      </c>
      <c r="B752" s="345" t="s">
        <v>137</v>
      </c>
      <c r="C752" s="344">
        <v>221111</v>
      </c>
      <c r="D752" s="344" t="str">
        <f t="shared" si="33"/>
        <v>221111</v>
      </c>
      <c r="E752" s="346" t="s">
        <v>147</v>
      </c>
      <c r="F752" s="344" t="s">
        <v>143</v>
      </c>
      <c r="G752" s="344" t="str">
        <f t="shared" si="34"/>
        <v>60961AXLE 3</v>
      </c>
      <c r="H752" s="344">
        <v>15</v>
      </c>
      <c r="I752" s="344">
        <v>6</v>
      </c>
      <c r="J752" s="344">
        <v>3</v>
      </c>
      <c r="K752" s="344">
        <v>6</v>
      </c>
      <c r="L752" t="str">
        <f t="shared" si="35"/>
        <v>60961</v>
      </c>
      <c r="M752" s="344" t="s">
        <v>143</v>
      </c>
      <c r="N752" s="344">
        <v>221111</v>
      </c>
    </row>
    <row r="753" spans="1:14" ht="15">
      <c r="A753" s="344">
        <v>60961</v>
      </c>
      <c r="B753" s="345" t="s">
        <v>137</v>
      </c>
      <c r="C753" s="344">
        <v>221111</v>
      </c>
      <c r="D753" s="344" t="str">
        <f t="shared" si="33"/>
        <v>221111</v>
      </c>
      <c r="E753" s="346" t="s">
        <v>146</v>
      </c>
      <c r="F753" s="344" t="s">
        <v>145</v>
      </c>
      <c r="G753" s="344" t="str">
        <f t="shared" si="34"/>
        <v>60961AXLE 4</v>
      </c>
      <c r="H753" s="344">
        <v>16</v>
      </c>
      <c r="I753" s="344">
        <v>5</v>
      </c>
      <c r="J753" s="344">
        <v>4</v>
      </c>
      <c r="K753" s="344">
        <v>5</v>
      </c>
      <c r="L753" t="str">
        <f t="shared" si="35"/>
        <v>60961</v>
      </c>
      <c r="M753" s="344" t="s">
        <v>145</v>
      </c>
      <c r="N753" s="344">
        <v>221111</v>
      </c>
    </row>
    <row r="754" spans="1:14" ht="15">
      <c r="A754" s="344">
        <v>60861</v>
      </c>
      <c r="B754" s="345" t="s">
        <v>137</v>
      </c>
      <c r="C754" s="344">
        <v>221111</v>
      </c>
      <c r="D754" s="344" t="str">
        <f t="shared" si="33"/>
        <v>221111</v>
      </c>
      <c r="E754" s="346" t="s">
        <v>146</v>
      </c>
      <c r="F754" s="344" t="s">
        <v>139</v>
      </c>
      <c r="G754" s="344" t="str">
        <f t="shared" si="34"/>
        <v>60861AXLE 1</v>
      </c>
      <c r="H754" s="344">
        <v>9</v>
      </c>
      <c r="I754" s="344">
        <v>12</v>
      </c>
      <c r="J754" s="344">
        <v>1</v>
      </c>
      <c r="K754" s="344">
        <v>8</v>
      </c>
      <c r="L754" t="str">
        <f t="shared" si="35"/>
        <v>60861</v>
      </c>
      <c r="M754" s="344" t="s">
        <v>139</v>
      </c>
      <c r="N754" s="344">
        <v>221111</v>
      </c>
    </row>
    <row r="755" spans="1:14" ht="15">
      <c r="A755" s="344">
        <v>60861</v>
      </c>
      <c r="B755" s="345" t="s">
        <v>137</v>
      </c>
      <c r="C755" s="344">
        <v>221111</v>
      </c>
      <c r="D755" s="344" t="str">
        <f t="shared" si="33"/>
        <v>221111</v>
      </c>
      <c r="E755" s="346" t="s">
        <v>147</v>
      </c>
      <c r="F755" s="344" t="s">
        <v>141</v>
      </c>
      <c r="G755" s="344" t="str">
        <f t="shared" si="34"/>
        <v>60861AXLE 2</v>
      </c>
      <c r="H755" s="344">
        <v>10</v>
      </c>
      <c r="I755" s="344">
        <v>11</v>
      </c>
      <c r="J755" s="344">
        <v>2</v>
      </c>
      <c r="K755" s="344">
        <v>7</v>
      </c>
      <c r="L755" t="str">
        <f t="shared" si="35"/>
        <v>60861</v>
      </c>
      <c r="M755" s="344" t="s">
        <v>141</v>
      </c>
      <c r="N755" s="344">
        <v>221111</v>
      </c>
    </row>
    <row r="756" spans="1:14" ht="15">
      <c r="A756" s="344">
        <v>60861</v>
      </c>
      <c r="B756" s="345" t="s">
        <v>137</v>
      </c>
      <c r="C756" s="344">
        <v>221111</v>
      </c>
      <c r="D756" s="344" t="str">
        <f t="shared" si="33"/>
        <v>221111</v>
      </c>
      <c r="E756" s="346" t="s">
        <v>147</v>
      </c>
      <c r="F756" s="344" t="s">
        <v>143</v>
      </c>
      <c r="G756" s="344" t="str">
        <f t="shared" si="34"/>
        <v>60861AXLE 3</v>
      </c>
      <c r="H756" s="344">
        <v>11</v>
      </c>
      <c r="I756" s="344">
        <v>10</v>
      </c>
      <c r="J756" s="344">
        <v>3</v>
      </c>
      <c r="K756" s="344">
        <v>6</v>
      </c>
      <c r="L756" t="str">
        <f t="shared" si="35"/>
        <v>60861</v>
      </c>
      <c r="M756" s="344" t="s">
        <v>143</v>
      </c>
      <c r="N756" s="344">
        <v>221111</v>
      </c>
    </row>
    <row r="757" spans="1:14" ht="15">
      <c r="A757" s="344">
        <v>60861</v>
      </c>
      <c r="B757" s="345" t="s">
        <v>137</v>
      </c>
      <c r="C757" s="344">
        <v>221111</v>
      </c>
      <c r="D757" s="344" t="str">
        <f t="shared" si="33"/>
        <v>221111</v>
      </c>
      <c r="E757" s="346" t="s">
        <v>146</v>
      </c>
      <c r="F757" s="344" t="s">
        <v>145</v>
      </c>
      <c r="G757" s="344" t="str">
        <f t="shared" si="34"/>
        <v>60861AXLE 4</v>
      </c>
      <c r="H757" s="344">
        <v>12</v>
      </c>
      <c r="I757" s="344">
        <v>9</v>
      </c>
      <c r="J757" s="344">
        <v>4</v>
      </c>
      <c r="K757" s="344">
        <v>5</v>
      </c>
      <c r="L757" t="str">
        <f t="shared" si="35"/>
        <v>60861</v>
      </c>
      <c r="M757" s="344" t="s">
        <v>145</v>
      </c>
      <c r="N757" s="344">
        <v>221111</v>
      </c>
    </row>
    <row r="758" spans="1:14" ht="15">
      <c r="A758" s="344">
        <v>60761</v>
      </c>
      <c r="B758" s="345" t="s">
        <v>137</v>
      </c>
      <c r="C758" s="344">
        <v>221111</v>
      </c>
      <c r="D758" s="344" t="str">
        <f t="shared" si="33"/>
        <v>221111</v>
      </c>
      <c r="E758" s="346" t="s">
        <v>146</v>
      </c>
      <c r="F758" s="344" t="s">
        <v>139</v>
      </c>
      <c r="G758" s="344" t="str">
        <f t="shared" si="34"/>
        <v>60761AXLE 1</v>
      </c>
      <c r="H758" s="344">
        <v>5</v>
      </c>
      <c r="I758" s="344">
        <v>16</v>
      </c>
      <c r="J758" s="344">
        <v>1</v>
      </c>
      <c r="K758" s="344">
        <v>8</v>
      </c>
      <c r="L758" t="str">
        <f t="shared" si="35"/>
        <v>60761</v>
      </c>
      <c r="M758" s="344" t="s">
        <v>139</v>
      </c>
      <c r="N758" s="344">
        <v>221111</v>
      </c>
    </row>
    <row r="759" spans="1:14" ht="15">
      <c r="A759" s="344">
        <v>60761</v>
      </c>
      <c r="B759" s="345" t="s">
        <v>137</v>
      </c>
      <c r="C759" s="344">
        <v>221111</v>
      </c>
      <c r="D759" s="344" t="str">
        <f t="shared" si="33"/>
        <v>221111</v>
      </c>
      <c r="E759" s="346" t="s">
        <v>147</v>
      </c>
      <c r="F759" s="344" t="s">
        <v>141</v>
      </c>
      <c r="G759" s="344" t="str">
        <f t="shared" si="34"/>
        <v>60761AXLE 2</v>
      </c>
      <c r="H759" s="344">
        <v>6</v>
      </c>
      <c r="I759" s="344">
        <v>15</v>
      </c>
      <c r="J759" s="344">
        <v>2</v>
      </c>
      <c r="K759" s="344">
        <v>7</v>
      </c>
      <c r="L759" t="str">
        <f t="shared" si="35"/>
        <v>60761</v>
      </c>
      <c r="M759" s="344" t="s">
        <v>141</v>
      </c>
      <c r="N759" s="344">
        <v>221111</v>
      </c>
    </row>
    <row r="760" spans="1:14" ht="15">
      <c r="A760" s="344">
        <v>60761</v>
      </c>
      <c r="B760" s="345" t="s">
        <v>137</v>
      </c>
      <c r="C760" s="344">
        <v>221111</v>
      </c>
      <c r="D760" s="344" t="str">
        <f t="shared" si="33"/>
        <v>221111</v>
      </c>
      <c r="E760" s="346" t="s">
        <v>147</v>
      </c>
      <c r="F760" s="344" t="s">
        <v>143</v>
      </c>
      <c r="G760" s="344" t="str">
        <f t="shared" si="34"/>
        <v>60761AXLE 3</v>
      </c>
      <c r="H760" s="344">
        <v>7</v>
      </c>
      <c r="I760" s="344">
        <v>14</v>
      </c>
      <c r="J760" s="344">
        <v>3</v>
      </c>
      <c r="K760" s="344">
        <v>6</v>
      </c>
      <c r="L760" t="str">
        <f t="shared" si="35"/>
        <v>60761</v>
      </c>
      <c r="M760" s="344" t="s">
        <v>143</v>
      </c>
      <c r="N760" s="344">
        <v>221111</v>
      </c>
    </row>
    <row r="761" spans="1:14" ht="15">
      <c r="A761" s="344">
        <v>60761</v>
      </c>
      <c r="B761" s="345" t="s">
        <v>137</v>
      </c>
      <c r="C761" s="344">
        <v>221111</v>
      </c>
      <c r="D761" s="344" t="str">
        <f t="shared" si="33"/>
        <v>221111</v>
      </c>
      <c r="E761" s="346" t="s">
        <v>146</v>
      </c>
      <c r="F761" s="344" t="s">
        <v>145</v>
      </c>
      <c r="G761" s="344" t="str">
        <f t="shared" si="34"/>
        <v>60761AXLE 4</v>
      </c>
      <c r="H761" s="344">
        <v>8</v>
      </c>
      <c r="I761" s="344">
        <v>13</v>
      </c>
      <c r="J761" s="344">
        <v>4</v>
      </c>
      <c r="K761" s="344">
        <v>5</v>
      </c>
      <c r="L761" t="str">
        <f t="shared" si="35"/>
        <v>60761</v>
      </c>
      <c r="M761" s="344" t="s">
        <v>145</v>
      </c>
      <c r="N761" s="344">
        <v>221111</v>
      </c>
    </row>
    <row r="762" spans="1:14" ht="15">
      <c r="A762" s="344">
        <v>60461</v>
      </c>
      <c r="B762" s="345" t="s">
        <v>137</v>
      </c>
      <c r="C762" s="344">
        <v>221111</v>
      </c>
      <c r="D762" s="344" t="str">
        <f t="shared" si="33"/>
        <v>221111</v>
      </c>
      <c r="E762" s="346" t="s">
        <v>146</v>
      </c>
      <c r="F762" s="344" t="s">
        <v>139</v>
      </c>
      <c r="G762" s="344" t="str">
        <f t="shared" si="34"/>
        <v>60461AXLE 1</v>
      </c>
      <c r="H762" s="344">
        <v>1</v>
      </c>
      <c r="I762" s="344">
        <v>20</v>
      </c>
      <c r="J762" s="344">
        <v>1</v>
      </c>
      <c r="K762" s="344">
        <v>8</v>
      </c>
      <c r="L762" t="str">
        <f t="shared" si="35"/>
        <v>60461</v>
      </c>
      <c r="M762" s="344" t="s">
        <v>139</v>
      </c>
      <c r="N762" s="344">
        <v>221111</v>
      </c>
    </row>
    <row r="763" spans="1:14" ht="15">
      <c r="A763" s="344">
        <v>60461</v>
      </c>
      <c r="B763" s="345" t="s">
        <v>137</v>
      </c>
      <c r="C763" s="344">
        <v>221111</v>
      </c>
      <c r="D763" s="344" t="str">
        <f t="shared" si="33"/>
        <v>221111</v>
      </c>
      <c r="E763" s="346" t="s">
        <v>147</v>
      </c>
      <c r="F763" s="344" t="s">
        <v>141</v>
      </c>
      <c r="G763" s="344" t="str">
        <f t="shared" si="34"/>
        <v>60461AXLE 2</v>
      </c>
      <c r="H763" s="344">
        <v>2</v>
      </c>
      <c r="I763" s="344">
        <v>19</v>
      </c>
      <c r="J763" s="344">
        <v>2</v>
      </c>
      <c r="K763" s="344">
        <v>7</v>
      </c>
      <c r="L763" t="str">
        <f t="shared" si="35"/>
        <v>60461</v>
      </c>
      <c r="M763" s="344" t="s">
        <v>141</v>
      </c>
      <c r="N763" s="344">
        <v>221111</v>
      </c>
    </row>
    <row r="764" spans="1:14" ht="15">
      <c r="A764" s="344">
        <v>60461</v>
      </c>
      <c r="B764" s="345" t="s">
        <v>137</v>
      </c>
      <c r="C764" s="344">
        <v>221111</v>
      </c>
      <c r="D764" s="344" t="str">
        <f t="shared" si="33"/>
        <v>221111</v>
      </c>
      <c r="E764" s="346" t="s">
        <v>147</v>
      </c>
      <c r="F764" s="344" t="s">
        <v>143</v>
      </c>
      <c r="G764" s="344" t="str">
        <f t="shared" si="34"/>
        <v>60461AXLE 3</v>
      </c>
      <c r="H764" s="344">
        <v>3</v>
      </c>
      <c r="I764" s="344">
        <v>18</v>
      </c>
      <c r="J764" s="344">
        <v>3</v>
      </c>
      <c r="K764" s="344">
        <v>6</v>
      </c>
      <c r="L764" t="str">
        <f t="shared" si="35"/>
        <v>60461</v>
      </c>
      <c r="M764" s="344" t="s">
        <v>143</v>
      </c>
      <c r="N764" s="344">
        <v>221111</v>
      </c>
    </row>
    <row r="765" spans="1:14" ht="15">
      <c r="A765" s="344">
        <v>60461</v>
      </c>
      <c r="B765" s="345" t="s">
        <v>137</v>
      </c>
      <c r="C765" s="344">
        <v>221111</v>
      </c>
      <c r="D765" s="344" t="str">
        <f t="shared" si="33"/>
        <v>221111</v>
      </c>
      <c r="E765" s="346" t="s">
        <v>146</v>
      </c>
      <c r="F765" s="344" t="s">
        <v>145</v>
      </c>
      <c r="G765" s="344" t="str">
        <f t="shared" si="34"/>
        <v>60461AXLE 4</v>
      </c>
      <c r="H765" s="344">
        <v>4</v>
      </c>
      <c r="I765" s="344">
        <v>17</v>
      </c>
      <c r="J765" s="344">
        <v>4</v>
      </c>
      <c r="K765" s="344">
        <v>5</v>
      </c>
      <c r="L765" t="str">
        <f t="shared" si="35"/>
        <v>60461</v>
      </c>
      <c r="M765" s="344" t="s">
        <v>145</v>
      </c>
      <c r="N765" s="344">
        <v>221111</v>
      </c>
    </row>
    <row r="766" spans="1:14" ht="15">
      <c r="A766" s="344">
        <v>60362</v>
      </c>
      <c r="B766" s="345" t="s">
        <v>137</v>
      </c>
      <c r="C766" s="344">
        <v>221112</v>
      </c>
      <c r="D766" s="344" t="str">
        <f t="shared" si="33"/>
        <v>221112</v>
      </c>
      <c r="E766" s="346" t="s">
        <v>146</v>
      </c>
      <c r="F766" s="344" t="s">
        <v>139</v>
      </c>
      <c r="G766" s="344" t="str">
        <f t="shared" si="34"/>
        <v>60362AXLE 1</v>
      </c>
      <c r="H766" s="344">
        <v>20</v>
      </c>
      <c r="I766" s="344">
        <v>1</v>
      </c>
      <c r="J766" s="344">
        <v>1</v>
      </c>
      <c r="K766" s="344">
        <v>8</v>
      </c>
      <c r="L766" t="str">
        <f t="shared" si="35"/>
        <v>60362</v>
      </c>
      <c r="M766" s="344" t="s">
        <v>139</v>
      </c>
      <c r="N766" s="344">
        <v>221112</v>
      </c>
    </row>
    <row r="767" spans="1:14" ht="15">
      <c r="A767" s="344">
        <v>60362</v>
      </c>
      <c r="B767" s="345" t="s">
        <v>137</v>
      </c>
      <c r="C767" s="344">
        <v>221112</v>
      </c>
      <c r="D767" s="344" t="str">
        <f t="shared" si="33"/>
        <v>221112</v>
      </c>
      <c r="E767" s="346" t="s">
        <v>147</v>
      </c>
      <c r="F767" s="344" t="s">
        <v>141</v>
      </c>
      <c r="G767" s="344" t="str">
        <f t="shared" si="34"/>
        <v>60362AXLE 2</v>
      </c>
      <c r="H767" s="344">
        <v>19</v>
      </c>
      <c r="I767" s="344">
        <v>2</v>
      </c>
      <c r="J767" s="344">
        <v>2</v>
      </c>
      <c r="K767" s="344">
        <v>7</v>
      </c>
      <c r="L767" t="str">
        <f t="shared" si="35"/>
        <v>60362</v>
      </c>
      <c r="M767" s="344" t="s">
        <v>141</v>
      </c>
      <c r="N767" s="344">
        <v>221112</v>
      </c>
    </row>
    <row r="768" spans="1:14" ht="15">
      <c r="A768" s="344">
        <v>60362</v>
      </c>
      <c r="B768" s="345" t="s">
        <v>137</v>
      </c>
      <c r="C768" s="344">
        <v>221112</v>
      </c>
      <c r="D768" s="344" t="str">
        <f t="shared" si="33"/>
        <v>221112</v>
      </c>
      <c r="E768" s="346" t="s">
        <v>147</v>
      </c>
      <c r="F768" s="344" t="s">
        <v>143</v>
      </c>
      <c r="G768" s="344" t="str">
        <f t="shared" si="34"/>
        <v>60362AXLE 3</v>
      </c>
      <c r="H768" s="344">
        <v>18</v>
      </c>
      <c r="I768" s="344">
        <v>3</v>
      </c>
      <c r="J768" s="344">
        <v>3</v>
      </c>
      <c r="K768" s="344">
        <v>6</v>
      </c>
      <c r="L768" t="str">
        <f t="shared" si="35"/>
        <v>60362</v>
      </c>
      <c r="M768" s="344" t="s">
        <v>143</v>
      </c>
      <c r="N768" s="344">
        <v>221112</v>
      </c>
    </row>
    <row r="769" spans="1:14" ht="15">
      <c r="A769" s="344">
        <v>60362</v>
      </c>
      <c r="B769" s="345" t="s">
        <v>137</v>
      </c>
      <c r="C769" s="344">
        <v>221112</v>
      </c>
      <c r="D769" s="344" t="str">
        <f t="shared" si="33"/>
        <v>221112</v>
      </c>
      <c r="E769" s="346" t="s">
        <v>146</v>
      </c>
      <c r="F769" s="344" t="s">
        <v>145</v>
      </c>
      <c r="G769" s="344" t="str">
        <f t="shared" si="34"/>
        <v>60362AXLE 4</v>
      </c>
      <c r="H769" s="344">
        <v>17</v>
      </c>
      <c r="I769" s="344">
        <v>4</v>
      </c>
      <c r="J769" s="344">
        <v>4</v>
      </c>
      <c r="K769" s="344">
        <v>5</v>
      </c>
      <c r="L769" t="str">
        <f t="shared" si="35"/>
        <v>60362</v>
      </c>
      <c r="M769" s="344" t="s">
        <v>145</v>
      </c>
      <c r="N769" s="344">
        <v>221112</v>
      </c>
    </row>
    <row r="770" spans="1:14" ht="15">
      <c r="A770" s="344">
        <v>60962</v>
      </c>
      <c r="B770" s="345" t="s">
        <v>137</v>
      </c>
      <c r="C770" s="344">
        <v>221112</v>
      </c>
      <c r="D770" s="344" t="str">
        <f t="shared" si="33"/>
        <v>221112</v>
      </c>
      <c r="E770" s="346" t="s">
        <v>146</v>
      </c>
      <c r="F770" s="344" t="s">
        <v>139</v>
      </c>
      <c r="G770" s="344" t="str">
        <f t="shared" si="34"/>
        <v>60962AXLE 1</v>
      </c>
      <c r="H770" s="344">
        <v>13</v>
      </c>
      <c r="I770" s="344">
        <v>8</v>
      </c>
      <c r="J770" s="344">
        <v>1</v>
      </c>
      <c r="K770" s="344">
        <v>8</v>
      </c>
      <c r="L770" t="str">
        <f t="shared" si="35"/>
        <v>60962</v>
      </c>
      <c r="M770" s="344" t="s">
        <v>139</v>
      </c>
      <c r="N770" s="344">
        <v>221112</v>
      </c>
    </row>
    <row r="771" spans="1:14" ht="15">
      <c r="A771" s="344">
        <v>60962</v>
      </c>
      <c r="B771" s="345" t="s">
        <v>137</v>
      </c>
      <c r="C771" s="344">
        <v>221112</v>
      </c>
      <c r="D771" s="344" t="str">
        <f t="shared" ref="D771:D834" si="36">CONCATENATE(B771,C771)</f>
        <v>221112</v>
      </c>
      <c r="E771" s="346" t="s">
        <v>147</v>
      </c>
      <c r="F771" s="344" t="s">
        <v>141</v>
      </c>
      <c r="G771" s="344" t="str">
        <f t="shared" ref="G771:G834" si="37">CONCATENATE(A771,F771)</f>
        <v>60962AXLE 2</v>
      </c>
      <c r="H771" s="344">
        <v>14</v>
      </c>
      <c r="I771" s="344">
        <v>7</v>
      </c>
      <c r="J771" s="344">
        <v>2</v>
      </c>
      <c r="K771" s="344">
        <v>7</v>
      </c>
      <c r="L771" t="str">
        <f t="shared" ref="L771:L834" si="38">CONCATENATE(A771,B771)</f>
        <v>60962</v>
      </c>
      <c r="M771" s="344" t="s">
        <v>141</v>
      </c>
      <c r="N771" s="344">
        <v>221112</v>
      </c>
    </row>
    <row r="772" spans="1:14" ht="15">
      <c r="A772" s="344">
        <v>60962</v>
      </c>
      <c r="B772" s="345" t="s">
        <v>137</v>
      </c>
      <c r="C772" s="344">
        <v>221112</v>
      </c>
      <c r="D772" s="344" t="str">
        <f t="shared" si="36"/>
        <v>221112</v>
      </c>
      <c r="E772" s="346" t="s">
        <v>147</v>
      </c>
      <c r="F772" s="344" t="s">
        <v>143</v>
      </c>
      <c r="G772" s="344" t="str">
        <f t="shared" si="37"/>
        <v>60962AXLE 3</v>
      </c>
      <c r="H772" s="344">
        <v>15</v>
      </c>
      <c r="I772" s="344">
        <v>6</v>
      </c>
      <c r="J772" s="344">
        <v>3</v>
      </c>
      <c r="K772" s="344">
        <v>6</v>
      </c>
      <c r="L772" t="str">
        <f t="shared" si="38"/>
        <v>60962</v>
      </c>
      <c r="M772" s="344" t="s">
        <v>143</v>
      </c>
      <c r="N772" s="344">
        <v>221112</v>
      </c>
    </row>
    <row r="773" spans="1:14" ht="15">
      <c r="A773" s="344">
        <v>60962</v>
      </c>
      <c r="B773" s="345" t="s">
        <v>137</v>
      </c>
      <c r="C773" s="344">
        <v>221112</v>
      </c>
      <c r="D773" s="344" t="str">
        <f t="shared" si="36"/>
        <v>221112</v>
      </c>
      <c r="E773" s="346" t="s">
        <v>146</v>
      </c>
      <c r="F773" s="344" t="s">
        <v>145</v>
      </c>
      <c r="G773" s="344" t="str">
        <f t="shared" si="37"/>
        <v>60962AXLE 4</v>
      </c>
      <c r="H773" s="344">
        <v>16</v>
      </c>
      <c r="I773" s="344">
        <v>5</v>
      </c>
      <c r="J773" s="344">
        <v>4</v>
      </c>
      <c r="K773" s="344">
        <v>5</v>
      </c>
      <c r="L773" t="str">
        <f t="shared" si="38"/>
        <v>60962</v>
      </c>
      <c r="M773" s="344" t="s">
        <v>145</v>
      </c>
      <c r="N773" s="344">
        <v>221112</v>
      </c>
    </row>
    <row r="774" spans="1:14" ht="15">
      <c r="A774" s="344">
        <v>60862</v>
      </c>
      <c r="B774" s="345" t="s">
        <v>137</v>
      </c>
      <c r="C774" s="344">
        <v>221112</v>
      </c>
      <c r="D774" s="344" t="str">
        <f t="shared" si="36"/>
        <v>221112</v>
      </c>
      <c r="E774" s="346" t="s">
        <v>146</v>
      </c>
      <c r="F774" s="344" t="s">
        <v>139</v>
      </c>
      <c r="G774" s="344" t="str">
        <f t="shared" si="37"/>
        <v>60862AXLE 1</v>
      </c>
      <c r="H774" s="344">
        <v>9</v>
      </c>
      <c r="I774" s="344">
        <v>12</v>
      </c>
      <c r="J774" s="344">
        <v>1</v>
      </c>
      <c r="K774" s="344">
        <v>8</v>
      </c>
      <c r="L774" t="str">
        <f t="shared" si="38"/>
        <v>60862</v>
      </c>
      <c r="M774" s="344" t="s">
        <v>139</v>
      </c>
      <c r="N774" s="344">
        <v>221112</v>
      </c>
    </row>
    <row r="775" spans="1:14" ht="15">
      <c r="A775" s="344">
        <v>60862</v>
      </c>
      <c r="B775" s="345" t="s">
        <v>137</v>
      </c>
      <c r="C775" s="344">
        <v>221112</v>
      </c>
      <c r="D775" s="344" t="str">
        <f t="shared" si="36"/>
        <v>221112</v>
      </c>
      <c r="E775" s="346" t="s">
        <v>147</v>
      </c>
      <c r="F775" s="344" t="s">
        <v>141</v>
      </c>
      <c r="G775" s="344" t="str">
        <f t="shared" si="37"/>
        <v>60862AXLE 2</v>
      </c>
      <c r="H775" s="344">
        <v>10</v>
      </c>
      <c r="I775" s="344">
        <v>11</v>
      </c>
      <c r="J775" s="344">
        <v>2</v>
      </c>
      <c r="K775" s="344">
        <v>7</v>
      </c>
      <c r="L775" t="str">
        <f t="shared" si="38"/>
        <v>60862</v>
      </c>
      <c r="M775" s="344" t="s">
        <v>141</v>
      </c>
      <c r="N775" s="344">
        <v>221112</v>
      </c>
    </row>
    <row r="776" spans="1:14" ht="15">
      <c r="A776" s="344">
        <v>60862</v>
      </c>
      <c r="B776" s="345" t="s">
        <v>137</v>
      </c>
      <c r="C776" s="344">
        <v>221112</v>
      </c>
      <c r="D776" s="344" t="str">
        <f t="shared" si="36"/>
        <v>221112</v>
      </c>
      <c r="E776" s="346" t="s">
        <v>147</v>
      </c>
      <c r="F776" s="344" t="s">
        <v>143</v>
      </c>
      <c r="G776" s="344" t="str">
        <f t="shared" si="37"/>
        <v>60862AXLE 3</v>
      </c>
      <c r="H776" s="344">
        <v>11</v>
      </c>
      <c r="I776" s="344">
        <v>10</v>
      </c>
      <c r="J776" s="344">
        <v>3</v>
      </c>
      <c r="K776" s="344">
        <v>6</v>
      </c>
      <c r="L776" t="str">
        <f t="shared" si="38"/>
        <v>60862</v>
      </c>
      <c r="M776" s="344" t="s">
        <v>143</v>
      </c>
      <c r="N776" s="344">
        <v>221112</v>
      </c>
    </row>
    <row r="777" spans="1:14" ht="15">
      <c r="A777" s="344">
        <v>60862</v>
      </c>
      <c r="B777" s="345" t="s">
        <v>137</v>
      </c>
      <c r="C777" s="344">
        <v>221112</v>
      </c>
      <c r="D777" s="344" t="str">
        <f t="shared" si="36"/>
        <v>221112</v>
      </c>
      <c r="E777" s="346" t="s">
        <v>146</v>
      </c>
      <c r="F777" s="344" t="s">
        <v>145</v>
      </c>
      <c r="G777" s="344" t="str">
        <f t="shared" si="37"/>
        <v>60862AXLE 4</v>
      </c>
      <c r="H777" s="344">
        <v>12</v>
      </c>
      <c r="I777" s="344">
        <v>9</v>
      </c>
      <c r="J777" s="344">
        <v>4</v>
      </c>
      <c r="K777" s="344">
        <v>5</v>
      </c>
      <c r="L777" t="str">
        <f t="shared" si="38"/>
        <v>60862</v>
      </c>
      <c r="M777" s="344" t="s">
        <v>145</v>
      </c>
      <c r="N777" s="344">
        <v>221112</v>
      </c>
    </row>
    <row r="778" spans="1:14" ht="15">
      <c r="A778" s="344">
        <v>60762</v>
      </c>
      <c r="B778" s="345" t="s">
        <v>137</v>
      </c>
      <c r="C778" s="344">
        <v>221112</v>
      </c>
      <c r="D778" s="344" t="str">
        <f t="shared" si="36"/>
        <v>221112</v>
      </c>
      <c r="E778" s="346" t="s">
        <v>146</v>
      </c>
      <c r="F778" s="344" t="s">
        <v>139</v>
      </c>
      <c r="G778" s="344" t="str">
        <f t="shared" si="37"/>
        <v>60762AXLE 1</v>
      </c>
      <c r="H778" s="344">
        <v>5</v>
      </c>
      <c r="I778" s="344">
        <v>16</v>
      </c>
      <c r="J778" s="344">
        <v>1</v>
      </c>
      <c r="K778" s="344">
        <v>8</v>
      </c>
      <c r="L778" t="str">
        <f t="shared" si="38"/>
        <v>60762</v>
      </c>
      <c r="M778" s="344" t="s">
        <v>139</v>
      </c>
      <c r="N778" s="344">
        <v>221112</v>
      </c>
    </row>
    <row r="779" spans="1:14" ht="15">
      <c r="A779" s="344">
        <v>60762</v>
      </c>
      <c r="B779" s="345" t="s">
        <v>137</v>
      </c>
      <c r="C779" s="344">
        <v>221112</v>
      </c>
      <c r="D779" s="344" t="str">
        <f t="shared" si="36"/>
        <v>221112</v>
      </c>
      <c r="E779" s="346" t="s">
        <v>147</v>
      </c>
      <c r="F779" s="344" t="s">
        <v>141</v>
      </c>
      <c r="G779" s="344" t="str">
        <f t="shared" si="37"/>
        <v>60762AXLE 2</v>
      </c>
      <c r="H779" s="344">
        <v>6</v>
      </c>
      <c r="I779" s="344">
        <v>15</v>
      </c>
      <c r="J779" s="344">
        <v>2</v>
      </c>
      <c r="K779" s="344">
        <v>7</v>
      </c>
      <c r="L779" t="str">
        <f t="shared" si="38"/>
        <v>60762</v>
      </c>
      <c r="M779" s="344" t="s">
        <v>141</v>
      </c>
      <c r="N779" s="344">
        <v>221112</v>
      </c>
    </row>
    <row r="780" spans="1:14" ht="15">
      <c r="A780" s="344">
        <v>60762</v>
      </c>
      <c r="B780" s="345" t="s">
        <v>137</v>
      </c>
      <c r="C780" s="344">
        <v>221112</v>
      </c>
      <c r="D780" s="344" t="str">
        <f t="shared" si="36"/>
        <v>221112</v>
      </c>
      <c r="E780" s="346" t="s">
        <v>147</v>
      </c>
      <c r="F780" s="344" t="s">
        <v>143</v>
      </c>
      <c r="G780" s="344" t="str">
        <f t="shared" si="37"/>
        <v>60762AXLE 3</v>
      </c>
      <c r="H780" s="344">
        <v>7</v>
      </c>
      <c r="I780" s="344">
        <v>14</v>
      </c>
      <c r="J780" s="344">
        <v>3</v>
      </c>
      <c r="K780" s="344">
        <v>6</v>
      </c>
      <c r="L780" t="str">
        <f t="shared" si="38"/>
        <v>60762</v>
      </c>
      <c r="M780" s="344" t="s">
        <v>143</v>
      </c>
      <c r="N780" s="344">
        <v>221112</v>
      </c>
    </row>
    <row r="781" spans="1:14" ht="15">
      <c r="A781" s="344">
        <v>60762</v>
      </c>
      <c r="B781" s="345" t="s">
        <v>137</v>
      </c>
      <c r="C781" s="344">
        <v>221112</v>
      </c>
      <c r="D781" s="344" t="str">
        <f t="shared" si="36"/>
        <v>221112</v>
      </c>
      <c r="E781" s="346" t="s">
        <v>146</v>
      </c>
      <c r="F781" s="344" t="s">
        <v>145</v>
      </c>
      <c r="G781" s="344" t="str">
        <f t="shared" si="37"/>
        <v>60762AXLE 4</v>
      </c>
      <c r="H781" s="344">
        <v>8</v>
      </c>
      <c r="I781" s="344">
        <v>13</v>
      </c>
      <c r="J781" s="344">
        <v>4</v>
      </c>
      <c r="K781" s="344">
        <v>5</v>
      </c>
      <c r="L781" t="str">
        <f t="shared" si="38"/>
        <v>60762</v>
      </c>
      <c r="M781" s="344" t="s">
        <v>145</v>
      </c>
      <c r="N781" s="344">
        <v>221112</v>
      </c>
    </row>
    <row r="782" spans="1:14" ht="15">
      <c r="A782" s="344">
        <v>60462</v>
      </c>
      <c r="B782" s="345" t="s">
        <v>137</v>
      </c>
      <c r="C782" s="344">
        <v>221112</v>
      </c>
      <c r="D782" s="344" t="str">
        <f t="shared" si="36"/>
        <v>221112</v>
      </c>
      <c r="E782" s="346" t="s">
        <v>146</v>
      </c>
      <c r="F782" s="344" t="s">
        <v>139</v>
      </c>
      <c r="G782" s="344" t="str">
        <f t="shared" si="37"/>
        <v>60462AXLE 1</v>
      </c>
      <c r="H782" s="344">
        <v>1</v>
      </c>
      <c r="I782" s="344">
        <v>20</v>
      </c>
      <c r="J782" s="344">
        <v>1</v>
      </c>
      <c r="K782" s="344">
        <v>8</v>
      </c>
      <c r="L782" t="str">
        <f t="shared" si="38"/>
        <v>60462</v>
      </c>
      <c r="M782" s="344" t="s">
        <v>139</v>
      </c>
      <c r="N782" s="344">
        <v>221112</v>
      </c>
    </row>
    <row r="783" spans="1:14" ht="15">
      <c r="A783" s="344">
        <v>60462</v>
      </c>
      <c r="B783" s="345" t="s">
        <v>137</v>
      </c>
      <c r="C783" s="344">
        <v>221112</v>
      </c>
      <c r="D783" s="344" t="str">
        <f t="shared" si="36"/>
        <v>221112</v>
      </c>
      <c r="E783" s="346" t="s">
        <v>147</v>
      </c>
      <c r="F783" s="344" t="s">
        <v>141</v>
      </c>
      <c r="G783" s="344" t="str">
        <f t="shared" si="37"/>
        <v>60462AXLE 2</v>
      </c>
      <c r="H783" s="344">
        <v>2</v>
      </c>
      <c r="I783" s="344">
        <v>19</v>
      </c>
      <c r="J783" s="344">
        <v>2</v>
      </c>
      <c r="K783" s="344">
        <v>7</v>
      </c>
      <c r="L783" t="str">
        <f t="shared" si="38"/>
        <v>60462</v>
      </c>
      <c r="M783" s="344" t="s">
        <v>141</v>
      </c>
      <c r="N783" s="344">
        <v>221112</v>
      </c>
    </row>
    <row r="784" spans="1:14" ht="15">
      <c r="A784" s="344">
        <v>60462</v>
      </c>
      <c r="B784" s="345" t="s">
        <v>137</v>
      </c>
      <c r="C784" s="344">
        <v>221112</v>
      </c>
      <c r="D784" s="344" t="str">
        <f t="shared" si="36"/>
        <v>221112</v>
      </c>
      <c r="E784" s="346" t="s">
        <v>147</v>
      </c>
      <c r="F784" s="344" t="s">
        <v>143</v>
      </c>
      <c r="G784" s="344" t="str">
        <f t="shared" si="37"/>
        <v>60462AXLE 3</v>
      </c>
      <c r="H784" s="344">
        <v>3</v>
      </c>
      <c r="I784" s="344">
        <v>18</v>
      </c>
      <c r="J784" s="344">
        <v>3</v>
      </c>
      <c r="K784" s="344">
        <v>6</v>
      </c>
      <c r="L784" t="str">
        <f t="shared" si="38"/>
        <v>60462</v>
      </c>
      <c r="M784" s="344" t="s">
        <v>143</v>
      </c>
      <c r="N784" s="344">
        <v>221112</v>
      </c>
    </row>
    <row r="785" spans="1:14" ht="15">
      <c r="A785" s="344">
        <v>60462</v>
      </c>
      <c r="B785" s="345" t="s">
        <v>137</v>
      </c>
      <c r="C785" s="344">
        <v>221112</v>
      </c>
      <c r="D785" s="344" t="str">
        <f t="shared" si="36"/>
        <v>221112</v>
      </c>
      <c r="E785" s="346" t="s">
        <v>146</v>
      </c>
      <c r="F785" s="344" t="s">
        <v>145</v>
      </c>
      <c r="G785" s="344" t="str">
        <f t="shared" si="37"/>
        <v>60462AXLE 4</v>
      </c>
      <c r="H785" s="344">
        <v>4</v>
      </c>
      <c r="I785" s="344">
        <v>17</v>
      </c>
      <c r="J785" s="344">
        <v>4</v>
      </c>
      <c r="K785" s="344">
        <v>5</v>
      </c>
      <c r="L785" t="str">
        <f t="shared" si="38"/>
        <v>60462</v>
      </c>
      <c r="M785" s="344" t="s">
        <v>145</v>
      </c>
      <c r="N785" s="344">
        <v>221112</v>
      </c>
    </row>
    <row r="786" spans="1:14" ht="15">
      <c r="A786" s="344">
        <v>60363</v>
      </c>
      <c r="B786" s="345" t="s">
        <v>137</v>
      </c>
      <c r="C786" s="344">
        <v>221113</v>
      </c>
      <c r="D786" s="344" t="str">
        <f t="shared" si="36"/>
        <v>221113</v>
      </c>
      <c r="E786" s="346" t="s">
        <v>146</v>
      </c>
      <c r="F786" s="344" t="s">
        <v>139</v>
      </c>
      <c r="G786" s="344" t="str">
        <f t="shared" si="37"/>
        <v>60363AXLE 1</v>
      </c>
      <c r="H786" s="344">
        <v>20</v>
      </c>
      <c r="I786" s="344">
        <v>1</v>
      </c>
      <c r="J786" s="344">
        <v>1</v>
      </c>
      <c r="K786" s="344">
        <v>8</v>
      </c>
      <c r="L786" t="str">
        <f t="shared" si="38"/>
        <v>60363</v>
      </c>
      <c r="M786" s="344" t="s">
        <v>139</v>
      </c>
      <c r="N786" s="344">
        <v>221113</v>
      </c>
    </row>
    <row r="787" spans="1:14" ht="15">
      <c r="A787" s="344">
        <v>60363</v>
      </c>
      <c r="B787" s="345" t="s">
        <v>137</v>
      </c>
      <c r="C787" s="344">
        <v>221113</v>
      </c>
      <c r="D787" s="344" t="str">
        <f t="shared" si="36"/>
        <v>221113</v>
      </c>
      <c r="E787" s="346" t="s">
        <v>147</v>
      </c>
      <c r="F787" s="344" t="s">
        <v>141</v>
      </c>
      <c r="G787" s="344" t="str">
        <f t="shared" si="37"/>
        <v>60363AXLE 2</v>
      </c>
      <c r="H787" s="344">
        <v>19</v>
      </c>
      <c r="I787" s="344">
        <v>2</v>
      </c>
      <c r="J787" s="344">
        <v>2</v>
      </c>
      <c r="K787" s="344">
        <v>7</v>
      </c>
      <c r="L787" t="str">
        <f t="shared" si="38"/>
        <v>60363</v>
      </c>
      <c r="M787" s="344" t="s">
        <v>141</v>
      </c>
      <c r="N787" s="344">
        <v>221113</v>
      </c>
    </row>
    <row r="788" spans="1:14" ht="15">
      <c r="A788" s="344">
        <v>60363</v>
      </c>
      <c r="B788" s="345" t="s">
        <v>137</v>
      </c>
      <c r="C788" s="344">
        <v>221113</v>
      </c>
      <c r="D788" s="344" t="str">
        <f t="shared" si="36"/>
        <v>221113</v>
      </c>
      <c r="E788" s="346" t="s">
        <v>147</v>
      </c>
      <c r="F788" s="344" t="s">
        <v>143</v>
      </c>
      <c r="G788" s="344" t="str">
        <f t="shared" si="37"/>
        <v>60363AXLE 3</v>
      </c>
      <c r="H788" s="344">
        <v>18</v>
      </c>
      <c r="I788" s="344">
        <v>3</v>
      </c>
      <c r="J788" s="344">
        <v>3</v>
      </c>
      <c r="K788" s="344">
        <v>6</v>
      </c>
      <c r="L788" t="str">
        <f t="shared" si="38"/>
        <v>60363</v>
      </c>
      <c r="M788" s="344" t="s">
        <v>143</v>
      </c>
      <c r="N788" s="344">
        <v>221113</v>
      </c>
    </row>
    <row r="789" spans="1:14" ht="15">
      <c r="A789" s="344">
        <v>60363</v>
      </c>
      <c r="B789" s="345" t="s">
        <v>137</v>
      </c>
      <c r="C789" s="344">
        <v>221113</v>
      </c>
      <c r="D789" s="344" t="str">
        <f t="shared" si="36"/>
        <v>221113</v>
      </c>
      <c r="E789" s="346" t="s">
        <v>146</v>
      </c>
      <c r="F789" s="344" t="s">
        <v>145</v>
      </c>
      <c r="G789" s="344" t="str">
        <f t="shared" si="37"/>
        <v>60363AXLE 4</v>
      </c>
      <c r="H789" s="344">
        <v>17</v>
      </c>
      <c r="I789" s="344">
        <v>4</v>
      </c>
      <c r="J789" s="344">
        <v>4</v>
      </c>
      <c r="K789" s="344">
        <v>5</v>
      </c>
      <c r="L789" t="str">
        <f t="shared" si="38"/>
        <v>60363</v>
      </c>
      <c r="M789" s="344" t="s">
        <v>145</v>
      </c>
      <c r="N789" s="344">
        <v>221113</v>
      </c>
    </row>
    <row r="790" spans="1:14" ht="15">
      <c r="A790" s="344">
        <v>60963</v>
      </c>
      <c r="B790" s="345" t="s">
        <v>137</v>
      </c>
      <c r="C790" s="344">
        <v>221113</v>
      </c>
      <c r="D790" s="344" t="str">
        <f t="shared" si="36"/>
        <v>221113</v>
      </c>
      <c r="E790" s="346" t="s">
        <v>146</v>
      </c>
      <c r="F790" s="344" t="s">
        <v>139</v>
      </c>
      <c r="G790" s="344" t="str">
        <f t="shared" si="37"/>
        <v>60963AXLE 1</v>
      </c>
      <c r="H790" s="344">
        <v>13</v>
      </c>
      <c r="I790" s="344">
        <v>8</v>
      </c>
      <c r="J790" s="344">
        <v>1</v>
      </c>
      <c r="K790" s="344">
        <v>8</v>
      </c>
      <c r="L790" t="str">
        <f t="shared" si="38"/>
        <v>60963</v>
      </c>
      <c r="M790" s="344" t="s">
        <v>139</v>
      </c>
      <c r="N790" s="344">
        <v>221113</v>
      </c>
    </row>
    <row r="791" spans="1:14" ht="15">
      <c r="A791" s="344">
        <v>60963</v>
      </c>
      <c r="B791" s="345" t="s">
        <v>137</v>
      </c>
      <c r="C791" s="344">
        <v>221113</v>
      </c>
      <c r="D791" s="344" t="str">
        <f t="shared" si="36"/>
        <v>221113</v>
      </c>
      <c r="E791" s="346" t="s">
        <v>147</v>
      </c>
      <c r="F791" s="344" t="s">
        <v>141</v>
      </c>
      <c r="G791" s="344" t="str">
        <f t="shared" si="37"/>
        <v>60963AXLE 2</v>
      </c>
      <c r="H791" s="344">
        <v>14</v>
      </c>
      <c r="I791" s="344">
        <v>7</v>
      </c>
      <c r="J791" s="344">
        <v>2</v>
      </c>
      <c r="K791" s="344">
        <v>7</v>
      </c>
      <c r="L791" t="str">
        <f t="shared" si="38"/>
        <v>60963</v>
      </c>
      <c r="M791" s="344" t="s">
        <v>141</v>
      </c>
      <c r="N791" s="344">
        <v>221113</v>
      </c>
    </row>
    <row r="792" spans="1:14" ht="15">
      <c r="A792" s="344">
        <v>60963</v>
      </c>
      <c r="B792" s="345" t="s">
        <v>137</v>
      </c>
      <c r="C792" s="344">
        <v>221113</v>
      </c>
      <c r="D792" s="344" t="str">
        <f t="shared" si="36"/>
        <v>221113</v>
      </c>
      <c r="E792" s="346" t="s">
        <v>147</v>
      </c>
      <c r="F792" s="344" t="s">
        <v>143</v>
      </c>
      <c r="G792" s="344" t="str">
        <f t="shared" si="37"/>
        <v>60963AXLE 3</v>
      </c>
      <c r="H792" s="344">
        <v>15</v>
      </c>
      <c r="I792" s="344">
        <v>6</v>
      </c>
      <c r="J792" s="344">
        <v>3</v>
      </c>
      <c r="K792" s="344">
        <v>6</v>
      </c>
      <c r="L792" t="str">
        <f t="shared" si="38"/>
        <v>60963</v>
      </c>
      <c r="M792" s="344" t="s">
        <v>143</v>
      </c>
      <c r="N792" s="344">
        <v>221113</v>
      </c>
    </row>
    <row r="793" spans="1:14" ht="15">
      <c r="A793" s="344">
        <v>60963</v>
      </c>
      <c r="B793" s="345" t="s">
        <v>137</v>
      </c>
      <c r="C793" s="344">
        <v>221113</v>
      </c>
      <c r="D793" s="344" t="str">
        <f t="shared" si="36"/>
        <v>221113</v>
      </c>
      <c r="E793" s="346" t="s">
        <v>146</v>
      </c>
      <c r="F793" s="344" t="s">
        <v>145</v>
      </c>
      <c r="G793" s="344" t="str">
        <f t="shared" si="37"/>
        <v>60963AXLE 4</v>
      </c>
      <c r="H793" s="344">
        <v>16</v>
      </c>
      <c r="I793" s="344">
        <v>5</v>
      </c>
      <c r="J793" s="344">
        <v>4</v>
      </c>
      <c r="K793" s="344">
        <v>5</v>
      </c>
      <c r="L793" t="str">
        <f t="shared" si="38"/>
        <v>60963</v>
      </c>
      <c r="M793" s="344" t="s">
        <v>145</v>
      </c>
      <c r="N793" s="344">
        <v>221113</v>
      </c>
    </row>
    <row r="794" spans="1:14" ht="15">
      <c r="A794" s="344">
        <v>60863</v>
      </c>
      <c r="B794" s="345" t="s">
        <v>137</v>
      </c>
      <c r="C794" s="344">
        <v>221113</v>
      </c>
      <c r="D794" s="344" t="str">
        <f t="shared" si="36"/>
        <v>221113</v>
      </c>
      <c r="E794" s="346" t="s">
        <v>146</v>
      </c>
      <c r="F794" s="344" t="s">
        <v>139</v>
      </c>
      <c r="G794" s="344" t="str">
        <f t="shared" si="37"/>
        <v>60863AXLE 1</v>
      </c>
      <c r="H794" s="344">
        <v>9</v>
      </c>
      <c r="I794" s="344">
        <v>12</v>
      </c>
      <c r="J794" s="344">
        <v>1</v>
      </c>
      <c r="K794" s="344">
        <v>8</v>
      </c>
      <c r="L794" t="str">
        <f t="shared" si="38"/>
        <v>60863</v>
      </c>
      <c r="M794" s="344" t="s">
        <v>139</v>
      </c>
      <c r="N794" s="344">
        <v>221113</v>
      </c>
    </row>
    <row r="795" spans="1:14" ht="15">
      <c r="A795" s="344">
        <v>60863</v>
      </c>
      <c r="B795" s="345" t="s">
        <v>137</v>
      </c>
      <c r="C795" s="344">
        <v>221113</v>
      </c>
      <c r="D795" s="344" t="str">
        <f t="shared" si="36"/>
        <v>221113</v>
      </c>
      <c r="E795" s="346" t="s">
        <v>147</v>
      </c>
      <c r="F795" s="344" t="s">
        <v>141</v>
      </c>
      <c r="G795" s="344" t="str">
        <f t="shared" si="37"/>
        <v>60863AXLE 2</v>
      </c>
      <c r="H795" s="344">
        <v>10</v>
      </c>
      <c r="I795" s="344">
        <v>11</v>
      </c>
      <c r="J795" s="344">
        <v>2</v>
      </c>
      <c r="K795" s="344">
        <v>7</v>
      </c>
      <c r="L795" t="str">
        <f t="shared" si="38"/>
        <v>60863</v>
      </c>
      <c r="M795" s="344" t="s">
        <v>141</v>
      </c>
      <c r="N795" s="344">
        <v>221113</v>
      </c>
    </row>
    <row r="796" spans="1:14" ht="15">
      <c r="A796" s="344">
        <v>60863</v>
      </c>
      <c r="B796" s="345" t="s">
        <v>137</v>
      </c>
      <c r="C796" s="344">
        <v>221113</v>
      </c>
      <c r="D796" s="344" t="str">
        <f t="shared" si="36"/>
        <v>221113</v>
      </c>
      <c r="E796" s="346" t="s">
        <v>147</v>
      </c>
      <c r="F796" s="344" t="s">
        <v>143</v>
      </c>
      <c r="G796" s="344" t="str">
        <f t="shared" si="37"/>
        <v>60863AXLE 3</v>
      </c>
      <c r="H796" s="344">
        <v>11</v>
      </c>
      <c r="I796" s="344">
        <v>10</v>
      </c>
      <c r="J796" s="344">
        <v>3</v>
      </c>
      <c r="K796" s="344">
        <v>6</v>
      </c>
      <c r="L796" t="str">
        <f t="shared" si="38"/>
        <v>60863</v>
      </c>
      <c r="M796" s="344" t="s">
        <v>143</v>
      </c>
      <c r="N796" s="344">
        <v>221113</v>
      </c>
    </row>
    <row r="797" spans="1:14" ht="15">
      <c r="A797" s="344">
        <v>60863</v>
      </c>
      <c r="B797" s="345" t="s">
        <v>137</v>
      </c>
      <c r="C797" s="344">
        <v>221113</v>
      </c>
      <c r="D797" s="344" t="str">
        <f t="shared" si="36"/>
        <v>221113</v>
      </c>
      <c r="E797" s="346" t="s">
        <v>146</v>
      </c>
      <c r="F797" s="344" t="s">
        <v>145</v>
      </c>
      <c r="G797" s="344" t="str">
        <f t="shared" si="37"/>
        <v>60863AXLE 4</v>
      </c>
      <c r="H797" s="344">
        <v>12</v>
      </c>
      <c r="I797" s="344">
        <v>9</v>
      </c>
      <c r="J797" s="344">
        <v>4</v>
      </c>
      <c r="K797" s="344">
        <v>5</v>
      </c>
      <c r="L797" t="str">
        <f t="shared" si="38"/>
        <v>60863</v>
      </c>
      <c r="M797" s="344" t="s">
        <v>145</v>
      </c>
      <c r="N797" s="344">
        <v>221113</v>
      </c>
    </row>
    <row r="798" spans="1:14" ht="15">
      <c r="A798" s="344">
        <v>60763</v>
      </c>
      <c r="B798" s="345" t="s">
        <v>137</v>
      </c>
      <c r="C798" s="344">
        <v>221113</v>
      </c>
      <c r="D798" s="344" t="str">
        <f t="shared" si="36"/>
        <v>221113</v>
      </c>
      <c r="E798" s="346" t="s">
        <v>146</v>
      </c>
      <c r="F798" s="344" t="s">
        <v>139</v>
      </c>
      <c r="G798" s="344" t="str">
        <f t="shared" si="37"/>
        <v>60763AXLE 1</v>
      </c>
      <c r="H798" s="344">
        <v>5</v>
      </c>
      <c r="I798" s="344">
        <v>16</v>
      </c>
      <c r="J798" s="344">
        <v>1</v>
      </c>
      <c r="K798" s="344">
        <v>8</v>
      </c>
      <c r="L798" t="str">
        <f t="shared" si="38"/>
        <v>60763</v>
      </c>
      <c r="M798" s="344" t="s">
        <v>139</v>
      </c>
      <c r="N798" s="344">
        <v>221113</v>
      </c>
    </row>
    <row r="799" spans="1:14" ht="15">
      <c r="A799" s="344">
        <v>60763</v>
      </c>
      <c r="B799" s="345" t="s">
        <v>137</v>
      </c>
      <c r="C799" s="344">
        <v>221113</v>
      </c>
      <c r="D799" s="344" t="str">
        <f t="shared" si="36"/>
        <v>221113</v>
      </c>
      <c r="E799" s="346" t="s">
        <v>147</v>
      </c>
      <c r="F799" s="344" t="s">
        <v>141</v>
      </c>
      <c r="G799" s="344" t="str">
        <f t="shared" si="37"/>
        <v>60763AXLE 2</v>
      </c>
      <c r="H799" s="344">
        <v>6</v>
      </c>
      <c r="I799" s="344">
        <v>15</v>
      </c>
      <c r="J799" s="344">
        <v>2</v>
      </c>
      <c r="K799" s="344">
        <v>7</v>
      </c>
      <c r="L799" t="str">
        <f t="shared" si="38"/>
        <v>60763</v>
      </c>
      <c r="M799" s="344" t="s">
        <v>141</v>
      </c>
      <c r="N799" s="344">
        <v>221113</v>
      </c>
    </row>
    <row r="800" spans="1:14" ht="15">
      <c r="A800" s="344">
        <v>60763</v>
      </c>
      <c r="B800" s="345" t="s">
        <v>137</v>
      </c>
      <c r="C800" s="344">
        <v>221113</v>
      </c>
      <c r="D800" s="344" t="str">
        <f t="shared" si="36"/>
        <v>221113</v>
      </c>
      <c r="E800" s="346" t="s">
        <v>147</v>
      </c>
      <c r="F800" s="344" t="s">
        <v>143</v>
      </c>
      <c r="G800" s="344" t="str">
        <f t="shared" si="37"/>
        <v>60763AXLE 3</v>
      </c>
      <c r="H800" s="344">
        <v>7</v>
      </c>
      <c r="I800" s="344">
        <v>14</v>
      </c>
      <c r="J800" s="344">
        <v>3</v>
      </c>
      <c r="K800" s="344">
        <v>6</v>
      </c>
      <c r="L800" t="str">
        <f t="shared" si="38"/>
        <v>60763</v>
      </c>
      <c r="M800" s="344" t="s">
        <v>143</v>
      </c>
      <c r="N800" s="344">
        <v>221113</v>
      </c>
    </row>
    <row r="801" spans="1:14" ht="15">
      <c r="A801" s="344">
        <v>60763</v>
      </c>
      <c r="B801" s="345" t="s">
        <v>137</v>
      </c>
      <c r="C801" s="344">
        <v>221113</v>
      </c>
      <c r="D801" s="344" t="str">
        <f t="shared" si="36"/>
        <v>221113</v>
      </c>
      <c r="E801" s="346" t="s">
        <v>146</v>
      </c>
      <c r="F801" s="344" t="s">
        <v>145</v>
      </c>
      <c r="G801" s="344" t="str">
        <f t="shared" si="37"/>
        <v>60763AXLE 4</v>
      </c>
      <c r="H801" s="344">
        <v>8</v>
      </c>
      <c r="I801" s="344">
        <v>13</v>
      </c>
      <c r="J801" s="344">
        <v>4</v>
      </c>
      <c r="K801" s="344">
        <v>5</v>
      </c>
      <c r="L801" t="str">
        <f t="shared" si="38"/>
        <v>60763</v>
      </c>
      <c r="M801" s="344" t="s">
        <v>145</v>
      </c>
      <c r="N801" s="344">
        <v>221113</v>
      </c>
    </row>
    <row r="802" spans="1:14" ht="15">
      <c r="A802" s="344">
        <v>60463</v>
      </c>
      <c r="B802" s="345" t="s">
        <v>137</v>
      </c>
      <c r="C802" s="344">
        <v>221113</v>
      </c>
      <c r="D802" s="344" t="str">
        <f t="shared" si="36"/>
        <v>221113</v>
      </c>
      <c r="E802" s="346" t="s">
        <v>146</v>
      </c>
      <c r="F802" s="344" t="s">
        <v>139</v>
      </c>
      <c r="G802" s="344" t="str">
        <f t="shared" si="37"/>
        <v>60463AXLE 1</v>
      </c>
      <c r="H802" s="344">
        <v>1</v>
      </c>
      <c r="I802" s="344">
        <v>20</v>
      </c>
      <c r="J802" s="344">
        <v>1</v>
      </c>
      <c r="K802" s="344">
        <v>8</v>
      </c>
      <c r="L802" t="str">
        <f t="shared" si="38"/>
        <v>60463</v>
      </c>
      <c r="M802" s="344" t="s">
        <v>139</v>
      </c>
      <c r="N802" s="344">
        <v>221113</v>
      </c>
    </row>
    <row r="803" spans="1:14" ht="15">
      <c r="A803" s="344">
        <v>60463</v>
      </c>
      <c r="B803" s="345" t="s">
        <v>137</v>
      </c>
      <c r="C803" s="344">
        <v>221113</v>
      </c>
      <c r="D803" s="344" t="str">
        <f t="shared" si="36"/>
        <v>221113</v>
      </c>
      <c r="E803" s="346" t="s">
        <v>147</v>
      </c>
      <c r="F803" s="344" t="s">
        <v>141</v>
      </c>
      <c r="G803" s="344" t="str">
        <f t="shared" si="37"/>
        <v>60463AXLE 2</v>
      </c>
      <c r="H803" s="344">
        <v>2</v>
      </c>
      <c r="I803" s="344">
        <v>19</v>
      </c>
      <c r="J803" s="344">
        <v>2</v>
      </c>
      <c r="K803" s="344">
        <v>7</v>
      </c>
      <c r="L803" t="str">
        <f t="shared" si="38"/>
        <v>60463</v>
      </c>
      <c r="M803" s="344" t="s">
        <v>141</v>
      </c>
      <c r="N803" s="344">
        <v>221113</v>
      </c>
    </row>
    <row r="804" spans="1:14" ht="15">
      <c r="A804" s="344">
        <v>60463</v>
      </c>
      <c r="B804" s="345" t="s">
        <v>137</v>
      </c>
      <c r="C804" s="344">
        <v>221113</v>
      </c>
      <c r="D804" s="344" t="str">
        <f t="shared" si="36"/>
        <v>221113</v>
      </c>
      <c r="E804" s="346" t="s">
        <v>147</v>
      </c>
      <c r="F804" s="344" t="s">
        <v>143</v>
      </c>
      <c r="G804" s="344" t="str">
        <f t="shared" si="37"/>
        <v>60463AXLE 3</v>
      </c>
      <c r="H804" s="344">
        <v>3</v>
      </c>
      <c r="I804" s="344">
        <v>18</v>
      </c>
      <c r="J804" s="344">
        <v>3</v>
      </c>
      <c r="K804" s="344">
        <v>6</v>
      </c>
      <c r="L804" t="str">
        <f t="shared" si="38"/>
        <v>60463</v>
      </c>
      <c r="M804" s="344" t="s">
        <v>143</v>
      </c>
      <c r="N804" s="344">
        <v>221113</v>
      </c>
    </row>
    <row r="805" spans="1:14" ht="15">
      <c r="A805" s="344">
        <v>60463</v>
      </c>
      <c r="B805" s="345" t="s">
        <v>137</v>
      </c>
      <c r="C805" s="344">
        <v>221113</v>
      </c>
      <c r="D805" s="344" t="str">
        <f t="shared" si="36"/>
        <v>221113</v>
      </c>
      <c r="E805" s="346" t="s">
        <v>146</v>
      </c>
      <c r="F805" s="344" t="s">
        <v>145</v>
      </c>
      <c r="G805" s="344" t="str">
        <f t="shared" si="37"/>
        <v>60463AXLE 4</v>
      </c>
      <c r="H805" s="344">
        <v>4</v>
      </c>
      <c r="I805" s="344">
        <v>17</v>
      </c>
      <c r="J805" s="344">
        <v>4</v>
      </c>
      <c r="K805" s="344">
        <v>5</v>
      </c>
      <c r="L805" t="str">
        <f t="shared" si="38"/>
        <v>60463</v>
      </c>
      <c r="M805" s="344" t="s">
        <v>145</v>
      </c>
      <c r="N805" s="344">
        <v>221113</v>
      </c>
    </row>
    <row r="806" spans="1:14" ht="15">
      <c r="A806" s="344">
        <v>60364</v>
      </c>
      <c r="B806" s="345" t="s">
        <v>137</v>
      </c>
      <c r="C806" s="344">
        <v>221114</v>
      </c>
      <c r="D806" s="344" t="str">
        <f t="shared" si="36"/>
        <v>221114</v>
      </c>
      <c r="E806" s="346" t="s">
        <v>146</v>
      </c>
      <c r="F806" s="344" t="s">
        <v>139</v>
      </c>
      <c r="G806" s="344" t="str">
        <f t="shared" si="37"/>
        <v>60364AXLE 1</v>
      </c>
      <c r="H806" s="344">
        <v>20</v>
      </c>
      <c r="I806" s="344">
        <v>1</v>
      </c>
      <c r="J806" s="344">
        <v>1</v>
      </c>
      <c r="K806" s="344">
        <v>8</v>
      </c>
      <c r="L806" t="str">
        <f t="shared" si="38"/>
        <v>60364</v>
      </c>
      <c r="M806" s="344" t="s">
        <v>139</v>
      </c>
      <c r="N806" s="344">
        <v>221114</v>
      </c>
    </row>
    <row r="807" spans="1:14" ht="15">
      <c r="A807" s="344">
        <v>60364</v>
      </c>
      <c r="B807" s="345" t="s">
        <v>137</v>
      </c>
      <c r="C807" s="344">
        <v>221114</v>
      </c>
      <c r="D807" s="344" t="str">
        <f t="shared" si="36"/>
        <v>221114</v>
      </c>
      <c r="E807" s="346" t="s">
        <v>147</v>
      </c>
      <c r="F807" s="344" t="s">
        <v>141</v>
      </c>
      <c r="G807" s="344" t="str">
        <f t="shared" si="37"/>
        <v>60364AXLE 2</v>
      </c>
      <c r="H807" s="344">
        <v>19</v>
      </c>
      <c r="I807" s="344">
        <v>2</v>
      </c>
      <c r="J807" s="344">
        <v>2</v>
      </c>
      <c r="K807" s="344">
        <v>7</v>
      </c>
      <c r="L807" t="str">
        <f t="shared" si="38"/>
        <v>60364</v>
      </c>
      <c r="M807" s="344" t="s">
        <v>141</v>
      </c>
      <c r="N807" s="344">
        <v>221114</v>
      </c>
    </row>
    <row r="808" spans="1:14" ht="15">
      <c r="A808" s="344">
        <v>60364</v>
      </c>
      <c r="B808" s="345" t="s">
        <v>137</v>
      </c>
      <c r="C808" s="344">
        <v>221114</v>
      </c>
      <c r="D808" s="344" t="str">
        <f t="shared" si="36"/>
        <v>221114</v>
      </c>
      <c r="E808" s="346" t="s">
        <v>147</v>
      </c>
      <c r="F808" s="344" t="s">
        <v>143</v>
      </c>
      <c r="G808" s="344" t="str">
        <f t="shared" si="37"/>
        <v>60364AXLE 3</v>
      </c>
      <c r="H808" s="344">
        <v>18</v>
      </c>
      <c r="I808" s="344">
        <v>3</v>
      </c>
      <c r="J808" s="344">
        <v>3</v>
      </c>
      <c r="K808" s="344">
        <v>6</v>
      </c>
      <c r="L808" t="str">
        <f t="shared" si="38"/>
        <v>60364</v>
      </c>
      <c r="M808" s="344" t="s">
        <v>143</v>
      </c>
      <c r="N808" s="344">
        <v>221114</v>
      </c>
    </row>
    <row r="809" spans="1:14" ht="15">
      <c r="A809" s="344">
        <v>60364</v>
      </c>
      <c r="B809" s="345" t="s">
        <v>137</v>
      </c>
      <c r="C809" s="344">
        <v>221114</v>
      </c>
      <c r="D809" s="344" t="str">
        <f t="shared" si="36"/>
        <v>221114</v>
      </c>
      <c r="E809" s="346" t="s">
        <v>146</v>
      </c>
      <c r="F809" s="344" t="s">
        <v>145</v>
      </c>
      <c r="G809" s="344" t="str">
        <f t="shared" si="37"/>
        <v>60364AXLE 4</v>
      </c>
      <c r="H809" s="344">
        <v>17</v>
      </c>
      <c r="I809" s="344">
        <v>4</v>
      </c>
      <c r="J809" s="344">
        <v>4</v>
      </c>
      <c r="K809" s="344">
        <v>5</v>
      </c>
      <c r="L809" t="str">
        <f t="shared" si="38"/>
        <v>60364</v>
      </c>
      <c r="M809" s="344" t="s">
        <v>145</v>
      </c>
      <c r="N809" s="344">
        <v>221114</v>
      </c>
    </row>
    <row r="810" spans="1:14" ht="15">
      <c r="A810" s="344">
        <v>60964</v>
      </c>
      <c r="B810" s="345" t="s">
        <v>137</v>
      </c>
      <c r="C810" s="344">
        <v>221114</v>
      </c>
      <c r="D810" s="344" t="str">
        <f t="shared" si="36"/>
        <v>221114</v>
      </c>
      <c r="E810" s="346" t="s">
        <v>146</v>
      </c>
      <c r="F810" s="344" t="s">
        <v>139</v>
      </c>
      <c r="G810" s="344" t="str">
        <f t="shared" si="37"/>
        <v>60964AXLE 1</v>
      </c>
      <c r="H810" s="344">
        <v>13</v>
      </c>
      <c r="I810" s="344">
        <v>8</v>
      </c>
      <c r="J810" s="344">
        <v>1</v>
      </c>
      <c r="K810" s="344">
        <v>8</v>
      </c>
      <c r="L810" t="str">
        <f t="shared" si="38"/>
        <v>60964</v>
      </c>
      <c r="M810" s="344" t="s">
        <v>139</v>
      </c>
      <c r="N810" s="344">
        <v>221114</v>
      </c>
    </row>
    <row r="811" spans="1:14" ht="15">
      <c r="A811" s="344">
        <v>60964</v>
      </c>
      <c r="B811" s="345" t="s">
        <v>137</v>
      </c>
      <c r="C811" s="344">
        <v>221114</v>
      </c>
      <c r="D811" s="344" t="str">
        <f t="shared" si="36"/>
        <v>221114</v>
      </c>
      <c r="E811" s="346" t="s">
        <v>147</v>
      </c>
      <c r="F811" s="344" t="s">
        <v>141</v>
      </c>
      <c r="G811" s="344" t="str">
        <f t="shared" si="37"/>
        <v>60964AXLE 2</v>
      </c>
      <c r="H811" s="344">
        <v>14</v>
      </c>
      <c r="I811" s="344">
        <v>7</v>
      </c>
      <c r="J811" s="344">
        <v>2</v>
      </c>
      <c r="K811" s="344">
        <v>7</v>
      </c>
      <c r="L811" t="str">
        <f t="shared" si="38"/>
        <v>60964</v>
      </c>
      <c r="M811" s="344" t="s">
        <v>141</v>
      </c>
      <c r="N811" s="344">
        <v>221114</v>
      </c>
    </row>
    <row r="812" spans="1:14" ht="15">
      <c r="A812" s="344">
        <v>60964</v>
      </c>
      <c r="B812" s="345" t="s">
        <v>137</v>
      </c>
      <c r="C812" s="344">
        <v>221114</v>
      </c>
      <c r="D812" s="344" t="str">
        <f t="shared" si="36"/>
        <v>221114</v>
      </c>
      <c r="E812" s="346" t="s">
        <v>147</v>
      </c>
      <c r="F812" s="344" t="s">
        <v>143</v>
      </c>
      <c r="G812" s="344" t="str">
        <f t="shared" si="37"/>
        <v>60964AXLE 3</v>
      </c>
      <c r="H812" s="344">
        <v>15</v>
      </c>
      <c r="I812" s="344">
        <v>6</v>
      </c>
      <c r="J812" s="344">
        <v>3</v>
      </c>
      <c r="K812" s="344">
        <v>6</v>
      </c>
      <c r="L812" t="str">
        <f t="shared" si="38"/>
        <v>60964</v>
      </c>
      <c r="M812" s="344" t="s">
        <v>143</v>
      </c>
      <c r="N812" s="344">
        <v>221114</v>
      </c>
    </row>
    <row r="813" spans="1:14" ht="15">
      <c r="A813" s="344">
        <v>60964</v>
      </c>
      <c r="B813" s="345" t="s">
        <v>137</v>
      </c>
      <c r="C813" s="344">
        <v>221114</v>
      </c>
      <c r="D813" s="344" t="str">
        <f t="shared" si="36"/>
        <v>221114</v>
      </c>
      <c r="E813" s="346" t="s">
        <v>146</v>
      </c>
      <c r="F813" s="344" t="s">
        <v>145</v>
      </c>
      <c r="G813" s="344" t="str">
        <f t="shared" si="37"/>
        <v>60964AXLE 4</v>
      </c>
      <c r="H813" s="344">
        <v>16</v>
      </c>
      <c r="I813" s="344">
        <v>5</v>
      </c>
      <c r="J813" s="344">
        <v>4</v>
      </c>
      <c r="K813" s="344">
        <v>5</v>
      </c>
      <c r="L813" t="str">
        <f t="shared" si="38"/>
        <v>60964</v>
      </c>
      <c r="M813" s="344" t="s">
        <v>145</v>
      </c>
      <c r="N813" s="344">
        <v>221114</v>
      </c>
    </row>
    <row r="814" spans="1:14" ht="15">
      <c r="A814" s="344">
        <v>60864</v>
      </c>
      <c r="B814" s="345" t="s">
        <v>137</v>
      </c>
      <c r="C814" s="344">
        <v>221114</v>
      </c>
      <c r="D814" s="344" t="str">
        <f t="shared" si="36"/>
        <v>221114</v>
      </c>
      <c r="E814" s="346" t="s">
        <v>146</v>
      </c>
      <c r="F814" s="344" t="s">
        <v>139</v>
      </c>
      <c r="G814" s="344" t="str">
        <f t="shared" si="37"/>
        <v>60864AXLE 1</v>
      </c>
      <c r="H814" s="344">
        <v>9</v>
      </c>
      <c r="I814" s="344">
        <v>12</v>
      </c>
      <c r="J814" s="344">
        <v>1</v>
      </c>
      <c r="K814" s="344">
        <v>8</v>
      </c>
      <c r="L814" t="str">
        <f t="shared" si="38"/>
        <v>60864</v>
      </c>
      <c r="M814" s="344" t="s">
        <v>139</v>
      </c>
      <c r="N814" s="344">
        <v>221114</v>
      </c>
    </row>
    <row r="815" spans="1:14" ht="15">
      <c r="A815" s="344">
        <v>60864</v>
      </c>
      <c r="B815" s="345" t="s">
        <v>137</v>
      </c>
      <c r="C815" s="344">
        <v>221114</v>
      </c>
      <c r="D815" s="344" t="str">
        <f t="shared" si="36"/>
        <v>221114</v>
      </c>
      <c r="E815" s="346" t="s">
        <v>147</v>
      </c>
      <c r="F815" s="344" t="s">
        <v>141</v>
      </c>
      <c r="G815" s="344" t="str">
        <f t="shared" si="37"/>
        <v>60864AXLE 2</v>
      </c>
      <c r="H815" s="344">
        <v>10</v>
      </c>
      <c r="I815" s="344">
        <v>11</v>
      </c>
      <c r="J815" s="344">
        <v>2</v>
      </c>
      <c r="K815" s="344">
        <v>7</v>
      </c>
      <c r="L815" t="str">
        <f t="shared" si="38"/>
        <v>60864</v>
      </c>
      <c r="M815" s="344" t="s">
        <v>141</v>
      </c>
      <c r="N815" s="344">
        <v>221114</v>
      </c>
    </row>
    <row r="816" spans="1:14" ht="15">
      <c r="A816" s="344">
        <v>60864</v>
      </c>
      <c r="B816" s="345" t="s">
        <v>137</v>
      </c>
      <c r="C816" s="344">
        <v>221114</v>
      </c>
      <c r="D816" s="344" t="str">
        <f t="shared" si="36"/>
        <v>221114</v>
      </c>
      <c r="E816" s="346" t="s">
        <v>147</v>
      </c>
      <c r="F816" s="344" t="s">
        <v>143</v>
      </c>
      <c r="G816" s="344" t="str">
        <f t="shared" si="37"/>
        <v>60864AXLE 3</v>
      </c>
      <c r="H816" s="344">
        <v>11</v>
      </c>
      <c r="I816" s="344">
        <v>10</v>
      </c>
      <c r="J816" s="344">
        <v>3</v>
      </c>
      <c r="K816" s="344">
        <v>6</v>
      </c>
      <c r="L816" t="str">
        <f t="shared" si="38"/>
        <v>60864</v>
      </c>
      <c r="M816" s="344" t="s">
        <v>143</v>
      </c>
      <c r="N816" s="344">
        <v>221114</v>
      </c>
    </row>
    <row r="817" spans="1:14" ht="15">
      <c r="A817" s="344">
        <v>60864</v>
      </c>
      <c r="B817" s="345" t="s">
        <v>137</v>
      </c>
      <c r="C817" s="344">
        <v>221114</v>
      </c>
      <c r="D817" s="344" t="str">
        <f t="shared" si="36"/>
        <v>221114</v>
      </c>
      <c r="E817" s="346" t="s">
        <v>146</v>
      </c>
      <c r="F817" s="344" t="s">
        <v>145</v>
      </c>
      <c r="G817" s="344" t="str">
        <f t="shared" si="37"/>
        <v>60864AXLE 4</v>
      </c>
      <c r="H817" s="344">
        <v>12</v>
      </c>
      <c r="I817" s="344">
        <v>9</v>
      </c>
      <c r="J817" s="344">
        <v>4</v>
      </c>
      <c r="K817" s="344">
        <v>5</v>
      </c>
      <c r="L817" t="str">
        <f t="shared" si="38"/>
        <v>60864</v>
      </c>
      <c r="M817" s="344" t="s">
        <v>145</v>
      </c>
      <c r="N817" s="344">
        <v>221114</v>
      </c>
    </row>
    <row r="818" spans="1:14" ht="15">
      <c r="A818" s="344">
        <v>60764</v>
      </c>
      <c r="B818" s="345" t="s">
        <v>137</v>
      </c>
      <c r="C818" s="344">
        <v>221114</v>
      </c>
      <c r="D818" s="344" t="str">
        <f t="shared" si="36"/>
        <v>221114</v>
      </c>
      <c r="E818" s="346" t="s">
        <v>146</v>
      </c>
      <c r="F818" s="344" t="s">
        <v>139</v>
      </c>
      <c r="G818" s="344" t="str">
        <f t="shared" si="37"/>
        <v>60764AXLE 1</v>
      </c>
      <c r="H818" s="344">
        <v>5</v>
      </c>
      <c r="I818" s="344">
        <v>16</v>
      </c>
      <c r="J818" s="344">
        <v>1</v>
      </c>
      <c r="K818" s="344">
        <v>8</v>
      </c>
      <c r="L818" t="str">
        <f t="shared" si="38"/>
        <v>60764</v>
      </c>
      <c r="M818" s="344" t="s">
        <v>139</v>
      </c>
      <c r="N818" s="344">
        <v>221114</v>
      </c>
    </row>
    <row r="819" spans="1:14" ht="15">
      <c r="A819" s="344">
        <v>60764</v>
      </c>
      <c r="B819" s="345" t="s">
        <v>137</v>
      </c>
      <c r="C819" s="344">
        <v>221114</v>
      </c>
      <c r="D819" s="344" t="str">
        <f t="shared" si="36"/>
        <v>221114</v>
      </c>
      <c r="E819" s="346" t="s">
        <v>147</v>
      </c>
      <c r="F819" s="344" t="s">
        <v>141</v>
      </c>
      <c r="G819" s="344" t="str">
        <f t="shared" si="37"/>
        <v>60764AXLE 2</v>
      </c>
      <c r="H819" s="344">
        <v>6</v>
      </c>
      <c r="I819" s="344">
        <v>15</v>
      </c>
      <c r="J819" s="344">
        <v>2</v>
      </c>
      <c r="K819" s="344">
        <v>7</v>
      </c>
      <c r="L819" t="str">
        <f t="shared" si="38"/>
        <v>60764</v>
      </c>
      <c r="M819" s="344" t="s">
        <v>141</v>
      </c>
      <c r="N819" s="344">
        <v>221114</v>
      </c>
    </row>
    <row r="820" spans="1:14" ht="15">
      <c r="A820" s="344">
        <v>60764</v>
      </c>
      <c r="B820" s="345" t="s">
        <v>137</v>
      </c>
      <c r="C820" s="344">
        <v>221114</v>
      </c>
      <c r="D820" s="344" t="str">
        <f t="shared" si="36"/>
        <v>221114</v>
      </c>
      <c r="E820" s="346" t="s">
        <v>147</v>
      </c>
      <c r="F820" s="344" t="s">
        <v>143</v>
      </c>
      <c r="G820" s="344" t="str">
        <f t="shared" si="37"/>
        <v>60764AXLE 3</v>
      </c>
      <c r="H820" s="344">
        <v>7</v>
      </c>
      <c r="I820" s="344">
        <v>14</v>
      </c>
      <c r="J820" s="344">
        <v>3</v>
      </c>
      <c r="K820" s="344">
        <v>6</v>
      </c>
      <c r="L820" t="str">
        <f t="shared" si="38"/>
        <v>60764</v>
      </c>
      <c r="M820" s="344" t="s">
        <v>143</v>
      </c>
      <c r="N820" s="344">
        <v>221114</v>
      </c>
    </row>
    <row r="821" spans="1:14" ht="15">
      <c r="A821" s="344">
        <v>60764</v>
      </c>
      <c r="B821" s="345" t="s">
        <v>137</v>
      </c>
      <c r="C821" s="344">
        <v>221114</v>
      </c>
      <c r="D821" s="344" t="str">
        <f t="shared" si="36"/>
        <v>221114</v>
      </c>
      <c r="E821" s="346" t="s">
        <v>146</v>
      </c>
      <c r="F821" s="344" t="s">
        <v>145</v>
      </c>
      <c r="G821" s="344" t="str">
        <f t="shared" si="37"/>
        <v>60764AXLE 4</v>
      </c>
      <c r="H821" s="344">
        <v>8</v>
      </c>
      <c r="I821" s="344">
        <v>13</v>
      </c>
      <c r="J821" s="344">
        <v>4</v>
      </c>
      <c r="K821" s="344">
        <v>5</v>
      </c>
      <c r="L821" t="str">
        <f t="shared" si="38"/>
        <v>60764</v>
      </c>
      <c r="M821" s="344" t="s">
        <v>145</v>
      </c>
      <c r="N821" s="344">
        <v>221114</v>
      </c>
    </row>
    <row r="822" spans="1:14" ht="15">
      <c r="A822" s="344">
        <v>60464</v>
      </c>
      <c r="B822" s="345" t="s">
        <v>137</v>
      </c>
      <c r="C822" s="344">
        <v>221114</v>
      </c>
      <c r="D822" s="344" t="str">
        <f t="shared" si="36"/>
        <v>221114</v>
      </c>
      <c r="E822" s="346" t="s">
        <v>146</v>
      </c>
      <c r="F822" s="344" t="s">
        <v>139</v>
      </c>
      <c r="G822" s="344" t="str">
        <f t="shared" si="37"/>
        <v>60464AXLE 1</v>
      </c>
      <c r="H822" s="344">
        <v>1</v>
      </c>
      <c r="I822" s="344">
        <v>20</v>
      </c>
      <c r="J822" s="344">
        <v>1</v>
      </c>
      <c r="K822" s="344">
        <v>8</v>
      </c>
      <c r="L822" t="str">
        <f t="shared" si="38"/>
        <v>60464</v>
      </c>
      <c r="M822" s="344" t="s">
        <v>139</v>
      </c>
      <c r="N822" s="344">
        <v>221114</v>
      </c>
    </row>
    <row r="823" spans="1:14" ht="15">
      <c r="A823" s="344">
        <v>60464</v>
      </c>
      <c r="B823" s="345" t="s">
        <v>137</v>
      </c>
      <c r="C823" s="344">
        <v>221114</v>
      </c>
      <c r="D823" s="344" t="str">
        <f t="shared" si="36"/>
        <v>221114</v>
      </c>
      <c r="E823" s="346" t="s">
        <v>147</v>
      </c>
      <c r="F823" s="344" t="s">
        <v>141</v>
      </c>
      <c r="G823" s="344" t="str">
        <f t="shared" si="37"/>
        <v>60464AXLE 2</v>
      </c>
      <c r="H823" s="344">
        <v>2</v>
      </c>
      <c r="I823" s="344">
        <v>19</v>
      </c>
      <c r="J823" s="344">
        <v>2</v>
      </c>
      <c r="K823" s="344">
        <v>7</v>
      </c>
      <c r="L823" t="str">
        <f t="shared" si="38"/>
        <v>60464</v>
      </c>
      <c r="M823" s="344" t="s">
        <v>141</v>
      </c>
      <c r="N823" s="344">
        <v>221114</v>
      </c>
    </row>
    <row r="824" spans="1:14" ht="15">
      <c r="A824" s="344">
        <v>60464</v>
      </c>
      <c r="B824" s="345" t="s">
        <v>137</v>
      </c>
      <c r="C824" s="344">
        <v>221114</v>
      </c>
      <c r="D824" s="344" t="str">
        <f t="shared" si="36"/>
        <v>221114</v>
      </c>
      <c r="E824" s="346" t="s">
        <v>147</v>
      </c>
      <c r="F824" s="344" t="s">
        <v>143</v>
      </c>
      <c r="G824" s="344" t="str">
        <f t="shared" si="37"/>
        <v>60464AXLE 3</v>
      </c>
      <c r="H824" s="344">
        <v>3</v>
      </c>
      <c r="I824" s="344">
        <v>18</v>
      </c>
      <c r="J824" s="344">
        <v>3</v>
      </c>
      <c r="K824" s="344">
        <v>6</v>
      </c>
      <c r="L824" t="str">
        <f t="shared" si="38"/>
        <v>60464</v>
      </c>
      <c r="M824" s="344" t="s">
        <v>143</v>
      </c>
      <c r="N824" s="344">
        <v>221114</v>
      </c>
    </row>
    <row r="825" spans="1:14" ht="15">
      <c r="A825" s="344">
        <v>60464</v>
      </c>
      <c r="B825" s="345" t="s">
        <v>137</v>
      </c>
      <c r="C825" s="344">
        <v>221114</v>
      </c>
      <c r="D825" s="344" t="str">
        <f t="shared" si="36"/>
        <v>221114</v>
      </c>
      <c r="E825" s="346" t="s">
        <v>146</v>
      </c>
      <c r="F825" s="344" t="s">
        <v>145</v>
      </c>
      <c r="G825" s="344" t="str">
        <f t="shared" si="37"/>
        <v>60464AXLE 4</v>
      </c>
      <c r="H825" s="344">
        <v>4</v>
      </c>
      <c r="I825" s="344">
        <v>17</v>
      </c>
      <c r="J825" s="344">
        <v>4</v>
      </c>
      <c r="K825" s="344">
        <v>5</v>
      </c>
      <c r="L825" t="str">
        <f t="shared" si="38"/>
        <v>60464</v>
      </c>
      <c r="M825" s="344" t="s">
        <v>145</v>
      </c>
      <c r="N825" s="344">
        <v>221114</v>
      </c>
    </row>
    <row r="826" spans="1:14" ht="15">
      <c r="A826" s="344">
        <v>60365</v>
      </c>
      <c r="B826" s="345" t="s">
        <v>137</v>
      </c>
      <c r="C826" s="344">
        <v>221115</v>
      </c>
      <c r="D826" s="344" t="str">
        <f t="shared" si="36"/>
        <v>221115</v>
      </c>
      <c r="E826" s="346" t="s">
        <v>146</v>
      </c>
      <c r="F826" s="344" t="s">
        <v>139</v>
      </c>
      <c r="G826" s="344" t="str">
        <f t="shared" si="37"/>
        <v>60365AXLE 1</v>
      </c>
      <c r="H826" s="344">
        <v>20</v>
      </c>
      <c r="I826" s="344">
        <v>1</v>
      </c>
      <c r="J826" s="344">
        <v>1</v>
      </c>
      <c r="K826" s="344">
        <v>8</v>
      </c>
      <c r="L826" t="str">
        <f t="shared" si="38"/>
        <v>60365</v>
      </c>
      <c r="M826" s="344" t="s">
        <v>139</v>
      </c>
      <c r="N826" s="344">
        <v>221115</v>
      </c>
    </row>
    <row r="827" spans="1:14" ht="15">
      <c r="A827" s="344">
        <v>60365</v>
      </c>
      <c r="B827" s="345" t="s">
        <v>137</v>
      </c>
      <c r="C827" s="344">
        <v>221115</v>
      </c>
      <c r="D827" s="344" t="str">
        <f t="shared" si="36"/>
        <v>221115</v>
      </c>
      <c r="E827" s="346" t="s">
        <v>147</v>
      </c>
      <c r="F827" s="344" t="s">
        <v>141</v>
      </c>
      <c r="G827" s="344" t="str">
        <f t="shared" si="37"/>
        <v>60365AXLE 2</v>
      </c>
      <c r="H827" s="344">
        <v>19</v>
      </c>
      <c r="I827" s="344">
        <v>2</v>
      </c>
      <c r="J827" s="344">
        <v>2</v>
      </c>
      <c r="K827" s="344">
        <v>7</v>
      </c>
      <c r="L827" t="str">
        <f t="shared" si="38"/>
        <v>60365</v>
      </c>
      <c r="M827" s="344" t="s">
        <v>141</v>
      </c>
      <c r="N827" s="344">
        <v>221115</v>
      </c>
    </row>
    <row r="828" spans="1:14" ht="15">
      <c r="A828" s="344">
        <v>60365</v>
      </c>
      <c r="B828" s="345" t="s">
        <v>137</v>
      </c>
      <c r="C828" s="344">
        <v>221115</v>
      </c>
      <c r="D828" s="344" t="str">
        <f t="shared" si="36"/>
        <v>221115</v>
      </c>
      <c r="E828" s="346" t="s">
        <v>147</v>
      </c>
      <c r="F828" s="344" t="s">
        <v>143</v>
      </c>
      <c r="G828" s="344" t="str">
        <f t="shared" si="37"/>
        <v>60365AXLE 3</v>
      </c>
      <c r="H828" s="344">
        <v>18</v>
      </c>
      <c r="I828" s="344">
        <v>3</v>
      </c>
      <c r="J828" s="344">
        <v>3</v>
      </c>
      <c r="K828" s="344">
        <v>6</v>
      </c>
      <c r="L828" t="str">
        <f t="shared" si="38"/>
        <v>60365</v>
      </c>
      <c r="M828" s="344" t="s">
        <v>143</v>
      </c>
      <c r="N828" s="344">
        <v>221115</v>
      </c>
    </row>
    <row r="829" spans="1:14" ht="15">
      <c r="A829" s="344">
        <v>60365</v>
      </c>
      <c r="B829" s="345" t="s">
        <v>137</v>
      </c>
      <c r="C829" s="344">
        <v>221115</v>
      </c>
      <c r="D829" s="344" t="str">
        <f t="shared" si="36"/>
        <v>221115</v>
      </c>
      <c r="E829" s="346" t="s">
        <v>146</v>
      </c>
      <c r="F829" s="344" t="s">
        <v>145</v>
      </c>
      <c r="G829" s="344" t="str">
        <f t="shared" si="37"/>
        <v>60365AXLE 4</v>
      </c>
      <c r="H829" s="344">
        <v>17</v>
      </c>
      <c r="I829" s="344">
        <v>4</v>
      </c>
      <c r="J829" s="344">
        <v>4</v>
      </c>
      <c r="K829" s="344">
        <v>5</v>
      </c>
      <c r="L829" t="str">
        <f t="shared" si="38"/>
        <v>60365</v>
      </c>
      <c r="M829" s="344" t="s">
        <v>145</v>
      </c>
      <c r="N829" s="344">
        <v>221115</v>
      </c>
    </row>
    <row r="830" spans="1:14" ht="15">
      <c r="A830" s="344">
        <v>60965</v>
      </c>
      <c r="B830" s="345" t="s">
        <v>137</v>
      </c>
      <c r="C830" s="344">
        <v>221115</v>
      </c>
      <c r="D830" s="344" t="str">
        <f t="shared" si="36"/>
        <v>221115</v>
      </c>
      <c r="E830" s="346" t="s">
        <v>146</v>
      </c>
      <c r="F830" s="344" t="s">
        <v>139</v>
      </c>
      <c r="G830" s="344" t="str">
        <f t="shared" si="37"/>
        <v>60965AXLE 1</v>
      </c>
      <c r="H830" s="344">
        <v>13</v>
      </c>
      <c r="I830" s="344">
        <v>8</v>
      </c>
      <c r="J830" s="344">
        <v>1</v>
      </c>
      <c r="K830" s="344">
        <v>8</v>
      </c>
      <c r="L830" t="str">
        <f t="shared" si="38"/>
        <v>60965</v>
      </c>
      <c r="M830" s="344" t="s">
        <v>139</v>
      </c>
      <c r="N830" s="344">
        <v>221115</v>
      </c>
    </row>
    <row r="831" spans="1:14" ht="15">
      <c r="A831" s="344">
        <v>60965</v>
      </c>
      <c r="B831" s="345" t="s">
        <v>137</v>
      </c>
      <c r="C831" s="344">
        <v>221115</v>
      </c>
      <c r="D831" s="344" t="str">
        <f t="shared" si="36"/>
        <v>221115</v>
      </c>
      <c r="E831" s="346" t="s">
        <v>147</v>
      </c>
      <c r="F831" s="344" t="s">
        <v>141</v>
      </c>
      <c r="G831" s="344" t="str">
        <f t="shared" si="37"/>
        <v>60965AXLE 2</v>
      </c>
      <c r="H831" s="344">
        <v>14</v>
      </c>
      <c r="I831" s="344">
        <v>7</v>
      </c>
      <c r="J831" s="344">
        <v>2</v>
      </c>
      <c r="K831" s="344">
        <v>7</v>
      </c>
      <c r="L831" t="str">
        <f t="shared" si="38"/>
        <v>60965</v>
      </c>
      <c r="M831" s="344" t="s">
        <v>141</v>
      </c>
      <c r="N831" s="344">
        <v>221115</v>
      </c>
    </row>
    <row r="832" spans="1:14" ht="15">
      <c r="A832" s="344">
        <v>60965</v>
      </c>
      <c r="B832" s="345" t="s">
        <v>137</v>
      </c>
      <c r="C832" s="344">
        <v>221115</v>
      </c>
      <c r="D832" s="344" t="str">
        <f t="shared" si="36"/>
        <v>221115</v>
      </c>
      <c r="E832" s="346" t="s">
        <v>147</v>
      </c>
      <c r="F832" s="344" t="s">
        <v>143</v>
      </c>
      <c r="G832" s="344" t="str">
        <f t="shared" si="37"/>
        <v>60965AXLE 3</v>
      </c>
      <c r="H832" s="344">
        <v>15</v>
      </c>
      <c r="I832" s="344">
        <v>6</v>
      </c>
      <c r="J832" s="344">
        <v>3</v>
      </c>
      <c r="K832" s="344">
        <v>6</v>
      </c>
      <c r="L832" t="str">
        <f t="shared" si="38"/>
        <v>60965</v>
      </c>
      <c r="M832" s="344" t="s">
        <v>143</v>
      </c>
      <c r="N832" s="344">
        <v>221115</v>
      </c>
    </row>
    <row r="833" spans="1:14" ht="15">
      <c r="A833" s="344">
        <v>60965</v>
      </c>
      <c r="B833" s="345" t="s">
        <v>137</v>
      </c>
      <c r="C833" s="344">
        <v>221115</v>
      </c>
      <c r="D833" s="344" t="str">
        <f t="shared" si="36"/>
        <v>221115</v>
      </c>
      <c r="E833" s="346" t="s">
        <v>146</v>
      </c>
      <c r="F833" s="344" t="s">
        <v>145</v>
      </c>
      <c r="G833" s="344" t="str">
        <f t="shared" si="37"/>
        <v>60965AXLE 4</v>
      </c>
      <c r="H833" s="344">
        <v>16</v>
      </c>
      <c r="I833" s="344">
        <v>5</v>
      </c>
      <c r="J833" s="344">
        <v>4</v>
      </c>
      <c r="K833" s="344">
        <v>5</v>
      </c>
      <c r="L833" t="str">
        <f t="shared" si="38"/>
        <v>60965</v>
      </c>
      <c r="M833" s="344" t="s">
        <v>145</v>
      </c>
      <c r="N833" s="344">
        <v>221115</v>
      </c>
    </row>
    <row r="834" spans="1:14" ht="15">
      <c r="A834" s="344">
        <v>60865</v>
      </c>
      <c r="B834" s="345" t="s">
        <v>137</v>
      </c>
      <c r="C834" s="344">
        <v>221115</v>
      </c>
      <c r="D834" s="344" t="str">
        <f t="shared" si="36"/>
        <v>221115</v>
      </c>
      <c r="E834" s="346" t="s">
        <v>146</v>
      </c>
      <c r="F834" s="344" t="s">
        <v>139</v>
      </c>
      <c r="G834" s="344" t="str">
        <f t="shared" si="37"/>
        <v>60865AXLE 1</v>
      </c>
      <c r="H834" s="344">
        <v>9</v>
      </c>
      <c r="I834" s="344">
        <v>12</v>
      </c>
      <c r="J834" s="344">
        <v>1</v>
      </c>
      <c r="K834" s="344">
        <v>8</v>
      </c>
      <c r="L834" t="str">
        <f t="shared" si="38"/>
        <v>60865</v>
      </c>
      <c r="M834" s="344" t="s">
        <v>139</v>
      </c>
      <c r="N834" s="344">
        <v>221115</v>
      </c>
    </row>
    <row r="835" spans="1:14" ht="15">
      <c r="A835" s="344">
        <v>60865</v>
      </c>
      <c r="B835" s="345" t="s">
        <v>137</v>
      </c>
      <c r="C835" s="344">
        <v>221115</v>
      </c>
      <c r="D835" s="344" t="str">
        <f t="shared" ref="D835:D898" si="39">CONCATENATE(B835,C835)</f>
        <v>221115</v>
      </c>
      <c r="E835" s="346" t="s">
        <v>147</v>
      </c>
      <c r="F835" s="344" t="s">
        <v>141</v>
      </c>
      <c r="G835" s="344" t="str">
        <f t="shared" ref="G835:G898" si="40">CONCATENATE(A835,F835)</f>
        <v>60865AXLE 2</v>
      </c>
      <c r="H835" s="344">
        <v>10</v>
      </c>
      <c r="I835" s="344">
        <v>11</v>
      </c>
      <c r="J835" s="344">
        <v>2</v>
      </c>
      <c r="K835" s="344">
        <v>7</v>
      </c>
      <c r="L835" t="str">
        <f t="shared" ref="L835:L898" si="41">CONCATENATE(A835,B835)</f>
        <v>60865</v>
      </c>
      <c r="M835" s="344" t="s">
        <v>141</v>
      </c>
      <c r="N835" s="344">
        <v>221115</v>
      </c>
    </row>
    <row r="836" spans="1:14" ht="15">
      <c r="A836" s="344">
        <v>60865</v>
      </c>
      <c r="B836" s="345" t="s">
        <v>137</v>
      </c>
      <c r="C836" s="344">
        <v>221115</v>
      </c>
      <c r="D836" s="344" t="str">
        <f t="shared" si="39"/>
        <v>221115</v>
      </c>
      <c r="E836" s="346" t="s">
        <v>147</v>
      </c>
      <c r="F836" s="344" t="s">
        <v>143</v>
      </c>
      <c r="G836" s="344" t="str">
        <f t="shared" si="40"/>
        <v>60865AXLE 3</v>
      </c>
      <c r="H836" s="344">
        <v>11</v>
      </c>
      <c r="I836" s="344">
        <v>10</v>
      </c>
      <c r="J836" s="344">
        <v>3</v>
      </c>
      <c r="K836" s="344">
        <v>6</v>
      </c>
      <c r="L836" t="str">
        <f t="shared" si="41"/>
        <v>60865</v>
      </c>
      <c r="M836" s="344" t="s">
        <v>143</v>
      </c>
      <c r="N836" s="344">
        <v>221115</v>
      </c>
    </row>
    <row r="837" spans="1:14" ht="15">
      <c r="A837" s="344">
        <v>60865</v>
      </c>
      <c r="B837" s="345" t="s">
        <v>137</v>
      </c>
      <c r="C837" s="344">
        <v>221115</v>
      </c>
      <c r="D837" s="344" t="str">
        <f t="shared" si="39"/>
        <v>221115</v>
      </c>
      <c r="E837" s="346" t="s">
        <v>146</v>
      </c>
      <c r="F837" s="344" t="s">
        <v>145</v>
      </c>
      <c r="G837" s="344" t="str">
        <f t="shared" si="40"/>
        <v>60865AXLE 4</v>
      </c>
      <c r="H837" s="344">
        <v>12</v>
      </c>
      <c r="I837" s="344">
        <v>9</v>
      </c>
      <c r="J837" s="344">
        <v>4</v>
      </c>
      <c r="K837" s="344">
        <v>5</v>
      </c>
      <c r="L837" t="str">
        <f t="shared" si="41"/>
        <v>60865</v>
      </c>
      <c r="M837" s="344" t="s">
        <v>145</v>
      </c>
      <c r="N837" s="344">
        <v>221115</v>
      </c>
    </row>
    <row r="838" spans="1:14" ht="15">
      <c r="A838" s="344">
        <v>60765</v>
      </c>
      <c r="B838" s="345" t="s">
        <v>137</v>
      </c>
      <c r="C838" s="344">
        <v>221115</v>
      </c>
      <c r="D838" s="344" t="str">
        <f t="shared" si="39"/>
        <v>221115</v>
      </c>
      <c r="E838" s="346" t="s">
        <v>146</v>
      </c>
      <c r="F838" s="344" t="s">
        <v>139</v>
      </c>
      <c r="G838" s="344" t="str">
        <f t="shared" si="40"/>
        <v>60765AXLE 1</v>
      </c>
      <c r="H838" s="344">
        <v>5</v>
      </c>
      <c r="I838" s="344">
        <v>16</v>
      </c>
      <c r="J838" s="344">
        <v>1</v>
      </c>
      <c r="K838" s="344">
        <v>8</v>
      </c>
      <c r="L838" t="str">
        <f t="shared" si="41"/>
        <v>60765</v>
      </c>
      <c r="M838" s="344" t="s">
        <v>139</v>
      </c>
      <c r="N838" s="344">
        <v>221115</v>
      </c>
    </row>
    <row r="839" spans="1:14" ht="15">
      <c r="A839" s="344">
        <v>60765</v>
      </c>
      <c r="B839" s="345" t="s">
        <v>137</v>
      </c>
      <c r="C839" s="344">
        <v>221115</v>
      </c>
      <c r="D839" s="344" t="str">
        <f t="shared" si="39"/>
        <v>221115</v>
      </c>
      <c r="E839" s="346" t="s">
        <v>147</v>
      </c>
      <c r="F839" s="344" t="s">
        <v>141</v>
      </c>
      <c r="G839" s="344" t="str">
        <f t="shared" si="40"/>
        <v>60765AXLE 2</v>
      </c>
      <c r="H839" s="344">
        <v>6</v>
      </c>
      <c r="I839" s="344">
        <v>15</v>
      </c>
      <c r="J839" s="344">
        <v>2</v>
      </c>
      <c r="K839" s="344">
        <v>7</v>
      </c>
      <c r="L839" t="str">
        <f t="shared" si="41"/>
        <v>60765</v>
      </c>
      <c r="M839" s="344" t="s">
        <v>141</v>
      </c>
      <c r="N839" s="344">
        <v>221115</v>
      </c>
    </row>
    <row r="840" spans="1:14" ht="15">
      <c r="A840" s="344">
        <v>60765</v>
      </c>
      <c r="B840" s="345" t="s">
        <v>137</v>
      </c>
      <c r="C840" s="344">
        <v>221115</v>
      </c>
      <c r="D840" s="344" t="str">
        <f t="shared" si="39"/>
        <v>221115</v>
      </c>
      <c r="E840" s="346" t="s">
        <v>147</v>
      </c>
      <c r="F840" s="344" t="s">
        <v>143</v>
      </c>
      <c r="G840" s="344" t="str">
        <f t="shared" si="40"/>
        <v>60765AXLE 3</v>
      </c>
      <c r="H840" s="344">
        <v>7</v>
      </c>
      <c r="I840" s="344">
        <v>14</v>
      </c>
      <c r="J840" s="344">
        <v>3</v>
      </c>
      <c r="K840" s="344">
        <v>6</v>
      </c>
      <c r="L840" t="str">
        <f t="shared" si="41"/>
        <v>60765</v>
      </c>
      <c r="M840" s="344" t="s">
        <v>143</v>
      </c>
      <c r="N840" s="344">
        <v>221115</v>
      </c>
    </row>
    <row r="841" spans="1:14" ht="15">
      <c r="A841" s="344">
        <v>60765</v>
      </c>
      <c r="B841" s="345" t="s">
        <v>137</v>
      </c>
      <c r="C841" s="344">
        <v>221115</v>
      </c>
      <c r="D841" s="344" t="str">
        <f t="shared" si="39"/>
        <v>221115</v>
      </c>
      <c r="E841" s="346" t="s">
        <v>146</v>
      </c>
      <c r="F841" s="344" t="s">
        <v>145</v>
      </c>
      <c r="G841" s="344" t="str">
        <f t="shared" si="40"/>
        <v>60765AXLE 4</v>
      </c>
      <c r="H841" s="344">
        <v>8</v>
      </c>
      <c r="I841" s="344">
        <v>13</v>
      </c>
      <c r="J841" s="344">
        <v>4</v>
      </c>
      <c r="K841" s="344">
        <v>5</v>
      </c>
      <c r="L841" t="str">
        <f t="shared" si="41"/>
        <v>60765</v>
      </c>
      <c r="M841" s="344" t="s">
        <v>145</v>
      </c>
      <c r="N841" s="344">
        <v>221115</v>
      </c>
    </row>
    <row r="842" spans="1:14" ht="15">
      <c r="A842" s="344">
        <v>60465</v>
      </c>
      <c r="B842" s="345" t="s">
        <v>137</v>
      </c>
      <c r="C842" s="344">
        <v>221115</v>
      </c>
      <c r="D842" s="344" t="str">
        <f t="shared" si="39"/>
        <v>221115</v>
      </c>
      <c r="E842" s="346" t="s">
        <v>146</v>
      </c>
      <c r="F842" s="344" t="s">
        <v>139</v>
      </c>
      <c r="G842" s="344" t="str">
        <f t="shared" si="40"/>
        <v>60465AXLE 1</v>
      </c>
      <c r="H842" s="344">
        <v>1</v>
      </c>
      <c r="I842" s="344">
        <v>20</v>
      </c>
      <c r="J842" s="344">
        <v>1</v>
      </c>
      <c r="K842" s="344">
        <v>8</v>
      </c>
      <c r="L842" t="str">
        <f t="shared" si="41"/>
        <v>60465</v>
      </c>
      <c r="M842" s="344" t="s">
        <v>139</v>
      </c>
      <c r="N842" s="344">
        <v>221115</v>
      </c>
    </row>
    <row r="843" spans="1:14" ht="15">
      <c r="A843" s="344">
        <v>60465</v>
      </c>
      <c r="B843" s="345" t="s">
        <v>137</v>
      </c>
      <c r="C843" s="344">
        <v>221115</v>
      </c>
      <c r="D843" s="344" t="str">
        <f t="shared" si="39"/>
        <v>221115</v>
      </c>
      <c r="E843" s="346" t="s">
        <v>147</v>
      </c>
      <c r="F843" s="344" t="s">
        <v>141</v>
      </c>
      <c r="G843" s="344" t="str">
        <f t="shared" si="40"/>
        <v>60465AXLE 2</v>
      </c>
      <c r="H843" s="344">
        <v>2</v>
      </c>
      <c r="I843" s="344">
        <v>19</v>
      </c>
      <c r="J843" s="344">
        <v>2</v>
      </c>
      <c r="K843" s="344">
        <v>7</v>
      </c>
      <c r="L843" t="str">
        <f t="shared" si="41"/>
        <v>60465</v>
      </c>
      <c r="M843" s="344" t="s">
        <v>141</v>
      </c>
      <c r="N843" s="344">
        <v>221115</v>
      </c>
    </row>
    <row r="844" spans="1:14" ht="15">
      <c r="A844" s="344">
        <v>60465</v>
      </c>
      <c r="B844" s="345" t="s">
        <v>137</v>
      </c>
      <c r="C844" s="344">
        <v>221115</v>
      </c>
      <c r="D844" s="344" t="str">
        <f t="shared" si="39"/>
        <v>221115</v>
      </c>
      <c r="E844" s="346" t="s">
        <v>147</v>
      </c>
      <c r="F844" s="344" t="s">
        <v>143</v>
      </c>
      <c r="G844" s="344" t="str">
        <f t="shared" si="40"/>
        <v>60465AXLE 3</v>
      </c>
      <c r="H844" s="344">
        <v>3</v>
      </c>
      <c r="I844" s="344">
        <v>18</v>
      </c>
      <c r="J844" s="344">
        <v>3</v>
      </c>
      <c r="K844" s="344">
        <v>6</v>
      </c>
      <c r="L844" t="str">
        <f t="shared" si="41"/>
        <v>60465</v>
      </c>
      <c r="M844" s="344" t="s">
        <v>143</v>
      </c>
      <c r="N844" s="344">
        <v>221115</v>
      </c>
    </row>
    <row r="845" spans="1:14" ht="15">
      <c r="A845" s="344">
        <v>60465</v>
      </c>
      <c r="B845" s="345" t="s">
        <v>137</v>
      </c>
      <c r="C845" s="344">
        <v>221115</v>
      </c>
      <c r="D845" s="344" t="str">
        <f t="shared" si="39"/>
        <v>221115</v>
      </c>
      <c r="E845" s="346" t="s">
        <v>146</v>
      </c>
      <c r="F845" s="344" t="s">
        <v>145</v>
      </c>
      <c r="G845" s="344" t="str">
        <f t="shared" si="40"/>
        <v>60465AXLE 4</v>
      </c>
      <c r="H845" s="344">
        <v>4</v>
      </c>
      <c r="I845" s="344">
        <v>17</v>
      </c>
      <c r="J845" s="344">
        <v>4</v>
      </c>
      <c r="K845" s="344">
        <v>5</v>
      </c>
      <c r="L845" t="str">
        <f t="shared" si="41"/>
        <v>60465</v>
      </c>
      <c r="M845" s="344" t="s">
        <v>145</v>
      </c>
      <c r="N845" s="344">
        <v>221115</v>
      </c>
    </row>
    <row r="846" spans="1:14" ht="15">
      <c r="A846" s="344">
        <v>60366</v>
      </c>
      <c r="B846" s="345" t="s">
        <v>137</v>
      </c>
      <c r="C846" s="344">
        <v>221116</v>
      </c>
      <c r="D846" s="344" t="str">
        <f t="shared" si="39"/>
        <v>221116</v>
      </c>
      <c r="E846" s="346" t="s">
        <v>146</v>
      </c>
      <c r="F846" s="344" t="s">
        <v>139</v>
      </c>
      <c r="G846" s="344" t="str">
        <f t="shared" si="40"/>
        <v>60366AXLE 1</v>
      </c>
      <c r="H846" s="344">
        <v>20</v>
      </c>
      <c r="I846" s="344">
        <v>1</v>
      </c>
      <c r="J846" s="344">
        <v>1</v>
      </c>
      <c r="K846" s="344">
        <v>8</v>
      </c>
      <c r="L846" t="str">
        <f t="shared" si="41"/>
        <v>60366</v>
      </c>
      <c r="M846" s="344" t="s">
        <v>139</v>
      </c>
      <c r="N846" s="344">
        <v>221116</v>
      </c>
    </row>
    <row r="847" spans="1:14" ht="15">
      <c r="A847" s="344">
        <v>60366</v>
      </c>
      <c r="B847" s="345" t="s">
        <v>137</v>
      </c>
      <c r="C847" s="344">
        <v>221116</v>
      </c>
      <c r="D847" s="344" t="str">
        <f t="shared" si="39"/>
        <v>221116</v>
      </c>
      <c r="E847" s="346" t="s">
        <v>147</v>
      </c>
      <c r="F847" s="344" t="s">
        <v>141</v>
      </c>
      <c r="G847" s="344" t="str">
        <f t="shared" si="40"/>
        <v>60366AXLE 2</v>
      </c>
      <c r="H847" s="344">
        <v>19</v>
      </c>
      <c r="I847" s="344">
        <v>2</v>
      </c>
      <c r="J847" s="344">
        <v>2</v>
      </c>
      <c r="K847" s="344">
        <v>7</v>
      </c>
      <c r="L847" t="str">
        <f t="shared" si="41"/>
        <v>60366</v>
      </c>
      <c r="M847" s="344" t="s">
        <v>141</v>
      </c>
      <c r="N847" s="344">
        <v>221116</v>
      </c>
    </row>
    <row r="848" spans="1:14" ht="15">
      <c r="A848" s="344">
        <v>60366</v>
      </c>
      <c r="B848" s="345" t="s">
        <v>137</v>
      </c>
      <c r="C848" s="344">
        <v>221116</v>
      </c>
      <c r="D848" s="344" t="str">
        <f t="shared" si="39"/>
        <v>221116</v>
      </c>
      <c r="E848" s="346" t="s">
        <v>147</v>
      </c>
      <c r="F848" s="344" t="s">
        <v>143</v>
      </c>
      <c r="G848" s="344" t="str">
        <f t="shared" si="40"/>
        <v>60366AXLE 3</v>
      </c>
      <c r="H848" s="344">
        <v>18</v>
      </c>
      <c r="I848" s="344">
        <v>3</v>
      </c>
      <c r="J848" s="344">
        <v>3</v>
      </c>
      <c r="K848" s="344">
        <v>6</v>
      </c>
      <c r="L848" t="str">
        <f t="shared" si="41"/>
        <v>60366</v>
      </c>
      <c r="M848" s="344" t="s">
        <v>143</v>
      </c>
      <c r="N848" s="344">
        <v>221116</v>
      </c>
    </row>
    <row r="849" spans="1:14" ht="15">
      <c r="A849" s="344">
        <v>60366</v>
      </c>
      <c r="B849" s="345" t="s">
        <v>137</v>
      </c>
      <c r="C849" s="344">
        <v>221116</v>
      </c>
      <c r="D849" s="344" t="str">
        <f t="shared" si="39"/>
        <v>221116</v>
      </c>
      <c r="E849" s="346" t="s">
        <v>146</v>
      </c>
      <c r="F849" s="344" t="s">
        <v>145</v>
      </c>
      <c r="G849" s="344" t="str">
        <f t="shared" si="40"/>
        <v>60366AXLE 4</v>
      </c>
      <c r="H849" s="344">
        <v>17</v>
      </c>
      <c r="I849" s="344">
        <v>4</v>
      </c>
      <c r="J849" s="344">
        <v>4</v>
      </c>
      <c r="K849" s="344">
        <v>5</v>
      </c>
      <c r="L849" t="str">
        <f t="shared" si="41"/>
        <v>60366</v>
      </c>
      <c r="M849" s="344" t="s">
        <v>145</v>
      </c>
      <c r="N849" s="344">
        <v>221116</v>
      </c>
    </row>
    <row r="850" spans="1:14" ht="15">
      <c r="A850" s="344">
        <v>60966</v>
      </c>
      <c r="B850" s="345" t="s">
        <v>137</v>
      </c>
      <c r="C850" s="344">
        <v>221116</v>
      </c>
      <c r="D850" s="344" t="str">
        <f t="shared" si="39"/>
        <v>221116</v>
      </c>
      <c r="E850" s="346" t="s">
        <v>146</v>
      </c>
      <c r="F850" s="344" t="s">
        <v>139</v>
      </c>
      <c r="G850" s="344" t="str">
        <f t="shared" si="40"/>
        <v>60966AXLE 1</v>
      </c>
      <c r="H850" s="344">
        <v>13</v>
      </c>
      <c r="I850" s="344">
        <v>8</v>
      </c>
      <c r="J850" s="344">
        <v>1</v>
      </c>
      <c r="K850" s="344">
        <v>8</v>
      </c>
      <c r="L850" t="str">
        <f t="shared" si="41"/>
        <v>60966</v>
      </c>
      <c r="M850" s="344" t="s">
        <v>139</v>
      </c>
      <c r="N850" s="344">
        <v>221116</v>
      </c>
    </row>
    <row r="851" spans="1:14" ht="15">
      <c r="A851" s="344">
        <v>60966</v>
      </c>
      <c r="B851" s="345" t="s">
        <v>137</v>
      </c>
      <c r="C851" s="344">
        <v>221116</v>
      </c>
      <c r="D851" s="344" t="str">
        <f t="shared" si="39"/>
        <v>221116</v>
      </c>
      <c r="E851" s="346" t="s">
        <v>147</v>
      </c>
      <c r="F851" s="344" t="s">
        <v>141</v>
      </c>
      <c r="G851" s="344" t="str">
        <f t="shared" si="40"/>
        <v>60966AXLE 2</v>
      </c>
      <c r="H851" s="344">
        <v>14</v>
      </c>
      <c r="I851" s="344">
        <v>7</v>
      </c>
      <c r="J851" s="344">
        <v>2</v>
      </c>
      <c r="K851" s="344">
        <v>7</v>
      </c>
      <c r="L851" t="str">
        <f t="shared" si="41"/>
        <v>60966</v>
      </c>
      <c r="M851" s="344" t="s">
        <v>141</v>
      </c>
      <c r="N851" s="344">
        <v>221116</v>
      </c>
    </row>
    <row r="852" spans="1:14" ht="15">
      <c r="A852" s="344">
        <v>60966</v>
      </c>
      <c r="B852" s="345" t="s">
        <v>137</v>
      </c>
      <c r="C852" s="344">
        <v>221116</v>
      </c>
      <c r="D852" s="344" t="str">
        <f t="shared" si="39"/>
        <v>221116</v>
      </c>
      <c r="E852" s="346" t="s">
        <v>147</v>
      </c>
      <c r="F852" s="344" t="s">
        <v>143</v>
      </c>
      <c r="G852" s="344" t="str">
        <f t="shared" si="40"/>
        <v>60966AXLE 3</v>
      </c>
      <c r="H852" s="344">
        <v>15</v>
      </c>
      <c r="I852" s="344">
        <v>6</v>
      </c>
      <c r="J852" s="344">
        <v>3</v>
      </c>
      <c r="K852" s="344">
        <v>6</v>
      </c>
      <c r="L852" t="str">
        <f t="shared" si="41"/>
        <v>60966</v>
      </c>
      <c r="M852" s="344" t="s">
        <v>143</v>
      </c>
      <c r="N852" s="344">
        <v>221116</v>
      </c>
    </row>
    <row r="853" spans="1:14" ht="15">
      <c r="A853" s="344">
        <v>60966</v>
      </c>
      <c r="B853" s="345" t="s">
        <v>137</v>
      </c>
      <c r="C853" s="344">
        <v>221116</v>
      </c>
      <c r="D853" s="344" t="str">
        <f t="shared" si="39"/>
        <v>221116</v>
      </c>
      <c r="E853" s="346" t="s">
        <v>146</v>
      </c>
      <c r="F853" s="344" t="s">
        <v>145</v>
      </c>
      <c r="G853" s="344" t="str">
        <f t="shared" si="40"/>
        <v>60966AXLE 4</v>
      </c>
      <c r="H853" s="344">
        <v>16</v>
      </c>
      <c r="I853" s="344">
        <v>5</v>
      </c>
      <c r="J853" s="344">
        <v>4</v>
      </c>
      <c r="K853" s="344">
        <v>5</v>
      </c>
      <c r="L853" t="str">
        <f t="shared" si="41"/>
        <v>60966</v>
      </c>
      <c r="M853" s="344" t="s">
        <v>145</v>
      </c>
      <c r="N853" s="344">
        <v>221116</v>
      </c>
    </row>
    <row r="854" spans="1:14" ht="15">
      <c r="A854" s="344">
        <v>60866</v>
      </c>
      <c r="B854" s="345" t="s">
        <v>137</v>
      </c>
      <c r="C854" s="344">
        <v>221116</v>
      </c>
      <c r="D854" s="344" t="str">
        <f t="shared" si="39"/>
        <v>221116</v>
      </c>
      <c r="E854" s="346" t="s">
        <v>146</v>
      </c>
      <c r="F854" s="344" t="s">
        <v>139</v>
      </c>
      <c r="G854" s="344" t="str">
        <f t="shared" si="40"/>
        <v>60866AXLE 1</v>
      </c>
      <c r="H854" s="344">
        <v>9</v>
      </c>
      <c r="I854" s="344">
        <v>12</v>
      </c>
      <c r="J854" s="344">
        <v>1</v>
      </c>
      <c r="K854" s="344">
        <v>8</v>
      </c>
      <c r="L854" t="str">
        <f t="shared" si="41"/>
        <v>60866</v>
      </c>
      <c r="M854" s="344" t="s">
        <v>139</v>
      </c>
      <c r="N854" s="344">
        <v>221116</v>
      </c>
    </row>
    <row r="855" spans="1:14" ht="15">
      <c r="A855" s="344">
        <v>60866</v>
      </c>
      <c r="B855" s="345" t="s">
        <v>137</v>
      </c>
      <c r="C855" s="344">
        <v>221116</v>
      </c>
      <c r="D855" s="344" t="str">
        <f t="shared" si="39"/>
        <v>221116</v>
      </c>
      <c r="E855" s="346" t="s">
        <v>147</v>
      </c>
      <c r="F855" s="344" t="s">
        <v>141</v>
      </c>
      <c r="G855" s="344" t="str">
        <f t="shared" si="40"/>
        <v>60866AXLE 2</v>
      </c>
      <c r="H855" s="344">
        <v>10</v>
      </c>
      <c r="I855" s="344">
        <v>11</v>
      </c>
      <c r="J855" s="344">
        <v>2</v>
      </c>
      <c r="K855" s="344">
        <v>7</v>
      </c>
      <c r="L855" t="str">
        <f t="shared" si="41"/>
        <v>60866</v>
      </c>
      <c r="M855" s="344" t="s">
        <v>141</v>
      </c>
      <c r="N855" s="344">
        <v>221116</v>
      </c>
    </row>
    <row r="856" spans="1:14" ht="15">
      <c r="A856" s="344">
        <v>60866</v>
      </c>
      <c r="B856" s="345" t="s">
        <v>137</v>
      </c>
      <c r="C856" s="344">
        <v>221116</v>
      </c>
      <c r="D856" s="344" t="str">
        <f t="shared" si="39"/>
        <v>221116</v>
      </c>
      <c r="E856" s="346" t="s">
        <v>147</v>
      </c>
      <c r="F856" s="344" t="s">
        <v>143</v>
      </c>
      <c r="G856" s="344" t="str">
        <f t="shared" si="40"/>
        <v>60866AXLE 3</v>
      </c>
      <c r="H856" s="344">
        <v>11</v>
      </c>
      <c r="I856" s="344">
        <v>10</v>
      </c>
      <c r="J856" s="344">
        <v>3</v>
      </c>
      <c r="K856" s="344">
        <v>6</v>
      </c>
      <c r="L856" t="str">
        <f t="shared" si="41"/>
        <v>60866</v>
      </c>
      <c r="M856" s="344" t="s">
        <v>143</v>
      </c>
      <c r="N856" s="344">
        <v>221116</v>
      </c>
    </row>
    <row r="857" spans="1:14" ht="15">
      <c r="A857" s="344">
        <v>60866</v>
      </c>
      <c r="B857" s="345" t="s">
        <v>137</v>
      </c>
      <c r="C857" s="344">
        <v>221116</v>
      </c>
      <c r="D857" s="344" t="str">
        <f t="shared" si="39"/>
        <v>221116</v>
      </c>
      <c r="E857" s="346" t="s">
        <v>146</v>
      </c>
      <c r="F857" s="344" t="s">
        <v>145</v>
      </c>
      <c r="G857" s="344" t="str">
        <f t="shared" si="40"/>
        <v>60866AXLE 4</v>
      </c>
      <c r="H857" s="344">
        <v>12</v>
      </c>
      <c r="I857" s="344">
        <v>9</v>
      </c>
      <c r="J857" s="344">
        <v>4</v>
      </c>
      <c r="K857" s="344">
        <v>5</v>
      </c>
      <c r="L857" t="str">
        <f t="shared" si="41"/>
        <v>60866</v>
      </c>
      <c r="M857" s="344" t="s">
        <v>145</v>
      </c>
      <c r="N857" s="344">
        <v>221116</v>
      </c>
    </row>
    <row r="858" spans="1:14" ht="15">
      <c r="A858" s="344">
        <v>60766</v>
      </c>
      <c r="B858" s="345" t="s">
        <v>137</v>
      </c>
      <c r="C858" s="344">
        <v>221116</v>
      </c>
      <c r="D858" s="344" t="str">
        <f t="shared" si="39"/>
        <v>221116</v>
      </c>
      <c r="E858" s="346" t="s">
        <v>146</v>
      </c>
      <c r="F858" s="344" t="s">
        <v>139</v>
      </c>
      <c r="G858" s="344" t="str">
        <f t="shared" si="40"/>
        <v>60766AXLE 1</v>
      </c>
      <c r="H858" s="344">
        <v>5</v>
      </c>
      <c r="I858" s="344">
        <v>16</v>
      </c>
      <c r="J858" s="344">
        <v>1</v>
      </c>
      <c r="K858" s="344">
        <v>8</v>
      </c>
      <c r="L858" t="str">
        <f t="shared" si="41"/>
        <v>60766</v>
      </c>
      <c r="M858" s="344" t="s">
        <v>139</v>
      </c>
      <c r="N858" s="344">
        <v>221116</v>
      </c>
    </row>
    <row r="859" spans="1:14" ht="15">
      <c r="A859" s="344">
        <v>60766</v>
      </c>
      <c r="B859" s="345" t="s">
        <v>137</v>
      </c>
      <c r="C859" s="344">
        <v>221116</v>
      </c>
      <c r="D859" s="344" t="str">
        <f t="shared" si="39"/>
        <v>221116</v>
      </c>
      <c r="E859" s="346" t="s">
        <v>147</v>
      </c>
      <c r="F859" s="344" t="s">
        <v>141</v>
      </c>
      <c r="G859" s="344" t="str">
        <f t="shared" si="40"/>
        <v>60766AXLE 2</v>
      </c>
      <c r="H859" s="344">
        <v>6</v>
      </c>
      <c r="I859" s="344">
        <v>15</v>
      </c>
      <c r="J859" s="344">
        <v>2</v>
      </c>
      <c r="K859" s="344">
        <v>7</v>
      </c>
      <c r="L859" t="str">
        <f t="shared" si="41"/>
        <v>60766</v>
      </c>
      <c r="M859" s="344" t="s">
        <v>141</v>
      </c>
      <c r="N859" s="344">
        <v>221116</v>
      </c>
    </row>
    <row r="860" spans="1:14" ht="15">
      <c r="A860" s="344">
        <v>60766</v>
      </c>
      <c r="B860" s="345" t="s">
        <v>137</v>
      </c>
      <c r="C860" s="344">
        <v>221116</v>
      </c>
      <c r="D860" s="344" t="str">
        <f t="shared" si="39"/>
        <v>221116</v>
      </c>
      <c r="E860" s="346" t="s">
        <v>147</v>
      </c>
      <c r="F860" s="344" t="s">
        <v>143</v>
      </c>
      <c r="G860" s="344" t="str">
        <f t="shared" si="40"/>
        <v>60766AXLE 3</v>
      </c>
      <c r="H860" s="344">
        <v>7</v>
      </c>
      <c r="I860" s="344">
        <v>14</v>
      </c>
      <c r="J860" s="344">
        <v>3</v>
      </c>
      <c r="K860" s="344">
        <v>6</v>
      </c>
      <c r="L860" t="str">
        <f t="shared" si="41"/>
        <v>60766</v>
      </c>
      <c r="M860" s="344" t="s">
        <v>143</v>
      </c>
      <c r="N860" s="344">
        <v>221116</v>
      </c>
    </row>
    <row r="861" spans="1:14" ht="15">
      <c r="A861" s="344">
        <v>60766</v>
      </c>
      <c r="B861" s="345" t="s">
        <v>137</v>
      </c>
      <c r="C861" s="344">
        <v>221116</v>
      </c>
      <c r="D861" s="344" t="str">
        <f t="shared" si="39"/>
        <v>221116</v>
      </c>
      <c r="E861" s="346" t="s">
        <v>146</v>
      </c>
      <c r="F861" s="344" t="s">
        <v>145</v>
      </c>
      <c r="G861" s="344" t="str">
        <f t="shared" si="40"/>
        <v>60766AXLE 4</v>
      </c>
      <c r="H861" s="344">
        <v>8</v>
      </c>
      <c r="I861" s="344">
        <v>13</v>
      </c>
      <c r="J861" s="344">
        <v>4</v>
      </c>
      <c r="K861" s="344">
        <v>5</v>
      </c>
      <c r="L861" t="str">
        <f t="shared" si="41"/>
        <v>60766</v>
      </c>
      <c r="M861" s="344" t="s">
        <v>145</v>
      </c>
      <c r="N861" s="344">
        <v>221116</v>
      </c>
    </row>
    <row r="862" spans="1:14" ht="15">
      <c r="A862" s="344">
        <v>60466</v>
      </c>
      <c r="B862" s="345" t="s">
        <v>137</v>
      </c>
      <c r="C862" s="344">
        <v>221116</v>
      </c>
      <c r="D862" s="344" t="str">
        <f t="shared" si="39"/>
        <v>221116</v>
      </c>
      <c r="E862" s="346" t="s">
        <v>146</v>
      </c>
      <c r="F862" s="344" t="s">
        <v>139</v>
      </c>
      <c r="G862" s="344" t="str">
        <f t="shared" si="40"/>
        <v>60466AXLE 1</v>
      </c>
      <c r="H862" s="344">
        <v>1</v>
      </c>
      <c r="I862" s="344">
        <v>20</v>
      </c>
      <c r="J862" s="344">
        <v>1</v>
      </c>
      <c r="K862" s="344">
        <v>8</v>
      </c>
      <c r="L862" t="str">
        <f t="shared" si="41"/>
        <v>60466</v>
      </c>
      <c r="M862" s="344" t="s">
        <v>139</v>
      </c>
      <c r="N862" s="344">
        <v>221116</v>
      </c>
    </row>
    <row r="863" spans="1:14" ht="15">
      <c r="A863" s="344">
        <v>60466</v>
      </c>
      <c r="B863" s="345" t="s">
        <v>137</v>
      </c>
      <c r="C863" s="344">
        <v>221116</v>
      </c>
      <c r="D863" s="344" t="str">
        <f t="shared" si="39"/>
        <v>221116</v>
      </c>
      <c r="E863" s="346" t="s">
        <v>147</v>
      </c>
      <c r="F863" s="344" t="s">
        <v>141</v>
      </c>
      <c r="G863" s="344" t="str">
        <f t="shared" si="40"/>
        <v>60466AXLE 2</v>
      </c>
      <c r="H863" s="344">
        <v>2</v>
      </c>
      <c r="I863" s="344">
        <v>19</v>
      </c>
      <c r="J863" s="344">
        <v>2</v>
      </c>
      <c r="K863" s="344">
        <v>7</v>
      </c>
      <c r="L863" t="str">
        <f t="shared" si="41"/>
        <v>60466</v>
      </c>
      <c r="M863" s="344" t="s">
        <v>141</v>
      </c>
      <c r="N863" s="344">
        <v>221116</v>
      </c>
    </row>
    <row r="864" spans="1:14" ht="15">
      <c r="A864" s="344">
        <v>60466</v>
      </c>
      <c r="B864" s="345" t="s">
        <v>137</v>
      </c>
      <c r="C864" s="344">
        <v>221116</v>
      </c>
      <c r="D864" s="344" t="str">
        <f t="shared" si="39"/>
        <v>221116</v>
      </c>
      <c r="E864" s="346" t="s">
        <v>147</v>
      </c>
      <c r="F864" s="344" t="s">
        <v>143</v>
      </c>
      <c r="G864" s="344" t="str">
        <f t="shared" si="40"/>
        <v>60466AXLE 3</v>
      </c>
      <c r="H864" s="344">
        <v>3</v>
      </c>
      <c r="I864" s="344">
        <v>18</v>
      </c>
      <c r="J864" s="344">
        <v>3</v>
      </c>
      <c r="K864" s="344">
        <v>6</v>
      </c>
      <c r="L864" t="str">
        <f t="shared" si="41"/>
        <v>60466</v>
      </c>
      <c r="M864" s="344" t="s">
        <v>143</v>
      </c>
      <c r="N864" s="344">
        <v>221116</v>
      </c>
    </row>
    <row r="865" spans="1:14" ht="15">
      <c r="A865" s="344">
        <v>60466</v>
      </c>
      <c r="B865" s="345" t="s">
        <v>137</v>
      </c>
      <c r="C865" s="344">
        <v>221116</v>
      </c>
      <c r="D865" s="344" t="str">
        <f t="shared" si="39"/>
        <v>221116</v>
      </c>
      <c r="E865" s="346" t="s">
        <v>146</v>
      </c>
      <c r="F865" s="344" t="s">
        <v>145</v>
      </c>
      <c r="G865" s="344" t="str">
        <f t="shared" si="40"/>
        <v>60466AXLE 4</v>
      </c>
      <c r="H865" s="344">
        <v>4</v>
      </c>
      <c r="I865" s="344">
        <v>17</v>
      </c>
      <c r="J865" s="344">
        <v>4</v>
      </c>
      <c r="K865" s="344">
        <v>5</v>
      </c>
      <c r="L865" t="str">
        <f t="shared" si="41"/>
        <v>60466</v>
      </c>
      <c r="M865" s="344" t="s">
        <v>145</v>
      </c>
      <c r="N865" s="344">
        <v>221116</v>
      </c>
    </row>
    <row r="866" spans="1:14" ht="15">
      <c r="A866" s="344">
        <v>60367</v>
      </c>
      <c r="B866" s="345" t="s">
        <v>137</v>
      </c>
      <c r="C866" s="344">
        <v>221117</v>
      </c>
      <c r="D866" s="344" t="str">
        <f t="shared" si="39"/>
        <v>221117</v>
      </c>
      <c r="E866" s="346" t="s">
        <v>146</v>
      </c>
      <c r="F866" s="344" t="s">
        <v>139</v>
      </c>
      <c r="G866" s="344" t="str">
        <f t="shared" si="40"/>
        <v>60367AXLE 1</v>
      </c>
      <c r="H866" s="344">
        <v>20</v>
      </c>
      <c r="I866" s="344">
        <v>1</v>
      </c>
      <c r="J866" s="344">
        <v>1</v>
      </c>
      <c r="K866" s="344">
        <v>8</v>
      </c>
      <c r="L866" t="str">
        <f t="shared" si="41"/>
        <v>60367</v>
      </c>
      <c r="M866" s="344" t="s">
        <v>139</v>
      </c>
      <c r="N866" s="344">
        <v>221117</v>
      </c>
    </row>
    <row r="867" spans="1:14" ht="15">
      <c r="A867" s="344">
        <v>60367</v>
      </c>
      <c r="B867" s="345" t="s">
        <v>137</v>
      </c>
      <c r="C867" s="344">
        <v>221117</v>
      </c>
      <c r="D867" s="344" t="str">
        <f t="shared" si="39"/>
        <v>221117</v>
      </c>
      <c r="E867" s="346" t="s">
        <v>147</v>
      </c>
      <c r="F867" s="344" t="s">
        <v>141</v>
      </c>
      <c r="G867" s="344" t="str">
        <f t="shared" si="40"/>
        <v>60367AXLE 2</v>
      </c>
      <c r="H867" s="344">
        <v>19</v>
      </c>
      <c r="I867" s="344">
        <v>2</v>
      </c>
      <c r="J867" s="344">
        <v>2</v>
      </c>
      <c r="K867" s="344">
        <v>7</v>
      </c>
      <c r="L867" t="str">
        <f t="shared" si="41"/>
        <v>60367</v>
      </c>
      <c r="M867" s="344" t="s">
        <v>141</v>
      </c>
      <c r="N867" s="344">
        <v>221117</v>
      </c>
    </row>
    <row r="868" spans="1:14" ht="15">
      <c r="A868" s="344">
        <v>60367</v>
      </c>
      <c r="B868" s="345" t="s">
        <v>137</v>
      </c>
      <c r="C868" s="344">
        <v>221117</v>
      </c>
      <c r="D868" s="344" t="str">
        <f t="shared" si="39"/>
        <v>221117</v>
      </c>
      <c r="E868" s="346" t="s">
        <v>147</v>
      </c>
      <c r="F868" s="344" t="s">
        <v>143</v>
      </c>
      <c r="G868" s="344" t="str">
        <f t="shared" si="40"/>
        <v>60367AXLE 3</v>
      </c>
      <c r="H868" s="344">
        <v>18</v>
      </c>
      <c r="I868" s="344">
        <v>3</v>
      </c>
      <c r="J868" s="344">
        <v>3</v>
      </c>
      <c r="K868" s="344">
        <v>6</v>
      </c>
      <c r="L868" t="str">
        <f t="shared" si="41"/>
        <v>60367</v>
      </c>
      <c r="M868" s="344" t="s">
        <v>143</v>
      </c>
      <c r="N868" s="344">
        <v>221117</v>
      </c>
    </row>
    <row r="869" spans="1:14" ht="15">
      <c r="A869" s="344">
        <v>60367</v>
      </c>
      <c r="B869" s="345" t="s">
        <v>137</v>
      </c>
      <c r="C869" s="344">
        <v>221117</v>
      </c>
      <c r="D869" s="344" t="str">
        <f t="shared" si="39"/>
        <v>221117</v>
      </c>
      <c r="E869" s="346" t="s">
        <v>146</v>
      </c>
      <c r="F869" s="344" t="s">
        <v>145</v>
      </c>
      <c r="G869" s="344" t="str">
        <f t="shared" si="40"/>
        <v>60367AXLE 4</v>
      </c>
      <c r="H869" s="344">
        <v>17</v>
      </c>
      <c r="I869" s="344">
        <v>4</v>
      </c>
      <c r="J869" s="344">
        <v>4</v>
      </c>
      <c r="K869" s="344">
        <v>5</v>
      </c>
      <c r="L869" t="str">
        <f t="shared" si="41"/>
        <v>60367</v>
      </c>
      <c r="M869" s="344" t="s">
        <v>145</v>
      </c>
      <c r="N869" s="344">
        <v>221117</v>
      </c>
    </row>
    <row r="870" spans="1:14" ht="15">
      <c r="A870" s="344">
        <v>60967</v>
      </c>
      <c r="B870" s="345" t="s">
        <v>137</v>
      </c>
      <c r="C870" s="344">
        <v>221117</v>
      </c>
      <c r="D870" s="344" t="str">
        <f t="shared" si="39"/>
        <v>221117</v>
      </c>
      <c r="E870" s="346" t="s">
        <v>146</v>
      </c>
      <c r="F870" s="344" t="s">
        <v>139</v>
      </c>
      <c r="G870" s="344" t="str">
        <f t="shared" si="40"/>
        <v>60967AXLE 1</v>
      </c>
      <c r="H870" s="344">
        <v>13</v>
      </c>
      <c r="I870" s="344">
        <v>8</v>
      </c>
      <c r="J870" s="344">
        <v>1</v>
      </c>
      <c r="K870" s="344">
        <v>8</v>
      </c>
      <c r="L870" t="str">
        <f t="shared" si="41"/>
        <v>60967</v>
      </c>
      <c r="M870" s="344" t="s">
        <v>139</v>
      </c>
      <c r="N870" s="344">
        <v>221117</v>
      </c>
    </row>
    <row r="871" spans="1:14" ht="15">
      <c r="A871" s="344">
        <v>60967</v>
      </c>
      <c r="B871" s="345" t="s">
        <v>137</v>
      </c>
      <c r="C871" s="344">
        <v>221117</v>
      </c>
      <c r="D871" s="344" t="str">
        <f t="shared" si="39"/>
        <v>221117</v>
      </c>
      <c r="E871" s="346" t="s">
        <v>147</v>
      </c>
      <c r="F871" s="344" t="s">
        <v>141</v>
      </c>
      <c r="G871" s="344" t="str">
        <f t="shared" si="40"/>
        <v>60967AXLE 2</v>
      </c>
      <c r="H871" s="344">
        <v>14</v>
      </c>
      <c r="I871" s="344">
        <v>7</v>
      </c>
      <c r="J871" s="344">
        <v>2</v>
      </c>
      <c r="K871" s="344">
        <v>7</v>
      </c>
      <c r="L871" t="str">
        <f t="shared" si="41"/>
        <v>60967</v>
      </c>
      <c r="M871" s="344" t="s">
        <v>141</v>
      </c>
      <c r="N871" s="344">
        <v>221117</v>
      </c>
    </row>
    <row r="872" spans="1:14" ht="15">
      <c r="A872" s="344">
        <v>60967</v>
      </c>
      <c r="B872" s="345" t="s">
        <v>137</v>
      </c>
      <c r="C872" s="344">
        <v>221117</v>
      </c>
      <c r="D872" s="344" t="str">
        <f t="shared" si="39"/>
        <v>221117</v>
      </c>
      <c r="E872" s="346" t="s">
        <v>147</v>
      </c>
      <c r="F872" s="344" t="s">
        <v>143</v>
      </c>
      <c r="G872" s="344" t="str">
        <f t="shared" si="40"/>
        <v>60967AXLE 3</v>
      </c>
      <c r="H872" s="344">
        <v>15</v>
      </c>
      <c r="I872" s="344">
        <v>6</v>
      </c>
      <c r="J872" s="344">
        <v>3</v>
      </c>
      <c r="K872" s="344">
        <v>6</v>
      </c>
      <c r="L872" t="str">
        <f t="shared" si="41"/>
        <v>60967</v>
      </c>
      <c r="M872" s="344" t="s">
        <v>143</v>
      </c>
      <c r="N872" s="344">
        <v>221117</v>
      </c>
    </row>
    <row r="873" spans="1:14" ht="15">
      <c r="A873" s="344">
        <v>60967</v>
      </c>
      <c r="B873" s="345" t="s">
        <v>137</v>
      </c>
      <c r="C873" s="344">
        <v>221117</v>
      </c>
      <c r="D873" s="344" t="str">
        <f t="shared" si="39"/>
        <v>221117</v>
      </c>
      <c r="E873" s="346" t="s">
        <v>146</v>
      </c>
      <c r="F873" s="344" t="s">
        <v>145</v>
      </c>
      <c r="G873" s="344" t="str">
        <f t="shared" si="40"/>
        <v>60967AXLE 4</v>
      </c>
      <c r="H873" s="344">
        <v>16</v>
      </c>
      <c r="I873" s="344">
        <v>5</v>
      </c>
      <c r="J873" s="344">
        <v>4</v>
      </c>
      <c r="K873" s="344">
        <v>5</v>
      </c>
      <c r="L873" t="str">
        <f t="shared" si="41"/>
        <v>60967</v>
      </c>
      <c r="M873" s="344" t="s">
        <v>145</v>
      </c>
      <c r="N873" s="344">
        <v>221117</v>
      </c>
    </row>
    <row r="874" spans="1:14" ht="15">
      <c r="A874" s="344">
        <v>60867</v>
      </c>
      <c r="B874" s="345" t="s">
        <v>137</v>
      </c>
      <c r="C874" s="344">
        <v>221117</v>
      </c>
      <c r="D874" s="344" t="str">
        <f t="shared" si="39"/>
        <v>221117</v>
      </c>
      <c r="E874" s="346" t="s">
        <v>146</v>
      </c>
      <c r="F874" s="344" t="s">
        <v>139</v>
      </c>
      <c r="G874" s="344" t="str">
        <f t="shared" si="40"/>
        <v>60867AXLE 1</v>
      </c>
      <c r="H874" s="344">
        <v>9</v>
      </c>
      <c r="I874" s="344">
        <v>12</v>
      </c>
      <c r="J874" s="344">
        <v>1</v>
      </c>
      <c r="K874" s="344">
        <v>8</v>
      </c>
      <c r="L874" t="str">
        <f t="shared" si="41"/>
        <v>60867</v>
      </c>
      <c r="M874" s="344" t="s">
        <v>139</v>
      </c>
      <c r="N874" s="344">
        <v>221117</v>
      </c>
    </row>
    <row r="875" spans="1:14" ht="15">
      <c r="A875" s="344">
        <v>60867</v>
      </c>
      <c r="B875" s="345" t="s">
        <v>137</v>
      </c>
      <c r="C875" s="344">
        <v>221117</v>
      </c>
      <c r="D875" s="344" t="str">
        <f t="shared" si="39"/>
        <v>221117</v>
      </c>
      <c r="E875" s="346" t="s">
        <v>147</v>
      </c>
      <c r="F875" s="344" t="s">
        <v>141</v>
      </c>
      <c r="G875" s="344" t="str">
        <f t="shared" si="40"/>
        <v>60867AXLE 2</v>
      </c>
      <c r="H875" s="344">
        <v>10</v>
      </c>
      <c r="I875" s="344">
        <v>11</v>
      </c>
      <c r="J875" s="344">
        <v>2</v>
      </c>
      <c r="K875" s="344">
        <v>7</v>
      </c>
      <c r="L875" t="str">
        <f t="shared" si="41"/>
        <v>60867</v>
      </c>
      <c r="M875" s="344" t="s">
        <v>141</v>
      </c>
      <c r="N875" s="344">
        <v>221117</v>
      </c>
    </row>
    <row r="876" spans="1:14" ht="15">
      <c r="A876" s="344">
        <v>60867</v>
      </c>
      <c r="B876" s="345" t="s">
        <v>137</v>
      </c>
      <c r="C876" s="344">
        <v>221117</v>
      </c>
      <c r="D876" s="344" t="str">
        <f t="shared" si="39"/>
        <v>221117</v>
      </c>
      <c r="E876" s="346" t="s">
        <v>147</v>
      </c>
      <c r="F876" s="344" t="s">
        <v>143</v>
      </c>
      <c r="G876" s="344" t="str">
        <f t="shared" si="40"/>
        <v>60867AXLE 3</v>
      </c>
      <c r="H876" s="344">
        <v>11</v>
      </c>
      <c r="I876" s="344">
        <v>10</v>
      </c>
      <c r="J876" s="344">
        <v>3</v>
      </c>
      <c r="K876" s="344">
        <v>6</v>
      </c>
      <c r="L876" t="str">
        <f t="shared" si="41"/>
        <v>60867</v>
      </c>
      <c r="M876" s="344" t="s">
        <v>143</v>
      </c>
      <c r="N876" s="344">
        <v>221117</v>
      </c>
    </row>
    <row r="877" spans="1:14" ht="15">
      <c r="A877" s="344">
        <v>60867</v>
      </c>
      <c r="B877" s="345" t="s">
        <v>137</v>
      </c>
      <c r="C877" s="344">
        <v>221117</v>
      </c>
      <c r="D877" s="344" t="str">
        <f t="shared" si="39"/>
        <v>221117</v>
      </c>
      <c r="E877" s="346" t="s">
        <v>146</v>
      </c>
      <c r="F877" s="344" t="s">
        <v>145</v>
      </c>
      <c r="G877" s="344" t="str">
        <f t="shared" si="40"/>
        <v>60867AXLE 4</v>
      </c>
      <c r="H877" s="344">
        <v>12</v>
      </c>
      <c r="I877" s="344">
        <v>9</v>
      </c>
      <c r="J877" s="344">
        <v>4</v>
      </c>
      <c r="K877" s="344">
        <v>5</v>
      </c>
      <c r="L877" t="str">
        <f t="shared" si="41"/>
        <v>60867</v>
      </c>
      <c r="M877" s="344" t="s">
        <v>145</v>
      </c>
      <c r="N877" s="344">
        <v>221117</v>
      </c>
    </row>
    <row r="878" spans="1:14" ht="15">
      <c r="A878" s="344">
        <v>60767</v>
      </c>
      <c r="B878" s="345" t="s">
        <v>137</v>
      </c>
      <c r="C878" s="344">
        <v>221117</v>
      </c>
      <c r="D878" s="344" t="str">
        <f t="shared" si="39"/>
        <v>221117</v>
      </c>
      <c r="E878" s="346" t="s">
        <v>146</v>
      </c>
      <c r="F878" s="344" t="s">
        <v>139</v>
      </c>
      <c r="G878" s="344" t="str">
        <f t="shared" si="40"/>
        <v>60767AXLE 1</v>
      </c>
      <c r="H878" s="344">
        <v>5</v>
      </c>
      <c r="I878" s="344">
        <v>16</v>
      </c>
      <c r="J878" s="344">
        <v>1</v>
      </c>
      <c r="K878" s="344">
        <v>8</v>
      </c>
      <c r="L878" t="str">
        <f t="shared" si="41"/>
        <v>60767</v>
      </c>
      <c r="M878" s="344" t="s">
        <v>139</v>
      </c>
      <c r="N878" s="344">
        <v>221117</v>
      </c>
    </row>
    <row r="879" spans="1:14" ht="15">
      <c r="A879" s="344">
        <v>60767</v>
      </c>
      <c r="B879" s="345" t="s">
        <v>137</v>
      </c>
      <c r="C879" s="344">
        <v>221117</v>
      </c>
      <c r="D879" s="344" t="str">
        <f t="shared" si="39"/>
        <v>221117</v>
      </c>
      <c r="E879" s="346" t="s">
        <v>147</v>
      </c>
      <c r="F879" s="344" t="s">
        <v>141</v>
      </c>
      <c r="G879" s="344" t="str">
        <f t="shared" si="40"/>
        <v>60767AXLE 2</v>
      </c>
      <c r="H879" s="344">
        <v>6</v>
      </c>
      <c r="I879" s="344">
        <v>15</v>
      </c>
      <c r="J879" s="344">
        <v>2</v>
      </c>
      <c r="K879" s="344">
        <v>7</v>
      </c>
      <c r="L879" t="str">
        <f t="shared" si="41"/>
        <v>60767</v>
      </c>
      <c r="M879" s="344" t="s">
        <v>141</v>
      </c>
      <c r="N879" s="344">
        <v>221117</v>
      </c>
    </row>
    <row r="880" spans="1:14" ht="15">
      <c r="A880" s="344">
        <v>60767</v>
      </c>
      <c r="B880" s="345" t="s">
        <v>137</v>
      </c>
      <c r="C880" s="344">
        <v>221117</v>
      </c>
      <c r="D880" s="344" t="str">
        <f t="shared" si="39"/>
        <v>221117</v>
      </c>
      <c r="E880" s="346" t="s">
        <v>147</v>
      </c>
      <c r="F880" s="344" t="s">
        <v>143</v>
      </c>
      <c r="G880" s="344" t="str">
        <f t="shared" si="40"/>
        <v>60767AXLE 3</v>
      </c>
      <c r="H880" s="344">
        <v>7</v>
      </c>
      <c r="I880" s="344">
        <v>14</v>
      </c>
      <c r="J880" s="344">
        <v>3</v>
      </c>
      <c r="K880" s="344">
        <v>6</v>
      </c>
      <c r="L880" t="str">
        <f t="shared" si="41"/>
        <v>60767</v>
      </c>
      <c r="M880" s="344" t="s">
        <v>143</v>
      </c>
      <c r="N880" s="344">
        <v>221117</v>
      </c>
    </row>
    <row r="881" spans="1:14" ht="15">
      <c r="A881" s="344">
        <v>60767</v>
      </c>
      <c r="B881" s="345" t="s">
        <v>137</v>
      </c>
      <c r="C881" s="344">
        <v>221117</v>
      </c>
      <c r="D881" s="344" t="str">
        <f t="shared" si="39"/>
        <v>221117</v>
      </c>
      <c r="E881" s="346" t="s">
        <v>146</v>
      </c>
      <c r="F881" s="344" t="s">
        <v>145</v>
      </c>
      <c r="G881" s="344" t="str">
        <f t="shared" si="40"/>
        <v>60767AXLE 4</v>
      </c>
      <c r="H881" s="344">
        <v>8</v>
      </c>
      <c r="I881" s="344">
        <v>13</v>
      </c>
      <c r="J881" s="344">
        <v>4</v>
      </c>
      <c r="K881" s="344">
        <v>5</v>
      </c>
      <c r="L881" t="str">
        <f t="shared" si="41"/>
        <v>60767</v>
      </c>
      <c r="M881" s="344" t="s">
        <v>145</v>
      </c>
      <c r="N881" s="344">
        <v>221117</v>
      </c>
    </row>
    <row r="882" spans="1:14" ht="15">
      <c r="A882" s="344">
        <v>60467</v>
      </c>
      <c r="B882" s="345" t="s">
        <v>137</v>
      </c>
      <c r="C882" s="344">
        <v>221117</v>
      </c>
      <c r="D882" s="344" t="str">
        <f t="shared" si="39"/>
        <v>221117</v>
      </c>
      <c r="E882" s="346" t="s">
        <v>146</v>
      </c>
      <c r="F882" s="344" t="s">
        <v>139</v>
      </c>
      <c r="G882" s="344" t="str">
        <f t="shared" si="40"/>
        <v>60467AXLE 1</v>
      </c>
      <c r="H882" s="344">
        <v>1</v>
      </c>
      <c r="I882" s="344">
        <v>20</v>
      </c>
      <c r="J882" s="344">
        <v>1</v>
      </c>
      <c r="K882" s="344">
        <v>8</v>
      </c>
      <c r="L882" t="str">
        <f t="shared" si="41"/>
        <v>60467</v>
      </c>
      <c r="M882" s="344" t="s">
        <v>139</v>
      </c>
      <c r="N882" s="344">
        <v>221117</v>
      </c>
    </row>
    <row r="883" spans="1:14" ht="15">
      <c r="A883" s="344">
        <v>60467</v>
      </c>
      <c r="B883" s="345" t="s">
        <v>137</v>
      </c>
      <c r="C883" s="344">
        <v>221117</v>
      </c>
      <c r="D883" s="344" t="str">
        <f t="shared" si="39"/>
        <v>221117</v>
      </c>
      <c r="E883" s="346" t="s">
        <v>147</v>
      </c>
      <c r="F883" s="344" t="s">
        <v>141</v>
      </c>
      <c r="G883" s="344" t="str">
        <f t="shared" si="40"/>
        <v>60467AXLE 2</v>
      </c>
      <c r="H883" s="344">
        <v>2</v>
      </c>
      <c r="I883" s="344">
        <v>19</v>
      </c>
      <c r="J883" s="344">
        <v>2</v>
      </c>
      <c r="K883" s="344">
        <v>7</v>
      </c>
      <c r="L883" t="str">
        <f t="shared" si="41"/>
        <v>60467</v>
      </c>
      <c r="M883" s="344" t="s">
        <v>141</v>
      </c>
      <c r="N883" s="344">
        <v>221117</v>
      </c>
    </row>
    <row r="884" spans="1:14" ht="15">
      <c r="A884" s="344">
        <v>60467</v>
      </c>
      <c r="B884" s="345" t="s">
        <v>137</v>
      </c>
      <c r="C884" s="344">
        <v>221117</v>
      </c>
      <c r="D884" s="344" t="str">
        <f t="shared" si="39"/>
        <v>221117</v>
      </c>
      <c r="E884" s="346" t="s">
        <v>147</v>
      </c>
      <c r="F884" s="344" t="s">
        <v>143</v>
      </c>
      <c r="G884" s="344" t="str">
        <f t="shared" si="40"/>
        <v>60467AXLE 3</v>
      </c>
      <c r="H884" s="344">
        <v>3</v>
      </c>
      <c r="I884" s="344">
        <v>18</v>
      </c>
      <c r="J884" s="344">
        <v>3</v>
      </c>
      <c r="K884" s="344">
        <v>6</v>
      </c>
      <c r="L884" t="str">
        <f t="shared" si="41"/>
        <v>60467</v>
      </c>
      <c r="M884" s="344" t="s">
        <v>143</v>
      </c>
      <c r="N884" s="344">
        <v>221117</v>
      </c>
    </row>
    <row r="885" spans="1:14" ht="15">
      <c r="A885" s="344">
        <v>60467</v>
      </c>
      <c r="B885" s="345" t="s">
        <v>137</v>
      </c>
      <c r="C885" s="344">
        <v>221117</v>
      </c>
      <c r="D885" s="344" t="str">
        <f t="shared" si="39"/>
        <v>221117</v>
      </c>
      <c r="E885" s="346" t="s">
        <v>146</v>
      </c>
      <c r="F885" s="344" t="s">
        <v>145</v>
      </c>
      <c r="G885" s="344" t="str">
        <f t="shared" si="40"/>
        <v>60467AXLE 4</v>
      </c>
      <c r="H885" s="344">
        <v>4</v>
      </c>
      <c r="I885" s="344">
        <v>17</v>
      </c>
      <c r="J885" s="344">
        <v>4</v>
      </c>
      <c r="K885" s="344">
        <v>5</v>
      </c>
      <c r="L885" t="str">
        <f t="shared" si="41"/>
        <v>60467</v>
      </c>
      <c r="M885" s="344" t="s">
        <v>145</v>
      </c>
      <c r="N885" s="344">
        <v>221117</v>
      </c>
    </row>
    <row r="886" spans="1:14" ht="15">
      <c r="A886" s="344">
        <v>60368</v>
      </c>
      <c r="B886" s="345" t="s">
        <v>137</v>
      </c>
      <c r="C886" s="344">
        <v>221118</v>
      </c>
      <c r="D886" s="344" t="str">
        <f t="shared" si="39"/>
        <v>221118</v>
      </c>
      <c r="E886" s="346" t="s">
        <v>146</v>
      </c>
      <c r="F886" s="344" t="s">
        <v>139</v>
      </c>
      <c r="G886" s="344" t="str">
        <f t="shared" si="40"/>
        <v>60368AXLE 1</v>
      </c>
      <c r="H886" s="344">
        <v>20</v>
      </c>
      <c r="I886" s="344">
        <v>1</v>
      </c>
      <c r="J886" s="344">
        <v>1</v>
      </c>
      <c r="K886" s="344">
        <v>8</v>
      </c>
      <c r="L886" t="str">
        <f t="shared" si="41"/>
        <v>60368</v>
      </c>
      <c r="M886" s="344" t="s">
        <v>139</v>
      </c>
      <c r="N886" s="344">
        <v>221118</v>
      </c>
    </row>
    <row r="887" spans="1:14" ht="15">
      <c r="A887" s="344">
        <v>60368</v>
      </c>
      <c r="B887" s="345" t="s">
        <v>137</v>
      </c>
      <c r="C887" s="344">
        <v>221118</v>
      </c>
      <c r="D887" s="344" t="str">
        <f t="shared" si="39"/>
        <v>221118</v>
      </c>
      <c r="E887" s="346" t="s">
        <v>147</v>
      </c>
      <c r="F887" s="344" t="s">
        <v>141</v>
      </c>
      <c r="G887" s="344" t="str">
        <f t="shared" si="40"/>
        <v>60368AXLE 2</v>
      </c>
      <c r="H887" s="344">
        <v>19</v>
      </c>
      <c r="I887" s="344">
        <v>2</v>
      </c>
      <c r="J887" s="344">
        <v>2</v>
      </c>
      <c r="K887" s="344">
        <v>7</v>
      </c>
      <c r="L887" t="str">
        <f t="shared" si="41"/>
        <v>60368</v>
      </c>
      <c r="M887" s="344" t="s">
        <v>141</v>
      </c>
      <c r="N887" s="344">
        <v>221118</v>
      </c>
    </row>
    <row r="888" spans="1:14" ht="15">
      <c r="A888" s="344">
        <v>60368</v>
      </c>
      <c r="B888" s="345" t="s">
        <v>137</v>
      </c>
      <c r="C888" s="344">
        <v>221118</v>
      </c>
      <c r="D888" s="344" t="str">
        <f t="shared" si="39"/>
        <v>221118</v>
      </c>
      <c r="E888" s="346" t="s">
        <v>147</v>
      </c>
      <c r="F888" s="344" t="s">
        <v>143</v>
      </c>
      <c r="G888" s="344" t="str">
        <f t="shared" si="40"/>
        <v>60368AXLE 3</v>
      </c>
      <c r="H888" s="344">
        <v>18</v>
      </c>
      <c r="I888" s="344">
        <v>3</v>
      </c>
      <c r="J888" s="344">
        <v>3</v>
      </c>
      <c r="K888" s="344">
        <v>6</v>
      </c>
      <c r="L888" t="str">
        <f t="shared" si="41"/>
        <v>60368</v>
      </c>
      <c r="M888" s="344" t="s">
        <v>143</v>
      </c>
      <c r="N888" s="344">
        <v>221118</v>
      </c>
    </row>
    <row r="889" spans="1:14" ht="15">
      <c r="A889" s="344">
        <v>60368</v>
      </c>
      <c r="B889" s="345" t="s">
        <v>137</v>
      </c>
      <c r="C889" s="344">
        <v>221118</v>
      </c>
      <c r="D889" s="344" t="str">
        <f t="shared" si="39"/>
        <v>221118</v>
      </c>
      <c r="E889" s="346" t="s">
        <v>146</v>
      </c>
      <c r="F889" s="344" t="s">
        <v>145</v>
      </c>
      <c r="G889" s="344" t="str">
        <f t="shared" si="40"/>
        <v>60368AXLE 4</v>
      </c>
      <c r="H889" s="344">
        <v>17</v>
      </c>
      <c r="I889" s="344">
        <v>4</v>
      </c>
      <c r="J889" s="344">
        <v>4</v>
      </c>
      <c r="K889" s="344">
        <v>5</v>
      </c>
      <c r="L889" t="str">
        <f t="shared" si="41"/>
        <v>60368</v>
      </c>
      <c r="M889" s="344" t="s">
        <v>145</v>
      </c>
      <c r="N889" s="344">
        <v>221118</v>
      </c>
    </row>
    <row r="890" spans="1:14" ht="15">
      <c r="A890" s="344">
        <v>60968</v>
      </c>
      <c r="B890" s="345" t="s">
        <v>137</v>
      </c>
      <c r="C890" s="344">
        <v>221118</v>
      </c>
      <c r="D890" s="344" t="str">
        <f t="shared" si="39"/>
        <v>221118</v>
      </c>
      <c r="E890" s="346" t="s">
        <v>146</v>
      </c>
      <c r="F890" s="344" t="s">
        <v>139</v>
      </c>
      <c r="G890" s="344" t="str">
        <f t="shared" si="40"/>
        <v>60968AXLE 1</v>
      </c>
      <c r="H890" s="344">
        <v>13</v>
      </c>
      <c r="I890" s="344">
        <v>8</v>
      </c>
      <c r="J890" s="344">
        <v>1</v>
      </c>
      <c r="K890" s="344">
        <v>8</v>
      </c>
      <c r="L890" t="str">
        <f t="shared" si="41"/>
        <v>60968</v>
      </c>
      <c r="M890" s="344" t="s">
        <v>139</v>
      </c>
      <c r="N890" s="344">
        <v>221118</v>
      </c>
    </row>
    <row r="891" spans="1:14" ht="15">
      <c r="A891" s="344">
        <v>60968</v>
      </c>
      <c r="B891" s="345" t="s">
        <v>137</v>
      </c>
      <c r="C891" s="344">
        <v>221118</v>
      </c>
      <c r="D891" s="344" t="str">
        <f t="shared" si="39"/>
        <v>221118</v>
      </c>
      <c r="E891" s="346" t="s">
        <v>147</v>
      </c>
      <c r="F891" s="344" t="s">
        <v>141</v>
      </c>
      <c r="G891" s="344" t="str">
        <f t="shared" si="40"/>
        <v>60968AXLE 2</v>
      </c>
      <c r="H891" s="344">
        <v>14</v>
      </c>
      <c r="I891" s="344">
        <v>7</v>
      </c>
      <c r="J891" s="344">
        <v>2</v>
      </c>
      <c r="K891" s="344">
        <v>7</v>
      </c>
      <c r="L891" t="str">
        <f t="shared" si="41"/>
        <v>60968</v>
      </c>
      <c r="M891" s="344" t="s">
        <v>141</v>
      </c>
      <c r="N891" s="344">
        <v>221118</v>
      </c>
    </row>
    <row r="892" spans="1:14" ht="15">
      <c r="A892" s="344">
        <v>60968</v>
      </c>
      <c r="B892" s="345" t="s">
        <v>137</v>
      </c>
      <c r="C892" s="344">
        <v>221118</v>
      </c>
      <c r="D892" s="344" t="str">
        <f t="shared" si="39"/>
        <v>221118</v>
      </c>
      <c r="E892" s="346" t="s">
        <v>147</v>
      </c>
      <c r="F892" s="344" t="s">
        <v>143</v>
      </c>
      <c r="G892" s="344" t="str">
        <f t="shared" si="40"/>
        <v>60968AXLE 3</v>
      </c>
      <c r="H892" s="344">
        <v>15</v>
      </c>
      <c r="I892" s="344">
        <v>6</v>
      </c>
      <c r="J892" s="344">
        <v>3</v>
      </c>
      <c r="K892" s="344">
        <v>6</v>
      </c>
      <c r="L892" t="str">
        <f t="shared" si="41"/>
        <v>60968</v>
      </c>
      <c r="M892" s="344" t="s">
        <v>143</v>
      </c>
      <c r="N892" s="344">
        <v>221118</v>
      </c>
    </row>
    <row r="893" spans="1:14" ht="15">
      <c r="A893" s="344">
        <v>60968</v>
      </c>
      <c r="B893" s="345" t="s">
        <v>137</v>
      </c>
      <c r="C893" s="344">
        <v>221118</v>
      </c>
      <c r="D893" s="344" t="str">
        <f t="shared" si="39"/>
        <v>221118</v>
      </c>
      <c r="E893" s="346" t="s">
        <v>146</v>
      </c>
      <c r="F893" s="344" t="s">
        <v>145</v>
      </c>
      <c r="G893" s="344" t="str">
        <f t="shared" si="40"/>
        <v>60968AXLE 4</v>
      </c>
      <c r="H893" s="344">
        <v>16</v>
      </c>
      <c r="I893" s="344">
        <v>5</v>
      </c>
      <c r="J893" s="344">
        <v>4</v>
      </c>
      <c r="K893" s="344">
        <v>5</v>
      </c>
      <c r="L893" t="str">
        <f t="shared" si="41"/>
        <v>60968</v>
      </c>
      <c r="M893" s="344" t="s">
        <v>145</v>
      </c>
      <c r="N893" s="344">
        <v>221118</v>
      </c>
    </row>
    <row r="894" spans="1:14" ht="15">
      <c r="A894" s="344">
        <v>60868</v>
      </c>
      <c r="B894" s="345" t="s">
        <v>137</v>
      </c>
      <c r="C894" s="344">
        <v>221118</v>
      </c>
      <c r="D894" s="344" t="str">
        <f t="shared" si="39"/>
        <v>221118</v>
      </c>
      <c r="E894" s="346" t="s">
        <v>146</v>
      </c>
      <c r="F894" s="344" t="s">
        <v>139</v>
      </c>
      <c r="G894" s="344" t="str">
        <f t="shared" si="40"/>
        <v>60868AXLE 1</v>
      </c>
      <c r="H894" s="344">
        <v>9</v>
      </c>
      <c r="I894" s="344">
        <v>12</v>
      </c>
      <c r="J894" s="344">
        <v>1</v>
      </c>
      <c r="K894" s="344">
        <v>8</v>
      </c>
      <c r="L894" t="str">
        <f t="shared" si="41"/>
        <v>60868</v>
      </c>
      <c r="M894" s="344" t="s">
        <v>139</v>
      </c>
      <c r="N894" s="344">
        <v>221118</v>
      </c>
    </row>
    <row r="895" spans="1:14" ht="15">
      <c r="A895" s="344">
        <v>60868</v>
      </c>
      <c r="B895" s="345" t="s">
        <v>137</v>
      </c>
      <c r="C895" s="344">
        <v>221118</v>
      </c>
      <c r="D895" s="344" t="str">
        <f t="shared" si="39"/>
        <v>221118</v>
      </c>
      <c r="E895" s="346" t="s">
        <v>147</v>
      </c>
      <c r="F895" s="344" t="s">
        <v>141</v>
      </c>
      <c r="G895" s="344" t="str">
        <f t="shared" si="40"/>
        <v>60868AXLE 2</v>
      </c>
      <c r="H895" s="344">
        <v>10</v>
      </c>
      <c r="I895" s="344">
        <v>11</v>
      </c>
      <c r="J895" s="344">
        <v>2</v>
      </c>
      <c r="K895" s="344">
        <v>7</v>
      </c>
      <c r="L895" t="str">
        <f t="shared" si="41"/>
        <v>60868</v>
      </c>
      <c r="M895" s="344" t="s">
        <v>141</v>
      </c>
      <c r="N895" s="344">
        <v>221118</v>
      </c>
    </row>
    <row r="896" spans="1:14" ht="15">
      <c r="A896" s="344">
        <v>60868</v>
      </c>
      <c r="B896" s="345" t="s">
        <v>137</v>
      </c>
      <c r="C896" s="344">
        <v>221118</v>
      </c>
      <c r="D896" s="344" t="str">
        <f t="shared" si="39"/>
        <v>221118</v>
      </c>
      <c r="E896" s="346" t="s">
        <v>147</v>
      </c>
      <c r="F896" s="344" t="s">
        <v>143</v>
      </c>
      <c r="G896" s="344" t="str">
        <f t="shared" si="40"/>
        <v>60868AXLE 3</v>
      </c>
      <c r="H896" s="344">
        <v>11</v>
      </c>
      <c r="I896" s="344">
        <v>10</v>
      </c>
      <c r="J896" s="344">
        <v>3</v>
      </c>
      <c r="K896" s="344">
        <v>6</v>
      </c>
      <c r="L896" t="str">
        <f t="shared" si="41"/>
        <v>60868</v>
      </c>
      <c r="M896" s="344" t="s">
        <v>143</v>
      </c>
      <c r="N896" s="344">
        <v>221118</v>
      </c>
    </row>
    <row r="897" spans="1:14" ht="15">
      <c r="A897" s="344">
        <v>60868</v>
      </c>
      <c r="B897" s="345" t="s">
        <v>137</v>
      </c>
      <c r="C897" s="344">
        <v>221118</v>
      </c>
      <c r="D897" s="344" t="str">
        <f t="shared" si="39"/>
        <v>221118</v>
      </c>
      <c r="E897" s="346" t="s">
        <v>146</v>
      </c>
      <c r="F897" s="344" t="s">
        <v>145</v>
      </c>
      <c r="G897" s="344" t="str">
        <f t="shared" si="40"/>
        <v>60868AXLE 4</v>
      </c>
      <c r="H897" s="344">
        <v>12</v>
      </c>
      <c r="I897" s="344">
        <v>9</v>
      </c>
      <c r="J897" s="344">
        <v>4</v>
      </c>
      <c r="K897" s="344">
        <v>5</v>
      </c>
      <c r="L897" t="str">
        <f t="shared" si="41"/>
        <v>60868</v>
      </c>
      <c r="M897" s="344" t="s">
        <v>145</v>
      </c>
      <c r="N897" s="344">
        <v>221118</v>
      </c>
    </row>
    <row r="898" spans="1:14" ht="15">
      <c r="A898" s="344">
        <v>60768</v>
      </c>
      <c r="B898" s="345" t="s">
        <v>137</v>
      </c>
      <c r="C898" s="344">
        <v>221118</v>
      </c>
      <c r="D898" s="344" t="str">
        <f t="shared" si="39"/>
        <v>221118</v>
      </c>
      <c r="E898" s="346" t="s">
        <v>146</v>
      </c>
      <c r="F898" s="344" t="s">
        <v>139</v>
      </c>
      <c r="G898" s="344" t="str">
        <f t="shared" si="40"/>
        <v>60768AXLE 1</v>
      </c>
      <c r="H898" s="344">
        <v>5</v>
      </c>
      <c r="I898" s="344">
        <v>16</v>
      </c>
      <c r="J898" s="344">
        <v>1</v>
      </c>
      <c r="K898" s="344">
        <v>8</v>
      </c>
      <c r="L898" t="str">
        <f t="shared" si="41"/>
        <v>60768</v>
      </c>
      <c r="M898" s="344" t="s">
        <v>139</v>
      </c>
      <c r="N898" s="344">
        <v>221118</v>
      </c>
    </row>
    <row r="899" spans="1:14" ht="15">
      <c r="A899" s="344">
        <v>60768</v>
      </c>
      <c r="B899" s="345" t="s">
        <v>137</v>
      </c>
      <c r="C899" s="344">
        <v>221118</v>
      </c>
      <c r="D899" s="344" t="str">
        <f t="shared" ref="D899:D962" si="42">CONCATENATE(B899,C899)</f>
        <v>221118</v>
      </c>
      <c r="E899" s="346" t="s">
        <v>147</v>
      </c>
      <c r="F899" s="344" t="s">
        <v>141</v>
      </c>
      <c r="G899" s="344" t="str">
        <f t="shared" ref="G899:G962" si="43">CONCATENATE(A899,F899)</f>
        <v>60768AXLE 2</v>
      </c>
      <c r="H899" s="344">
        <v>6</v>
      </c>
      <c r="I899" s="344">
        <v>15</v>
      </c>
      <c r="J899" s="344">
        <v>2</v>
      </c>
      <c r="K899" s="344">
        <v>7</v>
      </c>
      <c r="L899" t="str">
        <f t="shared" ref="L899:L962" si="44">CONCATENATE(A899,B899)</f>
        <v>60768</v>
      </c>
      <c r="M899" s="344" t="s">
        <v>141</v>
      </c>
      <c r="N899" s="344">
        <v>221118</v>
      </c>
    </row>
    <row r="900" spans="1:14" ht="15">
      <c r="A900" s="344">
        <v>60768</v>
      </c>
      <c r="B900" s="345" t="s">
        <v>137</v>
      </c>
      <c r="C900" s="344">
        <v>221118</v>
      </c>
      <c r="D900" s="344" t="str">
        <f t="shared" si="42"/>
        <v>221118</v>
      </c>
      <c r="E900" s="346" t="s">
        <v>147</v>
      </c>
      <c r="F900" s="344" t="s">
        <v>143</v>
      </c>
      <c r="G900" s="344" t="str">
        <f t="shared" si="43"/>
        <v>60768AXLE 3</v>
      </c>
      <c r="H900" s="344">
        <v>7</v>
      </c>
      <c r="I900" s="344">
        <v>14</v>
      </c>
      <c r="J900" s="344">
        <v>3</v>
      </c>
      <c r="K900" s="344">
        <v>6</v>
      </c>
      <c r="L900" t="str">
        <f t="shared" si="44"/>
        <v>60768</v>
      </c>
      <c r="M900" s="344" t="s">
        <v>143</v>
      </c>
      <c r="N900" s="344">
        <v>221118</v>
      </c>
    </row>
    <row r="901" spans="1:14" ht="15">
      <c r="A901" s="344">
        <v>60768</v>
      </c>
      <c r="B901" s="345" t="s">
        <v>137</v>
      </c>
      <c r="C901" s="344">
        <v>221118</v>
      </c>
      <c r="D901" s="344" t="str">
        <f t="shared" si="42"/>
        <v>221118</v>
      </c>
      <c r="E901" s="346" t="s">
        <v>146</v>
      </c>
      <c r="F901" s="344" t="s">
        <v>145</v>
      </c>
      <c r="G901" s="344" t="str">
        <f t="shared" si="43"/>
        <v>60768AXLE 4</v>
      </c>
      <c r="H901" s="344">
        <v>8</v>
      </c>
      <c r="I901" s="344">
        <v>13</v>
      </c>
      <c r="J901" s="344">
        <v>4</v>
      </c>
      <c r="K901" s="344">
        <v>5</v>
      </c>
      <c r="L901" t="str">
        <f t="shared" si="44"/>
        <v>60768</v>
      </c>
      <c r="M901" s="344" t="s">
        <v>145</v>
      </c>
      <c r="N901" s="344">
        <v>221118</v>
      </c>
    </row>
    <row r="902" spans="1:14" ht="15">
      <c r="A902" s="344">
        <v>60468</v>
      </c>
      <c r="B902" s="345" t="s">
        <v>137</v>
      </c>
      <c r="C902" s="344">
        <v>221118</v>
      </c>
      <c r="D902" s="344" t="str">
        <f t="shared" si="42"/>
        <v>221118</v>
      </c>
      <c r="E902" s="346" t="s">
        <v>146</v>
      </c>
      <c r="F902" s="344" t="s">
        <v>139</v>
      </c>
      <c r="G902" s="344" t="str">
        <f t="shared" si="43"/>
        <v>60468AXLE 1</v>
      </c>
      <c r="H902" s="344">
        <v>1</v>
      </c>
      <c r="I902" s="344">
        <v>20</v>
      </c>
      <c r="J902" s="344">
        <v>1</v>
      </c>
      <c r="K902" s="344">
        <v>8</v>
      </c>
      <c r="L902" t="str">
        <f t="shared" si="44"/>
        <v>60468</v>
      </c>
      <c r="M902" s="344" t="s">
        <v>139</v>
      </c>
      <c r="N902" s="344">
        <v>221118</v>
      </c>
    </row>
    <row r="903" spans="1:14" ht="15">
      <c r="A903" s="344">
        <v>60468</v>
      </c>
      <c r="B903" s="345" t="s">
        <v>137</v>
      </c>
      <c r="C903" s="344">
        <v>221118</v>
      </c>
      <c r="D903" s="344" t="str">
        <f t="shared" si="42"/>
        <v>221118</v>
      </c>
      <c r="E903" s="346" t="s">
        <v>147</v>
      </c>
      <c r="F903" s="344" t="s">
        <v>141</v>
      </c>
      <c r="G903" s="344" t="str">
        <f t="shared" si="43"/>
        <v>60468AXLE 2</v>
      </c>
      <c r="H903" s="344">
        <v>2</v>
      </c>
      <c r="I903" s="344">
        <v>19</v>
      </c>
      <c r="J903" s="344">
        <v>2</v>
      </c>
      <c r="K903" s="344">
        <v>7</v>
      </c>
      <c r="L903" t="str">
        <f t="shared" si="44"/>
        <v>60468</v>
      </c>
      <c r="M903" s="344" t="s">
        <v>141</v>
      </c>
      <c r="N903" s="344">
        <v>221118</v>
      </c>
    </row>
    <row r="904" spans="1:14" ht="15">
      <c r="A904" s="344">
        <v>60468</v>
      </c>
      <c r="B904" s="345" t="s">
        <v>137</v>
      </c>
      <c r="C904" s="344">
        <v>221118</v>
      </c>
      <c r="D904" s="344" t="str">
        <f t="shared" si="42"/>
        <v>221118</v>
      </c>
      <c r="E904" s="346" t="s">
        <v>147</v>
      </c>
      <c r="F904" s="344" t="s">
        <v>143</v>
      </c>
      <c r="G904" s="344" t="str">
        <f t="shared" si="43"/>
        <v>60468AXLE 3</v>
      </c>
      <c r="H904" s="344">
        <v>3</v>
      </c>
      <c r="I904" s="344">
        <v>18</v>
      </c>
      <c r="J904" s="344">
        <v>3</v>
      </c>
      <c r="K904" s="344">
        <v>6</v>
      </c>
      <c r="L904" t="str">
        <f t="shared" si="44"/>
        <v>60468</v>
      </c>
      <c r="M904" s="344" t="s">
        <v>143</v>
      </c>
      <c r="N904" s="344">
        <v>221118</v>
      </c>
    </row>
    <row r="905" spans="1:14" ht="15">
      <c r="A905" s="344">
        <v>60468</v>
      </c>
      <c r="B905" s="345" t="s">
        <v>137</v>
      </c>
      <c r="C905" s="344">
        <v>221118</v>
      </c>
      <c r="D905" s="344" t="str">
        <f t="shared" si="42"/>
        <v>221118</v>
      </c>
      <c r="E905" s="346" t="s">
        <v>146</v>
      </c>
      <c r="F905" s="344" t="s">
        <v>145</v>
      </c>
      <c r="G905" s="344" t="str">
        <f t="shared" si="43"/>
        <v>60468AXLE 4</v>
      </c>
      <c r="H905" s="344">
        <v>4</v>
      </c>
      <c r="I905" s="344">
        <v>17</v>
      </c>
      <c r="J905" s="344">
        <v>4</v>
      </c>
      <c r="K905" s="344">
        <v>5</v>
      </c>
      <c r="L905" t="str">
        <f t="shared" si="44"/>
        <v>60468</v>
      </c>
      <c r="M905" s="344" t="s">
        <v>145</v>
      </c>
      <c r="N905" s="344">
        <v>221118</v>
      </c>
    </row>
    <row r="906" spans="1:14" ht="15">
      <c r="A906" s="344">
        <v>60369</v>
      </c>
      <c r="B906" s="345" t="s">
        <v>137</v>
      </c>
      <c r="C906" s="344">
        <v>221119</v>
      </c>
      <c r="D906" s="344" t="str">
        <f t="shared" si="42"/>
        <v>221119</v>
      </c>
      <c r="E906" s="346" t="s">
        <v>146</v>
      </c>
      <c r="F906" s="344" t="s">
        <v>139</v>
      </c>
      <c r="G906" s="344" t="str">
        <f t="shared" si="43"/>
        <v>60369AXLE 1</v>
      </c>
      <c r="H906" s="344">
        <v>20</v>
      </c>
      <c r="I906" s="344">
        <v>1</v>
      </c>
      <c r="J906" s="344">
        <v>1</v>
      </c>
      <c r="K906" s="344">
        <v>8</v>
      </c>
      <c r="L906" t="str">
        <f t="shared" si="44"/>
        <v>60369</v>
      </c>
      <c r="M906" s="344" t="s">
        <v>139</v>
      </c>
      <c r="N906" s="344">
        <v>221119</v>
      </c>
    </row>
    <row r="907" spans="1:14" ht="15">
      <c r="A907" s="344">
        <v>60369</v>
      </c>
      <c r="B907" s="345" t="s">
        <v>137</v>
      </c>
      <c r="C907" s="344">
        <v>221119</v>
      </c>
      <c r="D907" s="344" t="str">
        <f t="shared" si="42"/>
        <v>221119</v>
      </c>
      <c r="E907" s="346" t="s">
        <v>147</v>
      </c>
      <c r="F907" s="344" t="s">
        <v>141</v>
      </c>
      <c r="G907" s="344" t="str">
        <f t="shared" si="43"/>
        <v>60369AXLE 2</v>
      </c>
      <c r="H907" s="344">
        <v>19</v>
      </c>
      <c r="I907" s="344">
        <v>2</v>
      </c>
      <c r="J907" s="344">
        <v>2</v>
      </c>
      <c r="K907" s="344">
        <v>7</v>
      </c>
      <c r="L907" t="str">
        <f t="shared" si="44"/>
        <v>60369</v>
      </c>
      <c r="M907" s="344" t="s">
        <v>141</v>
      </c>
      <c r="N907" s="344">
        <v>221119</v>
      </c>
    </row>
    <row r="908" spans="1:14" ht="15">
      <c r="A908" s="344">
        <v>60369</v>
      </c>
      <c r="B908" s="345" t="s">
        <v>137</v>
      </c>
      <c r="C908" s="344">
        <v>221119</v>
      </c>
      <c r="D908" s="344" t="str">
        <f t="shared" si="42"/>
        <v>221119</v>
      </c>
      <c r="E908" s="346" t="s">
        <v>147</v>
      </c>
      <c r="F908" s="344" t="s">
        <v>143</v>
      </c>
      <c r="G908" s="344" t="str">
        <f t="shared" si="43"/>
        <v>60369AXLE 3</v>
      </c>
      <c r="H908" s="344">
        <v>18</v>
      </c>
      <c r="I908" s="344">
        <v>3</v>
      </c>
      <c r="J908" s="344">
        <v>3</v>
      </c>
      <c r="K908" s="344">
        <v>6</v>
      </c>
      <c r="L908" t="str">
        <f t="shared" si="44"/>
        <v>60369</v>
      </c>
      <c r="M908" s="344" t="s">
        <v>143</v>
      </c>
      <c r="N908" s="344">
        <v>221119</v>
      </c>
    </row>
    <row r="909" spans="1:14" ht="15">
      <c r="A909" s="344">
        <v>60369</v>
      </c>
      <c r="B909" s="345" t="s">
        <v>137</v>
      </c>
      <c r="C909" s="344">
        <v>221119</v>
      </c>
      <c r="D909" s="344" t="str">
        <f t="shared" si="42"/>
        <v>221119</v>
      </c>
      <c r="E909" s="346" t="s">
        <v>146</v>
      </c>
      <c r="F909" s="344" t="s">
        <v>145</v>
      </c>
      <c r="G909" s="344" t="str">
        <f t="shared" si="43"/>
        <v>60369AXLE 4</v>
      </c>
      <c r="H909" s="344">
        <v>17</v>
      </c>
      <c r="I909" s="344">
        <v>4</v>
      </c>
      <c r="J909" s="344">
        <v>4</v>
      </c>
      <c r="K909" s="344">
        <v>5</v>
      </c>
      <c r="L909" t="str">
        <f t="shared" si="44"/>
        <v>60369</v>
      </c>
      <c r="M909" s="344" t="s">
        <v>145</v>
      </c>
      <c r="N909" s="344">
        <v>221119</v>
      </c>
    </row>
    <row r="910" spans="1:14" ht="15">
      <c r="A910" s="344">
        <v>60769</v>
      </c>
      <c r="B910" s="345" t="s">
        <v>137</v>
      </c>
      <c r="C910" s="344">
        <v>221119</v>
      </c>
      <c r="D910" s="344" t="str">
        <f t="shared" si="42"/>
        <v>221119</v>
      </c>
      <c r="E910" s="346" t="s">
        <v>146</v>
      </c>
      <c r="F910" s="344" t="s">
        <v>139</v>
      </c>
      <c r="G910" s="344" t="str">
        <f t="shared" si="43"/>
        <v>60769AXLE 1</v>
      </c>
      <c r="H910" s="344">
        <v>13</v>
      </c>
      <c r="I910" s="344">
        <v>8</v>
      </c>
      <c r="J910" s="344">
        <v>1</v>
      </c>
      <c r="K910" s="344">
        <v>8</v>
      </c>
      <c r="L910" t="str">
        <f t="shared" si="44"/>
        <v>60769</v>
      </c>
      <c r="M910" s="344" t="s">
        <v>139</v>
      </c>
      <c r="N910" s="344">
        <v>221119</v>
      </c>
    </row>
    <row r="911" spans="1:14" ht="15">
      <c r="A911" s="344">
        <v>60769</v>
      </c>
      <c r="B911" s="345" t="s">
        <v>137</v>
      </c>
      <c r="C911" s="344">
        <v>221119</v>
      </c>
      <c r="D911" s="344" t="str">
        <f t="shared" si="42"/>
        <v>221119</v>
      </c>
      <c r="E911" s="346" t="s">
        <v>147</v>
      </c>
      <c r="F911" s="344" t="s">
        <v>141</v>
      </c>
      <c r="G911" s="344" t="str">
        <f t="shared" si="43"/>
        <v>60769AXLE 2</v>
      </c>
      <c r="H911" s="344">
        <v>14</v>
      </c>
      <c r="I911" s="344">
        <v>7</v>
      </c>
      <c r="J911" s="344">
        <v>2</v>
      </c>
      <c r="K911" s="344">
        <v>7</v>
      </c>
      <c r="L911" t="str">
        <f t="shared" si="44"/>
        <v>60769</v>
      </c>
      <c r="M911" s="344" t="s">
        <v>141</v>
      </c>
      <c r="N911" s="344">
        <v>221119</v>
      </c>
    </row>
    <row r="912" spans="1:14" ht="15">
      <c r="A912" s="344">
        <v>60769</v>
      </c>
      <c r="B912" s="345" t="s">
        <v>137</v>
      </c>
      <c r="C912" s="344">
        <v>221119</v>
      </c>
      <c r="D912" s="344" t="str">
        <f t="shared" si="42"/>
        <v>221119</v>
      </c>
      <c r="E912" s="346" t="s">
        <v>147</v>
      </c>
      <c r="F912" s="344" t="s">
        <v>143</v>
      </c>
      <c r="G912" s="344" t="str">
        <f t="shared" si="43"/>
        <v>60769AXLE 3</v>
      </c>
      <c r="H912" s="344">
        <v>15</v>
      </c>
      <c r="I912" s="344">
        <v>6</v>
      </c>
      <c r="J912" s="344">
        <v>3</v>
      </c>
      <c r="K912" s="344">
        <v>6</v>
      </c>
      <c r="L912" t="str">
        <f t="shared" si="44"/>
        <v>60769</v>
      </c>
      <c r="M912" s="344" t="s">
        <v>143</v>
      </c>
      <c r="N912" s="344">
        <v>221119</v>
      </c>
    </row>
    <row r="913" spans="1:14" ht="15">
      <c r="A913" s="344">
        <v>60769</v>
      </c>
      <c r="B913" s="345" t="s">
        <v>137</v>
      </c>
      <c r="C913" s="344">
        <v>221119</v>
      </c>
      <c r="D913" s="344" t="str">
        <f t="shared" si="42"/>
        <v>221119</v>
      </c>
      <c r="E913" s="346" t="s">
        <v>146</v>
      </c>
      <c r="F913" s="344" t="s">
        <v>145</v>
      </c>
      <c r="G913" s="344" t="str">
        <f t="shared" si="43"/>
        <v>60769AXLE 4</v>
      </c>
      <c r="H913" s="344">
        <v>16</v>
      </c>
      <c r="I913" s="344">
        <v>5</v>
      </c>
      <c r="J913" s="344">
        <v>4</v>
      </c>
      <c r="K913" s="344">
        <v>5</v>
      </c>
      <c r="L913" t="str">
        <f t="shared" si="44"/>
        <v>60769</v>
      </c>
      <c r="M913" s="344" t="s">
        <v>145</v>
      </c>
      <c r="N913" s="344">
        <v>221119</v>
      </c>
    </row>
    <row r="914" spans="1:14" ht="15">
      <c r="A914" s="344">
        <v>60969</v>
      </c>
      <c r="B914" s="345" t="s">
        <v>137</v>
      </c>
      <c r="C914" s="344">
        <v>221119</v>
      </c>
      <c r="D914" s="344" t="str">
        <f t="shared" si="42"/>
        <v>221119</v>
      </c>
      <c r="E914" s="346" t="s">
        <v>146</v>
      </c>
      <c r="F914" s="344" t="s">
        <v>139</v>
      </c>
      <c r="G914" s="344" t="str">
        <f t="shared" si="43"/>
        <v>60969AXLE 1</v>
      </c>
      <c r="H914" s="344">
        <v>9</v>
      </c>
      <c r="I914" s="344">
        <v>12</v>
      </c>
      <c r="J914" s="344">
        <v>1</v>
      </c>
      <c r="K914" s="344">
        <v>8</v>
      </c>
      <c r="L914" t="str">
        <f t="shared" si="44"/>
        <v>60969</v>
      </c>
      <c r="M914" s="344" t="s">
        <v>139</v>
      </c>
      <c r="N914" s="344">
        <v>221119</v>
      </c>
    </row>
    <row r="915" spans="1:14" ht="15">
      <c r="A915" s="344">
        <v>60969</v>
      </c>
      <c r="B915" s="345" t="s">
        <v>137</v>
      </c>
      <c r="C915" s="344">
        <v>221119</v>
      </c>
      <c r="D915" s="344" t="str">
        <f t="shared" si="42"/>
        <v>221119</v>
      </c>
      <c r="E915" s="346" t="s">
        <v>147</v>
      </c>
      <c r="F915" s="344" t="s">
        <v>141</v>
      </c>
      <c r="G915" s="344" t="str">
        <f t="shared" si="43"/>
        <v>60969AXLE 2</v>
      </c>
      <c r="H915" s="344">
        <v>10</v>
      </c>
      <c r="I915" s="344">
        <v>11</v>
      </c>
      <c r="J915" s="344">
        <v>2</v>
      </c>
      <c r="K915" s="344">
        <v>7</v>
      </c>
      <c r="L915" t="str">
        <f t="shared" si="44"/>
        <v>60969</v>
      </c>
      <c r="M915" s="344" t="s">
        <v>141</v>
      </c>
      <c r="N915" s="344">
        <v>221119</v>
      </c>
    </row>
    <row r="916" spans="1:14" ht="15">
      <c r="A916" s="344">
        <v>60969</v>
      </c>
      <c r="B916" s="345" t="s">
        <v>137</v>
      </c>
      <c r="C916" s="344">
        <v>221119</v>
      </c>
      <c r="D916" s="344" t="str">
        <f t="shared" si="42"/>
        <v>221119</v>
      </c>
      <c r="E916" s="346" t="s">
        <v>147</v>
      </c>
      <c r="F916" s="344" t="s">
        <v>143</v>
      </c>
      <c r="G916" s="344" t="str">
        <f t="shared" si="43"/>
        <v>60969AXLE 3</v>
      </c>
      <c r="H916" s="344">
        <v>11</v>
      </c>
      <c r="I916" s="344">
        <v>10</v>
      </c>
      <c r="J916" s="344">
        <v>3</v>
      </c>
      <c r="K916" s="344">
        <v>6</v>
      </c>
      <c r="L916" t="str">
        <f t="shared" si="44"/>
        <v>60969</v>
      </c>
      <c r="M916" s="344" t="s">
        <v>143</v>
      </c>
      <c r="N916" s="344">
        <v>221119</v>
      </c>
    </row>
    <row r="917" spans="1:14" ht="15">
      <c r="A917" s="344">
        <v>60969</v>
      </c>
      <c r="B917" s="345" t="s">
        <v>137</v>
      </c>
      <c r="C917" s="344">
        <v>221119</v>
      </c>
      <c r="D917" s="344" t="str">
        <f t="shared" si="42"/>
        <v>221119</v>
      </c>
      <c r="E917" s="346" t="s">
        <v>146</v>
      </c>
      <c r="F917" s="344" t="s">
        <v>145</v>
      </c>
      <c r="G917" s="344" t="str">
        <f t="shared" si="43"/>
        <v>60969AXLE 4</v>
      </c>
      <c r="H917" s="344">
        <v>12</v>
      </c>
      <c r="I917" s="344">
        <v>9</v>
      </c>
      <c r="J917" s="344">
        <v>4</v>
      </c>
      <c r="K917" s="344">
        <v>5</v>
      </c>
      <c r="L917" t="str">
        <f t="shared" si="44"/>
        <v>60969</v>
      </c>
      <c r="M917" s="344" t="s">
        <v>145</v>
      </c>
      <c r="N917" s="344">
        <v>221119</v>
      </c>
    </row>
    <row r="918" spans="1:14" ht="15">
      <c r="A918" s="344">
        <v>60869</v>
      </c>
      <c r="B918" s="345" t="s">
        <v>137</v>
      </c>
      <c r="C918" s="344">
        <v>221119</v>
      </c>
      <c r="D918" s="344" t="str">
        <f t="shared" si="42"/>
        <v>221119</v>
      </c>
      <c r="E918" s="346" t="s">
        <v>146</v>
      </c>
      <c r="F918" s="344" t="s">
        <v>139</v>
      </c>
      <c r="G918" s="344" t="str">
        <f t="shared" si="43"/>
        <v>60869AXLE 1</v>
      </c>
      <c r="H918" s="344">
        <v>5</v>
      </c>
      <c r="I918" s="344">
        <v>16</v>
      </c>
      <c r="J918" s="344">
        <v>1</v>
      </c>
      <c r="K918" s="344">
        <v>8</v>
      </c>
      <c r="L918" t="str">
        <f t="shared" si="44"/>
        <v>60869</v>
      </c>
      <c r="M918" s="344" t="s">
        <v>139</v>
      </c>
      <c r="N918" s="344">
        <v>221119</v>
      </c>
    </row>
    <row r="919" spans="1:14" ht="15">
      <c r="A919" s="344">
        <v>60869</v>
      </c>
      <c r="B919" s="345" t="s">
        <v>137</v>
      </c>
      <c r="C919" s="344">
        <v>221119</v>
      </c>
      <c r="D919" s="344" t="str">
        <f t="shared" si="42"/>
        <v>221119</v>
      </c>
      <c r="E919" s="346" t="s">
        <v>147</v>
      </c>
      <c r="F919" s="344" t="s">
        <v>141</v>
      </c>
      <c r="G919" s="344" t="str">
        <f t="shared" si="43"/>
        <v>60869AXLE 2</v>
      </c>
      <c r="H919" s="344">
        <v>6</v>
      </c>
      <c r="I919" s="344">
        <v>15</v>
      </c>
      <c r="J919" s="344">
        <v>2</v>
      </c>
      <c r="K919" s="344">
        <v>7</v>
      </c>
      <c r="L919" t="str">
        <f t="shared" si="44"/>
        <v>60869</v>
      </c>
      <c r="M919" s="344" t="s">
        <v>141</v>
      </c>
      <c r="N919" s="344">
        <v>221119</v>
      </c>
    </row>
    <row r="920" spans="1:14" ht="15">
      <c r="A920" s="344">
        <v>60869</v>
      </c>
      <c r="B920" s="345" t="s">
        <v>137</v>
      </c>
      <c r="C920" s="344">
        <v>221119</v>
      </c>
      <c r="D920" s="344" t="str">
        <f t="shared" si="42"/>
        <v>221119</v>
      </c>
      <c r="E920" s="346" t="s">
        <v>147</v>
      </c>
      <c r="F920" s="344" t="s">
        <v>143</v>
      </c>
      <c r="G920" s="344" t="str">
        <f t="shared" si="43"/>
        <v>60869AXLE 3</v>
      </c>
      <c r="H920" s="344">
        <v>7</v>
      </c>
      <c r="I920" s="344">
        <v>14</v>
      </c>
      <c r="J920" s="344">
        <v>3</v>
      </c>
      <c r="K920" s="344">
        <v>6</v>
      </c>
      <c r="L920" t="str">
        <f t="shared" si="44"/>
        <v>60869</v>
      </c>
      <c r="M920" s="344" t="s">
        <v>143</v>
      </c>
      <c r="N920" s="344">
        <v>221119</v>
      </c>
    </row>
    <row r="921" spans="1:14" ht="15">
      <c r="A921" s="344">
        <v>60869</v>
      </c>
      <c r="B921" s="345" t="s">
        <v>137</v>
      </c>
      <c r="C921" s="344">
        <v>221119</v>
      </c>
      <c r="D921" s="344" t="str">
        <f t="shared" si="42"/>
        <v>221119</v>
      </c>
      <c r="E921" s="346" t="s">
        <v>146</v>
      </c>
      <c r="F921" s="344" t="s">
        <v>145</v>
      </c>
      <c r="G921" s="344" t="str">
        <f t="shared" si="43"/>
        <v>60869AXLE 4</v>
      </c>
      <c r="H921" s="344">
        <v>8</v>
      </c>
      <c r="I921" s="344">
        <v>13</v>
      </c>
      <c r="J921" s="344">
        <v>4</v>
      </c>
      <c r="K921" s="344">
        <v>5</v>
      </c>
      <c r="L921" t="str">
        <f t="shared" si="44"/>
        <v>60869</v>
      </c>
      <c r="M921" s="344" t="s">
        <v>145</v>
      </c>
      <c r="N921" s="344">
        <v>221119</v>
      </c>
    </row>
    <row r="922" spans="1:14" ht="15">
      <c r="A922" s="344">
        <v>60469</v>
      </c>
      <c r="B922" s="345" t="s">
        <v>137</v>
      </c>
      <c r="C922" s="344">
        <v>221119</v>
      </c>
      <c r="D922" s="344" t="str">
        <f t="shared" si="42"/>
        <v>221119</v>
      </c>
      <c r="E922" s="346" t="s">
        <v>146</v>
      </c>
      <c r="F922" s="344" t="s">
        <v>139</v>
      </c>
      <c r="G922" s="344" t="str">
        <f t="shared" si="43"/>
        <v>60469AXLE 1</v>
      </c>
      <c r="H922" s="344">
        <v>1</v>
      </c>
      <c r="I922" s="344">
        <v>20</v>
      </c>
      <c r="J922" s="344">
        <v>1</v>
      </c>
      <c r="K922" s="344">
        <v>8</v>
      </c>
      <c r="L922" t="str">
        <f t="shared" si="44"/>
        <v>60469</v>
      </c>
      <c r="M922" s="344" t="s">
        <v>139</v>
      </c>
      <c r="N922" s="344">
        <v>221119</v>
      </c>
    </row>
    <row r="923" spans="1:14" ht="15">
      <c r="A923" s="344">
        <v>60469</v>
      </c>
      <c r="B923" s="345" t="s">
        <v>137</v>
      </c>
      <c r="C923" s="344">
        <v>221119</v>
      </c>
      <c r="D923" s="344" t="str">
        <f t="shared" si="42"/>
        <v>221119</v>
      </c>
      <c r="E923" s="346" t="s">
        <v>147</v>
      </c>
      <c r="F923" s="344" t="s">
        <v>141</v>
      </c>
      <c r="G923" s="344" t="str">
        <f t="shared" si="43"/>
        <v>60469AXLE 2</v>
      </c>
      <c r="H923" s="344">
        <v>2</v>
      </c>
      <c r="I923" s="344">
        <v>19</v>
      </c>
      <c r="J923" s="344">
        <v>2</v>
      </c>
      <c r="K923" s="344">
        <v>7</v>
      </c>
      <c r="L923" t="str">
        <f t="shared" si="44"/>
        <v>60469</v>
      </c>
      <c r="M923" s="344" t="s">
        <v>141</v>
      </c>
      <c r="N923" s="344">
        <v>221119</v>
      </c>
    </row>
    <row r="924" spans="1:14" ht="15">
      <c r="A924" s="344">
        <v>60469</v>
      </c>
      <c r="B924" s="345" t="s">
        <v>137</v>
      </c>
      <c r="C924" s="344">
        <v>221119</v>
      </c>
      <c r="D924" s="344" t="str">
        <f t="shared" si="42"/>
        <v>221119</v>
      </c>
      <c r="E924" s="346" t="s">
        <v>147</v>
      </c>
      <c r="F924" s="344" t="s">
        <v>143</v>
      </c>
      <c r="G924" s="344" t="str">
        <f t="shared" si="43"/>
        <v>60469AXLE 3</v>
      </c>
      <c r="H924" s="344">
        <v>3</v>
      </c>
      <c r="I924" s="344">
        <v>18</v>
      </c>
      <c r="J924" s="344">
        <v>3</v>
      </c>
      <c r="K924" s="344">
        <v>6</v>
      </c>
      <c r="L924" t="str">
        <f t="shared" si="44"/>
        <v>60469</v>
      </c>
      <c r="M924" s="344" t="s">
        <v>143</v>
      </c>
      <c r="N924" s="344">
        <v>221119</v>
      </c>
    </row>
    <row r="925" spans="1:14" ht="15">
      <c r="A925" s="344">
        <v>60469</v>
      </c>
      <c r="B925" s="345" t="s">
        <v>137</v>
      </c>
      <c r="C925" s="344">
        <v>221119</v>
      </c>
      <c r="D925" s="344" t="str">
        <f t="shared" si="42"/>
        <v>221119</v>
      </c>
      <c r="E925" s="346" t="s">
        <v>146</v>
      </c>
      <c r="F925" s="344" t="s">
        <v>145</v>
      </c>
      <c r="G925" s="344" t="str">
        <f t="shared" si="43"/>
        <v>60469AXLE 4</v>
      </c>
      <c r="H925" s="344">
        <v>4</v>
      </c>
      <c r="I925" s="344">
        <v>17</v>
      </c>
      <c r="J925" s="344">
        <v>4</v>
      </c>
      <c r="K925" s="344">
        <v>5</v>
      </c>
      <c r="L925" t="str">
        <f t="shared" si="44"/>
        <v>60469</v>
      </c>
      <c r="M925" s="344" t="s">
        <v>145</v>
      </c>
      <c r="N925" s="344">
        <v>221119</v>
      </c>
    </row>
    <row r="926" spans="1:14" ht="15">
      <c r="A926" s="344">
        <v>60370</v>
      </c>
      <c r="B926" s="345" t="s">
        <v>137</v>
      </c>
      <c r="C926" s="344">
        <v>221120</v>
      </c>
      <c r="D926" s="344" t="str">
        <f t="shared" si="42"/>
        <v>221120</v>
      </c>
      <c r="E926" s="346" t="s">
        <v>146</v>
      </c>
      <c r="F926" s="344" t="s">
        <v>139</v>
      </c>
      <c r="G926" s="344" t="str">
        <f t="shared" si="43"/>
        <v>60370AXLE 1</v>
      </c>
      <c r="H926" s="344">
        <v>20</v>
      </c>
      <c r="I926" s="344">
        <v>1</v>
      </c>
      <c r="J926" s="344">
        <v>1</v>
      </c>
      <c r="K926" s="344">
        <v>8</v>
      </c>
      <c r="L926" t="str">
        <f t="shared" si="44"/>
        <v>60370</v>
      </c>
      <c r="M926" s="344" t="s">
        <v>139</v>
      </c>
      <c r="N926" s="344">
        <v>221120</v>
      </c>
    </row>
    <row r="927" spans="1:14" ht="15">
      <c r="A927" s="344">
        <v>60370</v>
      </c>
      <c r="B927" s="345" t="s">
        <v>137</v>
      </c>
      <c r="C927" s="344">
        <v>221120</v>
      </c>
      <c r="D927" s="344" t="str">
        <f t="shared" si="42"/>
        <v>221120</v>
      </c>
      <c r="E927" s="346" t="s">
        <v>147</v>
      </c>
      <c r="F927" s="344" t="s">
        <v>141</v>
      </c>
      <c r="G927" s="344" t="str">
        <f t="shared" si="43"/>
        <v>60370AXLE 2</v>
      </c>
      <c r="H927" s="344">
        <v>19</v>
      </c>
      <c r="I927" s="344">
        <v>2</v>
      </c>
      <c r="J927" s="344">
        <v>2</v>
      </c>
      <c r="K927" s="344">
        <v>7</v>
      </c>
      <c r="L927" t="str">
        <f t="shared" si="44"/>
        <v>60370</v>
      </c>
      <c r="M927" s="344" t="s">
        <v>141</v>
      </c>
      <c r="N927" s="344">
        <v>221120</v>
      </c>
    </row>
    <row r="928" spans="1:14" ht="15">
      <c r="A928" s="344">
        <v>60370</v>
      </c>
      <c r="B928" s="345" t="s">
        <v>137</v>
      </c>
      <c r="C928" s="344">
        <v>221120</v>
      </c>
      <c r="D928" s="344" t="str">
        <f t="shared" si="42"/>
        <v>221120</v>
      </c>
      <c r="E928" s="346" t="s">
        <v>147</v>
      </c>
      <c r="F928" s="344" t="s">
        <v>143</v>
      </c>
      <c r="G928" s="344" t="str">
        <f t="shared" si="43"/>
        <v>60370AXLE 3</v>
      </c>
      <c r="H928" s="344">
        <v>18</v>
      </c>
      <c r="I928" s="344">
        <v>3</v>
      </c>
      <c r="J928" s="344">
        <v>3</v>
      </c>
      <c r="K928" s="344">
        <v>6</v>
      </c>
      <c r="L928" t="str">
        <f t="shared" si="44"/>
        <v>60370</v>
      </c>
      <c r="M928" s="344" t="s">
        <v>143</v>
      </c>
      <c r="N928" s="344">
        <v>221120</v>
      </c>
    </row>
    <row r="929" spans="1:14" ht="15">
      <c r="A929" s="344">
        <v>60370</v>
      </c>
      <c r="B929" s="345" t="s">
        <v>137</v>
      </c>
      <c r="C929" s="344">
        <v>221120</v>
      </c>
      <c r="D929" s="344" t="str">
        <f t="shared" si="42"/>
        <v>221120</v>
      </c>
      <c r="E929" s="346" t="s">
        <v>146</v>
      </c>
      <c r="F929" s="344" t="s">
        <v>145</v>
      </c>
      <c r="G929" s="344" t="str">
        <f t="shared" si="43"/>
        <v>60370AXLE 4</v>
      </c>
      <c r="H929" s="344">
        <v>17</v>
      </c>
      <c r="I929" s="344">
        <v>4</v>
      </c>
      <c r="J929" s="344">
        <v>4</v>
      </c>
      <c r="K929" s="344">
        <v>5</v>
      </c>
      <c r="L929" t="str">
        <f t="shared" si="44"/>
        <v>60370</v>
      </c>
      <c r="M929" s="344" t="s">
        <v>145</v>
      </c>
      <c r="N929" s="344">
        <v>221120</v>
      </c>
    </row>
    <row r="930" spans="1:14" ht="15">
      <c r="A930" s="344">
        <v>60770</v>
      </c>
      <c r="B930" s="345" t="s">
        <v>137</v>
      </c>
      <c r="C930" s="344">
        <v>221120</v>
      </c>
      <c r="D930" s="344" t="str">
        <f t="shared" si="42"/>
        <v>221120</v>
      </c>
      <c r="E930" s="346" t="s">
        <v>146</v>
      </c>
      <c r="F930" s="344" t="s">
        <v>139</v>
      </c>
      <c r="G930" s="344" t="str">
        <f t="shared" si="43"/>
        <v>60770AXLE 1</v>
      </c>
      <c r="H930" s="344">
        <v>13</v>
      </c>
      <c r="I930" s="344">
        <v>8</v>
      </c>
      <c r="J930" s="344">
        <v>1</v>
      </c>
      <c r="K930" s="344">
        <v>8</v>
      </c>
      <c r="L930" t="str">
        <f t="shared" si="44"/>
        <v>60770</v>
      </c>
      <c r="M930" s="344" t="s">
        <v>139</v>
      </c>
      <c r="N930" s="344">
        <v>221120</v>
      </c>
    </row>
    <row r="931" spans="1:14" ht="15">
      <c r="A931" s="344">
        <v>60770</v>
      </c>
      <c r="B931" s="345" t="s">
        <v>137</v>
      </c>
      <c r="C931" s="344">
        <v>221120</v>
      </c>
      <c r="D931" s="344" t="str">
        <f t="shared" si="42"/>
        <v>221120</v>
      </c>
      <c r="E931" s="346" t="s">
        <v>147</v>
      </c>
      <c r="F931" s="344" t="s">
        <v>141</v>
      </c>
      <c r="G931" s="344" t="str">
        <f t="shared" si="43"/>
        <v>60770AXLE 2</v>
      </c>
      <c r="H931" s="344">
        <v>14</v>
      </c>
      <c r="I931" s="344">
        <v>7</v>
      </c>
      <c r="J931" s="344">
        <v>2</v>
      </c>
      <c r="K931" s="344">
        <v>7</v>
      </c>
      <c r="L931" t="str">
        <f t="shared" si="44"/>
        <v>60770</v>
      </c>
      <c r="M931" s="344" t="s">
        <v>141</v>
      </c>
      <c r="N931" s="344">
        <v>221120</v>
      </c>
    </row>
    <row r="932" spans="1:14" ht="15">
      <c r="A932" s="344">
        <v>60770</v>
      </c>
      <c r="B932" s="345" t="s">
        <v>137</v>
      </c>
      <c r="C932" s="344">
        <v>221120</v>
      </c>
      <c r="D932" s="344" t="str">
        <f t="shared" si="42"/>
        <v>221120</v>
      </c>
      <c r="E932" s="346" t="s">
        <v>147</v>
      </c>
      <c r="F932" s="344" t="s">
        <v>143</v>
      </c>
      <c r="G932" s="344" t="str">
        <f t="shared" si="43"/>
        <v>60770AXLE 3</v>
      </c>
      <c r="H932" s="344">
        <v>15</v>
      </c>
      <c r="I932" s="344">
        <v>6</v>
      </c>
      <c r="J932" s="344">
        <v>3</v>
      </c>
      <c r="K932" s="344">
        <v>6</v>
      </c>
      <c r="L932" t="str">
        <f t="shared" si="44"/>
        <v>60770</v>
      </c>
      <c r="M932" s="344" t="s">
        <v>143</v>
      </c>
      <c r="N932" s="344">
        <v>221120</v>
      </c>
    </row>
    <row r="933" spans="1:14" ht="15">
      <c r="A933" s="344">
        <v>60770</v>
      </c>
      <c r="B933" s="345" t="s">
        <v>137</v>
      </c>
      <c r="C933" s="344">
        <v>221120</v>
      </c>
      <c r="D933" s="344" t="str">
        <f t="shared" si="42"/>
        <v>221120</v>
      </c>
      <c r="E933" s="346" t="s">
        <v>146</v>
      </c>
      <c r="F933" s="344" t="s">
        <v>145</v>
      </c>
      <c r="G933" s="344" t="str">
        <f t="shared" si="43"/>
        <v>60770AXLE 4</v>
      </c>
      <c r="H933" s="344">
        <v>16</v>
      </c>
      <c r="I933" s="344">
        <v>5</v>
      </c>
      <c r="J933" s="344">
        <v>4</v>
      </c>
      <c r="K933" s="344">
        <v>5</v>
      </c>
      <c r="L933" t="str">
        <f t="shared" si="44"/>
        <v>60770</v>
      </c>
      <c r="M933" s="344" t="s">
        <v>145</v>
      </c>
      <c r="N933" s="344">
        <v>221120</v>
      </c>
    </row>
    <row r="934" spans="1:14" ht="15">
      <c r="A934" s="344">
        <v>60970</v>
      </c>
      <c r="B934" s="345" t="s">
        <v>137</v>
      </c>
      <c r="C934" s="344">
        <v>221120</v>
      </c>
      <c r="D934" s="344" t="str">
        <f t="shared" si="42"/>
        <v>221120</v>
      </c>
      <c r="E934" s="346" t="s">
        <v>146</v>
      </c>
      <c r="F934" s="344" t="s">
        <v>139</v>
      </c>
      <c r="G934" s="344" t="str">
        <f t="shared" si="43"/>
        <v>60970AXLE 1</v>
      </c>
      <c r="H934" s="344">
        <v>9</v>
      </c>
      <c r="I934" s="344">
        <v>12</v>
      </c>
      <c r="J934" s="344">
        <v>1</v>
      </c>
      <c r="K934" s="344">
        <v>8</v>
      </c>
      <c r="L934" t="str">
        <f t="shared" si="44"/>
        <v>60970</v>
      </c>
      <c r="M934" s="344" t="s">
        <v>139</v>
      </c>
      <c r="N934" s="344">
        <v>221120</v>
      </c>
    </row>
    <row r="935" spans="1:14" ht="15">
      <c r="A935" s="344">
        <v>60970</v>
      </c>
      <c r="B935" s="345" t="s">
        <v>137</v>
      </c>
      <c r="C935" s="344">
        <v>221120</v>
      </c>
      <c r="D935" s="344" t="str">
        <f t="shared" si="42"/>
        <v>221120</v>
      </c>
      <c r="E935" s="346" t="s">
        <v>147</v>
      </c>
      <c r="F935" s="344" t="s">
        <v>141</v>
      </c>
      <c r="G935" s="344" t="str">
        <f t="shared" si="43"/>
        <v>60970AXLE 2</v>
      </c>
      <c r="H935" s="344">
        <v>10</v>
      </c>
      <c r="I935" s="344">
        <v>11</v>
      </c>
      <c r="J935" s="344">
        <v>2</v>
      </c>
      <c r="K935" s="344">
        <v>7</v>
      </c>
      <c r="L935" t="str">
        <f t="shared" si="44"/>
        <v>60970</v>
      </c>
      <c r="M935" s="344" t="s">
        <v>141</v>
      </c>
      <c r="N935" s="344">
        <v>221120</v>
      </c>
    </row>
    <row r="936" spans="1:14" ht="15">
      <c r="A936" s="344">
        <v>60970</v>
      </c>
      <c r="B936" s="345" t="s">
        <v>137</v>
      </c>
      <c r="C936" s="344">
        <v>221120</v>
      </c>
      <c r="D936" s="344" t="str">
        <f t="shared" si="42"/>
        <v>221120</v>
      </c>
      <c r="E936" s="346" t="s">
        <v>147</v>
      </c>
      <c r="F936" s="344" t="s">
        <v>143</v>
      </c>
      <c r="G936" s="344" t="str">
        <f t="shared" si="43"/>
        <v>60970AXLE 3</v>
      </c>
      <c r="H936" s="344">
        <v>11</v>
      </c>
      <c r="I936" s="344">
        <v>10</v>
      </c>
      <c r="J936" s="344">
        <v>3</v>
      </c>
      <c r="K936" s="344">
        <v>6</v>
      </c>
      <c r="L936" t="str">
        <f t="shared" si="44"/>
        <v>60970</v>
      </c>
      <c r="M936" s="344" t="s">
        <v>143</v>
      </c>
      <c r="N936" s="344">
        <v>221120</v>
      </c>
    </row>
    <row r="937" spans="1:14" ht="15">
      <c r="A937" s="344">
        <v>60970</v>
      </c>
      <c r="B937" s="345" t="s">
        <v>137</v>
      </c>
      <c r="C937" s="344">
        <v>221120</v>
      </c>
      <c r="D937" s="344" t="str">
        <f t="shared" si="42"/>
        <v>221120</v>
      </c>
      <c r="E937" s="346" t="s">
        <v>146</v>
      </c>
      <c r="F937" s="344" t="s">
        <v>145</v>
      </c>
      <c r="G937" s="344" t="str">
        <f t="shared" si="43"/>
        <v>60970AXLE 4</v>
      </c>
      <c r="H937" s="344">
        <v>12</v>
      </c>
      <c r="I937" s="344">
        <v>9</v>
      </c>
      <c r="J937" s="344">
        <v>4</v>
      </c>
      <c r="K937" s="344">
        <v>5</v>
      </c>
      <c r="L937" t="str">
        <f t="shared" si="44"/>
        <v>60970</v>
      </c>
      <c r="M937" s="344" t="s">
        <v>145</v>
      </c>
      <c r="N937" s="344">
        <v>221120</v>
      </c>
    </row>
    <row r="938" spans="1:14" ht="15">
      <c r="A938" s="344">
        <v>60870</v>
      </c>
      <c r="B938" s="345" t="s">
        <v>137</v>
      </c>
      <c r="C938" s="344">
        <v>221120</v>
      </c>
      <c r="D938" s="344" t="str">
        <f t="shared" si="42"/>
        <v>221120</v>
      </c>
      <c r="E938" s="346" t="s">
        <v>146</v>
      </c>
      <c r="F938" s="344" t="s">
        <v>139</v>
      </c>
      <c r="G938" s="344" t="str">
        <f t="shared" si="43"/>
        <v>60870AXLE 1</v>
      </c>
      <c r="H938" s="344">
        <v>5</v>
      </c>
      <c r="I938" s="344">
        <v>16</v>
      </c>
      <c r="J938" s="344">
        <v>1</v>
      </c>
      <c r="K938" s="344">
        <v>8</v>
      </c>
      <c r="L938" t="str">
        <f t="shared" si="44"/>
        <v>60870</v>
      </c>
      <c r="M938" s="344" t="s">
        <v>139</v>
      </c>
      <c r="N938" s="344">
        <v>221120</v>
      </c>
    </row>
    <row r="939" spans="1:14" ht="15">
      <c r="A939" s="344">
        <v>60870</v>
      </c>
      <c r="B939" s="345" t="s">
        <v>137</v>
      </c>
      <c r="C939" s="344">
        <v>221120</v>
      </c>
      <c r="D939" s="344" t="str">
        <f t="shared" si="42"/>
        <v>221120</v>
      </c>
      <c r="E939" s="346" t="s">
        <v>147</v>
      </c>
      <c r="F939" s="344" t="s">
        <v>141</v>
      </c>
      <c r="G939" s="344" t="str">
        <f t="shared" si="43"/>
        <v>60870AXLE 2</v>
      </c>
      <c r="H939" s="344">
        <v>6</v>
      </c>
      <c r="I939" s="344">
        <v>15</v>
      </c>
      <c r="J939" s="344">
        <v>2</v>
      </c>
      <c r="K939" s="344">
        <v>7</v>
      </c>
      <c r="L939" t="str">
        <f t="shared" si="44"/>
        <v>60870</v>
      </c>
      <c r="M939" s="344" t="s">
        <v>141</v>
      </c>
      <c r="N939" s="344">
        <v>221120</v>
      </c>
    </row>
    <row r="940" spans="1:14" ht="15">
      <c r="A940" s="344">
        <v>60870</v>
      </c>
      <c r="B940" s="345" t="s">
        <v>137</v>
      </c>
      <c r="C940" s="344">
        <v>221120</v>
      </c>
      <c r="D940" s="344" t="str">
        <f t="shared" si="42"/>
        <v>221120</v>
      </c>
      <c r="E940" s="346" t="s">
        <v>147</v>
      </c>
      <c r="F940" s="344" t="s">
        <v>143</v>
      </c>
      <c r="G940" s="344" t="str">
        <f t="shared" si="43"/>
        <v>60870AXLE 3</v>
      </c>
      <c r="H940" s="344">
        <v>7</v>
      </c>
      <c r="I940" s="344">
        <v>14</v>
      </c>
      <c r="J940" s="344">
        <v>3</v>
      </c>
      <c r="K940" s="344">
        <v>6</v>
      </c>
      <c r="L940" t="str">
        <f t="shared" si="44"/>
        <v>60870</v>
      </c>
      <c r="M940" s="344" t="s">
        <v>143</v>
      </c>
      <c r="N940" s="344">
        <v>221120</v>
      </c>
    </row>
    <row r="941" spans="1:14" ht="15">
      <c r="A941" s="344">
        <v>60870</v>
      </c>
      <c r="B941" s="345" t="s">
        <v>137</v>
      </c>
      <c r="C941" s="344">
        <v>221120</v>
      </c>
      <c r="D941" s="344" t="str">
        <f t="shared" si="42"/>
        <v>221120</v>
      </c>
      <c r="E941" s="346" t="s">
        <v>146</v>
      </c>
      <c r="F941" s="344" t="s">
        <v>145</v>
      </c>
      <c r="G941" s="344" t="str">
        <f t="shared" si="43"/>
        <v>60870AXLE 4</v>
      </c>
      <c r="H941" s="344">
        <v>8</v>
      </c>
      <c r="I941" s="344">
        <v>13</v>
      </c>
      <c r="J941" s="344">
        <v>4</v>
      </c>
      <c r="K941" s="344">
        <v>5</v>
      </c>
      <c r="L941" t="str">
        <f t="shared" si="44"/>
        <v>60870</v>
      </c>
      <c r="M941" s="344" t="s">
        <v>145</v>
      </c>
      <c r="N941" s="344">
        <v>221120</v>
      </c>
    </row>
    <row r="942" spans="1:14" ht="15">
      <c r="A942" s="344">
        <v>60470</v>
      </c>
      <c r="B942" s="345" t="s">
        <v>137</v>
      </c>
      <c r="C942" s="344">
        <v>221120</v>
      </c>
      <c r="D942" s="344" t="str">
        <f t="shared" si="42"/>
        <v>221120</v>
      </c>
      <c r="E942" s="346" t="s">
        <v>146</v>
      </c>
      <c r="F942" s="344" t="s">
        <v>139</v>
      </c>
      <c r="G942" s="344" t="str">
        <f t="shared" si="43"/>
        <v>60470AXLE 1</v>
      </c>
      <c r="H942" s="344">
        <v>1</v>
      </c>
      <c r="I942" s="344">
        <v>20</v>
      </c>
      <c r="J942" s="344">
        <v>1</v>
      </c>
      <c r="K942" s="344">
        <v>8</v>
      </c>
      <c r="L942" t="str">
        <f t="shared" si="44"/>
        <v>60470</v>
      </c>
      <c r="M942" s="344" t="s">
        <v>139</v>
      </c>
      <c r="N942" s="344">
        <v>221120</v>
      </c>
    </row>
    <row r="943" spans="1:14" ht="15">
      <c r="A943" s="344">
        <v>60470</v>
      </c>
      <c r="B943" s="345" t="s">
        <v>137</v>
      </c>
      <c r="C943" s="344">
        <v>221120</v>
      </c>
      <c r="D943" s="344" t="str">
        <f t="shared" si="42"/>
        <v>221120</v>
      </c>
      <c r="E943" s="346" t="s">
        <v>147</v>
      </c>
      <c r="F943" s="344" t="s">
        <v>141</v>
      </c>
      <c r="G943" s="344" t="str">
        <f t="shared" si="43"/>
        <v>60470AXLE 2</v>
      </c>
      <c r="H943" s="344">
        <v>2</v>
      </c>
      <c r="I943" s="344">
        <v>19</v>
      </c>
      <c r="J943" s="344">
        <v>2</v>
      </c>
      <c r="K943" s="344">
        <v>7</v>
      </c>
      <c r="L943" t="str">
        <f t="shared" si="44"/>
        <v>60470</v>
      </c>
      <c r="M943" s="344" t="s">
        <v>141</v>
      </c>
      <c r="N943" s="344">
        <v>221120</v>
      </c>
    </row>
    <row r="944" spans="1:14" ht="15">
      <c r="A944" s="344">
        <v>60470</v>
      </c>
      <c r="B944" s="345" t="s">
        <v>137</v>
      </c>
      <c r="C944" s="344">
        <v>221120</v>
      </c>
      <c r="D944" s="344" t="str">
        <f t="shared" si="42"/>
        <v>221120</v>
      </c>
      <c r="E944" s="346" t="s">
        <v>147</v>
      </c>
      <c r="F944" s="344" t="s">
        <v>143</v>
      </c>
      <c r="G944" s="344" t="str">
        <f t="shared" si="43"/>
        <v>60470AXLE 3</v>
      </c>
      <c r="H944" s="344">
        <v>3</v>
      </c>
      <c r="I944" s="344">
        <v>18</v>
      </c>
      <c r="J944" s="344">
        <v>3</v>
      </c>
      <c r="K944" s="344">
        <v>6</v>
      </c>
      <c r="L944" t="str">
        <f t="shared" si="44"/>
        <v>60470</v>
      </c>
      <c r="M944" s="344" t="s">
        <v>143</v>
      </c>
      <c r="N944" s="344">
        <v>221120</v>
      </c>
    </row>
    <row r="945" spans="1:14" ht="15">
      <c r="A945" s="344">
        <v>60470</v>
      </c>
      <c r="B945" s="345" t="s">
        <v>137</v>
      </c>
      <c r="C945" s="344">
        <v>221120</v>
      </c>
      <c r="D945" s="344" t="str">
        <f t="shared" si="42"/>
        <v>221120</v>
      </c>
      <c r="E945" s="346" t="s">
        <v>146</v>
      </c>
      <c r="F945" s="344" t="s">
        <v>145</v>
      </c>
      <c r="G945" s="344" t="str">
        <f t="shared" si="43"/>
        <v>60470AXLE 4</v>
      </c>
      <c r="H945" s="344">
        <v>4</v>
      </c>
      <c r="I945" s="344">
        <v>17</v>
      </c>
      <c r="J945" s="344">
        <v>4</v>
      </c>
      <c r="K945" s="344">
        <v>5</v>
      </c>
      <c r="L945" t="str">
        <f t="shared" si="44"/>
        <v>60470</v>
      </c>
      <c r="M945" s="344" t="s">
        <v>145</v>
      </c>
      <c r="N945" s="344">
        <v>221120</v>
      </c>
    </row>
    <row r="946" spans="1:14" ht="15">
      <c r="A946" s="344">
        <v>60371</v>
      </c>
      <c r="B946" s="345" t="s">
        <v>137</v>
      </c>
      <c r="C946" s="344">
        <v>221121</v>
      </c>
      <c r="D946" s="344" t="str">
        <f t="shared" si="42"/>
        <v>221121</v>
      </c>
      <c r="E946" s="346" t="s">
        <v>146</v>
      </c>
      <c r="F946" s="344" t="s">
        <v>139</v>
      </c>
      <c r="G946" s="344" t="str">
        <f t="shared" si="43"/>
        <v>60371AXLE 1</v>
      </c>
      <c r="H946" s="344">
        <v>20</v>
      </c>
      <c r="I946" s="344">
        <v>1</v>
      </c>
      <c r="J946" s="344">
        <v>1</v>
      </c>
      <c r="K946" s="344">
        <v>8</v>
      </c>
      <c r="L946" t="str">
        <f t="shared" si="44"/>
        <v>60371</v>
      </c>
      <c r="M946" s="344" t="s">
        <v>139</v>
      </c>
      <c r="N946" s="344">
        <v>221121</v>
      </c>
    </row>
    <row r="947" spans="1:14" ht="15">
      <c r="A947" s="344">
        <v>60371</v>
      </c>
      <c r="B947" s="345" t="s">
        <v>137</v>
      </c>
      <c r="C947" s="344">
        <v>221121</v>
      </c>
      <c r="D947" s="344" t="str">
        <f t="shared" si="42"/>
        <v>221121</v>
      </c>
      <c r="E947" s="346" t="s">
        <v>147</v>
      </c>
      <c r="F947" s="344" t="s">
        <v>141</v>
      </c>
      <c r="G947" s="344" t="str">
        <f t="shared" si="43"/>
        <v>60371AXLE 2</v>
      </c>
      <c r="H947" s="344">
        <v>19</v>
      </c>
      <c r="I947" s="344">
        <v>2</v>
      </c>
      <c r="J947" s="344">
        <v>2</v>
      </c>
      <c r="K947" s="344">
        <v>7</v>
      </c>
      <c r="L947" t="str">
        <f t="shared" si="44"/>
        <v>60371</v>
      </c>
      <c r="M947" s="344" t="s">
        <v>141</v>
      </c>
      <c r="N947" s="344">
        <v>221121</v>
      </c>
    </row>
    <row r="948" spans="1:14" ht="15">
      <c r="A948" s="344">
        <v>60371</v>
      </c>
      <c r="B948" s="345" t="s">
        <v>137</v>
      </c>
      <c r="C948" s="344">
        <v>221121</v>
      </c>
      <c r="D948" s="344" t="str">
        <f t="shared" si="42"/>
        <v>221121</v>
      </c>
      <c r="E948" s="346" t="s">
        <v>147</v>
      </c>
      <c r="F948" s="344" t="s">
        <v>143</v>
      </c>
      <c r="G948" s="344" t="str">
        <f t="shared" si="43"/>
        <v>60371AXLE 3</v>
      </c>
      <c r="H948" s="344">
        <v>18</v>
      </c>
      <c r="I948" s="344">
        <v>3</v>
      </c>
      <c r="J948" s="344">
        <v>3</v>
      </c>
      <c r="K948" s="344">
        <v>6</v>
      </c>
      <c r="L948" t="str">
        <f t="shared" si="44"/>
        <v>60371</v>
      </c>
      <c r="M948" s="344" t="s">
        <v>143</v>
      </c>
      <c r="N948" s="344">
        <v>221121</v>
      </c>
    </row>
    <row r="949" spans="1:14" ht="15">
      <c r="A949" s="344">
        <v>60371</v>
      </c>
      <c r="B949" s="345" t="s">
        <v>137</v>
      </c>
      <c r="C949" s="344">
        <v>221121</v>
      </c>
      <c r="D949" s="344" t="str">
        <f t="shared" si="42"/>
        <v>221121</v>
      </c>
      <c r="E949" s="346" t="s">
        <v>146</v>
      </c>
      <c r="F949" s="344" t="s">
        <v>145</v>
      </c>
      <c r="G949" s="344" t="str">
        <f t="shared" si="43"/>
        <v>60371AXLE 4</v>
      </c>
      <c r="H949" s="344">
        <v>17</v>
      </c>
      <c r="I949" s="344">
        <v>4</v>
      </c>
      <c r="J949" s="344">
        <v>4</v>
      </c>
      <c r="K949" s="344">
        <v>5</v>
      </c>
      <c r="L949" t="str">
        <f t="shared" si="44"/>
        <v>60371</v>
      </c>
      <c r="M949" s="344" t="s">
        <v>145</v>
      </c>
      <c r="N949" s="344">
        <v>221121</v>
      </c>
    </row>
    <row r="950" spans="1:14" ht="15">
      <c r="A950" s="344">
        <v>60771</v>
      </c>
      <c r="B950" s="345" t="s">
        <v>137</v>
      </c>
      <c r="C950" s="344">
        <v>221121</v>
      </c>
      <c r="D950" s="344" t="str">
        <f t="shared" si="42"/>
        <v>221121</v>
      </c>
      <c r="E950" s="346" t="s">
        <v>146</v>
      </c>
      <c r="F950" s="344" t="s">
        <v>139</v>
      </c>
      <c r="G950" s="344" t="str">
        <f t="shared" si="43"/>
        <v>60771AXLE 1</v>
      </c>
      <c r="H950" s="344">
        <v>13</v>
      </c>
      <c r="I950" s="344">
        <v>8</v>
      </c>
      <c r="J950" s="344">
        <v>1</v>
      </c>
      <c r="K950" s="344">
        <v>8</v>
      </c>
      <c r="L950" t="str">
        <f t="shared" si="44"/>
        <v>60771</v>
      </c>
      <c r="M950" s="344" t="s">
        <v>139</v>
      </c>
      <c r="N950" s="344">
        <v>221121</v>
      </c>
    </row>
    <row r="951" spans="1:14" ht="15">
      <c r="A951" s="344">
        <v>60771</v>
      </c>
      <c r="B951" s="345" t="s">
        <v>137</v>
      </c>
      <c r="C951" s="344">
        <v>221121</v>
      </c>
      <c r="D951" s="344" t="str">
        <f t="shared" si="42"/>
        <v>221121</v>
      </c>
      <c r="E951" s="346" t="s">
        <v>147</v>
      </c>
      <c r="F951" s="344" t="s">
        <v>141</v>
      </c>
      <c r="G951" s="344" t="str">
        <f t="shared" si="43"/>
        <v>60771AXLE 2</v>
      </c>
      <c r="H951" s="344">
        <v>14</v>
      </c>
      <c r="I951" s="344">
        <v>7</v>
      </c>
      <c r="J951" s="344">
        <v>2</v>
      </c>
      <c r="K951" s="344">
        <v>7</v>
      </c>
      <c r="L951" t="str">
        <f t="shared" si="44"/>
        <v>60771</v>
      </c>
      <c r="M951" s="344" t="s">
        <v>141</v>
      </c>
      <c r="N951" s="344">
        <v>221121</v>
      </c>
    </row>
    <row r="952" spans="1:14" ht="15">
      <c r="A952" s="344">
        <v>60771</v>
      </c>
      <c r="B952" s="345" t="s">
        <v>137</v>
      </c>
      <c r="C952" s="344">
        <v>221121</v>
      </c>
      <c r="D952" s="344" t="str">
        <f t="shared" si="42"/>
        <v>221121</v>
      </c>
      <c r="E952" s="346" t="s">
        <v>147</v>
      </c>
      <c r="F952" s="344" t="s">
        <v>143</v>
      </c>
      <c r="G952" s="344" t="str">
        <f t="shared" si="43"/>
        <v>60771AXLE 3</v>
      </c>
      <c r="H952" s="344">
        <v>15</v>
      </c>
      <c r="I952" s="344">
        <v>6</v>
      </c>
      <c r="J952" s="344">
        <v>3</v>
      </c>
      <c r="K952" s="344">
        <v>6</v>
      </c>
      <c r="L952" t="str">
        <f t="shared" si="44"/>
        <v>60771</v>
      </c>
      <c r="M952" s="344" t="s">
        <v>143</v>
      </c>
      <c r="N952" s="344">
        <v>221121</v>
      </c>
    </row>
    <row r="953" spans="1:14" ht="15">
      <c r="A953" s="344">
        <v>60771</v>
      </c>
      <c r="B953" s="345" t="s">
        <v>137</v>
      </c>
      <c r="C953" s="344">
        <v>221121</v>
      </c>
      <c r="D953" s="344" t="str">
        <f t="shared" si="42"/>
        <v>221121</v>
      </c>
      <c r="E953" s="346" t="s">
        <v>146</v>
      </c>
      <c r="F953" s="344" t="s">
        <v>145</v>
      </c>
      <c r="G953" s="344" t="str">
        <f t="shared" si="43"/>
        <v>60771AXLE 4</v>
      </c>
      <c r="H953" s="344">
        <v>16</v>
      </c>
      <c r="I953" s="344">
        <v>5</v>
      </c>
      <c r="J953" s="344">
        <v>4</v>
      </c>
      <c r="K953" s="344">
        <v>5</v>
      </c>
      <c r="L953" t="str">
        <f t="shared" si="44"/>
        <v>60771</v>
      </c>
      <c r="M953" s="344" t="s">
        <v>145</v>
      </c>
      <c r="N953" s="344">
        <v>221121</v>
      </c>
    </row>
    <row r="954" spans="1:14" ht="15">
      <c r="A954" s="344">
        <v>60971</v>
      </c>
      <c r="B954" s="345" t="s">
        <v>137</v>
      </c>
      <c r="C954" s="344">
        <v>221121</v>
      </c>
      <c r="D954" s="344" t="str">
        <f t="shared" si="42"/>
        <v>221121</v>
      </c>
      <c r="E954" s="346" t="s">
        <v>146</v>
      </c>
      <c r="F954" s="344" t="s">
        <v>139</v>
      </c>
      <c r="G954" s="344" t="str">
        <f t="shared" si="43"/>
        <v>60971AXLE 1</v>
      </c>
      <c r="H954" s="344">
        <v>9</v>
      </c>
      <c r="I954" s="344">
        <v>12</v>
      </c>
      <c r="J954" s="344">
        <v>1</v>
      </c>
      <c r="K954" s="344">
        <v>8</v>
      </c>
      <c r="L954" t="str">
        <f t="shared" si="44"/>
        <v>60971</v>
      </c>
      <c r="M954" s="344" t="s">
        <v>139</v>
      </c>
      <c r="N954" s="344">
        <v>221121</v>
      </c>
    </row>
    <row r="955" spans="1:14" ht="15">
      <c r="A955" s="344">
        <v>60971</v>
      </c>
      <c r="B955" s="345" t="s">
        <v>137</v>
      </c>
      <c r="C955" s="344">
        <v>221121</v>
      </c>
      <c r="D955" s="344" t="str">
        <f t="shared" si="42"/>
        <v>221121</v>
      </c>
      <c r="E955" s="346" t="s">
        <v>147</v>
      </c>
      <c r="F955" s="344" t="s">
        <v>141</v>
      </c>
      <c r="G955" s="344" t="str">
        <f t="shared" si="43"/>
        <v>60971AXLE 2</v>
      </c>
      <c r="H955" s="344">
        <v>10</v>
      </c>
      <c r="I955" s="344">
        <v>11</v>
      </c>
      <c r="J955" s="344">
        <v>2</v>
      </c>
      <c r="K955" s="344">
        <v>7</v>
      </c>
      <c r="L955" t="str">
        <f t="shared" si="44"/>
        <v>60971</v>
      </c>
      <c r="M955" s="344" t="s">
        <v>141</v>
      </c>
      <c r="N955" s="344">
        <v>221121</v>
      </c>
    </row>
    <row r="956" spans="1:14" ht="15">
      <c r="A956" s="344">
        <v>60971</v>
      </c>
      <c r="B956" s="345" t="s">
        <v>137</v>
      </c>
      <c r="C956" s="344">
        <v>221121</v>
      </c>
      <c r="D956" s="344" t="str">
        <f t="shared" si="42"/>
        <v>221121</v>
      </c>
      <c r="E956" s="346" t="s">
        <v>147</v>
      </c>
      <c r="F956" s="344" t="s">
        <v>143</v>
      </c>
      <c r="G956" s="344" t="str">
        <f t="shared" si="43"/>
        <v>60971AXLE 3</v>
      </c>
      <c r="H956" s="344">
        <v>11</v>
      </c>
      <c r="I956" s="344">
        <v>10</v>
      </c>
      <c r="J956" s="344">
        <v>3</v>
      </c>
      <c r="K956" s="344">
        <v>6</v>
      </c>
      <c r="L956" t="str">
        <f t="shared" si="44"/>
        <v>60971</v>
      </c>
      <c r="M956" s="344" t="s">
        <v>143</v>
      </c>
      <c r="N956" s="344">
        <v>221121</v>
      </c>
    </row>
    <row r="957" spans="1:14" ht="15">
      <c r="A957" s="344">
        <v>60971</v>
      </c>
      <c r="B957" s="345" t="s">
        <v>137</v>
      </c>
      <c r="C957" s="344">
        <v>221121</v>
      </c>
      <c r="D957" s="344" t="str">
        <f t="shared" si="42"/>
        <v>221121</v>
      </c>
      <c r="E957" s="346" t="s">
        <v>146</v>
      </c>
      <c r="F957" s="344" t="s">
        <v>145</v>
      </c>
      <c r="G957" s="344" t="str">
        <f t="shared" si="43"/>
        <v>60971AXLE 4</v>
      </c>
      <c r="H957" s="344">
        <v>12</v>
      </c>
      <c r="I957" s="344">
        <v>9</v>
      </c>
      <c r="J957" s="344">
        <v>4</v>
      </c>
      <c r="K957" s="344">
        <v>5</v>
      </c>
      <c r="L957" t="str">
        <f t="shared" si="44"/>
        <v>60971</v>
      </c>
      <c r="M957" s="344" t="s">
        <v>145</v>
      </c>
      <c r="N957" s="344">
        <v>221121</v>
      </c>
    </row>
    <row r="958" spans="1:14" ht="15">
      <c r="A958" s="344">
        <v>60871</v>
      </c>
      <c r="B958" s="345" t="s">
        <v>137</v>
      </c>
      <c r="C958" s="344">
        <v>221121</v>
      </c>
      <c r="D958" s="344" t="str">
        <f t="shared" si="42"/>
        <v>221121</v>
      </c>
      <c r="E958" s="346" t="s">
        <v>146</v>
      </c>
      <c r="F958" s="344" t="s">
        <v>139</v>
      </c>
      <c r="G958" s="344" t="str">
        <f t="shared" si="43"/>
        <v>60871AXLE 1</v>
      </c>
      <c r="H958" s="344">
        <v>5</v>
      </c>
      <c r="I958" s="344">
        <v>16</v>
      </c>
      <c r="J958" s="344">
        <v>1</v>
      </c>
      <c r="K958" s="344">
        <v>8</v>
      </c>
      <c r="L958" t="str">
        <f t="shared" si="44"/>
        <v>60871</v>
      </c>
      <c r="M958" s="344" t="s">
        <v>139</v>
      </c>
      <c r="N958" s="344">
        <v>221121</v>
      </c>
    </row>
    <row r="959" spans="1:14" ht="15">
      <c r="A959" s="344">
        <v>60871</v>
      </c>
      <c r="B959" s="345" t="s">
        <v>137</v>
      </c>
      <c r="C959" s="344">
        <v>221121</v>
      </c>
      <c r="D959" s="344" t="str">
        <f t="shared" si="42"/>
        <v>221121</v>
      </c>
      <c r="E959" s="346" t="s">
        <v>147</v>
      </c>
      <c r="F959" s="344" t="s">
        <v>141</v>
      </c>
      <c r="G959" s="344" t="str">
        <f t="shared" si="43"/>
        <v>60871AXLE 2</v>
      </c>
      <c r="H959" s="344">
        <v>6</v>
      </c>
      <c r="I959" s="344">
        <v>15</v>
      </c>
      <c r="J959" s="344">
        <v>2</v>
      </c>
      <c r="K959" s="344">
        <v>7</v>
      </c>
      <c r="L959" t="str">
        <f t="shared" si="44"/>
        <v>60871</v>
      </c>
      <c r="M959" s="344" t="s">
        <v>141</v>
      </c>
      <c r="N959" s="344">
        <v>221121</v>
      </c>
    </row>
    <row r="960" spans="1:14" ht="15">
      <c r="A960" s="344">
        <v>60871</v>
      </c>
      <c r="B960" s="345" t="s">
        <v>137</v>
      </c>
      <c r="C960" s="344">
        <v>221121</v>
      </c>
      <c r="D960" s="344" t="str">
        <f t="shared" si="42"/>
        <v>221121</v>
      </c>
      <c r="E960" s="346" t="s">
        <v>147</v>
      </c>
      <c r="F960" s="344" t="s">
        <v>143</v>
      </c>
      <c r="G960" s="344" t="str">
        <f t="shared" si="43"/>
        <v>60871AXLE 3</v>
      </c>
      <c r="H960" s="344">
        <v>7</v>
      </c>
      <c r="I960" s="344">
        <v>14</v>
      </c>
      <c r="J960" s="344">
        <v>3</v>
      </c>
      <c r="K960" s="344">
        <v>6</v>
      </c>
      <c r="L960" t="str">
        <f t="shared" si="44"/>
        <v>60871</v>
      </c>
      <c r="M960" s="344" t="s">
        <v>143</v>
      </c>
      <c r="N960" s="344">
        <v>221121</v>
      </c>
    </row>
    <row r="961" spans="1:14" ht="15">
      <c r="A961" s="344">
        <v>60871</v>
      </c>
      <c r="B961" s="345" t="s">
        <v>137</v>
      </c>
      <c r="C961" s="344">
        <v>221121</v>
      </c>
      <c r="D961" s="344" t="str">
        <f t="shared" si="42"/>
        <v>221121</v>
      </c>
      <c r="E961" s="346" t="s">
        <v>146</v>
      </c>
      <c r="F961" s="344" t="s">
        <v>145</v>
      </c>
      <c r="G961" s="344" t="str">
        <f t="shared" si="43"/>
        <v>60871AXLE 4</v>
      </c>
      <c r="H961" s="344">
        <v>8</v>
      </c>
      <c r="I961" s="344">
        <v>13</v>
      </c>
      <c r="J961" s="344">
        <v>4</v>
      </c>
      <c r="K961" s="344">
        <v>5</v>
      </c>
      <c r="L961" t="str">
        <f t="shared" si="44"/>
        <v>60871</v>
      </c>
      <c r="M961" s="344" t="s">
        <v>145</v>
      </c>
      <c r="N961" s="344">
        <v>221121</v>
      </c>
    </row>
    <row r="962" spans="1:14" ht="15">
      <c r="A962" s="344">
        <v>60471</v>
      </c>
      <c r="B962" s="345" t="s">
        <v>137</v>
      </c>
      <c r="C962" s="344">
        <v>221121</v>
      </c>
      <c r="D962" s="344" t="str">
        <f t="shared" si="42"/>
        <v>221121</v>
      </c>
      <c r="E962" s="346" t="s">
        <v>146</v>
      </c>
      <c r="F962" s="344" t="s">
        <v>139</v>
      </c>
      <c r="G962" s="344" t="str">
        <f t="shared" si="43"/>
        <v>60471AXLE 1</v>
      </c>
      <c r="H962" s="344">
        <v>1</v>
      </c>
      <c r="I962" s="344">
        <v>20</v>
      </c>
      <c r="J962" s="344">
        <v>1</v>
      </c>
      <c r="K962" s="344">
        <v>8</v>
      </c>
      <c r="L962" t="str">
        <f t="shared" si="44"/>
        <v>60471</v>
      </c>
      <c r="M962" s="344" t="s">
        <v>139</v>
      </c>
      <c r="N962" s="344">
        <v>221121</v>
      </c>
    </row>
    <row r="963" spans="1:14" ht="15">
      <c r="A963" s="344">
        <v>60471</v>
      </c>
      <c r="B963" s="345" t="s">
        <v>137</v>
      </c>
      <c r="C963" s="344">
        <v>221121</v>
      </c>
      <c r="D963" s="344" t="str">
        <f t="shared" ref="D963:D1026" si="45">CONCATENATE(B963,C963)</f>
        <v>221121</v>
      </c>
      <c r="E963" s="346" t="s">
        <v>147</v>
      </c>
      <c r="F963" s="344" t="s">
        <v>141</v>
      </c>
      <c r="G963" s="344" t="str">
        <f t="shared" ref="G963:G1026" si="46">CONCATENATE(A963,F963)</f>
        <v>60471AXLE 2</v>
      </c>
      <c r="H963" s="344">
        <v>2</v>
      </c>
      <c r="I963" s="344">
        <v>19</v>
      </c>
      <c r="J963" s="344">
        <v>2</v>
      </c>
      <c r="K963" s="344">
        <v>7</v>
      </c>
      <c r="L963" t="str">
        <f t="shared" ref="L963:L1026" si="47">CONCATENATE(A963,B963)</f>
        <v>60471</v>
      </c>
      <c r="M963" s="344" t="s">
        <v>141</v>
      </c>
      <c r="N963" s="344">
        <v>221121</v>
      </c>
    </row>
    <row r="964" spans="1:14" ht="15">
      <c r="A964" s="344">
        <v>60471</v>
      </c>
      <c r="B964" s="345" t="s">
        <v>137</v>
      </c>
      <c r="C964" s="344">
        <v>221121</v>
      </c>
      <c r="D964" s="344" t="str">
        <f t="shared" si="45"/>
        <v>221121</v>
      </c>
      <c r="E964" s="346" t="s">
        <v>147</v>
      </c>
      <c r="F964" s="344" t="s">
        <v>143</v>
      </c>
      <c r="G964" s="344" t="str">
        <f t="shared" si="46"/>
        <v>60471AXLE 3</v>
      </c>
      <c r="H964" s="344">
        <v>3</v>
      </c>
      <c r="I964" s="344">
        <v>18</v>
      </c>
      <c r="J964" s="344">
        <v>3</v>
      </c>
      <c r="K964" s="344">
        <v>6</v>
      </c>
      <c r="L964" t="str">
        <f t="shared" si="47"/>
        <v>60471</v>
      </c>
      <c r="M964" s="344" t="s">
        <v>143</v>
      </c>
      <c r="N964" s="344">
        <v>221121</v>
      </c>
    </row>
    <row r="965" spans="1:14" ht="15">
      <c r="A965" s="344">
        <v>60471</v>
      </c>
      <c r="B965" s="345" t="s">
        <v>137</v>
      </c>
      <c r="C965" s="344">
        <v>221121</v>
      </c>
      <c r="D965" s="344" t="str">
        <f t="shared" si="45"/>
        <v>221121</v>
      </c>
      <c r="E965" s="346" t="s">
        <v>146</v>
      </c>
      <c r="F965" s="344" t="s">
        <v>145</v>
      </c>
      <c r="G965" s="344" t="str">
        <f t="shared" si="46"/>
        <v>60471AXLE 4</v>
      </c>
      <c r="H965" s="344">
        <v>4</v>
      </c>
      <c r="I965" s="344">
        <v>17</v>
      </c>
      <c r="J965" s="344">
        <v>4</v>
      </c>
      <c r="K965" s="344">
        <v>5</v>
      </c>
      <c r="L965" t="str">
        <f t="shared" si="47"/>
        <v>60471</v>
      </c>
      <c r="M965" s="344" t="s">
        <v>145</v>
      </c>
      <c r="N965" s="344">
        <v>221121</v>
      </c>
    </row>
    <row r="966" spans="1:14" ht="15">
      <c r="A966" s="344">
        <v>60372</v>
      </c>
      <c r="B966" s="345" t="s">
        <v>137</v>
      </c>
      <c r="C966" s="344">
        <v>221122</v>
      </c>
      <c r="D966" s="344" t="str">
        <f t="shared" si="45"/>
        <v>221122</v>
      </c>
      <c r="E966" s="346" t="s">
        <v>146</v>
      </c>
      <c r="F966" s="344" t="s">
        <v>139</v>
      </c>
      <c r="G966" s="344" t="str">
        <f t="shared" si="46"/>
        <v>60372AXLE 1</v>
      </c>
      <c r="H966" s="344">
        <v>20</v>
      </c>
      <c r="I966" s="344">
        <v>1</v>
      </c>
      <c r="J966" s="344">
        <v>1</v>
      </c>
      <c r="K966" s="344">
        <v>8</v>
      </c>
      <c r="L966" t="str">
        <f t="shared" si="47"/>
        <v>60372</v>
      </c>
      <c r="M966" s="344" t="s">
        <v>139</v>
      </c>
      <c r="N966" s="344">
        <v>221122</v>
      </c>
    </row>
    <row r="967" spans="1:14" ht="15">
      <c r="A967" s="344">
        <v>60372</v>
      </c>
      <c r="B967" s="345" t="s">
        <v>137</v>
      </c>
      <c r="C967" s="344">
        <v>221122</v>
      </c>
      <c r="D967" s="344" t="str">
        <f t="shared" si="45"/>
        <v>221122</v>
      </c>
      <c r="E967" s="346" t="s">
        <v>147</v>
      </c>
      <c r="F967" s="344" t="s">
        <v>141</v>
      </c>
      <c r="G967" s="344" t="str">
        <f t="shared" si="46"/>
        <v>60372AXLE 2</v>
      </c>
      <c r="H967" s="344">
        <v>19</v>
      </c>
      <c r="I967" s="344">
        <v>2</v>
      </c>
      <c r="J967" s="344">
        <v>2</v>
      </c>
      <c r="K967" s="344">
        <v>7</v>
      </c>
      <c r="L967" t="str">
        <f t="shared" si="47"/>
        <v>60372</v>
      </c>
      <c r="M967" s="344" t="s">
        <v>141</v>
      </c>
      <c r="N967" s="344">
        <v>221122</v>
      </c>
    </row>
    <row r="968" spans="1:14" ht="15">
      <c r="A968" s="344">
        <v>60372</v>
      </c>
      <c r="B968" s="345" t="s">
        <v>137</v>
      </c>
      <c r="C968" s="344">
        <v>221122</v>
      </c>
      <c r="D968" s="344" t="str">
        <f t="shared" si="45"/>
        <v>221122</v>
      </c>
      <c r="E968" s="346" t="s">
        <v>147</v>
      </c>
      <c r="F968" s="344" t="s">
        <v>143</v>
      </c>
      <c r="G968" s="344" t="str">
        <f t="shared" si="46"/>
        <v>60372AXLE 3</v>
      </c>
      <c r="H968" s="344">
        <v>18</v>
      </c>
      <c r="I968" s="344">
        <v>3</v>
      </c>
      <c r="J968" s="344">
        <v>3</v>
      </c>
      <c r="K968" s="344">
        <v>6</v>
      </c>
      <c r="L968" t="str">
        <f t="shared" si="47"/>
        <v>60372</v>
      </c>
      <c r="M968" s="344" t="s">
        <v>143</v>
      </c>
      <c r="N968" s="344">
        <v>221122</v>
      </c>
    </row>
    <row r="969" spans="1:14" ht="15">
      <c r="A969" s="344">
        <v>60372</v>
      </c>
      <c r="B969" s="345" t="s">
        <v>137</v>
      </c>
      <c r="C969" s="344">
        <v>221122</v>
      </c>
      <c r="D969" s="344" t="str">
        <f t="shared" si="45"/>
        <v>221122</v>
      </c>
      <c r="E969" s="346" t="s">
        <v>146</v>
      </c>
      <c r="F969" s="344" t="s">
        <v>145</v>
      </c>
      <c r="G969" s="344" t="str">
        <f t="shared" si="46"/>
        <v>60372AXLE 4</v>
      </c>
      <c r="H969" s="344">
        <v>17</v>
      </c>
      <c r="I969" s="344">
        <v>4</v>
      </c>
      <c r="J969" s="344">
        <v>4</v>
      </c>
      <c r="K969" s="344">
        <v>5</v>
      </c>
      <c r="L969" t="str">
        <f t="shared" si="47"/>
        <v>60372</v>
      </c>
      <c r="M969" s="344" t="s">
        <v>145</v>
      </c>
      <c r="N969" s="344">
        <v>221122</v>
      </c>
    </row>
    <row r="970" spans="1:14" ht="15">
      <c r="A970" s="344">
        <v>60772</v>
      </c>
      <c r="B970" s="345" t="s">
        <v>137</v>
      </c>
      <c r="C970" s="344">
        <v>221122</v>
      </c>
      <c r="D970" s="344" t="str">
        <f t="shared" si="45"/>
        <v>221122</v>
      </c>
      <c r="E970" s="346" t="s">
        <v>146</v>
      </c>
      <c r="F970" s="344" t="s">
        <v>139</v>
      </c>
      <c r="G970" s="344" t="str">
        <f t="shared" si="46"/>
        <v>60772AXLE 1</v>
      </c>
      <c r="H970" s="344">
        <v>13</v>
      </c>
      <c r="I970" s="344">
        <v>8</v>
      </c>
      <c r="J970" s="344">
        <v>1</v>
      </c>
      <c r="K970" s="344">
        <v>8</v>
      </c>
      <c r="L970" t="str">
        <f t="shared" si="47"/>
        <v>60772</v>
      </c>
      <c r="M970" s="344" t="s">
        <v>139</v>
      </c>
      <c r="N970" s="344">
        <v>221122</v>
      </c>
    </row>
    <row r="971" spans="1:14" ht="15">
      <c r="A971" s="344">
        <v>60772</v>
      </c>
      <c r="B971" s="345" t="s">
        <v>137</v>
      </c>
      <c r="C971" s="344">
        <v>221122</v>
      </c>
      <c r="D971" s="344" t="str">
        <f t="shared" si="45"/>
        <v>221122</v>
      </c>
      <c r="E971" s="346" t="s">
        <v>147</v>
      </c>
      <c r="F971" s="344" t="s">
        <v>141</v>
      </c>
      <c r="G971" s="344" t="str">
        <f t="shared" si="46"/>
        <v>60772AXLE 2</v>
      </c>
      <c r="H971" s="344">
        <v>14</v>
      </c>
      <c r="I971" s="344">
        <v>7</v>
      </c>
      <c r="J971" s="344">
        <v>2</v>
      </c>
      <c r="K971" s="344">
        <v>7</v>
      </c>
      <c r="L971" t="str">
        <f t="shared" si="47"/>
        <v>60772</v>
      </c>
      <c r="M971" s="344" t="s">
        <v>141</v>
      </c>
      <c r="N971" s="344">
        <v>221122</v>
      </c>
    </row>
    <row r="972" spans="1:14" ht="15">
      <c r="A972" s="344">
        <v>60772</v>
      </c>
      <c r="B972" s="345" t="s">
        <v>137</v>
      </c>
      <c r="C972" s="344">
        <v>221122</v>
      </c>
      <c r="D972" s="344" t="str">
        <f t="shared" si="45"/>
        <v>221122</v>
      </c>
      <c r="E972" s="346" t="s">
        <v>147</v>
      </c>
      <c r="F972" s="344" t="s">
        <v>143</v>
      </c>
      <c r="G972" s="344" t="str">
        <f t="shared" si="46"/>
        <v>60772AXLE 3</v>
      </c>
      <c r="H972" s="344">
        <v>15</v>
      </c>
      <c r="I972" s="344">
        <v>6</v>
      </c>
      <c r="J972" s="344">
        <v>3</v>
      </c>
      <c r="K972" s="344">
        <v>6</v>
      </c>
      <c r="L972" t="str">
        <f t="shared" si="47"/>
        <v>60772</v>
      </c>
      <c r="M972" s="344" t="s">
        <v>143</v>
      </c>
      <c r="N972" s="344">
        <v>221122</v>
      </c>
    </row>
    <row r="973" spans="1:14" ht="15">
      <c r="A973" s="344">
        <v>60772</v>
      </c>
      <c r="B973" s="345" t="s">
        <v>137</v>
      </c>
      <c r="C973" s="344">
        <v>221122</v>
      </c>
      <c r="D973" s="344" t="str">
        <f t="shared" si="45"/>
        <v>221122</v>
      </c>
      <c r="E973" s="346" t="s">
        <v>146</v>
      </c>
      <c r="F973" s="344" t="s">
        <v>145</v>
      </c>
      <c r="G973" s="344" t="str">
        <f t="shared" si="46"/>
        <v>60772AXLE 4</v>
      </c>
      <c r="H973" s="344">
        <v>16</v>
      </c>
      <c r="I973" s="344">
        <v>5</v>
      </c>
      <c r="J973" s="344">
        <v>4</v>
      </c>
      <c r="K973" s="344">
        <v>5</v>
      </c>
      <c r="L973" t="str">
        <f t="shared" si="47"/>
        <v>60772</v>
      </c>
      <c r="M973" s="344" t="s">
        <v>145</v>
      </c>
      <c r="N973" s="344">
        <v>221122</v>
      </c>
    </row>
    <row r="974" spans="1:14" ht="15">
      <c r="A974" s="344">
        <v>60972</v>
      </c>
      <c r="B974" s="345" t="s">
        <v>137</v>
      </c>
      <c r="C974" s="344">
        <v>221122</v>
      </c>
      <c r="D974" s="344" t="str">
        <f t="shared" si="45"/>
        <v>221122</v>
      </c>
      <c r="E974" s="346" t="s">
        <v>146</v>
      </c>
      <c r="F974" s="344" t="s">
        <v>139</v>
      </c>
      <c r="G974" s="344" t="str">
        <f t="shared" si="46"/>
        <v>60972AXLE 1</v>
      </c>
      <c r="H974" s="344">
        <v>9</v>
      </c>
      <c r="I974" s="344">
        <v>12</v>
      </c>
      <c r="J974" s="344">
        <v>1</v>
      </c>
      <c r="K974" s="344">
        <v>8</v>
      </c>
      <c r="L974" t="str">
        <f t="shared" si="47"/>
        <v>60972</v>
      </c>
      <c r="M974" s="344" t="s">
        <v>139</v>
      </c>
      <c r="N974" s="344">
        <v>221122</v>
      </c>
    </row>
    <row r="975" spans="1:14" ht="15">
      <c r="A975" s="344">
        <v>60972</v>
      </c>
      <c r="B975" s="345" t="s">
        <v>137</v>
      </c>
      <c r="C975" s="344">
        <v>221122</v>
      </c>
      <c r="D975" s="344" t="str">
        <f t="shared" si="45"/>
        <v>221122</v>
      </c>
      <c r="E975" s="346" t="s">
        <v>147</v>
      </c>
      <c r="F975" s="344" t="s">
        <v>141</v>
      </c>
      <c r="G975" s="344" t="str">
        <f t="shared" si="46"/>
        <v>60972AXLE 2</v>
      </c>
      <c r="H975" s="344">
        <v>10</v>
      </c>
      <c r="I975" s="344">
        <v>11</v>
      </c>
      <c r="J975" s="344">
        <v>2</v>
      </c>
      <c r="K975" s="344">
        <v>7</v>
      </c>
      <c r="L975" t="str">
        <f t="shared" si="47"/>
        <v>60972</v>
      </c>
      <c r="M975" s="344" t="s">
        <v>141</v>
      </c>
      <c r="N975" s="344">
        <v>221122</v>
      </c>
    </row>
    <row r="976" spans="1:14" ht="15">
      <c r="A976" s="344">
        <v>60972</v>
      </c>
      <c r="B976" s="345" t="s">
        <v>137</v>
      </c>
      <c r="C976" s="344">
        <v>221122</v>
      </c>
      <c r="D976" s="344" t="str">
        <f t="shared" si="45"/>
        <v>221122</v>
      </c>
      <c r="E976" s="346" t="s">
        <v>147</v>
      </c>
      <c r="F976" s="344" t="s">
        <v>143</v>
      </c>
      <c r="G976" s="344" t="str">
        <f t="shared" si="46"/>
        <v>60972AXLE 3</v>
      </c>
      <c r="H976" s="344">
        <v>11</v>
      </c>
      <c r="I976" s="344">
        <v>10</v>
      </c>
      <c r="J976" s="344">
        <v>3</v>
      </c>
      <c r="K976" s="344">
        <v>6</v>
      </c>
      <c r="L976" t="str">
        <f t="shared" si="47"/>
        <v>60972</v>
      </c>
      <c r="M976" s="344" t="s">
        <v>143</v>
      </c>
      <c r="N976" s="344">
        <v>221122</v>
      </c>
    </row>
    <row r="977" spans="1:14" ht="15">
      <c r="A977" s="344">
        <v>60972</v>
      </c>
      <c r="B977" s="345" t="s">
        <v>137</v>
      </c>
      <c r="C977" s="344">
        <v>221122</v>
      </c>
      <c r="D977" s="344" t="str">
        <f t="shared" si="45"/>
        <v>221122</v>
      </c>
      <c r="E977" s="346" t="s">
        <v>146</v>
      </c>
      <c r="F977" s="344" t="s">
        <v>145</v>
      </c>
      <c r="G977" s="344" t="str">
        <f t="shared" si="46"/>
        <v>60972AXLE 4</v>
      </c>
      <c r="H977" s="344">
        <v>12</v>
      </c>
      <c r="I977" s="344">
        <v>9</v>
      </c>
      <c r="J977" s="344">
        <v>4</v>
      </c>
      <c r="K977" s="344">
        <v>5</v>
      </c>
      <c r="L977" t="str">
        <f t="shared" si="47"/>
        <v>60972</v>
      </c>
      <c r="M977" s="344" t="s">
        <v>145</v>
      </c>
      <c r="N977" s="344">
        <v>221122</v>
      </c>
    </row>
    <row r="978" spans="1:14" ht="15">
      <c r="A978" s="344">
        <v>60872</v>
      </c>
      <c r="B978" s="345" t="s">
        <v>137</v>
      </c>
      <c r="C978" s="344">
        <v>221122</v>
      </c>
      <c r="D978" s="344" t="str">
        <f t="shared" si="45"/>
        <v>221122</v>
      </c>
      <c r="E978" s="346" t="s">
        <v>146</v>
      </c>
      <c r="F978" s="344" t="s">
        <v>139</v>
      </c>
      <c r="G978" s="344" t="str">
        <f t="shared" si="46"/>
        <v>60872AXLE 1</v>
      </c>
      <c r="H978" s="344">
        <v>5</v>
      </c>
      <c r="I978" s="344">
        <v>16</v>
      </c>
      <c r="J978" s="344">
        <v>1</v>
      </c>
      <c r="K978" s="344">
        <v>8</v>
      </c>
      <c r="L978" t="str">
        <f t="shared" si="47"/>
        <v>60872</v>
      </c>
      <c r="M978" s="344" t="s">
        <v>139</v>
      </c>
      <c r="N978" s="344">
        <v>221122</v>
      </c>
    </row>
    <row r="979" spans="1:14" ht="15">
      <c r="A979" s="344">
        <v>60872</v>
      </c>
      <c r="B979" s="345" t="s">
        <v>137</v>
      </c>
      <c r="C979" s="344">
        <v>221122</v>
      </c>
      <c r="D979" s="344" t="str">
        <f t="shared" si="45"/>
        <v>221122</v>
      </c>
      <c r="E979" s="346" t="s">
        <v>147</v>
      </c>
      <c r="F979" s="344" t="s">
        <v>141</v>
      </c>
      <c r="G979" s="344" t="str">
        <f t="shared" si="46"/>
        <v>60872AXLE 2</v>
      </c>
      <c r="H979" s="344">
        <v>6</v>
      </c>
      <c r="I979" s="344">
        <v>15</v>
      </c>
      <c r="J979" s="344">
        <v>2</v>
      </c>
      <c r="K979" s="344">
        <v>7</v>
      </c>
      <c r="L979" t="str">
        <f t="shared" si="47"/>
        <v>60872</v>
      </c>
      <c r="M979" s="344" t="s">
        <v>141</v>
      </c>
      <c r="N979" s="344">
        <v>221122</v>
      </c>
    </row>
    <row r="980" spans="1:14" ht="15">
      <c r="A980" s="344">
        <v>60872</v>
      </c>
      <c r="B980" s="345" t="s">
        <v>137</v>
      </c>
      <c r="C980" s="344">
        <v>221122</v>
      </c>
      <c r="D980" s="344" t="str">
        <f t="shared" si="45"/>
        <v>221122</v>
      </c>
      <c r="E980" s="346" t="s">
        <v>147</v>
      </c>
      <c r="F980" s="344" t="s">
        <v>143</v>
      </c>
      <c r="G980" s="344" t="str">
        <f t="shared" si="46"/>
        <v>60872AXLE 3</v>
      </c>
      <c r="H980" s="344">
        <v>7</v>
      </c>
      <c r="I980" s="344">
        <v>14</v>
      </c>
      <c r="J980" s="344">
        <v>3</v>
      </c>
      <c r="K980" s="344">
        <v>6</v>
      </c>
      <c r="L980" t="str">
        <f t="shared" si="47"/>
        <v>60872</v>
      </c>
      <c r="M980" s="344" t="s">
        <v>143</v>
      </c>
      <c r="N980" s="344">
        <v>221122</v>
      </c>
    </row>
    <row r="981" spans="1:14" ht="15">
      <c r="A981" s="344">
        <v>60872</v>
      </c>
      <c r="B981" s="345" t="s">
        <v>137</v>
      </c>
      <c r="C981" s="344">
        <v>221122</v>
      </c>
      <c r="D981" s="344" t="str">
        <f t="shared" si="45"/>
        <v>221122</v>
      </c>
      <c r="E981" s="346" t="s">
        <v>146</v>
      </c>
      <c r="F981" s="344" t="s">
        <v>145</v>
      </c>
      <c r="G981" s="344" t="str">
        <f t="shared" si="46"/>
        <v>60872AXLE 4</v>
      </c>
      <c r="H981" s="344">
        <v>8</v>
      </c>
      <c r="I981" s="344">
        <v>13</v>
      </c>
      <c r="J981" s="344">
        <v>4</v>
      </c>
      <c r="K981" s="344">
        <v>5</v>
      </c>
      <c r="L981" t="str">
        <f t="shared" si="47"/>
        <v>60872</v>
      </c>
      <c r="M981" s="344" t="s">
        <v>145</v>
      </c>
      <c r="N981" s="344">
        <v>221122</v>
      </c>
    </row>
    <row r="982" spans="1:14" ht="15">
      <c r="A982" s="344">
        <v>60472</v>
      </c>
      <c r="B982" s="345" t="s">
        <v>137</v>
      </c>
      <c r="C982" s="344">
        <v>221122</v>
      </c>
      <c r="D982" s="344" t="str">
        <f t="shared" si="45"/>
        <v>221122</v>
      </c>
      <c r="E982" s="346" t="s">
        <v>146</v>
      </c>
      <c r="F982" s="344" t="s">
        <v>139</v>
      </c>
      <c r="G982" s="344" t="str">
        <f t="shared" si="46"/>
        <v>60472AXLE 1</v>
      </c>
      <c r="H982" s="344">
        <v>1</v>
      </c>
      <c r="I982" s="344">
        <v>20</v>
      </c>
      <c r="J982" s="344">
        <v>1</v>
      </c>
      <c r="K982" s="344">
        <v>8</v>
      </c>
      <c r="L982" t="str">
        <f t="shared" si="47"/>
        <v>60472</v>
      </c>
      <c r="M982" s="344" t="s">
        <v>139</v>
      </c>
      <c r="N982" s="344">
        <v>221122</v>
      </c>
    </row>
    <row r="983" spans="1:14" ht="15">
      <c r="A983" s="344">
        <v>60472</v>
      </c>
      <c r="B983" s="345" t="s">
        <v>137</v>
      </c>
      <c r="C983" s="344">
        <v>221122</v>
      </c>
      <c r="D983" s="344" t="str">
        <f t="shared" si="45"/>
        <v>221122</v>
      </c>
      <c r="E983" s="346" t="s">
        <v>147</v>
      </c>
      <c r="F983" s="344" t="s">
        <v>141</v>
      </c>
      <c r="G983" s="344" t="str">
        <f t="shared" si="46"/>
        <v>60472AXLE 2</v>
      </c>
      <c r="H983" s="344">
        <v>2</v>
      </c>
      <c r="I983" s="344">
        <v>19</v>
      </c>
      <c r="J983" s="344">
        <v>2</v>
      </c>
      <c r="K983" s="344">
        <v>7</v>
      </c>
      <c r="L983" t="str">
        <f t="shared" si="47"/>
        <v>60472</v>
      </c>
      <c r="M983" s="344" t="s">
        <v>141</v>
      </c>
      <c r="N983" s="344">
        <v>221122</v>
      </c>
    </row>
    <row r="984" spans="1:14" ht="15">
      <c r="A984" s="344">
        <v>60472</v>
      </c>
      <c r="B984" s="345" t="s">
        <v>137</v>
      </c>
      <c r="C984" s="344">
        <v>221122</v>
      </c>
      <c r="D984" s="344" t="str">
        <f t="shared" si="45"/>
        <v>221122</v>
      </c>
      <c r="E984" s="346" t="s">
        <v>147</v>
      </c>
      <c r="F984" s="344" t="s">
        <v>143</v>
      </c>
      <c r="G984" s="344" t="str">
        <f t="shared" si="46"/>
        <v>60472AXLE 3</v>
      </c>
      <c r="H984" s="344">
        <v>3</v>
      </c>
      <c r="I984" s="344">
        <v>18</v>
      </c>
      <c r="J984" s="344">
        <v>3</v>
      </c>
      <c r="K984" s="344">
        <v>6</v>
      </c>
      <c r="L984" t="str">
        <f t="shared" si="47"/>
        <v>60472</v>
      </c>
      <c r="M984" s="344" t="s">
        <v>143</v>
      </c>
      <c r="N984" s="344">
        <v>221122</v>
      </c>
    </row>
    <row r="985" spans="1:14" ht="15">
      <c r="A985" s="344">
        <v>60472</v>
      </c>
      <c r="B985" s="345" t="s">
        <v>137</v>
      </c>
      <c r="C985" s="344">
        <v>221122</v>
      </c>
      <c r="D985" s="344" t="str">
        <f t="shared" si="45"/>
        <v>221122</v>
      </c>
      <c r="E985" s="346" t="s">
        <v>146</v>
      </c>
      <c r="F985" s="344" t="s">
        <v>145</v>
      </c>
      <c r="G985" s="344" t="str">
        <f t="shared" si="46"/>
        <v>60472AXLE 4</v>
      </c>
      <c r="H985" s="344">
        <v>4</v>
      </c>
      <c r="I985" s="344">
        <v>17</v>
      </c>
      <c r="J985" s="344">
        <v>4</v>
      </c>
      <c r="K985" s="344">
        <v>5</v>
      </c>
      <c r="L985" t="str">
        <f t="shared" si="47"/>
        <v>60472</v>
      </c>
      <c r="M985" s="344" t="s">
        <v>145</v>
      </c>
      <c r="N985" s="344">
        <v>221122</v>
      </c>
    </row>
    <row r="986" spans="1:14" ht="15">
      <c r="A986" s="344">
        <v>60373</v>
      </c>
      <c r="B986" s="345" t="s">
        <v>137</v>
      </c>
      <c r="C986" s="344">
        <v>221123</v>
      </c>
      <c r="D986" s="344" t="str">
        <f t="shared" si="45"/>
        <v>221123</v>
      </c>
      <c r="E986" s="346" t="s">
        <v>146</v>
      </c>
      <c r="F986" s="344" t="s">
        <v>139</v>
      </c>
      <c r="G986" s="344" t="str">
        <f t="shared" si="46"/>
        <v>60373AXLE 1</v>
      </c>
      <c r="H986" s="344">
        <v>20</v>
      </c>
      <c r="I986" s="344">
        <v>1</v>
      </c>
      <c r="J986" s="344">
        <v>1</v>
      </c>
      <c r="K986" s="344">
        <v>8</v>
      </c>
      <c r="L986" t="str">
        <f t="shared" si="47"/>
        <v>60373</v>
      </c>
      <c r="M986" s="344" t="s">
        <v>139</v>
      </c>
      <c r="N986" s="344">
        <v>221123</v>
      </c>
    </row>
    <row r="987" spans="1:14" ht="15">
      <c r="A987" s="344">
        <v>60373</v>
      </c>
      <c r="B987" s="345" t="s">
        <v>137</v>
      </c>
      <c r="C987" s="344">
        <v>221123</v>
      </c>
      <c r="D987" s="344" t="str">
        <f t="shared" si="45"/>
        <v>221123</v>
      </c>
      <c r="E987" s="346" t="s">
        <v>147</v>
      </c>
      <c r="F987" s="344" t="s">
        <v>141</v>
      </c>
      <c r="G987" s="344" t="str">
        <f t="shared" si="46"/>
        <v>60373AXLE 2</v>
      </c>
      <c r="H987" s="344">
        <v>19</v>
      </c>
      <c r="I987" s="344">
        <v>2</v>
      </c>
      <c r="J987" s="344">
        <v>2</v>
      </c>
      <c r="K987" s="344">
        <v>7</v>
      </c>
      <c r="L987" t="str">
        <f t="shared" si="47"/>
        <v>60373</v>
      </c>
      <c r="M987" s="344" t="s">
        <v>141</v>
      </c>
      <c r="N987" s="344">
        <v>221123</v>
      </c>
    </row>
    <row r="988" spans="1:14" ht="15">
      <c r="A988" s="344">
        <v>60373</v>
      </c>
      <c r="B988" s="345" t="s">
        <v>137</v>
      </c>
      <c r="C988" s="344">
        <v>221123</v>
      </c>
      <c r="D988" s="344" t="str">
        <f t="shared" si="45"/>
        <v>221123</v>
      </c>
      <c r="E988" s="346" t="s">
        <v>147</v>
      </c>
      <c r="F988" s="344" t="s">
        <v>143</v>
      </c>
      <c r="G988" s="344" t="str">
        <f t="shared" si="46"/>
        <v>60373AXLE 3</v>
      </c>
      <c r="H988" s="344">
        <v>18</v>
      </c>
      <c r="I988" s="344">
        <v>3</v>
      </c>
      <c r="J988" s="344">
        <v>3</v>
      </c>
      <c r="K988" s="344">
        <v>6</v>
      </c>
      <c r="L988" t="str">
        <f t="shared" si="47"/>
        <v>60373</v>
      </c>
      <c r="M988" s="344" t="s">
        <v>143</v>
      </c>
      <c r="N988" s="344">
        <v>221123</v>
      </c>
    </row>
    <row r="989" spans="1:14" ht="15">
      <c r="A989" s="344">
        <v>60373</v>
      </c>
      <c r="B989" s="345" t="s">
        <v>137</v>
      </c>
      <c r="C989" s="344">
        <v>221123</v>
      </c>
      <c r="D989" s="344" t="str">
        <f t="shared" si="45"/>
        <v>221123</v>
      </c>
      <c r="E989" s="346" t="s">
        <v>146</v>
      </c>
      <c r="F989" s="344" t="s">
        <v>145</v>
      </c>
      <c r="G989" s="344" t="str">
        <f t="shared" si="46"/>
        <v>60373AXLE 4</v>
      </c>
      <c r="H989" s="344">
        <v>17</v>
      </c>
      <c r="I989" s="344">
        <v>4</v>
      </c>
      <c r="J989" s="344">
        <v>4</v>
      </c>
      <c r="K989" s="344">
        <v>5</v>
      </c>
      <c r="L989" t="str">
        <f t="shared" si="47"/>
        <v>60373</v>
      </c>
      <c r="M989" s="344" t="s">
        <v>145</v>
      </c>
      <c r="N989" s="344">
        <v>221123</v>
      </c>
    </row>
    <row r="990" spans="1:14" ht="15">
      <c r="A990" s="344">
        <v>60773</v>
      </c>
      <c r="B990" s="345" t="s">
        <v>137</v>
      </c>
      <c r="C990" s="344">
        <v>221123</v>
      </c>
      <c r="D990" s="344" t="str">
        <f t="shared" si="45"/>
        <v>221123</v>
      </c>
      <c r="E990" s="346" t="s">
        <v>146</v>
      </c>
      <c r="F990" s="344" t="s">
        <v>139</v>
      </c>
      <c r="G990" s="344" t="str">
        <f t="shared" si="46"/>
        <v>60773AXLE 1</v>
      </c>
      <c r="H990" s="344">
        <v>13</v>
      </c>
      <c r="I990" s="344">
        <v>8</v>
      </c>
      <c r="J990" s="344">
        <v>1</v>
      </c>
      <c r="K990" s="344">
        <v>8</v>
      </c>
      <c r="L990" t="str">
        <f t="shared" si="47"/>
        <v>60773</v>
      </c>
      <c r="M990" s="344" t="s">
        <v>139</v>
      </c>
      <c r="N990" s="344">
        <v>221123</v>
      </c>
    </row>
    <row r="991" spans="1:14" ht="15">
      <c r="A991" s="344">
        <v>60773</v>
      </c>
      <c r="B991" s="345" t="s">
        <v>137</v>
      </c>
      <c r="C991" s="344">
        <v>221123</v>
      </c>
      <c r="D991" s="344" t="str">
        <f t="shared" si="45"/>
        <v>221123</v>
      </c>
      <c r="E991" s="346" t="s">
        <v>147</v>
      </c>
      <c r="F991" s="344" t="s">
        <v>141</v>
      </c>
      <c r="G991" s="344" t="str">
        <f t="shared" si="46"/>
        <v>60773AXLE 2</v>
      </c>
      <c r="H991" s="344">
        <v>14</v>
      </c>
      <c r="I991" s="344">
        <v>7</v>
      </c>
      <c r="J991" s="344">
        <v>2</v>
      </c>
      <c r="K991" s="344">
        <v>7</v>
      </c>
      <c r="L991" t="str">
        <f t="shared" si="47"/>
        <v>60773</v>
      </c>
      <c r="M991" s="344" t="s">
        <v>141</v>
      </c>
      <c r="N991" s="344">
        <v>221123</v>
      </c>
    </row>
    <row r="992" spans="1:14" ht="15">
      <c r="A992" s="344">
        <v>60773</v>
      </c>
      <c r="B992" s="345" t="s">
        <v>137</v>
      </c>
      <c r="C992" s="344">
        <v>221123</v>
      </c>
      <c r="D992" s="344" t="str">
        <f t="shared" si="45"/>
        <v>221123</v>
      </c>
      <c r="E992" s="346" t="s">
        <v>147</v>
      </c>
      <c r="F992" s="344" t="s">
        <v>143</v>
      </c>
      <c r="G992" s="344" t="str">
        <f t="shared" si="46"/>
        <v>60773AXLE 3</v>
      </c>
      <c r="H992" s="344">
        <v>15</v>
      </c>
      <c r="I992" s="344">
        <v>6</v>
      </c>
      <c r="J992" s="344">
        <v>3</v>
      </c>
      <c r="K992" s="344">
        <v>6</v>
      </c>
      <c r="L992" t="str">
        <f t="shared" si="47"/>
        <v>60773</v>
      </c>
      <c r="M992" s="344" t="s">
        <v>143</v>
      </c>
      <c r="N992" s="344">
        <v>221123</v>
      </c>
    </row>
    <row r="993" spans="1:14" ht="15">
      <c r="A993" s="344">
        <v>60773</v>
      </c>
      <c r="B993" s="345" t="s">
        <v>137</v>
      </c>
      <c r="C993" s="344">
        <v>221123</v>
      </c>
      <c r="D993" s="344" t="str">
        <f t="shared" si="45"/>
        <v>221123</v>
      </c>
      <c r="E993" s="346" t="s">
        <v>146</v>
      </c>
      <c r="F993" s="344" t="s">
        <v>145</v>
      </c>
      <c r="G993" s="344" t="str">
        <f t="shared" si="46"/>
        <v>60773AXLE 4</v>
      </c>
      <c r="H993" s="344">
        <v>16</v>
      </c>
      <c r="I993" s="344">
        <v>5</v>
      </c>
      <c r="J993" s="344">
        <v>4</v>
      </c>
      <c r="K993" s="344">
        <v>5</v>
      </c>
      <c r="L993" t="str">
        <f t="shared" si="47"/>
        <v>60773</v>
      </c>
      <c r="M993" s="344" t="s">
        <v>145</v>
      </c>
      <c r="N993" s="344">
        <v>221123</v>
      </c>
    </row>
    <row r="994" spans="1:14" ht="15">
      <c r="A994" s="344">
        <v>60973</v>
      </c>
      <c r="B994" s="345" t="s">
        <v>137</v>
      </c>
      <c r="C994" s="344">
        <v>221123</v>
      </c>
      <c r="D994" s="344" t="str">
        <f t="shared" si="45"/>
        <v>221123</v>
      </c>
      <c r="E994" s="346" t="s">
        <v>146</v>
      </c>
      <c r="F994" s="344" t="s">
        <v>139</v>
      </c>
      <c r="G994" s="344" t="str">
        <f t="shared" si="46"/>
        <v>60973AXLE 1</v>
      </c>
      <c r="H994" s="344">
        <v>9</v>
      </c>
      <c r="I994" s="344">
        <v>12</v>
      </c>
      <c r="J994" s="344">
        <v>1</v>
      </c>
      <c r="K994" s="344">
        <v>8</v>
      </c>
      <c r="L994" t="str">
        <f t="shared" si="47"/>
        <v>60973</v>
      </c>
      <c r="M994" s="344" t="s">
        <v>139</v>
      </c>
      <c r="N994" s="344">
        <v>221123</v>
      </c>
    </row>
    <row r="995" spans="1:14" ht="15">
      <c r="A995" s="344">
        <v>60973</v>
      </c>
      <c r="B995" s="345" t="s">
        <v>137</v>
      </c>
      <c r="C995" s="344">
        <v>221123</v>
      </c>
      <c r="D995" s="344" t="str">
        <f t="shared" si="45"/>
        <v>221123</v>
      </c>
      <c r="E995" s="346" t="s">
        <v>147</v>
      </c>
      <c r="F995" s="344" t="s">
        <v>141</v>
      </c>
      <c r="G995" s="344" t="str">
        <f t="shared" si="46"/>
        <v>60973AXLE 2</v>
      </c>
      <c r="H995" s="344">
        <v>10</v>
      </c>
      <c r="I995" s="344">
        <v>11</v>
      </c>
      <c r="J995" s="344">
        <v>2</v>
      </c>
      <c r="K995" s="344">
        <v>7</v>
      </c>
      <c r="L995" t="str">
        <f t="shared" si="47"/>
        <v>60973</v>
      </c>
      <c r="M995" s="344" t="s">
        <v>141</v>
      </c>
      <c r="N995" s="344">
        <v>221123</v>
      </c>
    </row>
    <row r="996" spans="1:14" ht="15">
      <c r="A996" s="344">
        <v>60973</v>
      </c>
      <c r="B996" s="345" t="s">
        <v>137</v>
      </c>
      <c r="C996" s="344">
        <v>221123</v>
      </c>
      <c r="D996" s="344" t="str">
        <f t="shared" si="45"/>
        <v>221123</v>
      </c>
      <c r="E996" s="346" t="s">
        <v>147</v>
      </c>
      <c r="F996" s="344" t="s">
        <v>143</v>
      </c>
      <c r="G996" s="344" t="str">
        <f t="shared" si="46"/>
        <v>60973AXLE 3</v>
      </c>
      <c r="H996" s="344">
        <v>11</v>
      </c>
      <c r="I996" s="344">
        <v>10</v>
      </c>
      <c r="J996" s="344">
        <v>3</v>
      </c>
      <c r="K996" s="344">
        <v>6</v>
      </c>
      <c r="L996" t="str">
        <f t="shared" si="47"/>
        <v>60973</v>
      </c>
      <c r="M996" s="344" t="s">
        <v>143</v>
      </c>
      <c r="N996" s="344">
        <v>221123</v>
      </c>
    </row>
    <row r="997" spans="1:14" ht="15">
      <c r="A997" s="344">
        <v>60973</v>
      </c>
      <c r="B997" s="345" t="s">
        <v>137</v>
      </c>
      <c r="C997" s="344">
        <v>221123</v>
      </c>
      <c r="D997" s="344" t="str">
        <f t="shared" si="45"/>
        <v>221123</v>
      </c>
      <c r="E997" s="346" t="s">
        <v>146</v>
      </c>
      <c r="F997" s="344" t="s">
        <v>145</v>
      </c>
      <c r="G997" s="344" t="str">
        <f t="shared" si="46"/>
        <v>60973AXLE 4</v>
      </c>
      <c r="H997" s="344">
        <v>12</v>
      </c>
      <c r="I997" s="344">
        <v>9</v>
      </c>
      <c r="J997" s="344">
        <v>4</v>
      </c>
      <c r="K997" s="344">
        <v>5</v>
      </c>
      <c r="L997" t="str">
        <f t="shared" si="47"/>
        <v>60973</v>
      </c>
      <c r="M997" s="344" t="s">
        <v>145</v>
      </c>
      <c r="N997" s="344">
        <v>221123</v>
      </c>
    </row>
    <row r="998" spans="1:14" ht="15">
      <c r="A998" s="344">
        <v>60873</v>
      </c>
      <c r="B998" s="345" t="s">
        <v>137</v>
      </c>
      <c r="C998" s="344">
        <v>221123</v>
      </c>
      <c r="D998" s="344" t="str">
        <f t="shared" si="45"/>
        <v>221123</v>
      </c>
      <c r="E998" s="346" t="s">
        <v>146</v>
      </c>
      <c r="F998" s="344" t="s">
        <v>139</v>
      </c>
      <c r="G998" s="344" t="str">
        <f t="shared" si="46"/>
        <v>60873AXLE 1</v>
      </c>
      <c r="H998" s="344">
        <v>5</v>
      </c>
      <c r="I998" s="344">
        <v>16</v>
      </c>
      <c r="J998" s="344">
        <v>1</v>
      </c>
      <c r="K998" s="344">
        <v>8</v>
      </c>
      <c r="L998" t="str">
        <f t="shared" si="47"/>
        <v>60873</v>
      </c>
      <c r="M998" s="344" t="s">
        <v>139</v>
      </c>
      <c r="N998" s="344">
        <v>221123</v>
      </c>
    </row>
    <row r="999" spans="1:14" ht="15">
      <c r="A999" s="344">
        <v>60873</v>
      </c>
      <c r="B999" s="345" t="s">
        <v>137</v>
      </c>
      <c r="C999" s="344">
        <v>221123</v>
      </c>
      <c r="D999" s="344" t="str">
        <f t="shared" si="45"/>
        <v>221123</v>
      </c>
      <c r="E999" s="346" t="s">
        <v>147</v>
      </c>
      <c r="F999" s="344" t="s">
        <v>141</v>
      </c>
      <c r="G999" s="344" t="str">
        <f t="shared" si="46"/>
        <v>60873AXLE 2</v>
      </c>
      <c r="H999" s="344">
        <v>6</v>
      </c>
      <c r="I999" s="344">
        <v>15</v>
      </c>
      <c r="J999" s="344">
        <v>2</v>
      </c>
      <c r="K999" s="344">
        <v>7</v>
      </c>
      <c r="L999" t="str">
        <f t="shared" si="47"/>
        <v>60873</v>
      </c>
      <c r="M999" s="344" t="s">
        <v>141</v>
      </c>
      <c r="N999" s="344">
        <v>221123</v>
      </c>
    </row>
    <row r="1000" spans="1:14" ht="15">
      <c r="A1000" s="344">
        <v>60873</v>
      </c>
      <c r="B1000" s="345" t="s">
        <v>137</v>
      </c>
      <c r="C1000" s="344">
        <v>221123</v>
      </c>
      <c r="D1000" s="344" t="str">
        <f t="shared" si="45"/>
        <v>221123</v>
      </c>
      <c r="E1000" s="346" t="s">
        <v>147</v>
      </c>
      <c r="F1000" s="344" t="s">
        <v>143</v>
      </c>
      <c r="G1000" s="344" t="str">
        <f t="shared" si="46"/>
        <v>60873AXLE 3</v>
      </c>
      <c r="H1000" s="344">
        <v>7</v>
      </c>
      <c r="I1000" s="344">
        <v>14</v>
      </c>
      <c r="J1000" s="344">
        <v>3</v>
      </c>
      <c r="K1000" s="344">
        <v>6</v>
      </c>
      <c r="L1000" t="str">
        <f t="shared" si="47"/>
        <v>60873</v>
      </c>
      <c r="M1000" s="344" t="s">
        <v>143</v>
      </c>
      <c r="N1000" s="344">
        <v>221123</v>
      </c>
    </row>
    <row r="1001" spans="1:14" ht="15">
      <c r="A1001" s="344">
        <v>60873</v>
      </c>
      <c r="B1001" s="345" t="s">
        <v>137</v>
      </c>
      <c r="C1001" s="344">
        <v>221123</v>
      </c>
      <c r="D1001" s="344" t="str">
        <f t="shared" si="45"/>
        <v>221123</v>
      </c>
      <c r="E1001" s="346" t="s">
        <v>146</v>
      </c>
      <c r="F1001" s="344" t="s">
        <v>145</v>
      </c>
      <c r="G1001" s="344" t="str">
        <f t="shared" si="46"/>
        <v>60873AXLE 4</v>
      </c>
      <c r="H1001" s="344">
        <v>8</v>
      </c>
      <c r="I1001" s="344">
        <v>13</v>
      </c>
      <c r="J1001" s="344">
        <v>4</v>
      </c>
      <c r="K1001" s="344">
        <v>5</v>
      </c>
      <c r="L1001" t="str">
        <f t="shared" si="47"/>
        <v>60873</v>
      </c>
      <c r="M1001" s="344" t="s">
        <v>145</v>
      </c>
      <c r="N1001" s="344">
        <v>221123</v>
      </c>
    </row>
    <row r="1002" spans="1:14" ht="15">
      <c r="A1002" s="344">
        <v>60473</v>
      </c>
      <c r="B1002" s="345" t="s">
        <v>137</v>
      </c>
      <c r="C1002" s="344">
        <v>221123</v>
      </c>
      <c r="D1002" s="344" t="str">
        <f t="shared" si="45"/>
        <v>221123</v>
      </c>
      <c r="E1002" s="346" t="s">
        <v>146</v>
      </c>
      <c r="F1002" s="344" t="s">
        <v>139</v>
      </c>
      <c r="G1002" s="344" t="str">
        <f t="shared" si="46"/>
        <v>60473AXLE 1</v>
      </c>
      <c r="H1002" s="344">
        <v>1</v>
      </c>
      <c r="I1002" s="344">
        <v>20</v>
      </c>
      <c r="J1002" s="344">
        <v>1</v>
      </c>
      <c r="K1002" s="344">
        <v>8</v>
      </c>
      <c r="L1002" t="str">
        <f t="shared" si="47"/>
        <v>60473</v>
      </c>
      <c r="M1002" s="344" t="s">
        <v>139</v>
      </c>
      <c r="N1002" s="344">
        <v>221123</v>
      </c>
    </row>
    <row r="1003" spans="1:14" ht="15">
      <c r="A1003" s="344">
        <v>60473</v>
      </c>
      <c r="B1003" s="345" t="s">
        <v>137</v>
      </c>
      <c r="C1003" s="344">
        <v>221123</v>
      </c>
      <c r="D1003" s="344" t="str">
        <f t="shared" si="45"/>
        <v>221123</v>
      </c>
      <c r="E1003" s="346" t="s">
        <v>147</v>
      </c>
      <c r="F1003" s="344" t="s">
        <v>141</v>
      </c>
      <c r="G1003" s="344" t="str">
        <f t="shared" si="46"/>
        <v>60473AXLE 2</v>
      </c>
      <c r="H1003" s="344">
        <v>2</v>
      </c>
      <c r="I1003" s="344">
        <v>19</v>
      </c>
      <c r="J1003" s="344">
        <v>2</v>
      </c>
      <c r="K1003" s="344">
        <v>7</v>
      </c>
      <c r="L1003" t="str">
        <f t="shared" si="47"/>
        <v>60473</v>
      </c>
      <c r="M1003" s="344" t="s">
        <v>141</v>
      </c>
      <c r="N1003" s="344">
        <v>221123</v>
      </c>
    </row>
    <row r="1004" spans="1:14" ht="15">
      <c r="A1004" s="344">
        <v>60473</v>
      </c>
      <c r="B1004" s="345" t="s">
        <v>137</v>
      </c>
      <c r="C1004" s="344">
        <v>221123</v>
      </c>
      <c r="D1004" s="344" t="str">
        <f t="shared" si="45"/>
        <v>221123</v>
      </c>
      <c r="E1004" s="346" t="s">
        <v>147</v>
      </c>
      <c r="F1004" s="344" t="s">
        <v>143</v>
      </c>
      <c r="G1004" s="344" t="str">
        <f t="shared" si="46"/>
        <v>60473AXLE 3</v>
      </c>
      <c r="H1004" s="344">
        <v>3</v>
      </c>
      <c r="I1004" s="344">
        <v>18</v>
      </c>
      <c r="J1004" s="344">
        <v>3</v>
      </c>
      <c r="K1004" s="344">
        <v>6</v>
      </c>
      <c r="L1004" t="str">
        <f t="shared" si="47"/>
        <v>60473</v>
      </c>
      <c r="M1004" s="344" t="s">
        <v>143</v>
      </c>
      <c r="N1004" s="344">
        <v>221123</v>
      </c>
    </row>
    <row r="1005" spans="1:14" ht="15">
      <c r="A1005" s="344">
        <v>60473</v>
      </c>
      <c r="B1005" s="345" t="s">
        <v>137</v>
      </c>
      <c r="C1005" s="344">
        <v>221123</v>
      </c>
      <c r="D1005" s="344" t="str">
        <f t="shared" si="45"/>
        <v>221123</v>
      </c>
      <c r="E1005" s="346" t="s">
        <v>146</v>
      </c>
      <c r="F1005" s="344" t="s">
        <v>145</v>
      </c>
      <c r="G1005" s="344" t="str">
        <f t="shared" si="46"/>
        <v>60473AXLE 4</v>
      </c>
      <c r="H1005" s="344">
        <v>4</v>
      </c>
      <c r="I1005" s="344">
        <v>17</v>
      </c>
      <c r="J1005" s="344">
        <v>4</v>
      </c>
      <c r="K1005" s="344">
        <v>5</v>
      </c>
      <c r="L1005" t="str">
        <f t="shared" si="47"/>
        <v>60473</v>
      </c>
      <c r="M1005" s="344" t="s">
        <v>145</v>
      </c>
      <c r="N1005" s="344">
        <v>221123</v>
      </c>
    </row>
    <row r="1006" spans="1:14" ht="15">
      <c r="A1006" s="344">
        <v>60374</v>
      </c>
      <c r="B1006" s="345" t="s">
        <v>137</v>
      </c>
      <c r="C1006" s="344">
        <v>221124</v>
      </c>
      <c r="D1006" s="344" t="str">
        <f t="shared" si="45"/>
        <v>221124</v>
      </c>
      <c r="E1006" s="346" t="s">
        <v>146</v>
      </c>
      <c r="F1006" s="344" t="s">
        <v>139</v>
      </c>
      <c r="G1006" s="344" t="str">
        <f t="shared" si="46"/>
        <v>60374AXLE 1</v>
      </c>
      <c r="H1006" s="344">
        <v>20</v>
      </c>
      <c r="I1006" s="344">
        <v>1</v>
      </c>
      <c r="J1006" s="344">
        <v>1</v>
      </c>
      <c r="K1006" s="344">
        <v>8</v>
      </c>
      <c r="L1006" t="str">
        <f t="shared" si="47"/>
        <v>60374</v>
      </c>
      <c r="M1006" s="344" t="s">
        <v>139</v>
      </c>
      <c r="N1006" s="344">
        <v>221124</v>
      </c>
    </row>
    <row r="1007" spans="1:14" ht="15">
      <c r="A1007" s="344">
        <v>60374</v>
      </c>
      <c r="B1007" s="345" t="s">
        <v>137</v>
      </c>
      <c r="C1007" s="344">
        <v>221124</v>
      </c>
      <c r="D1007" s="344" t="str">
        <f t="shared" si="45"/>
        <v>221124</v>
      </c>
      <c r="E1007" s="346" t="s">
        <v>147</v>
      </c>
      <c r="F1007" s="344" t="s">
        <v>141</v>
      </c>
      <c r="G1007" s="344" t="str">
        <f t="shared" si="46"/>
        <v>60374AXLE 2</v>
      </c>
      <c r="H1007" s="344">
        <v>19</v>
      </c>
      <c r="I1007" s="344">
        <v>2</v>
      </c>
      <c r="J1007" s="344">
        <v>2</v>
      </c>
      <c r="K1007" s="344">
        <v>7</v>
      </c>
      <c r="L1007" t="str">
        <f t="shared" si="47"/>
        <v>60374</v>
      </c>
      <c r="M1007" s="344" t="s">
        <v>141</v>
      </c>
      <c r="N1007" s="344">
        <v>221124</v>
      </c>
    </row>
    <row r="1008" spans="1:14" ht="15">
      <c r="A1008" s="344">
        <v>60374</v>
      </c>
      <c r="B1008" s="345" t="s">
        <v>137</v>
      </c>
      <c r="C1008" s="344">
        <v>221124</v>
      </c>
      <c r="D1008" s="344" t="str">
        <f t="shared" si="45"/>
        <v>221124</v>
      </c>
      <c r="E1008" s="346" t="s">
        <v>147</v>
      </c>
      <c r="F1008" s="344" t="s">
        <v>143</v>
      </c>
      <c r="G1008" s="344" t="str">
        <f t="shared" si="46"/>
        <v>60374AXLE 3</v>
      </c>
      <c r="H1008" s="344">
        <v>18</v>
      </c>
      <c r="I1008" s="344">
        <v>3</v>
      </c>
      <c r="J1008" s="344">
        <v>3</v>
      </c>
      <c r="K1008" s="344">
        <v>6</v>
      </c>
      <c r="L1008" t="str">
        <f t="shared" si="47"/>
        <v>60374</v>
      </c>
      <c r="M1008" s="344" t="s">
        <v>143</v>
      </c>
      <c r="N1008" s="344">
        <v>221124</v>
      </c>
    </row>
    <row r="1009" spans="1:14" ht="15">
      <c r="A1009" s="344">
        <v>60374</v>
      </c>
      <c r="B1009" s="345" t="s">
        <v>137</v>
      </c>
      <c r="C1009" s="344">
        <v>221124</v>
      </c>
      <c r="D1009" s="344" t="str">
        <f t="shared" si="45"/>
        <v>221124</v>
      </c>
      <c r="E1009" s="346" t="s">
        <v>146</v>
      </c>
      <c r="F1009" s="344" t="s">
        <v>145</v>
      </c>
      <c r="G1009" s="344" t="str">
        <f t="shared" si="46"/>
        <v>60374AXLE 4</v>
      </c>
      <c r="H1009" s="344">
        <v>17</v>
      </c>
      <c r="I1009" s="344">
        <v>4</v>
      </c>
      <c r="J1009" s="344">
        <v>4</v>
      </c>
      <c r="K1009" s="344">
        <v>5</v>
      </c>
      <c r="L1009" t="str">
        <f t="shared" si="47"/>
        <v>60374</v>
      </c>
      <c r="M1009" s="344" t="s">
        <v>145</v>
      </c>
      <c r="N1009" s="344">
        <v>221124</v>
      </c>
    </row>
    <row r="1010" spans="1:14" ht="15">
      <c r="A1010" s="344">
        <v>60774</v>
      </c>
      <c r="B1010" s="345" t="s">
        <v>137</v>
      </c>
      <c r="C1010" s="344">
        <v>221124</v>
      </c>
      <c r="D1010" s="344" t="str">
        <f t="shared" si="45"/>
        <v>221124</v>
      </c>
      <c r="E1010" s="346" t="s">
        <v>146</v>
      </c>
      <c r="F1010" s="344" t="s">
        <v>139</v>
      </c>
      <c r="G1010" s="344" t="str">
        <f t="shared" si="46"/>
        <v>60774AXLE 1</v>
      </c>
      <c r="H1010" s="344">
        <v>13</v>
      </c>
      <c r="I1010" s="344">
        <v>8</v>
      </c>
      <c r="J1010" s="344">
        <v>1</v>
      </c>
      <c r="K1010" s="344">
        <v>8</v>
      </c>
      <c r="L1010" t="str">
        <f t="shared" si="47"/>
        <v>60774</v>
      </c>
      <c r="M1010" s="344" t="s">
        <v>139</v>
      </c>
      <c r="N1010" s="344">
        <v>221124</v>
      </c>
    </row>
    <row r="1011" spans="1:14" ht="15">
      <c r="A1011" s="344">
        <v>60774</v>
      </c>
      <c r="B1011" s="345" t="s">
        <v>137</v>
      </c>
      <c r="C1011" s="344">
        <v>221124</v>
      </c>
      <c r="D1011" s="344" t="str">
        <f t="shared" si="45"/>
        <v>221124</v>
      </c>
      <c r="E1011" s="346" t="s">
        <v>147</v>
      </c>
      <c r="F1011" s="344" t="s">
        <v>141</v>
      </c>
      <c r="G1011" s="344" t="str">
        <f t="shared" si="46"/>
        <v>60774AXLE 2</v>
      </c>
      <c r="H1011" s="344">
        <v>14</v>
      </c>
      <c r="I1011" s="344">
        <v>7</v>
      </c>
      <c r="J1011" s="344">
        <v>2</v>
      </c>
      <c r="K1011" s="344">
        <v>7</v>
      </c>
      <c r="L1011" t="str">
        <f t="shared" si="47"/>
        <v>60774</v>
      </c>
      <c r="M1011" s="344" t="s">
        <v>141</v>
      </c>
      <c r="N1011" s="344">
        <v>221124</v>
      </c>
    </row>
    <row r="1012" spans="1:14" ht="15">
      <c r="A1012" s="344">
        <v>60774</v>
      </c>
      <c r="B1012" s="345" t="s">
        <v>137</v>
      </c>
      <c r="C1012" s="344">
        <v>221124</v>
      </c>
      <c r="D1012" s="344" t="str">
        <f t="shared" si="45"/>
        <v>221124</v>
      </c>
      <c r="E1012" s="346" t="s">
        <v>147</v>
      </c>
      <c r="F1012" s="344" t="s">
        <v>143</v>
      </c>
      <c r="G1012" s="344" t="str">
        <f t="shared" si="46"/>
        <v>60774AXLE 3</v>
      </c>
      <c r="H1012" s="344">
        <v>15</v>
      </c>
      <c r="I1012" s="344">
        <v>6</v>
      </c>
      <c r="J1012" s="344">
        <v>3</v>
      </c>
      <c r="K1012" s="344">
        <v>6</v>
      </c>
      <c r="L1012" t="str">
        <f t="shared" si="47"/>
        <v>60774</v>
      </c>
      <c r="M1012" s="344" t="s">
        <v>143</v>
      </c>
      <c r="N1012" s="344">
        <v>221124</v>
      </c>
    </row>
    <row r="1013" spans="1:14" ht="15">
      <c r="A1013" s="344">
        <v>60774</v>
      </c>
      <c r="B1013" s="345" t="s">
        <v>137</v>
      </c>
      <c r="C1013" s="344">
        <v>221124</v>
      </c>
      <c r="D1013" s="344" t="str">
        <f t="shared" si="45"/>
        <v>221124</v>
      </c>
      <c r="E1013" s="346" t="s">
        <v>146</v>
      </c>
      <c r="F1013" s="344" t="s">
        <v>145</v>
      </c>
      <c r="G1013" s="344" t="str">
        <f t="shared" si="46"/>
        <v>60774AXLE 4</v>
      </c>
      <c r="H1013" s="344">
        <v>16</v>
      </c>
      <c r="I1013" s="344">
        <v>5</v>
      </c>
      <c r="J1013" s="344">
        <v>4</v>
      </c>
      <c r="K1013" s="344">
        <v>5</v>
      </c>
      <c r="L1013" t="str">
        <f t="shared" si="47"/>
        <v>60774</v>
      </c>
      <c r="M1013" s="344" t="s">
        <v>145</v>
      </c>
      <c r="N1013" s="344">
        <v>221124</v>
      </c>
    </row>
    <row r="1014" spans="1:14" ht="15">
      <c r="A1014" s="344">
        <v>60974</v>
      </c>
      <c r="B1014" s="345" t="s">
        <v>137</v>
      </c>
      <c r="C1014" s="344">
        <v>221124</v>
      </c>
      <c r="D1014" s="344" t="str">
        <f t="shared" si="45"/>
        <v>221124</v>
      </c>
      <c r="E1014" s="346" t="s">
        <v>146</v>
      </c>
      <c r="F1014" s="344" t="s">
        <v>139</v>
      </c>
      <c r="G1014" s="344" t="str">
        <f t="shared" si="46"/>
        <v>60974AXLE 1</v>
      </c>
      <c r="H1014" s="344">
        <v>9</v>
      </c>
      <c r="I1014" s="344">
        <v>12</v>
      </c>
      <c r="J1014" s="344">
        <v>1</v>
      </c>
      <c r="K1014" s="344">
        <v>8</v>
      </c>
      <c r="L1014" t="str">
        <f t="shared" si="47"/>
        <v>60974</v>
      </c>
      <c r="M1014" s="344" t="s">
        <v>139</v>
      </c>
      <c r="N1014" s="344">
        <v>221124</v>
      </c>
    </row>
    <row r="1015" spans="1:14" ht="15">
      <c r="A1015" s="344">
        <v>60974</v>
      </c>
      <c r="B1015" s="345" t="s">
        <v>137</v>
      </c>
      <c r="C1015" s="344">
        <v>221124</v>
      </c>
      <c r="D1015" s="344" t="str">
        <f t="shared" si="45"/>
        <v>221124</v>
      </c>
      <c r="E1015" s="346" t="s">
        <v>147</v>
      </c>
      <c r="F1015" s="344" t="s">
        <v>141</v>
      </c>
      <c r="G1015" s="344" t="str">
        <f t="shared" si="46"/>
        <v>60974AXLE 2</v>
      </c>
      <c r="H1015" s="344">
        <v>10</v>
      </c>
      <c r="I1015" s="344">
        <v>11</v>
      </c>
      <c r="J1015" s="344">
        <v>2</v>
      </c>
      <c r="K1015" s="344">
        <v>7</v>
      </c>
      <c r="L1015" t="str">
        <f t="shared" si="47"/>
        <v>60974</v>
      </c>
      <c r="M1015" s="344" t="s">
        <v>141</v>
      </c>
      <c r="N1015" s="344">
        <v>221124</v>
      </c>
    </row>
    <row r="1016" spans="1:14" ht="15">
      <c r="A1016" s="344">
        <v>60974</v>
      </c>
      <c r="B1016" s="345" t="s">
        <v>137</v>
      </c>
      <c r="C1016" s="344">
        <v>221124</v>
      </c>
      <c r="D1016" s="344" t="str">
        <f t="shared" si="45"/>
        <v>221124</v>
      </c>
      <c r="E1016" s="346" t="s">
        <v>147</v>
      </c>
      <c r="F1016" s="344" t="s">
        <v>143</v>
      </c>
      <c r="G1016" s="344" t="str">
        <f t="shared" si="46"/>
        <v>60974AXLE 3</v>
      </c>
      <c r="H1016" s="344">
        <v>11</v>
      </c>
      <c r="I1016" s="344">
        <v>10</v>
      </c>
      <c r="J1016" s="344">
        <v>3</v>
      </c>
      <c r="K1016" s="344">
        <v>6</v>
      </c>
      <c r="L1016" t="str">
        <f t="shared" si="47"/>
        <v>60974</v>
      </c>
      <c r="M1016" s="344" t="s">
        <v>143</v>
      </c>
      <c r="N1016" s="344">
        <v>221124</v>
      </c>
    </row>
    <row r="1017" spans="1:14" ht="15">
      <c r="A1017" s="344">
        <v>60974</v>
      </c>
      <c r="B1017" s="345" t="s">
        <v>137</v>
      </c>
      <c r="C1017" s="344">
        <v>221124</v>
      </c>
      <c r="D1017" s="344" t="str">
        <f t="shared" si="45"/>
        <v>221124</v>
      </c>
      <c r="E1017" s="346" t="s">
        <v>146</v>
      </c>
      <c r="F1017" s="344" t="s">
        <v>145</v>
      </c>
      <c r="G1017" s="344" t="str">
        <f t="shared" si="46"/>
        <v>60974AXLE 4</v>
      </c>
      <c r="H1017" s="344">
        <v>12</v>
      </c>
      <c r="I1017" s="344">
        <v>9</v>
      </c>
      <c r="J1017" s="344">
        <v>4</v>
      </c>
      <c r="K1017" s="344">
        <v>5</v>
      </c>
      <c r="L1017" t="str">
        <f t="shared" si="47"/>
        <v>60974</v>
      </c>
      <c r="M1017" s="344" t="s">
        <v>145</v>
      </c>
      <c r="N1017" s="344">
        <v>221124</v>
      </c>
    </row>
    <row r="1018" spans="1:14" ht="15">
      <c r="A1018" s="344">
        <v>60874</v>
      </c>
      <c r="B1018" s="345" t="s">
        <v>137</v>
      </c>
      <c r="C1018" s="344">
        <v>221124</v>
      </c>
      <c r="D1018" s="344" t="str">
        <f t="shared" si="45"/>
        <v>221124</v>
      </c>
      <c r="E1018" s="346" t="s">
        <v>146</v>
      </c>
      <c r="F1018" s="344" t="s">
        <v>139</v>
      </c>
      <c r="G1018" s="344" t="str">
        <f t="shared" si="46"/>
        <v>60874AXLE 1</v>
      </c>
      <c r="H1018" s="344">
        <v>5</v>
      </c>
      <c r="I1018" s="344">
        <v>16</v>
      </c>
      <c r="J1018" s="344">
        <v>1</v>
      </c>
      <c r="K1018" s="344">
        <v>8</v>
      </c>
      <c r="L1018" t="str">
        <f t="shared" si="47"/>
        <v>60874</v>
      </c>
      <c r="M1018" s="344" t="s">
        <v>139</v>
      </c>
      <c r="N1018" s="344">
        <v>221124</v>
      </c>
    </row>
    <row r="1019" spans="1:14" ht="15">
      <c r="A1019" s="344">
        <v>60874</v>
      </c>
      <c r="B1019" s="345" t="s">
        <v>137</v>
      </c>
      <c r="C1019" s="344">
        <v>221124</v>
      </c>
      <c r="D1019" s="344" t="str">
        <f t="shared" si="45"/>
        <v>221124</v>
      </c>
      <c r="E1019" s="346" t="s">
        <v>147</v>
      </c>
      <c r="F1019" s="344" t="s">
        <v>141</v>
      </c>
      <c r="G1019" s="344" t="str">
        <f t="shared" si="46"/>
        <v>60874AXLE 2</v>
      </c>
      <c r="H1019" s="344">
        <v>6</v>
      </c>
      <c r="I1019" s="344">
        <v>15</v>
      </c>
      <c r="J1019" s="344">
        <v>2</v>
      </c>
      <c r="K1019" s="344">
        <v>7</v>
      </c>
      <c r="L1019" t="str">
        <f t="shared" si="47"/>
        <v>60874</v>
      </c>
      <c r="M1019" s="344" t="s">
        <v>141</v>
      </c>
      <c r="N1019" s="344">
        <v>221124</v>
      </c>
    </row>
    <row r="1020" spans="1:14" ht="15">
      <c r="A1020" s="344">
        <v>60874</v>
      </c>
      <c r="B1020" s="345" t="s">
        <v>137</v>
      </c>
      <c r="C1020" s="344">
        <v>221124</v>
      </c>
      <c r="D1020" s="344" t="str">
        <f t="shared" si="45"/>
        <v>221124</v>
      </c>
      <c r="E1020" s="346" t="s">
        <v>147</v>
      </c>
      <c r="F1020" s="344" t="s">
        <v>143</v>
      </c>
      <c r="G1020" s="344" t="str">
        <f t="shared" si="46"/>
        <v>60874AXLE 3</v>
      </c>
      <c r="H1020" s="344">
        <v>7</v>
      </c>
      <c r="I1020" s="344">
        <v>14</v>
      </c>
      <c r="J1020" s="344">
        <v>3</v>
      </c>
      <c r="K1020" s="344">
        <v>6</v>
      </c>
      <c r="L1020" t="str">
        <f t="shared" si="47"/>
        <v>60874</v>
      </c>
      <c r="M1020" s="344" t="s">
        <v>143</v>
      </c>
      <c r="N1020" s="344">
        <v>221124</v>
      </c>
    </row>
    <row r="1021" spans="1:14" ht="15">
      <c r="A1021" s="344">
        <v>60874</v>
      </c>
      <c r="B1021" s="345" t="s">
        <v>137</v>
      </c>
      <c r="C1021" s="344">
        <v>221124</v>
      </c>
      <c r="D1021" s="344" t="str">
        <f t="shared" si="45"/>
        <v>221124</v>
      </c>
      <c r="E1021" s="346" t="s">
        <v>146</v>
      </c>
      <c r="F1021" s="344" t="s">
        <v>145</v>
      </c>
      <c r="G1021" s="344" t="str">
        <f t="shared" si="46"/>
        <v>60874AXLE 4</v>
      </c>
      <c r="H1021" s="344">
        <v>8</v>
      </c>
      <c r="I1021" s="344">
        <v>13</v>
      </c>
      <c r="J1021" s="344">
        <v>4</v>
      </c>
      <c r="K1021" s="344">
        <v>5</v>
      </c>
      <c r="L1021" t="str">
        <f t="shared" si="47"/>
        <v>60874</v>
      </c>
      <c r="M1021" s="344" t="s">
        <v>145</v>
      </c>
      <c r="N1021" s="344">
        <v>221124</v>
      </c>
    </row>
    <row r="1022" spans="1:14" ht="15">
      <c r="A1022" s="344">
        <v>60474</v>
      </c>
      <c r="B1022" s="345" t="s">
        <v>137</v>
      </c>
      <c r="C1022" s="344">
        <v>221124</v>
      </c>
      <c r="D1022" s="344" t="str">
        <f t="shared" si="45"/>
        <v>221124</v>
      </c>
      <c r="E1022" s="346" t="s">
        <v>146</v>
      </c>
      <c r="F1022" s="344" t="s">
        <v>139</v>
      </c>
      <c r="G1022" s="344" t="str">
        <f t="shared" si="46"/>
        <v>60474AXLE 1</v>
      </c>
      <c r="H1022" s="344">
        <v>1</v>
      </c>
      <c r="I1022" s="344">
        <v>20</v>
      </c>
      <c r="J1022" s="344">
        <v>1</v>
      </c>
      <c r="K1022" s="344">
        <v>8</v>
      </c>
      <c r="L1022" t="str">
        <f t="shared" si="47"/>
        <v>60474</v>
      </c>
      <c r="M1022" s="344" t="s">
        <v>139</v>
      </c>
      <c r="N1022" s="344">
        <v>221124</v>
      </c>
    </row>
    <row r="1023" spans="1:14" ht="15">
      <c r="A1023" s="344">
        <v>60474</v>
      </c>
      <c r="B1023" s="345" t="s">
        <v>137</v>
      </c>
      <c r="C1023" s="344">
        <v>221124</v>
      </c>
      <c r="D1023" s="344" t="str">
        <f t="shared" si="45"/>
        <v>221124</v>
      </c>
      <c r="E1023" s="346" t="s">
        <v>147</v>
      </c>
      <c r="F1023" s="344" t="s">
        <v>141</v>
      </c>
      <c r="G1023" s="344" t="str">
        <f t="shared" si="46"/>
        <v>60474AXLE 2</v>
      </c>
      <c r="H1023" s="344">
        <v>2</v>
      </c>
      <c r="I1023" s="344">
        <v>19</v>
      </c>
      <c r="J1023" s="344">
        <v>2</v>
      </c>
      <c r="K1023" s="344">
        <v>7</v>
      </c>
      <c r="L1023" t="str">
        <f t="shared" si="47"/>
        <v>60474</v>
      </c>
      <c r="M1023" s="344" t="s">
        <v>141</v>
      </c>
      <c r="N1023" s="344">
        <v>221124</v>
      </c>
    </row>
    <row r="1024" spans="1:14" ht="15">
      <c r="A1024" s="344">
        <v>60474</v>
      </c>
      <c r="B1024" s="345" t="s">
        <v>137</v>
      </c>
      <c r="C1024" s="344">
        <v>221124</v>
      </c>
      <c r="D1024" s="344" t="str">
        <f t="shared" si="45"/>
        <v>221124</v>
      </c>
      <c r="E1024" s="346" t="s">
        <v>147</v>
      </c>
      <c r="F1024" s="344" t="s">
        <v>143</v>
      </c>
      <c r="G1024" s="344" t="str">
        <f t="shared" si="46"/>
        <v>60474AXLE 3</v>
      </c>
      <c r="H1024" s="344">
        <v>3</v>
      </c>
      <c r="I1024" s="344">
        <v>18</v>
      </c>
      <c r="J1024" s="344">
        <v>3</v>
      </c>
      <c r="K1024" s="344">
        <v>6</v>
      </c>
      <c r="L1024" t="str">
        <f t="shared" si="47"/>
        <v>60474</v>
      </c>
      <c r="M1024" s="344" t="s">
        <v>143</v>
      </c>
      <c r="N1024" s="344">
        <v>221124</v>
      </c>
    </row>
    <row r="1025" spans="1:14" ht="15">
      <c r="A1025" s="344">
        <v>60474</v>
      </c>
      <c r="B1025" s="345" t="s">
        <v>137</v>
      </c>
      <c r="C1025" s="344">
        <v>221124</v>
      </c>
      <c r="D1025" s="344" t="str">
        <f t="shared" si="45"/>
        <v>221124</v>
      </c>
      <c r="E1025" s="346" t="s">
        <v>146</v>
      </c>
      <c r="F1025" s="344" t="s">
        <v>145</v>
      </c>
      <c r="G1025" s="344" t="str">
        <f t="shared" si="46"/>
        <v>60474AXLE 4</v>
      </c>
      <c r="H1025" s="344">
        <v>4</v>
      </c>
      <c r="I1025" s="344">
        <v>17</v>
      </c>
      <c r="J1025" s="344">
        <v>4</v>
      </c>
      <c r="K1025" s="344">
        <v>5</v>
      </c>
      <c r="L1025" t="str">
        <f t="shared" si="47"/>
        <v>60474</v>
      </c>
      <c r="M1025" s="344" t="s">
        <v>145</v>
      </c>
      <c r="N1025" s="344">
        <v>221124</v>
      </c>
    </row>
    <row r="1026" spans="1:14" ht="15">
      <c r="A1026" s="344">
        <v>60375</v>
      </c>
      <c r="B1026" s="345" t="s">
        <v>137</v>
      </c>
      <c r="C1026" s="344">
        <v>221125</v>
      </c>
      <c r="D1026" s="344" t="str">
        <f t="shared" si="45"/>
        <v>221125</v>
      </c>
      <c r="E1026" s="346" t="s">
        <v>146</v>
      </c>
      <c r="F1026" s="344" t="s">
        <v>139</v>
      </c>
      <c r="G1026" s="344" t="str">
        <f t="shared" si="46"/>
        <v>60375AXLE 1</v>
      </c>
      <c r="H1026" s="344">
        <v>20</v>
      </c>
      <c r="I1026" s="344">
        <v>1</v>
      </c>
      <c r="J1026" s="344">
        <v>1</v>
      </c>
      <c r="K1026" s="344">
        <v>8</v>
      </c>
      <c r="L1026" t="str">
        <f t="shared" si="47"/>
        <v>60375</v>
      </c>
      <c r="M1026" s="344" t="s">
        <v>139</v>
      </c>
      <c r="N1026" s="344">
        <v>221125</v>
      </c>
    </row>
    <row r="1027" spans="1:14" ht="15">
      <c r="A1027" s="344">
        <v>60375</v>
      </c>
      <c r="B1027" s="345" t="s">
        <v>137</v>
      </c>
      <c r="C1027" s="344">
        <v>221125</v>
      </c>
      <c r="D1027" s="344" t="str">
        <f t="shared" ref="D1027:D1090" si="48">CONCATENATE(B1027,C1027)</f>
        <v>221125</v>
      </c>
      <c r="E1027" s="346" t="s">
        <v>147</v>
      </c>
      <c r="F1027" s="344" t="s">
        <v>141</v>
      </c>
      <c r="G1027" s="344" t="str">
        <f t="shared" ref="G1027:G1090" si="49">CONCATENATE(A1027,F1027)</f>
        <v>60375AXLE 2</v>
      </c>
      <c r="H1027" s="344">
        <v>19</v>
      </c>
      <c r="I1027" s="344">
        <v>2</v>
      </c>
      <c r="J1027" s="344">
        <v>2</v>
      </c>
      <c r="K1027" s="344">
        <v>7</v>
      </c>
      <c r="L1027" t="str">
        <f t="shared" ref="L1027:L1090" si="50">CONCATENATE(A1027,B1027)</f>
        <v>60375</v>
      </c>
      <c r="M1027" s="344" t="s">
        <v>141</v>
      </c>
      <c r="N1027" s="344">
        <v>221125</v>
      </c>
    </row>
    <row r="1028" spans="1:14" ht="15">
      <c r="A1028" s="344">
        <v>60375</v>
      </c>
      <c r="B1028" s="345" t="s">
        <v>137</v>
      </c>
      <c r="C1028" s="344">
        <v>221125</v>
      </c>
      <c r="D1028" s="344" t="str">
        <f t="shared" si="48"/>
        <v>221125</v>
      </c>
      <c r="E1028" s="346" t="s">
        <v>147</v>
      </c>
      <c r="F1028" s="344" t="s">
        <v>143</v>
      </c>
      <c r="G1028" s="344" t="str">
        <f t="shared" si="49"/>
        <v>60375AXLE 3</v>
      </c>
      <c r="H1028" s="344">
        <v>18</v>
      </c>
      <c r="I1028" s="344">
        <v>3</v>
      </c>
      <c r="J1028" s="344">
        <v>3</v>
      </c>
      <c r="K1028" s="344">
        <v>6</v>
      </c>
      <c r="L1028" t="str">
        <f t="shared" si="50"/>
        <v>60375</v>
      </c>
      <c r="M1028" s="344" t="s">
        <v>143</v>
      </c>
      <c r="N1028" s="344">
        <v>221125</v>
      </c>
    </row>
    <row r="1029" spans="1:14" ht="15">
      <c r="A1029" s="344">
        <v>60375</v>
      </c>
      <c r="B1029" s="345" t="s">
        <v>137</v>
      </c>
      <c r="C1029" s="344">
        <v>221125</v>
      </c>
      <c r="D1029" s="344" t="str">
        <f t="shared" si="48"/>
        <v>221125</v>
      </c>
      <c r="E1029" s="346" t="s">
        <v>146</v>
      </c>
      <c r="F1029" s="344" t="s">
        <v>145</v>
      </c>
      <c r="G1029" s="344" t="str">
        <f t="shared" si="49"/>
        <v>60375AXLE 4</v>
      </c>
      <c r="H1029" s="344">
        <v>17</v>
      </c>
      <c r="I1029" s="344">
        <v>4</v>
      </c>
      <c r="J1029" s="344">
        <v>4</v>
      </c>
      <c r="K1029" s="344">
        <v>5</v>
      </c>
      <c r="L1029" t="str">
        <f t="shared" si="50"/>
        <v>60375</v>
      </c>
      <c r="M1029" s="344" t="s">
        <v>145</v>
      </c>
      <c r="N1029" s="344">
        <v>221125</v>
      </c>
    </row>
    <row r="1030" spans="1:14" ht="15">
      <c r="A1030" s="344">
        <v>60775</v>
      </c>
      <c r="B1030" s="345" t="s">
        <v>137</v>
      </c>
      <c r="C1030" s="344">
        <v>221125</v>
      </c>
      <c r="D1030" s="344" t="str">
        <f t="shared" si="48"/>
        <v>221125</v>
      </c>
      <c r="E1030" s="346" t="s">
        <v>146</v>
      </c>
      <c r="F1030" s="344" t="s">
        <v>139</v>
      </c>
      <c r="G1030" s="344" t="str">
        <f t="shared" si="49"/>
        <v>60775AXLE 1</v>
      </c>
      <c r="H1030" s="344">
        <v>13</v>
      </c>
      <c r="I1030" s="344">
        <v>8</v>
      </c>
      <c r="J1030" s="344">
        <v>1</v>
      </c>
      <c r="K1030" s="344">
        <v>8</v>
      </c>
      <c r="L1030" t="str">
        <f t="shared" si="50"/>
        <v>60775</v>
      </c>
      <c r="M1030" s="344" t="s">
        <v>139</v>
      </c>
      <c r="N1030" s="344">
        <v>221125</v>
      </c>
    </row>
    <row r="1031" spans="1:14" ht="15">
      <c r="A1031" s="344">
        <v>60775</v>
      </c>
      <c r="B1031" s="345" t="s">
        <v>137</v>
      </c>
      <c r="C1031" s="344">
        <v>221125</v>
      </c>
      <c r="D1031" s="344" t="str">
        <f t="shared" si="48"/>
        <v>221125</v>
      </c>
      <c r="E1031" s="346" t="s">
        <v>147</v>
      </c>
      <c r="F1031" s="344" t="s">
        <v>141</v>
      </c>
      <c r="G1031" s="344" t="str">
        <f t="shared" si="49"/>
        <v>60775AXLE 2</v>
      </c>
      <c r="H1031" s="344">
        <v>14</v>
      </c>
      <c r="I1031" s="344">
        <v>7</v>
      </c>
      <c r="J1031" s="344">
        <v>2</v>
      </c>
      <c r="K1031" s="344">
        <v>7</v>
      </c>
      <c r="L1031" t="str">
        <f t="shared" si="50"/>
        <v>60775</v>
      </c>
      <c r="M1031" s="344" t="s">
        <v>141</v>
      </c>
      <c r="N1031" s="344">
        <v>221125</v>
      </c>
    </row>
    <row r="1032" spans="1:14" ht="15">
      <c r="A1032" s="344">
        <v>60775</v>
      </c>
      <c r="B1032" s="345" t="s">
        <v>137</v>
      </c>
      <c r="C1032" s="344">
        <v>221125</v>
      </c>
      <c r="D1032" s="344" t="str">
        <f t="shared" si="48"/>
        <v>221125</v>
      </c>
      <c r="E1032" s="346" t="s">
        <v>147</v>
      </c>
      <c r="F1032" s="344" t="s">
        <v>143</v>
      </c>
      <c r="G1032" s="344" t="str">
        <f t="shared" si="49"/>
        <v>60775AXLE 3</v>
      </c>
      <c r="H1032" s="344">
        <v>15</v>
      </c>
      <c r="I1032" s="344">
        <v>6</v>
      </c>
      <c r="J1032" s="344">
        <v>3</v>
      </c>
      <c r="K1032" s="344">
        <v>6</v>
      </c>
      <c r="L1032" t="str">
        <f t="shared" si="50"/>
        <v>60775</v>
      </c>
      <c r="M1032" s="344" t="s">
        <v>143</v>
      </c>
      <c r="N1032" s="344">
        <v>221125</v>
      </c>
    </row>
    <row r="1033" spans="1:14" ht="15">
      <c r="A1033" s="344">
        <v>60775</v>
      </c>
      <c r="B1033" s="345" t="s">
        <v>137</v>
      </c>
      <c r="C1033" s="344">
        <v>221125</v>
      </c>
      <c r="D1033" s="344" t="str">
        <f t="shared" si="48"/>
        <v>221125</v>
      </c>
      <c r="E1033" s="346" t="s">
        <v>146</v>
      </c>
      <c r="F1033" s="344" t="s">
        <v>145</v>
      </c>
      <c r="G1033" s="344" t="str">
        <f t="shared" si="49"/>
        <v>60775AXLE 4</v>
      </c>
      <c r="H1033" s="344">
        <v>16</v>
      </c>
      <c r="I1033" s="344">
        <v>5</v>
      </c>
      <c r="J1033" s="344">
        <v>4</v>
      </c>
      <c r="K1033" s="344">
        <v>5</v>
      </c>
      <c r="L1033" t="str">
        <f t="shared" si="50"/>
        <v>60775</v>
      </c>
      <c r="M1033" s="344" t="s">
        <v>145</v>
      </c>
      <c r="N1033" s="344">
        <v>221125</v>
      </c>
    </row>
    <row r="1034" spans="1:14" ht="15">
      <c r="A1034" s="344">
        <v>60975</v>
      </c>
      <c r="B1034" s="345" t="s">
        <v>137</v>
      </c>
      <c r="C1034" s="344">
        <v>221125</v>
      </c>
      <c r="D1034" s="344" t="str">
        <f t="shared" si="48"/>
        <v>221125</v>
      </c>
      <c r="E1034" s="346" t="s">
        <v>146</v>
      </c>
      <c r="F1034" s="344" t="s">
        <v>139</v>
      </c>
      <c r="G1034" s="344" t="str">
        <f t="shared" si="49"/>
        <v>60975AXLE 1</v>
      </c>
      <c r="H1034" s="344">
        <v>9</v>
      </c>
      <c r="I1034" s="344">
        <v>12</v>
      </c>
      <c r="J1034" s="344">
        <v>1</v>
      </c>
      <c r="K1034" s="344">
        <v>8</v>
      </c>
      <c r="L1034" t="str">
        <f t="shared" si="50"/>
        <v>60975</v>
      </c>
      <c r="M1034" s="344" t="s">
        <v>139</v>
      </c>
      <c r="N1034" s="344">
        <v>221125</v>
      </c>
    </row>
    <row r="1035" spans="1:14" ht="15">
      <c r="A1035" s="344">
        <v>60975</v>
      </c>
      <c r="B1035" s="345" t="s">
        <v>137</v>
      </c>
      <c r="C1035" s="344">
        <v>221125</v>
      </c>
      <c r="D1035" s="344" t="str">
        <f t="shared" si="48"/>
        <v>221125</v>
      </c>
      <c r="E1035" s="346" t="s">
        <v>147</v>
      </c>
      <c r="F1035" s="344" t="s">
        <v>141</v>
      </c>
      <c r="G1035" s="344" t="str">
        <f t="shared" si="49"/>
        <v>60975AXLE 2</v>
      </c>
      <c r="H1035" s="344">
        <v>10</v>
      </c>
      <c r="I1035" s="344">
        <v>11</v>
      </c>
      <c r="J1035" s="344">
        <v>2</v>
      </c>
      <c r="K1035" s="344">
        <v>7</v>
      </c>
      <c r="L1035" t="str">
        <f t="shared" si="50"/>
        <v>60975</v>
      </c>
      <c r="M1035" s="344" t="s">
        <v>141</v>
      </c>
      <c r="N1035" s="344">
        <v>221125</v>
      </c>
    </row>
    <row r="1036" spans="1:14" ht="15">
      <c r="A1036" s="344">
        <v>60975</v>
      </c>
      <c r="B1036" s="345" t="s">
        <v>137</v>
      </c>
      <c r="C1036" s="344">
        <v>221125</v>
      </c>
      <c r="D1036" s="344" t="str">
        <f t="shared" si="48"/>
        <v>221125</v>
      </c>
      <c r="E1036" s="346" t="s">
        <v>147</v>
      </c>
      <c r="F1036" s="344" t="s">
        <v>143</v>
      </c>
      <c r="G1036" s="344" t="str">
        <f t="shared" si="49"/>
        <v>60975AXLE 3</v>
      </c>
      <c r="H1036" s="344">
        <v>11</v>
      </c>
      <c r="I1036" s="344">
        <v>10</v>
      </c>
      <c r="J1036" s="344">
        <v>3</v>
      </c>
      <c r="K1036" s="344">
        <v>6</v>
      </c>
      <c r="L1036" t="str">
        <f t="shared" si="50"/>
        <v>60975</v>
      </c>
      <c r="M1036" s="344" t="s">
        <v>143</v>
      </c>
      <c r="N1036" s="344">
        <v>221125</v>
      </c>
    </row>
    <row r="1037" spans="1:14" ht="15">
      <c r="A1037" s="344">
        <v>60975</v>
      </c>
      <c r="B1037" s="345" t="s">
        <v>137</v>
      </c>
      <c r="C1037" s="344">
        <v>221125</v>
      </c>
      <c r="D1037" s="344" t="str">
        <f t="shared" si="48"/>
        <v>221125</v>
      </c>
      <c r="E1037" s="346" t="s">
        <v>146</v>
      </c>
      <c r="F1037" s="344" t="s">
        <v>145</v>
      </c>
      <c r="G1037" s="344" t="str">
        <f t="shared" si="49"/>
        <v>60975AXLE 4</v>
      </c>
      <c r="H1037" s="344">
        <v>12</v>
      </c>
      <c r="I1037" s="344">
        <v>9</v>
      </c>
      <c r="J1037" s="344">
        <v>4</v>
      </c>
      <c r="K1037" s="344">
        <v>5</v>
      </c>
      <c r="L1037" t="str">
        <f t="shared" si="50"/>
        <v>60975</v>
      </c>
      <c r="M1037" s="344" t="s">
        <v>145</v>
      </c>
      <c r="N1037" s="344">
        <v>221125</v>
      </c>
    </row>
    <row r="1038" spans="1:14" ht="15">
      <c r="A1038" s="344">
        <v>60875</v>
      </c>
      <c r="B1038" s="345" t="s">
        <v>137</v>
      </c>
      <c r="C1038" s="344">
        <v>221125</v>
      </c>
      <c r="D1038" s="344" t="str">
        <f t="shared" si="48"/>
        <v>221125</v>
      </c>
      <c r="E1038" s="346" t="s">
        <v>146</v>
      </c>
      <c r="F1038" s="344" t="s">
        <v>139</v>
      </c>
      <c r="G1038" s="344" t="str">
        <f t="shared" si="49"/>
        <v>60875AXLE 1</v>
      </c>
      <c r="H1038" s="344">
        <v>5</v>
      </c>
      <c r="I1038" s="344">
        <v>16</v>
      </c>
      <c r="J1038" s="344">
        <v>1</v>
      </c>
      <c r="K1038" s="344">
        <v>8</v>
      </c>
      <c r="L1038" t="str">
        <f t="shared" si="50"/>
        <v>60875</v>
      </c>
      <c r="M1038" s="344" t="s">
        <v>139</v>
      </c>
      <c r="N1038" s="344">
        <v>221125</v>
      </c>
    </row>
    <row r="1039" spans="1:14" ht="15">
      <c r="A1039" s="344">
        <v>60875</v>
      </c>
      <c r="B1039" s="345" t="s">
        <v>137</v>
      </c>
      <c r="C1039" s="344">
        <v>221125</v>
      </c>
      <c r="D1039" s="344" t="str">
        <f t="shared" si="48"/>
        <v>221125</v>
      </c>
      <c r="E1039" s="346" t="s">
        <v>147</v>
      </c>
      <c r="F1039" s="344" t="s">
        <v>141</v>
      </c>
      <c r="G1039" s="344" t="str">
        <f t="shared" si="49"/>
        <v>60875AXLE 2</v>
      </c>
      <c r="H1039" s="344">
        <v>6</v>
      </c>
      <c r="I1039" s="344">
        <v>15</v>
      </c>
      <c r="J1039" s="344">
        <v>2</v>
      </c>
      <c r="K1039" s="344">
        <v>7</v>
      </c>
      <c r="L1039" t="str">
        <f t="shared" si="50"/>
        <v>60875</v>
      </c>
      <c r="M1039" s="344" t="s">
        <v>141</v>
      </c>
      <c r="N1039" s="344">
        <v>221125</v>
      </c>
    </row>
    <row r="1040" spans="1:14" ht="15">
      <c r="A1040" s="344">
        <v>60875</v>
      </c>
      <c r="B1040" s="345" t="s">
        <v>137</v>
      </c>
      <c r="C1040" s="344">
        <v>221125</v>
      </c>
      <c r="D1040" s="344" t="str">
        <f t="shared" si="48"/>
        <v>221125</v>
      </c>
      <c r="E1040" s="346" t="s">
        <v>147</v>
      </c>
      <c r="F1040" s="344" t="s">
        <v>143</v>
      </c>
      <c r="G1040" s="344" t="str">
        <f t="shared" si="49"/>
        <v>60875AXLE 3</v>
      </c>
      <c r="H1040" s="344">
        <v>7</v>
      </c>
      <c r="I1040" s="344">
        <v>14</v>
      </c>
      <c r="J1040" s="344">
        <v>3</v>
      </c>
      <c r="K1040" s="344">
        <v>6</v>
      </c>
      <c r="L1040" t="str">
        <f t="shared" si="50"/>
        <v>60875</v>
      </c>
      <c r="M1040" s="344" t="s">
        <v>143</v>
      </c>
      <c r="N1040" s="344">
        <v>221125</v>
      </c>
    </row>
    <row r="1041" spans="1:14" ht="15">
      <c r="A1041" s="344">
        <v>60875</v>
      </c>
      <c r="B1041" s="345" t="s">
        <v>137</v>
      </c>
      <c r="C1041" s="344">
        <v>221125</v>
      </c>
      <c r="D1041" s="344" t="str">
        <f t="shared" si="48"/>
        <v>221125</v>
      </c>
      <c r="E1041" s="346" t="s">
        <v>146</v>
      </c>
      <c r="F1041" s="344" t="s">
        <v>145</v>
      </c>
      <c r="G1041" s="344" t="str">
        <f t="shared" si="49"/>
        <v>60875AXLE 4</v>
      </c>
      <c r="H1041" s="344">
        <v>8</v>
      </c>
      <c r="I1041" s="344">
        <v>13</v>
      </c>
      <c r="J1041" s="344">
        <v>4</v>
      </c>
      <c r="K1041" s="344">
        <v>5</v>
      </c>
      <c r="L1041" t="str">
        <f t="shared" si="50"/>
        <v>60875</v>
      </c>
      <c r="M1041" s="344" t="s">
        <v>145</v>
      </c>
      <c r="N1041" s="344">
        <v>221125</v>
      </c>
    </row>
    <row r="1042" spans="1:14" ht="15">
      <c r="A1042" s="344">
        <v>60475</v>
      </c>
      <c r="B1042" s="345" t="s">
        <v>137</v>
      </c>
      <c r="C1042" s="344">
        <v>221125</v>
      </c>
      <c r="D1042" s="344" t="str">
        <f t="shared" si="48"/>
        <v>221125</v>
      </c>
      <c r="E1042" s="346" t="s">
        <v>146</v>
      </c>
      <c r="F1042" s="344" t="s">
        <v>139</v>
      </c>
      <c r="G1042" s="344" t="str">
        <f t="shared" si="49"/>
        <v>60475AXLE 1</v>
      </c>
      <c r="H1042" s="344">
        <v>1</v>
      </c>
      <c r="I1042" s="344">
        <v>20</v>
      </c>
      <c r="J1042" s="344">
        <v>1</v>
      </c>
      <c r="K1042" s="344">
        <v>8</v>
      </c>
      <c r="L1042" t="str">
        <f t="shared" si="50"/>
        <v>60475</v>
      </c>
      <c r="M1042" s="344" t="s">
        <v>139</v>
      </c>
      <c r="N1042" s="344">
        <v>221125</v>
      </c>
    </row>
    <row r="1043" spans="1:14" ht="15">
      <c r="A1043" s="344">
        <v>60475</v>
      </c>
      <c r="B1043" s="345" t="s">
        <v>137</v>
      </c>
      <c r="C1043" s="344">
        <v>221125</v>
      </c>
      <c r="D1043" s="344" t="str">
        <f t="shared" si="48"/>
        <v>221125</v>
      </c>
      <c r="E1043" s="346" t="s">
        <v>147</v>
      </c>
      <c r="F1043" s="344" t="s">
        <v>141</v>
      </c>
      <c r="G1043" s="344" t="str">
        <f t="shared" si="49"/>
        <v>60475AXLE 2</v>
      </c>
      <c r="H1043" s="344">
        <v>2</v>
      </c>
      <c r="I1043" s="344">
        <v>19</v>
      </c>
      <c r="J1043" s="344">
        <v>2</v>
      </c>
      <c r="K1043" s="344">
        <v>7</v>
      </c>
      <c r="L1043" t="str">
        <f t="shared" si="50"/>
        <v>60475</v>
      </c>
      <c r="M1043" s="344" t="s">
        <v>141</v>
      </c>
      <c r="N1043" s="344">
        <v>221125</v>
      </c>
    </row>
    <row r="1044" spans="1:14" ht="15">
      <c r="A1044" s="344">
        <v>60475</v>
      </c>
      <c r="B1044" s="345" t="s">
        <v>137</v>
      </c>
      <c r="C1044" s="344">
        <v>221125</v>
      </c>
      <c r="D1044" s="344" t="str">
        <f t="shared" si="48"/>
        <v>221125</v>
      </c>
      <c r="E1044" s="346" t="s">
        <v>147</v>
      </c>
      <c r="F1044" s="344" t="s">
        <v>143</v>
      </c>
      <c r="G1044" s="344" t="str">
        <f t="shared" si="49"/>
        <v>60475AXLE 3</v>
      </c>
      <c r="H1044" s="344">
        <v>3</v>
      </c>
      <c r="I1044" s="344">
        <v>18</v>
      </c>
      <c r="J1044" s="344">
        <v>3</v>
      </c>
      <c r="K1044" s="344">
        <v>6</v>
      </c>
      <c r="L1044" t="str">
        <f t="shared" si="50"/>
        <v>60475</v>
      </c>
      <c r="M1044" s="344" t="s">
        <v>143</v>
      </c>
      <c r="N1044" s="344">
        <v>221125</v>
      </c>
    </row>
    <row r="1045" spans="1:14" ht="15">
      <c r="A1045" s="344">
        <v>60475</v>
      </c>
      <c r="B1045" s="345" t="s">
        <v>137</v>
      </c>
      <c r="C1045" s="344">
        <v>221125</v>
      </c>
      <c r="D1045" s="344" t="str">
        <f t="shared" si="48"/>
        <v>221125</v>
      </c>
      <c r="E1045" s="346" t="s">
        <v>146</v>
      </c>
      <c r="F1045" s="344" t="s">
        <v>145</v>
      </c>
      <c r="G1045" s="344" t="str">
        <f t="shared" si="49"/>
        <v>60475AXLE 4</v>
      </c>
      <c r="H1045" s="344">
        <v>4</v>
      </c>
      <c r="I1045" s="344">
        <v>17</v>
      </c>
      <c r="J1045" s="344">
        <v>4</v>
      </c>
      <c r="K1045" s="344">
        <v>5</v>
      </c>
      <c r="L1045" t="str">
        <f t="shared" si="50"/>
        <v>60475</v>
      </c>
      <c r="M1045" s="344" t="s">
        <v>145</v>
      </c>
      <c r="N1045" s="344">
        <v>221125</v>
      </c>
    </row>
    <row r="1046" spans="1:14" ht="15">
      <c r="A1046" s="344">
        <v>60376</v>
      </c>
      <c r="B1046" s="345" t="s">
        <v>137</v>
      </c>
      <c r="C1046" s="344">
        <v>221126</v>
      </c>
      <c r="D1046" s="344" t="str">
        <f t="shared" si="48"/>
        <v>221126</v>
      </c>
      <c r="E1046" s="346" t="s">
        <v>146</v>
      </c>
      <c r="F1046" s="344" t="s">
        <v>139</v>
      </c>
      <c r="G1046" s="344" t="str">
        <f t="shared" si="49"/>
        <v>60376AXLE 1</v>
      </c>
      <c r="H1046" s="344">
        <v>20</v>
      </c>
      <c r="I1046" s="344">
        <v>1</v>
      </c>
      <c r="J1046" s="344">
        <v>1</v>
      </c>
      <c r="K1046" s="344">
        <v>8</v>
      </c>
      <c r="L1046" t="str">
        <f t="shared" si="50"/>
        <v>60376</v>
      </c>
      <c r="M1046" s="344" t="s">
        <v>139</v>
      </c>
      <c r="N1046" s="344">
        <v>221126</v>
      </c>
    </row>
    <row r="1047" spans="1:14" ht="15">
      <c r="A1047" s="344">
        <v>60376</v>
      </c>
      <c r="B1047" s="345" t="s">
        <v>137</v>
      </c>
      <c r="C1047" s="344">
        <v>221126</v>
      </c>
      <c r="D1047" s="344" t="str">
        <f t="shared" si="48"/>
        <v>221126</v>
      </c>
      <c r="E1047" s="346" t="s">
        <v>147</v>
      </c>
      <c r="F1047" s="344" t="s">
        <v>141</v>
      </c>
      <c r="G1047" s="344" t="str">
        <f t="shared" si="49"/>
        <v>60376AXLE 2</v>
      </c>
      <c r="H1047" s="344">
        <v>19</v>
      </c>
      <c r="I1047" s="344">
        <v>2</v>
      </c>
      <c r="J1047" s="344">
        <v>2</v>
      </c>
      <c r="K1047" s="344">
        <v>7</v>
      </c>
      <c r="L1047" t="str">
        <f t="shared" si="50"/>
        <v>60376</v>
      </c>
      <c r="M1047" s="344" t="s">
        <v>141</v>
      </c>
      <c r="N1047" s="344">
        <v>221126</v>
      </c>
    </row>
    <row r="1048" spans="1:14" ht="15">
      <c r="A1048" s="344">
        <v>60376</v>
      </c>
      <c r="B1048" s="345" t="s">
        <v>137</v>
      </c>
      <c r="C1048" s="344">
        <v>221126</v>
      </c>
      <c r="D1048" s="344" t="str">
        <f t="shared" si="48"/>
        <v>221126</v>
      </c>
      <c r="E1048" s="346" t="s">
        <v>147</v>
      </c>
      <c r="F1048" s="344" t="s">
        <v>143</v>
      </c>
      <c r="G1048" s="344" t="str">
        <f t="shared" si="49"/>
        <v>60376AXLE 3</v>
      </c>
      <c r="H1048" s="344">
        <v>18</v>
      </c>
      <c r="I1048" s="344">
        <v>3</v>
      </c>
      <c r="J1048" s="344">
        <v>3</v>
      </c>
      <c r="K1048" s="344">
        <v>6</v>
      </c>
      <c r="L1048" t="str">
        <f t="shared" si="50"/>
        <v>60376</v>
      </c>
      <c r="M1048" s="344" t="s">
        <v>143</v>
      </c>
      <c r="N1048" s="344">
        <v>221126</v>
      </c>
    </row>
    <row r="1049" spans="1:14" ht="15">
      <c r="A1049" s="344">
        <v>60376</v>
      </c>
      <c r="B1049" s="345" t="s">
        <v>137</v>
      </c>
      <c r="C1049" s="344">
        <v>221126</v>
      </c>
      <c r="D1049" s="344" t="str">
        <f t="shared" si="48"/>
        <v>221126</v>
      </c>
      <c r="E1049" s="346" t="s">
        <v>146</v>
      </c>
      <c r="F1049" s="344" t="s">
        <v>145</v>
      </c>
      <c r="G1049" s="344" t="str">
        <f t="shared" si="49"/>
        <v>60376AXLE 4</v>
      </c>
      <c r="H1049" s="344">
        <v>17</v>
      </c>
      <c r="I1049" s="344">
        <v>4</v>
      </c>
      <c r="J1049" s="344">
        <v>4</v>
      </c>
      <c r="K1049" s="344">
        <v>5</v>
      </c>
      <c r="L1049" t="str">
        <f t="shared" si="50"/>
        <v>60376</v>
      </c>
      <c r="M1049" s="344" t="s">
        <v>145</v>
      </c>
      <c r="N1049" s="344">
        <v>221126</v>
      </c>
    </row>
    <row r="1050" spans="1:14" ht="15">
      <c r="A1050" s="344">
        <v>60776</v>
      </c>
      <c r="B1050" s="345" t="s">
        <v>137</v>
      </c>
      <c r="C1050" s="344">
        <v>221126</v>
      </c>
      <c r="D1050" s="344" t="str">
        <f t="shared" si="48"/>
        <v>221126</v>
      </c>
      <c r="E1050" s="346" t="s">
        <v>146</v>
      </c>
      <c r="F1050" s="344" t="s">
        <v>139</v>
      </c>
      <c r="G1050" s="344" t="str">
        <f t="shared" si="49"/>
        <v>60776AXLE 1</v>
      </c>
      <c r="H1050" s="344">
        <v>13</v>
      </c>
      <c r="I1050" s="344">
        <v>8</v>
      </c>
      <c r="J1050" s="344">
        <v>1</v>
      </c>
      <c r="K1050" s="344">
        <v>8</v>
      </c>
      <c r="L1050" t="str">
        <f t="shared" si="50"/>
        <v>60776</v>
      </c>
      <c r="M1050" s="344" t="s">
        <v>139</v>
      </c>
      <c r="N1050" s="344">
        <v>221126</v>
      </c>
    </row>
    <row r="1051" spans="1:14" ht="15">
      <c r="A1051" s="344">
        <v>60776</v>
      </c>
      <c r="B1051" s="345" t="s">
        <v>137</v>
      </c>
      <c r="C1051" s="344">
        <v>221126</v>
      </c>
      <c r="D1051" s="344" t="str">
        <f t="shared" si="48"/>
        <v>221126</v>
      </c>
      <c r="E1051" s="346" t="s">
        <v>147</v>
      </c>
      <c r="F1051" s="344" t="s">
        <v>141</v>
      </c>
      <c r="G1051" s="344" t="str">
        <f t="shared" si="49"/>
        <v>60776AXLE 2</v>
      </c>
      <c r="H1051" s="344">
        <v>14</v>
      </c>
      <c r="I1051" s="344">
        <v>7</v>
      </c>
      <c r="J1051" s="344">
        <v>2</v>
      </c>
      <c r="K1051" s="344">
        <v>7</v>
      </c>
      <c r="L1051" t="str">
        <f t="shared" si="50"/>
        <v>60776</v>
      </c>
      <c r="M1051" s="344" t="s">
        <v>141</v>
      </c>
      <c r="N1051" s="344">
        <v>221126</v>
      </c>
    </row>
    <row r="1052" spans="1:14" ht="15">
      <c r="A1052" s="344">
        <v>60776</v>
      </c>
      <c r="B1052" s="345" t="s">
        <v>137</v>
      </c>
      <c r="C1052" s="344">
        <v>221126</v>
      </c>
      <c r="D1052" s="344" t="str">
        <f t="shared" si="48"/>
        <v>221126</v>
      </c>
      <c r="E1052" s="346" t="s">
        <v>147</v>
      </c>
      <c r="F1052" s="344" t="s">
        <v>143</v>
      </c>
      <c r="G1052" s="344" t="str">
        <f t="shared" si="49"/>
        <v>60776AXLE 3</v>
      </c>
      <c r="H1052" s="344">
        <v>15</v>
      </c>
      <c r="I1052" s="344">
        <v>6</v>
      </c>
      <c r="J1052" s="344">
        <v>3</v>
      </c>
      <c r="K1052" s="344">
        <v>6</v>
      </c>
      <c r="L1052" t="str">
        <f t="shared" si="50"/>
        <v>60776</v>
      </c>
      <c r="M1052" s="344" t="s">
        <v>143</v>
      </c>
      <c r="N1052" s="344">
        <v>221126</v>
      </c>
    </row>
    <row r="1053" spans="1:14" ht="15">
      <c r="A1053" s="344">
        <v>60776</v>
      </c>
      <c r="B1053" s="345" t="s">
        <v>137</v>
      </c>
      <c r="C1053" s="344">
        <v>221126</v>
      </c>
      <c r="D1053" s="344" t="str">
        <f t="shared" si="48"/>
        <v>221126</v>
      </c>
      <c r="E1053" s="346" t="s">
        <v>146</v>
      </c>
      <c r="F1053" s="344" t="s">
        <v>145</v>
      </c>
      <c r="G1053" s="344" t="str">
        <f t="shared" si="49"/>
        <v>60776AXLE 4</v>
      </c>
      <c r="H1053" s="344">
        <v>16</v>
      </c>
      <c r="I1053" s="344">
        <v>5</v>
      </c>
      <c r="J1053" s="344">
        <v>4</v>
      </c>
      <c r="K1053" s="344">
        <v>5</v>
      </c>
      <c r="L1053" t="str">
        <f t="shared" si="50"/>
        <v>60776</v>
      </c>
      <c r="M1053" s="344" t="s">
        <v>145</v>
      </c>
      <c r="N1053" s="344">
        <v>221126</v>
      </c>
    </row>
    <row r="1054" spans="1:14" ht="15">
      <c r="A1054" s="344">
        <v>60976</v>
      </c>
      <c r="B1054" s="345" t="s">
        <v>137</v>
      </c>
      <c r="C1054" s="344">
        <v>221126</v>
      </c>
      <c r="D1054" s="344" t="str">
        <f t="shared" si="48"/>
        <v>221126</v>
      </c>
      <c r="E1054" s="346" t="s">
        <v>146</v>
      </c>
      <c r="F1054" s="344" t="s">
        <v>139</v>
      </c>
      <c r="G1054" s="344" t="str">
        <f t="shared" si="49"/>
        <v>60976AXLE 1</v>
      </c>
      <c r="H1054" s="344">
        <v>9</v>
      </c>
      <c r="I1054" s="344">
        <v>12</v>
      </c>
      <c r="J1054" s="344">
        <v>1</v>
      </c>
      <c r="K1054" s="344">
        <v>8</v>
      </c>
      <c r="L1054" t="str">
        <f t="shared" si="50"/>
        <v>60976</v>
      </c>
      <c r="M1054" s="344" t="s">
        <v>139</v>
      </c>
      <c r="N1054" s="344">
        <v>221126</v>
      </c>
    </row>
    <row r="1055" spans="1:14" ht="15">
      <c r="A1055" s="344">
        <v>60976</v>
      </c>
      <c r="B1055" s="345" t="s">
        <v>137</v>
      </c>
      <c r="C1055" s="344">
        <v>221126</v>
      </c>
      <c r="D1055" s="344" t="str">
        <f t="shared" si="48"/>
        <v>221126</v>
      </c>
      <c r="E1055" s="346" t="s">
        <v>147</v>
      </c>
      <c r="F1055" s="344" t="s">
        <v>141</v>
      </c>
      <c r="G1055" s="344" t="str">
        <f t="shared" si="49"/>
        <v>60976AXLE 2</v>
      </c>
      <c r="H1055" s="344">
        <v>10</v>
      </c>
      <c r="I1055" s="344">
        <v>11</v>
      </c>
      <c r="J1055" s="344">
        <v>2</v>
      </c>
      <c r="K1055" s="344">
        <v>7</v>
      </c>
      <c r="L1055" t="str">
        <f t="shared" si="50"/>
        <v>60976</v>
      </c>
      <c r="M1055" s="344" t="s">
        <v>141</v>
      </c>
      <c r="N1055" s="344">
        <v>221126</v>
      </c>
    </row>
    <row r="1056" spans="1:14" ht="15">
      <c r="A1056" s="344">
        <v>60976</v>
      </c>
      <c r="B1056" s="345" t="s">
        <v>137</v>
      </c>
      <c r="C1056" s="344">
        <v>221126</v>
      </c>
      <c r="D1056" s="344" t="str">
        <f t="shared" si="48"/>
        <v>221126</v>
      </c>
      <c r="E1056" s="346" t="s">
        <v>147</v>
      </c>
      <c r="F1056" s="344" t="s">
        <v>143</v>
      </c>
      <c r="G1056" s="344" t="str">
        <f t="shared" si="49"/>
        <v>60976AXLE 3</v>
      </c>
      <c r="H1056" s="344">
        <v>11</v>
      </c>
      <c r="I1056" s="344">
        <v>10</v>
      </c>
      <c r="J1056" s="344">
        <v>3</v>
      </c>
      <c r="K1056" s="344">
        <v>6</v>
      </c>
      <c r="L1056" t="str">
        <f t="shared" si="50"/>
        <v>60976</v>
      </c>
      <c r="M1056" s="344" t="s">
        <v>143</v>
      </c>
      <c r="N1056" s="344">
        <v>221126</v>
      </c>
    </row>
    <row r="1057" spans="1:14" ht="15">
      <c r="A1057" s="344">
        <v>60976</v>
      </c>
      <c r="B1057" s="345" t="s">
        <v>137</v>
      </c>
      <c r="C1057" s="344">
        <v>221126</v>
      </c>
      <c r="D1057" s="344" t="str">
        <f t="shared" si="48"/>
        <v>221126</v>
      </c>
      <c r="E1057" s="346" t="s">
        <v>146</v>
      </c>
      <c r="F1057" s="344" t="s">
        <v>145</v>
      </c>
      <c r="G1057" s="344" t="str">
        <f t="shared" si="49"/>
        <v>60976AXLE 4</v>
      </c>
      <c r="H1057" s="344">
        <v>12</v>
      </c>
      <c r="I1057" s="344">
        <v>9</v>
      </c>
      <c r="J1057" s="344">
        <v>4</v>
      </c>
      <c r="K1057" s="344">
        <v>5</v>
      </c>
      <c r="L1057" t="str">
        <f t="shared" si="50"/>
        <v>60976</v>
      </c>
      <c r="M1057" s="344" t="s">
        <v>145</v>
      </c>
      <c r="N1057" s="344">
        <v>221126</v>
      </c>
    </row>
    <row r="1058" spans="1:14" ht="15">
      <c r="A1058" s="344">
        <v>60876</v>
      </c>
      <c r="B1058" s="345" t="s">
        <v>137</v>
      </c>
      <c r="C1058" s="344">
        <v>221126</v>
      </c>
      <c r="D1058" s="344" t="str">
        <f t="shared" si="48"/>
        <v>221126</v>
      </c>
      <c r="E1058" s="346" t="s">
        <v>146</v>
      </c>
      <c r="F1058" s="344" t="s">
        <v>139</v>
      </c>
      <c r="G1058" s="344" t="str">
        <f t="shared" si="49"/>
        <v>60876AXLE 1</v>
      </c>
      <c r="H1058" s="344">
        <v>5</v>
      </c>
      <c r="I1058" s="344">
        <v>16</v>
      </c>
      <c r="J1058" s="344">
        <v>1</v>
      </c>
      <c r="K1058" s="344">
        <v>8</v>
      </c>
      <c r="L1058" t="str">
        <f t="shared" si="50"/>
        <v>60876</v>
      </c>
      <c r="M1058" s="344" t="s">
        <v>139</v>
      </c>
      <c r="N1058" s="344">
        <v>221126</v>
      </c>
    </row>
    <row r="1059" spans="1:14" ht="15">
      <c r="A1059" s="344">
        <v>60876</v>
      </c>
      <c r="B1059" s="345" t="s">
        <v>137</v>
      </c>
      <c r="C1059" s="344">
        <v>221126</v>
      </c>
      <c r="D1059" s="344" t="str">
        <f t="shared" si="48"/>
        <v>221126</v>
      </c>
      <c r="E1059" s="346" t="s">
        <v>147</v>
      </c>
      <c r="F1059" s="344" t="s">
        <v>141</v>
      </c>
      <c r="G1059" s="344" t="str">
        <f t="shared" si="49"/>
        <v>60876AXLE 2</v>
      </c>
      <c r="H1059" s="344">
        <v>6</v>
      </c>
      <c r="I1059" s="344">
        <v>15</v>
      </c>
      <c r="J1059" s="344">
        <v>2</v>
      </c>
      <c r="K1059" s="344">
        <v>7</v>
      </c>
      <c r="L1059" t="str">
        <f t="shared" si="50"/>
        <v>60876</v>
      </c>
      <c r="M1059" s="344" t="s">
        <v>141</v>
      </c>
      <c r="N1059" s="344">
        <v>221126</v>
      </c>
    </row>
    <row r="1060" spans="1:14" ht="15">
      <c r="A1060" s="344">
        <v>60876</v>
      </c>
      <c r="B1060" s="345" t="s">
        <v>137</v>
      </c>
      <c r="C1060" s="344">
        <v>221126</v>
      </c>
      <c r="D1060" s="344" t="str">
        <f t="shared" si="48"/>
        <v>221126</v>
      </c>
      <c r="E1060" s="346" t="s">
        <v>147</v>
      </c>
      <c r="F1060" s="344" t="s">
        <v>143</v>
      </c>
      <c r="G1060" s="344" t="str">
        <f t="shared" si="49"/>
        <v>60876AXLE 3</v>
      </c>
      <c r="H1060" s="344">
        <v>7</v>
      </c>
      <c r="I1060" s="344">
        <v>14</v>
      </c>
      <c r="J1060" s="344">
        <v>3</v>
      </c>
      <c r="K1060" s="344">
        <v>6</v>
      </c>
      <c r="L1060" t="str">
        <f t="shared" si="50"/>
        <v>60876</v>
      </c>
      <c r="M1060" s="344" t="s">
        <v>143</v>
      </c>
      <c r="N1060" s="344">
        <v>221126</v>
      </c>
    </row>
    <row r="1061" spans="1:14" ht="15">
      <c r="A1061" s="344">
        <v>60876</v>
      </c>
      <c r="B1061" s="345" t="s">
        <v>137</v>
      </c>
      <c r="C1061" s="344">
        <v>221126</v>
      </c>
      <c r="D1061" s="344" t="str">
        <f t="shared" si="48"/>
        <v>221126</v>
      </c>
      <c r="E1061" s="346" t="s">
        <v>146</v>
      </c>
      <c r="F1061" s="344" t="s">
        <v>145</v>
      </c>
      <c r="G1061" s="344" t="str">
        <f t="shared" si="49"/>
        <v>60876AXLE 4</v>
      </c>
      <c r="H1061" s="344">
        <v>8</v>
      </c>
      <c r="I1061" s="344">
        <v>13</v>
      </c>
      <c r="J1061" s="344">
        <v>4</v>
      </c>
      <c r="K1061" s="344">
        <v>5</v>
      </c>
      <c r="L1061" t="str">
        <f t="shared" si="50"/>
        <v>60876</v>
      </c>
      <c r="M1061" s="344" t="s">
        <v>145</v>
      </c>
      <c r="N1061" s="344">
        <v>221126</v>
      </c>
    </row>
    <row r="1062" spans="1:14" ht="15">
      <c r="A1062" s="344">
        <v>60476</v>
      </c>
      <c r="B1062" s="345" t="s">
        <v>137</v>
      </c>
      <c r="C1062" s="344">
        <v>221126</v>
      </c>
      <c r="D1062" s="344" t="str">
        <f t="shared" si="48"/>
        <v>221126</v>
      </c>
      <c r="E1062" s="346" t="s">
        <v>146</v>
      </c>
      <c r="F1062" s="344" t="s">
        <v>139</v>
      </c>
      <c r="G1062" s="344" t="str">
        <f t="shared" si="49"/>
        <v>60476AXLE 1</v>
      </c>
      <c r="H1062" s="344">
        <v>1</v>
      </c>
      <c r="I1062" s="344">
        <v>20</v>
      </c>
      <c r="J1062" s="344">
        <v>1</v>
      </c>
      <c r="K1062" s="344">
        <v>8</v>
      </c>
      <c r="L1062" t="str">
        <f t="shared" si="50"/>
        <v>60476</v>
      </c>
      <c r="M1062" s="344" t="s">
        <v>139</v>
      </c>
      <c r="N1062" s="344">
        <v>221126</v>
      </c>
    </row>
    <row r="1063" spans="1:14" ht="15">
      <c r="A1063" s="344">
        <v>60476</v>
      </c>
      <c r="B1063" s="345" t="s">
        <v>137</v>
      </c>
      <c r="C1063" s="344">
        <v>221126</v>
      </c>
      <c r="D1063" s="344" t="str">
        <f t="shared" si="48"/>
        <v>221126</v>
      </c>
      <c r="E1063" s="346" t="s">
        <v>147</v>
      </c>
      <c r="F1063" s="344" t="s">
        <v>141</v>
      </c>
      <c r="G1063" s="344" t="str">
        <f t="shared" si="49"/>
        <v>60476AXLE 2</v>
      </c>
      <c r="H1063" s="344">
        <v>2</v>
      </c>
      <c r="I1063" s="344">
        <v>19</v>
      </c>
      <c r="J1063" s="344">
        <v>2</v>
      </c>
      <c r="K1063" s="344">
        <v>7</v>
      </c>
      <c r="L1063" t="str">
        <f t="shared" si="50"/>
        <v>60476</v>
      </c>
      <c r="M1063" s="344" t="s">
        <v>141</v>
      </c>
      <c r="N1063" s="344">
        <v>221126</v>
      </c>
    </row>
    <row r="1064" spans="1:14" ht="15">
      <c r="A1064" s="344">
        <v>60476</v>
      </c>
      <c r="B1064" s="345" t="s">
        <v>137</v>
      </c>
      <c r="C1064" s="344">
        <v>221126</v>
      </c>
      <c r="D1064" s="344" t="str">
        <f t="shared" si="48"/>
        <v>221126</v>
      </c>
      <c r="E1064" s="346" t="s">
        <v>147</v>
      </c>
      <c r="F1064" s="344" t="s">
        <v>143</v>
      </c>
      <c r="G1064" s="344" t="str">
        <f t="shared" si="49"/>
        <v>60476AXLE 3</v>
      </c>
      <c r="H1064" s="344">
        <v>3</v>
      </c>
      <c r="I1064" s="344">
        <v>18</v>
      </c>
      <c r="J1064" s="344">
        <v>3</v>
      </c>
      <c r="K1064" s="344">
        <v>6</v>
      </c>
      <c r="L1064" t="str">
        <f t="shared" si="50"/>
        <v>60476</v>
      </c>
      <c r="M1064" s="344" t="s">
        <v>143</v>
      </c>
      <c r="N1064" s="344">
        <v>221126</v>
      </c>
    </row>
    <row r="1065" spans="1:14" ht="15">
      <c r="A1065" s="344">
        <v>60476</v>
      </c>
      <c r="B1065" s="345" t="s">
        <v>137</v>
      </c>
      <c r="C1065" s="344">
        <v>221126</v>
      </c>
      <c r="D1065" s="344" t="str">
        <f t="shared" si="48"/>
        <v>221126</v>
      </c>
      <c r="E1065" s="346" t="s">
        <v>146</v>
      </c>
      <c r="F1065" s="344" t="s">
        <v>145</v>
      </c>
      <c r="G1065" s="344" t="str">
        <f t="shared" si="49"/>
        <v>60476AXLE 4</v>
      </c>
      <c r="H1065" s="344">
        <v>4</v>
      </c>
      <c r="I1065" s="344">
        <v>17</v>
      </c>
      <c r="J1065" s="344">
        <v>4</v>
      </c>
      <c r="K1065" s="344">
        <v>5</v>
      </c>
      <c r="L1065" t="str">
        <f t="shared" si="50"/>
        <v>60476</v>
      </c>
      <c r="M1065" s="344" t="s">
        <v>145</v>
      </c>
      <c r="N1065" s="344">
        <v>221126</v>
      </c>
    </row>
    <row r="1066" spans="1:14" ht="15">
      <c r="A1066" s="344">
        <v>60377</v>
      </c>
      <c r="B1066" s="345" t="s">
        <v>137</v>
      </c>
      <c r="C1066" s="344">
        <v>221127</v>
      </c>
      <c r="D1066" s="344" t="str">
        <f t="shared" si="48"/>
        <v>221127</v>
      </c>
      <c r="E1066" s="346" t="s">
        <v>146</v>
      </c>
      <c r="F1066" s="344" t="s">
        <v>139</v>
      </c>
      <c r="G1066" s="344" t="str">
        <f t="shared" si="49"/>
        <v>60377AXLE 1</v>
      </c>
      <c r="H1066" s="344">
        <v>20</v>
      </c>
      <c r="I1066" s="344">
        <v>1</v>
      </c>
      <c r="J1066" s="344">
        <v>1</v>
      </c>
      <c r="K1066" s="344">
        <v>8</v>
      </c>
      <c r="L1066" t="str">
        <f t="shared" si="50"/>
        <v>60377</v>
      </c>
      <c r="M1066" s="344" t="s">
        <v>139</v>
      </c>
      <c r="N1066" s="344">
        <v>221127</v>
      </c>
    </row>
    <row r="1067" spans="1:14" ht="15">
      <c r="A1067" s="344">
        <v>60377</v>
      </c>
      <c r="B1067" s="345" t="s">
        <v>137</v>
      </c>
      <c r="C1067" s="344">
        <v>221127</v>
      </c>
      <c r="D1067" s="344" t="str">
        <f t="shared" si="48"/>
        <v>221127</v>
      </c>
      <c r="E1067" s="346" t="s">
        <v>147</v>
      </c>
      <c r="F1067" s="344" t="s">
        <v>141</v>
      </c>
      <c r="G1067" s="344" t="str">
        <f t="shared" si="49"/>
        <v>60377AXLE 2</v>
      </c>
      <c r="H1067" s="344">
        <v>19</v>
      </c>
      <c r="I1067" s="344">
        <v>2</v>
      </c>
      <c r="J1067" s="344">
        <v>2</v>
      </c>
      <c r="K1067" s="344">
        <v>7</v>
      </c>
      <c r="L1067" t="str">
        <f t="shared" si="50"/>
        <v>60377</v>
      </c>
      <c r="M1067" s="344" t="s">
        <v>141</v>
      </c>
      <c r="N1067" s="344">
        <v>221127</v>
      </c>
    </row>
    <row r="1068" spans="1:14" ht="15">
      <c r="A1068" s="344">
        <v>60377</v>
      </c>
      <c r="B1068" s="345" t="s">
        <v>137</v>
      </c>
      <c r="C1068" s="344">
        <v>221127</v>
      </c>
      <c r="D1068" s="344" t="str">
        <f t="shared" si="48"/>
        <v>221127</v>
      </c>
      <c r="E1068" s="346" t="s">
        <v>147</v>
      </c>
      <c r="F1068" s="344" t="s">
        <v>143</v>
      </c>
      <c r="G1068" s="344" t="str">
        <f t="shared" si="49"/>
        <v>60377AXLE 3</v>
      </c>
      <c r="H1068" s="344">
        <v>18</v>
      </c>
      <c r="I1068" s="344">
        <v>3</v>
      </c>
      <c r="J1068" s="344">
        <v>3</v>
      </c>
      <c r="K1068" s="344">
        <v>6</v>
      </c>
      <c r="L1068" t="str">
        <f t="shared" si="50"/>
        <v>60377</v>
      </c>
      <c r="M1068" s="344" t="s">
        <v>143</v>
      </c>
      <c r="N1068" s="344">
        <v>221127</v>
      </c>
    </row>
    <row r="1069" spans="1:14" ht="15">
      <c r="A1069" s="344">
        <v>60377</v>
      </c>
      <c r="B1069" s="345" t="s">
        <v>137</v>
      </c>
      <c r="C1069" s="344">
        <v>221127</v>
      </c>
      <c r="D1069" s="344" t="str">
        <f t="shared" si="48"/>
        <v>221127</v>
      </c>
      <c r="E1069" s="346" t="s">
        <v>146</v>
      </c>
      <c r="F1069" s="344" t="s">
        <v>145</v>
      </c>
      <c r="G1069" s="344" t="str">
        <f t="shared" si="49"/>
        <v>60377AXLE 4</v>
      </c>
      <c r="H1069" s="344">
        <v>17</v>
      </c>
      <c r="I1069" s="344">
        <v>4</v>
      </c>
      <c r="J1069" s="344">
        <v>4</v>
      </c>
      <c r="K1069" s="344">
        <v>5</v>
      </c>
      <c r="L1069" t="str">
        <f t="shared" si="50"/>
        <v>60377</v>
      </c>
      <c r="M1069" s="344" t="s">
        <v>145</v>
      </c>
      <c r="N1069" s="344">
        <v>221127</v>
      </c>
    </row>
    <row r="1070" spans="1:14" ht="15">
      <c r="A1070" s="344">
        <v>60777</v>
      </c>
      <c r="B1070" s="345" t="s">
        <v>137</v>
      </c>
      <c r="C1070" s="344">
        <v>221127</v>
      </c>
      <c r="D1070" s="344" t="str">
        <f t="shared" si="48"/>
        <v>221127</v>
      </c>
      <c r="E1070" s="346" t="s">
        <v>146</v>
      </c>
      <c r="F1070" s="344" t="s">
        <v>139</v>
      </c>
      <c r="G1070" s="344" t="str">
        <f t="shared" si="49"/>
        <v>60777AXLE 1</v>
      </c>
      <c r="H1070" s="344">
        <v>13</v>
      </c>
      <c r="I1070" s="344">
        <v>8</v>
      </c>
      <c r="J1070" s="344">
        <v>1</v>
      </c>
      <c r="K1070" s="344">
        <v>8</v>
      </c>
      <c r="L1070" t="str">
        <f t="shared" si="50"/>
        <v>60777</v>
      </c>
      <c r="M1070" s="344" t="s">
        <v>139</v>
      </c>
      <c r="N1070" s="344">
        <v>221127</v>
      </c>
    </row>
    <row r="1071" spans="1:14" ht="15">
      <c r="A1071" s="344">
        <v>60777</v>
      </c>
      <c r="B1071" s="345" t="s">
        <v>137</v>
      </c>
      <c r="C1071" s="344">
        <v>221127</v>
      </c>
      <c r="D1071" s="344" t="str">
        <f t="shared" si="48"/>
        <v>221127</v>
      </c>
      <c r="E1071" s="346" t="s">
        <v>147</v>
      </c>
      <c r="F1071" s="344" t="s">
        <v>141</v>
      </c>
      <c r="G1071" s="344" t="str">
        <f t="shared" si="49"/>
        <v>60777AXLE 2</v>
      </c>
      <c r="H1071" s="344">
        <v>14</v>
      </c>
      <c r="I1071" s="344">
        <v>7</v>
      </c>
      <c r="J1071" s="344">
        <v>2</v>
      </c>
      <c r="K1071" s="344">
        <v>7</v>
      </c>
      <c r="L1071" t="str">
        <f t="shared" si="50"/>
        <v>60777</v>
      </c>
      <c r="M1071" s="344" t="s">
        <v>141</v>
      </c>
      <c r="N1071" s="344">
        <v>221127</v>
      </c>
    </row>
    <row r="1072" spans="1:14" ht="15">
      <c r="A1072" s="344">
        <v>60777</v>
      </c>
      <c r="B1072" s="345" t="s">
        <v>137</v>
      </c>
      <c r="C1072" s="344">
        <v>221127</v>
      </c>
      <c r="D1072" s="344" t="str">
        <f t="shared" si="48"/>
        <v>221127</v>
      </c>
      <c r="E1072" s="346" t="s">
        <v>147</v>
      </c>
      <c r="F1072" s="344" t="s">
        <v>143</v>
      </c>
      <c r="G1072" s="344" t="str">
        <f t="shared" si="49"/>
        <v>60777AXLE 3</v>
      </c>
      <c r="H1072" s="344">
        <v>15</v>
      </c>
      <c r="I1072" s="344">
        <v>6</v>
      </c>
      <c r="J1072" s="344">
        <v>3</v>
      </c>
      <c r="K1072" s="344">
        <v>6</v>
      </c>
      <c r="L1072" t="str">
        <f t="shared" si="50"/>
        <v>60777</v>
      </c>
      <c r="M1072" s="344" t="s">
        <v>143</v>
      </c>
      <c r="N1072" s="344">
        <v>221127</v>
      </c>
    </row>
    <row r="1073" spans="1:14" ht="15">
      <c r="A1073" s="344">
        <v>60777</v>
      </c>
      <c r="B1073" s="345" t="s">
        <v>137</v>
      </c>
      <c r="C1073" s="344">
        <v>221127</v>
      </c>
      <c r="D1073" s="344" t="str">
        <f t="shared" si="48"/>
        <v>221127</v>
      </c>
      <c r="E1073" s="346" t="s">
        <v>146</v>
      </c>
      <c r="F1073" s="344" t="s">
        <v>145</v>
      </c>
      <c r="G1073" s="344" t="str">
        <f t="shared" si="49"/>
        <v>60777AXLE 4</v>
      </c>
      <c r="H1073" s="344">
        <v>16</v>
      </c>
      <c r="I1073" s="344">
        <v>5</v>
      </c>
      <c r="J1073" s="344">
        <v>4</v>
      </c>
      <c r="K1073" s="344">
        <v>5</v>
      </c>
      <c r="L1073" t="str">
        <f t="shared" si="50"/>
        <v>60777</v>
      </c>
      <c r="M1073" s="344" t="s">
        <v>145</v>
      </c>
      <c r="N1073" s="344">
        <v>221127</v>
      </c>
    </row>
    <row r="1074" spans="1:14" ht="15">
      <c r="A1074" s="344">
        <v>60977</v>
      </c>
      <c r="B1074" s="345" t="s">
        <v>137</v>
      </c>
      <c r="C1074" s="344">
        <v>221127</v>
      </c>
      <c r="D1074" s="344" t="str">
        <f t="shared" si="48"/>
        <v>221127</v>
      </c>
      <c r="E1074" s="346" t="s">
        <v>146</v>
      </c>
      <c r="F1074" s="344" t="s">
        <v>139</v>
      </c>
      <c r="G1074" s="344" t="str">
        <f t="shared" si="49"/>
        <v>60977AXLE 1</v>
      </c>
      <c r="H1074" s="344">
        <v>9</v>
      </c>
      <c r="I1074" s="344">
        <v>12</v>
      </c>
      <c r="J1074" s="344">
        <v>1</v>
      </c>
      <c r="K1074" s="344">
        <v>8</v>
      </c>
      <c r="L1074" t="str">
        <f t="shared" si="50"/>
        <v>60977</v>
      </c>
      <c r="M1074" s="344" t="s">
        <v>139</v>
      </c>
      <c r="N1074" s="344">
        <v>221127</v>
      </c>
    </row>
    <row r="1075" spans="1:14" ht="15">
      <c r="A1075" s="344">
        <v>60977</v>
      </c>
      <c r="B1075" s="345" t="s">
        <v>137</v>
      </c>
      <c r="C1075" s="344">
        <v>221127</v>
      </c>
      <c r="D1075" s="344" t="str">
        <f t="shared" si="48"/>
        <v>221127</v>
      </c>
      <c r="E1075" s="346" t="s">
        <v>147</v>
      </c>
      <c r="F1075" s="344" t="s">
        <v>141</v>
      </c>
      <c r="G1075" s="344" t="str">
        <f t="shared" si="49"/>
        <v>60977AXLE 2</v>
      </c>
      <c r="H1075" s="344">
        <v>10</v>
      </c>
      <c r="I1075" s="344">
        <v>11</v>
      </c>
      <c r="J1075" s="344">
        <v>2</v>
      </c>
      <c r="K1075" s="344">
        <v>7</v>
      </c>
      <c r="L1075" t="str">
        <f t="shared" si="50"/>
        <v>60977</v>
      </c>
      <c r="M1075" s="344" t="s">
        <v>141</v>
      </c>
      <c r="N1075" s="344">
        <v>221127</v>
      </c>
    </row>
    <row r="1076" spans="1:14" ht="15">
      <c r="A1076" s="344">
        <v>60977</v>
      </c>
      <c r="B1076" s="345" t="s">
        <v>137</v>
      </c>
      <c r="C1076" s="344">
        <v>221127</v>
      </c>
      <c r="D1076" s="344" t="str">
        <f t="shared" si="48"/>
        <v>221127</v>
      </c>
      <c r="E1076" s="346" t="s">
        <v>147</v>
      </c>
      <c r="F1076" s="344" t="s">
        <v>143</v>
      </c>
      <c r="G1076" s="344" t="str">
        <f t="shared" si="49"/>
        <v>60977AXLE 3</v>
      </c>
      <c r="H1076" s="344">
        <v>11</v>
      </c>
      <c r="I1076" s="344">
        <v>10</v>
      </c>
      <c r="J1076" s="344">
        <v>3</v>
      </c>
      <c r="K1076" s="344">
        <v>6</v>
      </c>
      <c r="L1076" t="str">
        <f t="shared" si="50"/>
        <v>60977</v>
      </c>
      <c r="M1076" s="344" t="s">
        <v>143</v>
      </c>
      <c r="N1076" s="344">
        <v>221127</v>
      </c>
    </row>
    <row r="1077" spans="1:14" ht="15">
      <c r="A1077" s="344">
        <v>60977</v>
      </c>
      <c r="B1077" s="345" t="s">
        <v>137</v>
      </c>
      <c r="C1077" s="344">
        <v>221127</v>
      </c>
      <c r="D1077" s="344" t="str">
        <f t="shared" si="48"/>
        <v>221127</v>
      </c>
      <c r="E1077" s="346" t="s">
        <v>146</v>
      </c>
      <c r="F1077" s="344" t="s">
        <v>145</v>
      </c>
      <c r="G1077" s="344" t="str">
        <f t="shared" si="49"/>
        <v>60977AXLE 4</v>
      </c>
      <c r="H1077" s="344">
        <v>12</v>
      </c>
      <c r="I1077" s="344">
        <v>9</v>
      </c>
      <c r="J1077" s="344">
        <v>4</v>
      </c>
      <c r="K1077" s="344">
        <v>5</v>
      </c>
      <c r="L1077" t="str">
        <f t="shared" si="50"/>
        <v>60977</v>
      </c>
      <c r="M1077" s="344" t="s">
        <v>145</v>
      </c>
      <c r="N1077" s="344">
        <v>221127</v>
      </c>
    </row>
    <row r="1078" spans="1:14" ht="15">
      <c r="A1078" s="344">
        <v>60877</v>
      </c>
      <c r="B1078" s="345" t="s">
        <v>137</v>
      </c>
      <c r="C1078" s="344">
        <v>221127</v>
      </c>
      <c r="D1078" s="344" t="str">
        <f t="shared" si="48"/>
        <v>221127</v>
      </c>
      <c r="E1078" s="346" t="s">
        <v>146</v>
      </c>
      <c r="F1078" s="344" t="s">
        <v>139</v>
      </c>
      <c r="G1078" s="344" t="str">
        <f t="shared" si="49"/>
        <v>60877AXLE 1</v>
      </c>
      <c r="H1078" s="344">
        <v>5</v>
      </c>
      <c r="I1078" s="344">
        <v>16</v>
      </c>
      <c r="J1078" s="344">
        <v>1</v>
      </c>
      <c r="K1078" s="344">
        <v>8</v>
      </c>
      <c r="L1078" t="str">
        <f t="shared" si="50"/>
        <v>60877</v>
      </c>
      <c r="M1078" s="344" t="s">
        <v>139</v>
      </c>
      <c r="N1078" s="344">
        <v>221127</v>
      </c>
    </row>
    <row r="1079" spans="1:14" ht="15">
      <c r="A1079" s="344">
        <v>60877</v>
      </c>
      <c r="B1079" s="345" t="s">
        <v>137</v>
      </c>
      <c r="C1079" s="344">
        <v>221127</v>
      </c>
      <c r="D1079" s="344" t="str">
        <f t="shared" si="48"/>
        <v>221127</v>
      </c>
      <c r="E1079" s="346" t="s">
        <v>147</v>
      </c>
      <c r="F1079" s="344" t="s">
        <v>141</v>
      </c>
      <c r="G1079" s="344" t="str">
        <f t="shared" si="49"/>
        <v>60877AXLE 2</v>
      </c>
      <c r="H1079" s="344">
        <v>6</v>
      </c>
      <c r="I1079" s="344">
        <v>15</v>
      </c>
      <c r="J1079" s="344">
        <v>2</v>
      </c>
      <c r="K1079" s="344">
        <v>7</v>
      </c>
      <c r="L1079" t="str">
        <f t="shared" si="50"/>
        <v>60877</v>
      </c>
      <c r="M1079" s="344" t="s">
        <v>141</v>
      </c>
      <c r="N1079" s="344">
        <v>221127</v>
      </c>
    </row>
    <row r="1080" spans="1:14" ht="15">
      <c r="A1080" s="344">
        <v>60877</v>
      </c>
      <c r="B1080" s="345" t="s">
        <v>137</v>
      </c>
      <c r="C1080" s="344">
        <v>221127</v>
      </c>
      <c r="D1080" s="344" t="str">
        <f t="shared" si="48"/>
        <v>221127</v>
      </c>
      <c r="E1080" s="346" t="s">
        <v>147</v>
      </c>
      <c r="F1080" s="344" t="s">
        <v>143</v>
      </c>
      <c r="G1080" s="344" t="str">
        <f t="shared" si="49"/>
        <v>60877AXLE 3</v>
      </c>
      <c r="H1080" s="344">
        <v>7</v>
      </c>
      <c r="I1080" s="344">
        <v>14</v>
      </c>
      <c r="J1080" s="344">
        <v>3</v>
      </c>
      <c r="K1080" s="344">
        <v>6</v>
      </c>
      <c r="L1080" t="str">
        <f t="shared" si="50"/>
        <v>60877</v>
      </c>
      <c r="M1080" s="344" t="s">
        <v>143</v>
      </c>
      <c r="N1080" s="344">
        <v>221127</v>
      </c>
    </row>
    <row r="1081" spans="1:14" ht="15">
      <c r="A1081" s="344">
        <v>60877</v>
      </c>
      <c r="B1081" s="345" t="s">
        <v>137</v>
      </c>
      <c r="C1081" s="344">
        <v>221127</v>
      </c>
      <c r="D1081" s="344" t="str">
        <f t="shared" si="48"/>
        <v>221127</v>
      </c>
      <c r="E1081" s="346" t="s">
        <v>146</v>
      </c>
      <c r="F1081" s="344" t="s">
        <v>145</v>
      </c>
      <c r="G1081" s="344" t="str">
        <f t="shared" si="49"/>
        <v>60877AXLE 4</v>
      </c>
      <c r="H1081" s="344">
        <v>8</v>
      </c>
      <c r="I1081" s="344">
        <v>13</v>
      </c>
      <c r="J1081" s="344">
        <v>4</v>
      </c>
      <c r="K1081" s="344">
        <v>5</v>
      </c>
      <c r="L1081" t="str">
        <f t="shared" si="50"/>
        <v>60877</v>
      </c>
      <c r="M1081" s="344" t="s">
        <v>145</v>
      </c>
      <c r="N1081" s="344">
        <v>221127</v>
      </c>
    </row>
    <row r="1082" spans="1:14" ht="15">
      <c r="A1082" s="344">
        <v>60477</v>
      </c>
      <c r="B1082" s="345" t="s">
        <v>137</v>
      </c>
      <c r="C1082" s="344">
        <v>221127</v>
      </c>
      <c r="D1082" s="344" t="str">
        <f t="shared" si="48"/>
        <v>221127</v>
      </c>
      <c r="E1082" s="346" t="s">
        <v>146</v>
      </c>
      <c r="F1082" s="344" t="s">
        <v>139</v>
      </c>
      <c r="G1082" s="344" t="str">
        <f t="shared" si="49"/>
        <v>60477AXLE 1</v>
      </c>
      <c r="H1082" s="344">
        <v>1</v>
      </c>
      <c r="I1082" s="344">
        <v>20</v>
      </c>
      <c r="J1082" s="344">
        <v>1</v>
      </c>
      <c r="K1082" s="344">
        <v>8</v>
      </c>
      <c r="L1082" t="str">
        <f t="shared" si="50"/>
        <v>60477</v>
      </c>
      <c r="M1082" s="344" t="s">
        <v>139</v>
      </c>
      <c r="N1082" s="344">
        <v>221127</v>
      </c>
    </row>
    <row r="1083" spans="1:14" ht="15">
      <c r="A1083" s="344">
        <v>60477</v>
      </c>
      <c r="B1083" s="345" t="s">
        <v>137</v>
      </c>
      <c r="C1083" s="344">
        <v>221127</v>
      </c>
      <c r="D1083" s="344" t="str">
        <f t="shared" si="48"/>
        <v>221127</v>
      </c>
      <c r="E1083" s="346" t="s">
        <v>147</v>
      </c>
      <c r="F1083" s="344" t="s">
        <v>141</v>
      </c>
      <c r="G1083" s="344" t="str">
        <f t="shared" si="49"/>
        <v>60477AXLE 2</v>
      </c>
      <c r="H1083" s="344">
        <v>2</v>
      </c>
      <c r="I1083" s="344">
        <v>19</v>
      </c>
      <c r="J1083" s="344">
        <v>2</v>
      </c>
      <c r="K1083" s="344">
        <v>7</v>
      </c>
      <c r="L1083" t="str">
        <f t="shared" si="50"/>
        <v>60477</v>
      </c>
      <c r="M1083" s="344" t="s">
        <v>141</v>
      </c>
      <c r="N1083" s="344">
        <v>221127</v>
      </c>
    </row>
    <row r="1084" spans="1:14" ht="15">
      <c r="A1084" s="344">
        <v>60477</v>
      </c>
      <c r="B1084" s="345" t="s">
        <v>137</v>
      </c>
      <c r="C1084" s="344">
        <v>221127</v>
      </c>
      <c r="D1084" s="344" t="str">
        <f t="shared" si="48"/>
        <v>221127</v>
      </c>
      <c r="E1084" s="346" t="s">
        <v>147</v>
      </c>
      <c r="F1084" s="344" t="s">
        <v>143</v>
      </c>
      <c r="G1084" s="344" t="str">
        <f t="shared" si="49"/>
        <v>60477AXLE 3</v>
      </c>
      <c r="H1084" s="344">
        <v>3</v>
      </c>
      <c r="I1084" s="344">
        <v>18</v>
      </c>
      <c r="J1084" s="344">
        <v>3</v>
      </c>
      <c r="K1084" s="344">
        <v>6</v>
      </c>
      <c r="L1084" t="str">
        <f t="shared" si="50"/>
        <v>60477</v>
      </c>
      <c r="M1084" s="344" t="s">
        <v>143</v>
      </c>
      <c r="N1084" s="344">
        <v>221127</v>
      </c>
    </row>
    <row r="1085" spans="1:14" ht="15">
      <c r="A1085" s="344">
        <v>60477</v>
      </c>
      <c r="B1085" s="345" t="s">
        <v>137</v>
      </c>
      <c r="C1085" s="344">
        <v>221127</v>
      </c>
      <c r="D1085" s="344" t="str">
        <f t="shared" si="48"/>
        <v>221127</v>
      </c>
      <c r="E1085" s="346" t="s">
        <v>146</v>
      </c>
      <c r="F1085" s="344" t="s">
        <v>145</v>
      </c>
      <c r="G1085" s="344" t="str">
        <f t="shared" si="49"/>
        <v>60477AXLE 4</v>
      </c>
      <c r="H1085" s="344">
        <v>4</v>
      </c>
      <c r="I1085" s="344">
        <v>17</v>
      </c>
      <c r="J1085" s="344">
        <v>4</v>
      </c>
      <c r="K1085" s="344">
        <v>5</v>
      </c>
      <c r="L1085" t="str">
        <f t="shared" si="50"/>
        <v>60477</v>
      </c>
      <c r="M1085" s="344" t="s">
        <v>145</v>
      </c>
      <c r="N1085" s="344">
        <v>221127</v>
      </c>
    </row>
    <row r="1086" spans="1:14" ht="15">
      <c r="A1086" s="344">
        <v>60378</v>
      </c>
      <c r="B1086" s="345" t="s">
        <v>137</v>
      </c>
      <c r="C1086" s="344">
        <v>221128</v>
      </c>
      <c r="D1086" s="344" t="str">
        <f t="shared" si="48"/>
        <v>221128</v>
      </c>
      <c r="E1086" s="346" t="s">
        <v>146</v>
      </c>
      <c r="F1086" s="344" t="s">
        <v>139</v>
      </c>
      <c r="G1086" s="344" t="str">
        <f t="shared" si="49"/>
        <v>60378AXLE 1</v>
      </c>
      <c r="H1086" s="344">
        <v>20</v>
      </c>
      <c r="I1086" s="344">
        <v>1</v>
      </c>
      <c r="J1086" s="344">
        <v>1</v>
      </c>
      <c r="K1086" s="344">
        <v>8</v>
      </c>
      <c r="L1086" t="str">
        <f t="shared" si="50"/>
        <v>60378</v>
      </c>
      <c r="M1086" s="344" t="s">
        <v>139</v>
      </c>
      <c r="N1086" s="344">
        <v>221128</v>
      </c>
    </row>
    <row r="1087" spans="1:14" ht="15">
      <c r="A1087" s="344">
        <v>60378</v>
      </c>
      <c r="B1087" s="345" t="s">
        <v>137</v>
      </c>
      <c r="C1087" s="344">
        <v>221128</v>
      </c>
      <c r="D1087" s="344" t="str">
        <f t="shared" si="48"/>
        <v>221128</v>
      </c>
      <c r="E1087" s="346" t="s">
        <v>147</v>
      </c>
      <c r="F1087" s="344" t="s">
        <v>141</v>
      </c>
      <c r="G1087" s="344" t="str">
        <f t="shared" si="49"/>
        <v>60378AXLE 2</v>
      </c>
      <c r="H1087" s="344">
        <v>19</v>
      </c>
      <c r="I1087" s="344">
        <v>2</v>
      </c>
      <c r="J1087" s="344">
        <v>2</v>
      </c>
      <c r="K1087" s="344">
        <v>7</v>
      </c>
      <c r="L1087" t="str">
        <f t="shared" si="50"/>
        <v>60378</v>
      </c>
      <c r="M1087" s="344" t="s">
        <v>141</v>
      </c>
      <c r="N1087" s="344">
        <v>221128</v>
      </c>
    </row>
    <row r="1088" spans="1:14" ht="15">
      <c r="A1088" s="344">
        <v>60378</v>
      </c>
      <c r="B1088" s="345" t="s">
        <v>137</v>
      </c>
      <c r="C1088" s="344">
        <v>221128</v>
      </c>
      <c r="D1088" s="344" t="str">
        <f t="shared" si="48"/>
        <v>221128</v>
      </c>
      <c r="E1088" s="346" t="s">
        <v>147</v>
      </c>
      <c r="F1088" s="344" t="s">
        <v>143</v>
      </c>
      <c r="G1088" s="344" t="str">
        <f t="shared" si="49"/>
        <v>60378AXLE 3</v>
      </c>
      <c r="H1088" s="344">
        <v>18</v>
      </c>
      <c r="I1088" s="344">
        <v>3</v>
      </c>
      <c r="J1088" s="344">
        <v>3</v>
      </c>
      <c r="K1088" s="344">
        <v>6</v>
      </c>
      <c r="L1088" t="str">
        <f t="shared" si="50"/>
        <v>60378</v>
      </c>
      <c r="M1088" s="344" t="s">
        <v>143</v>
      </c>
      <c r="N1088" s="344">
        <v>221128</v>
      </c>
    </row>
    <row r="1089" spans="1:14" ht="15">
      <c r="A1089" s="344">
        <v>60378</v>
      </c>
      <c r="B1089" s="345" t="s">
        <v>137</v>
      </c>
      <c r="C1089" s="344">
        <v>221128</v>
      </c>
      <c r="D1089" s="344" t="str">
        <f t="shared" si="48"/>
        <v>221128</v>
      </c>
      <c r="E1089" s="346" t="s">
        <v>146</v>
      </c>
      <c r="F1089" s="344" t="s">
        <v>145</v>
      </c>
      <c r="G1089" s="344" t="str">
        <f t="shared" si="49"/>
        <v>60378AXLE 4</v>
      </c>
      <c r="H1089" s="344">
        <v>17</v>
      </c>
      <c r="I1089" s="344">
        <v>4</v>
      </c>
      <c r="J1089" s="344">
        <v>4</v>
      </c>
      <c r="K1089" s="344">
        <v>5</v>
      </c>
      <c r="L1089" t="str">
        <f t="shared" si="50"/>
        <v>60378</v>
      </c>
      <c r="M1089" s="344" t="s">
        <v>145</v>
      </c>
      <c r="N1089" s="344">
        <v>221128</v>
      </c>
    </row>
    <row r="1090" spans="1:14" ht="15">
      <c r="A1090" s="344">
        <v>60778</v>
      </c>
      <c r="B1090" s="345" t="s">
        <v>137</v>
      </c>
      <c r="C1090" s="344">
        <v>221128</v>
      </c>
      <c r="D1090" s="344" t="str">
        <f t="shared" si="48"/>
        <v>221128</v>
      </c>
      <c r="E1090" s="346" t="s">
        <v>146</v>
      </c>
      <c r="F1090" s="344" t="s">
        <v>139</v>
      </c>
      <c r="G1090" s="344" t="str">
        <f t="shared" si="49"/>
        <v>60778AXLE 1</v>
      </c>
      <c r="H1090" s="344">
        <v>13</v>
      </c>
      <c r="I1090" s="344">
        <v>8</v>
      </c>
      <c r="J1090" s="344">
        <v>1</v>
      </c>
      <c r="K1090" s="344">
        <v>8</v>
      </c>
      <c r="L1090" t="str">
        <f t="shared" si="50"/>
        <v>60778</v>
      </c>
      <c r="M1090" s="344" t="s">
        <v>139</v>
      </c>
      <c r="N1090" s="344">
        <v>221128</v>
      </c>
    </row>
    <row r="1091" spans="1:14" ht="15">
      <c r="A1091" s="344">
        <v>60778</v>
      </c>
      <c r="B1091" s="345" t="s">
        <v>137</v>
      </c>
      <c r="C1091" s="344">
        <v>221128</v>
      </c>
      <c r="D1091" s="344" t="str">
        <f t="shared" ref="D1091:D1154" si="51">CONCATENATE(B1091,C1091)</f>
        <v>221128</v>
      </c>
      <c r="E1091" s="346" t="s">
        <v>147</v>
      </c>
      <c r="F1091" s="344" t="s">
        <v>141</v>
      </c>
      <c r="G1091" s="344" t="str">
        <f t="shared" ref="G1091:G1154" si="52">CONCATENATE(A1091,F1091)</f>
        <v>60778AXLE 2</v>
      </c>
      <c r="H1091" s="344">
        <v>14</v>
      </c>
      <c r="I1091" s="344">
        <v>7</v>
      </c>
      <c r="J1091" s="344">
        <v>2</v>
      </c>
      <c r="K1091" s="344">
        <v>7</v>
      </c>
      <c r="L1091" t="str">
        <f t="shared" ref="L1091:L1154" si="53">CONCATENATE(A1091,B1091)</f>
        <v>60778</v>
      </c>
      <c r="M1091" s="344" t="s">
        <v>141</v>
      </c>
      <c r="N1091" s="344">
        <v>221128</v>
      </c>
    </row>
    <row r="1092" spans="1:14" ht="15">
      <c r="A1092" s="344">
        <v>60778</v>
      </c>
      <c r="B1092" s="345" t="s">
        <v>137</v>
      </c>
      <c r="C1092" s="344">
        <v>221128</v>
      </c>
      <c r="D1092" s="344" t="str">
        <f t="shared" si="51"/>
        <v>221128</v>
      </c>
      <c r="E1092" s="346" t="s">
        <v>147</v>
      </c>
      <c r="F1092" s="344" t="s">
        <v>143</v>
      </c>
      <c r="G1092" s="344" t="str">
        <f t="shared" si="52"/>
        <v>60778AXLE 3</v>
      </c>
      <c r="H1092" s="344">
        <v>15</v>
      </c>
      <c r="I1092" s="344">
        <v>6</v>
      </c>
      <c r="J1092" s="344">
        <v>3</v>
      </c>
      <c r="K1092" s="344">
        <v>6</v>
      </c>
      <c r="L1092" t="str">
        <f t="shared" si="53"/>
        <v>60778</v>
      </c>
      <c r="M1092" s="344" t="s">
        <v>143</v>
      </c>
      <c r="N1092" s="344">
        <v>221128</v>
      </c>
    </row>
    <row r="1093" spans="1:14" ht="15">
      <c r="A1093" s="344">
        <v>60778</v>
      </c>
      <c r="B1093" s="345" t="s">
        <v>137</v>
      </c>
      <c r="C1093" s="344">
        <v>221128</v>
      </c>
      <c r="D1093" s="344" t="str">
        <f t="shared" si="51"/>
        <v>221128</v>
      </c>
      <c r="E1093" s="346" t="s">
        <v>146</v>
      </c>
      <c r="F1093" s="344" t="s">
        <v>145</v>
      </c>
      <c r="G1093" s="344" t="str">
        <f t="shared" si="52"/>
        <v>60778AXLE 4</v>
      </c>
      <c r="H1093" s="344">
        <v>16</v>
      </c>
      <c r="I1093" s="344">
        <v>5</v>
      </c>
      <c r="J1093" s="344">
        <v>4</v>
      </c>
      <c r="K1093" s="344">
        <v>5</v>
      </c>
      <c r="L1093" t="str">
        <f t="shared" si="53"/>
        <v>60778</v>
      </c>
      <c r="M1093" s="344" t="s">
        <v>145</v>
      </c>
      <c r="N1093" s="344">
        <v>221128</v>
      </c>
    </row>
    <row r="1094" spans="1:14" ht="15">
      <c r="A1094" s="344">
        <v>60978</v>
      </c>
      <c r="B1094" s="345" t="s">
        <v>137</v>
      </c>
      <c r="C1094" s="344">
        <v>221128</v>
      </c>
      <c r="D1094" s="344" t="str">
        <f t="shared" si="51"/>
        <v>221128</v>
      </c>
      <c r="E1094" s="346" t="s">
        <v>146</v>
      </c>
      <c r="F1094" s="344" t="s">
        <v>139</v>
      </c>
      <c r="G1094" s="344" t="str">
        <f t="shared" si="52"/>
        <v>60978AXLE 1</v>
      </c>
      <c r="H1094" s="344">
        <v>9</v>
      </c>
      <c r="I1094" s="344">
        <v>12</v>
      </c>
      <c r="J1094" s="344">
        <v>1</v>
      </c>
      <c r="K1094" s="344">
        <v>8</v>
      </c>
      <c r="L1094" t="str">
        <f t="shared" si="53"/>
        <v>60978</v>
      </c>
      <c r="M1094" s="344" t="s">
        <v>139</v>
      </c>
      <c r="N1094" s="344">
        <v>221128</v>
      </c>
    </row>
    <row r="1095" spans="1:14" ht="15">
      <c r="A1095" s="344">
        <v>60978</v>
      </c>
      <c r="B1095" s="345" t="s">
        <v>137</v>
      </c>
      <c r="C1095" s="344">
        <v>221128</v>
      </c>
      <c r="D1095" s="344" t="str">
        <f t="shared" si="51"/>
        <v>221128</v>
      </c>
      <c r="E1095" s="346" t="s">
        <v>147</v>
      </c>
      <c r="F1095" s="344" t="s">
        <v>141</v>
      </c>
      <c r="G1095" s="344" t="str">
        <f t="shared" si="52"/>
        <v>60978AXLE 2</v>
      </c>
      <c r="H1095" s="344">
        <v>10</v>
      </c>
      <c r="I1095" s="344">
        <v>11</v>
      </c>
      <c r="J1095" s="344">
        <v>2</v>
      </c>
      <c r="K1095" s="344">
        <v>7</v>
      </c>
      <c r="L1095" t="str">
        <f t="shared" si="53"/>
        <v>60978</v>
      </c>
      <c r="M1095" s="344" t="s">
        <v>141</v>
      </c>
      <c r="N1095" s="344">
        <v>221128</v>
      </c>
    </row>
    <row r="1096" spans="1:14" ht="15">
      <c r="A1096" s="344">
        <v>60978</v>
      </c>
      <c r="B1096" s="345" t="s">
        <v>137</v>
      </c>
      <c r="C1096" s="344">
        <v>221128</v>
      </c>
      <c r="D1096" s="344" t="str">
        <f t="shared" si="51"/>
        <v>221128</v>
      </c>
      <c r="E1096" s="346" t="s">
        <v>147</v>
      </c>
      <c r="F1096" s="344" t="s">
        <v>143</v>
      </c>
      <c r="G1096" s="344" t="str">
        <f t="shared" si="52"/>
        <v>60978AXLE 3</v>
      </c>
      <c r="H1096" s="344">
        <v>11</v>
      </c>
      <c r="I1096" s="344">
        <v>10</v>
      </c>
      <c r="J1096" s="344">
        <v>3</v>
      </c>
      <c r="K1096" s="344">
        <v>6</v>
      </c>
      <c r="L1096" t="str">
        <f t="shared" si="53"/>
        <v>60978</v>
      </c>
      <c r="M1096" s="344" t="s">
        <v>143</v>
      </c>
      <c r="N1096" s="344">
        <v>221128</v>
      </c>
    </row>
    <row r="1097" spans="1:14" ht="15">
      <c r="A1097" s="344">
        <v>60978</v>
      </c>
      <c r="B1097" s="345" t="s">
        <v>137</v>
      </c>
      <c r="C1097" s="344">
        <v>221128</v>
      </c>
      <c r="D1097" s="344" t="str">
        <f t="shared" si="51"/>
        <v>221128</v>
      </c>
      <c r="E1097" s="346" t="s">
        <v>146</v>
      </c>
      <c r="F1097" s="344" t="s">
        <v>145</v>
      </c>
      <c r="G1097" s="344" t="str">
        <f t="shared" si="52"/>
        <v>60978AXLE 4</v>
      </c>
      <c r="H1097" s="344">
        <v>12</v>
      </c>
      <c r="I1097" s="344">
        <v>9</v>
      </c>
      <c r="J1097" s="344">
        <v>4</v>
      </c>
      <c r="K1097" s="344">
        <v>5</v>
      </c>
      <c r="L1097" t="str">
        <f t="shared" si="53"/>
        <v>60978</v>
      </c>
      <c r="M1097" s="344" t="s">
        <v>145</v>
      </c>
      <c r="N1097" s="344">
        <v>221128</v>
      </c>
    </row>
    <row r="1098" spans="1:14" ht="15">
      <c r="A1098" s="344">
        <v>60878</v>
      </c>
      <c r="B1098" s="345" t="s">
        <v>137</v>
      </c>
      <c r="C1098" s="344">
        <v>221128</v>
      </c>
      <c r="D1098" s="344" t="str">
        <f t="shared" si="51"/>
        <v>221128</v>
      </c>
      <c r="E1098" s="346" t="s">
        <v>146</v>
      </c>
      <c r="F1098" s="344" t="s">
        <v>139</v>
      </c>
      <c r="G1098" s="344" t="str">
        <f t="shared" si="52"/>
        <v>60878AXLE 1</v>
      </c>
      <c r="H1098" s="344">
        <v>5</v>
      </c>
      <c r="I1098" s="344">
        <v>16</v>
      </c>
      <c r="J1098" s="344">
        <v>1</v>
      </c>
      <c r="K1098" s="344">
        <v>8</v>
      </c>
      <c r="L1098" t="str">
        <f t="shared" si="53"/>
        <v>60878</v>
      </c>
      <c r="M1098" s="344" t="s">
        <v>139</v>
      </c>
      <c r="N1098" s="344">
        <v>221128</v>
      </c>
    </row>
    <row r="1099" spans="1:14" ht="15">
      <c r="A1099" s="344">
        <v>60878</v>
      </c>
      <c r="B1099" s="345" t="s">
        <v>137</v>
      </c>
      <c r="C1099" s="344">
        <v>221128</v>
      </c>
      <c r="D1099" s="344" t="str">
        <f t="shared" si="51"/>
        <v>221128</v>
      </c>
      <c r="E1099" s="346" t="s">
        <v>147</v>
      </c>
      <c r="F1099" s="344" t="s">
        <v>141</v>
      </c>
      <c r="G1099" s="344" t="str">
        <f t="shared" si="52"/>
        <v>60878AXLE 2</v>
      </c>
      <c r="H1099" s="344">
        <v>6</v>
      </c>
      <c r="I1099" s="344">
        <v>15</v>
      </c>
      <c r="J1099" s="344">
        <v>2</v>
      </c>
      <c r="K1099" s="344">
        <v>7</v>
      </c>
      <c r="L1099" t="str">
        <f t="shared" si="53"/>
        <v>60878</v>
      </c>
      <c r="M1099" s="344" t="s">
        <v>141</v>
      </c>
      <c r="N1099" s="344">
        <v>221128</v>
      </c>
    </row>
    <row r="1100" spans="1:14" ht="15">
      <c r="A1100" s="344">
        <v>60878</v>
      </c>
      <c r="B1100" s="345" t="s">
        <v>137</v>
      </c>
      <c r="C1100" s="344">
        <v>221128</v>
      </c>
      <c r="D1100" s="344" t="str">
        <f t="shared" si="51"/>
        <v>221128</v>
      </c>
      <c r="E1100" s="346" t="s">
        <v>147</v>
      </c>
      <c r="F1100" s="344" t="s">
        <v>143</v>
      </c>
      <c r="G1100" s="344" t="str">
        <f t="shared" si="52"/>
        <v>60878AXLE 3</v>
      </c>
      <c r="H1100" s="344">
        <v>7</v>
      </c>
      <c r="I1100" s="344">
        <v>14</v>
      </c>
      <c r="J1100" s="344">
        <v>3</v>
      </c>
      <c r="K1100" s="344">
        <v>6</v>
      </c>
      <c r="L1100" t="str">
        <f t="shared" si="53"/>
        <v>60878</v>
      </c>
      <c r="M1100" s="344" t="s">
        <v>143</v>
      </c>
      <c r="N1100" s="344">
        <v>221128</v>
      </c>
    </row>
    <row r="1101" spans="1:14" ht="15">
      <c r="A1101" s="344">
        <v>60878</v>
      </c>
      <c r="B1101" s="345" t="s">
        <v>137</v>
      </c>
      <c r="C1101" s="344">
        <v>221128</v>
      </c>
      <c r="D1101" s="344" t="str">
        <f t="shared" si="51"/>
        <v>221128</v>
      </c>
      <c r="E1101" s="346" t="s">
        <v>146</v>
      </c>
      <c r="F1101" s="344" t="s">
        <v>145</v>
      </c>
      <c r="G1101" s="344" t="str">
        <f t="shared" si="52"/>
        <v>60878AXLE 4</v>
      </c>
      <c r="H1101" s="344">
        <v>8</v>
      </c>
      <c r="I1101" s="344">
        <v>13</v>
      </c>
      <c r="J1101" s="344">
        <v>4</v>
      </c>
      <c r="K1101" s="344">
        <v>5</v>
      </c>
      <c r="L1101" t="str">
        <f t="shared" si="53"/>
        <v>60878</v>
      </c>
      <c r="M1101" s="344" t="s">
        <v>145</v>
      </c>
      <c r="N1101" s="344">
        <v>221128</v>
      </c>
    </row>
    <row r="1102" spans="1:14" ht="15">
      <c r="A1102" s="344">
        <v>60478</v>
      </c>
      <c r="B1102" s="345" t="s">
        <v>137</v>
      </c>
      <c r="C1102" s="344">
        <v>221128</v>
      </c>
      <c r="D1102" s="344" t="str">
        <f t="shared" si="51"/>
        <v>221128</v>
      </c>
      <c r="E1102" s="346" t="s">
        <v>146</v>
      </c>
      <c r="F1102" s="344" t="s">
        <v>139</v>
      </c>
      <c r="G1102" s="344" t="str">
        <f t="shared" si="52"/>
        <v>60478AXLE 1</v>
      </c>
      <c r="H1102" s="344">
        <v>1</v>
      </c>
      <c r="I1102" s="344">
        <v>20</v>
      </c>
      <c r="J1102" s="344">
        <v>1</v>
      </c>
      <c r="K1102" s="344">
        <v>8</v>
      </c>
      <c r="L1102" t="str">
        <f t="shared" si="53"/>
        <v>60478</v>
      </c>
      <c r="M1102" s="344" t="s">
        <v>139</v>
      </c>
      <c r="N1102" s="344">
        <v>221128</v>
      </c>
    </row>
    <row r="1103" spans="1:14" ht="15">
      <c r="A1103" s="344">
        <v>60478</v>
      </c>
      <c r="B1103" s="345" t="s">
        <v>137</v>
      </c>
      <c r="C1103" s="344">
        <v>221128</v>
      </c>
      <c r="D1103" s="344" t="str">
        <f t="shared" si="51"/>
        <v>221128</v>
      </c>
      <c r="E1103" s="346" t="s">
        <v>147</v>
      </c>
      <c r="F1103" s="344" t="s">
        <v>141</v>
      </c>
      <c r="G1103" s="344" t="str">
        <f t="shared" si="52"/>
        <v>60478AXLE 2</v>
      </c>
      <c r="H1103" s="344">
        <v>2</v>
      </c>
      <c r="I1103" s="344">
        <v>19</v>
      </c>
      <c r="J1103" s="344">
        <v>2</v>
      </c>
      <c r="K1103" s="344">
        <v>7</v>
      </c>
      <c r="L1103" t="str">
        <f t="shared" si="53"/>
        <v>60478</v>
      </c>
      <c r="M1103" s="344" t="s">
        <v>141</v>
      </c>
      <c r="N1103" s="344">
        <v>221128</v>
      </c>
    </row>
    <row r="1104" spans="1:14" ht="15">
      <c r="A1104" s="344">
        <v>60478</v>
      </c>
      <c r="B1104" s="345" t="s">
        <v>137</v>
      </c>
      <c r="C1104" s="344">
        <v>221128</v>
      </c>
      <c r="D1104" s="344" t="str">
        <f t="shared" si="51"/>
        <v>221128</v>
      </c>
      <c r="E1104" s="346" t="s">
        <v>147</v>
      </c>
      <c r="F1104" s="344" t="s">
        <v>143</v>
      </c>
      <c r="G1104" s="344" t="str">
        <f t="shared" si="52"/>
        <v>60478AXLE 3</v>
      </c>
      <c r="H1104" s="344">
        <v>3</v>
      </c>
      <c r="I1104" s="344">
        <v>18</v>
      </c>
      <c r="J1104" s="344">
        <v>3</v>
      </c>
      <c r="K1104" s="344">
        <v>6</v>
      </c>
      <c r="L1104" t="str">
        <f t="shared" si="53"/>
        <v>60478</v>
      </c>
      <c r="M1104" s="344" t="s">
        <v>143</v>
      </c>
      <c r="N1104" s="344">
        <v>221128</v>
      </c>
    </row>
    <row r="1105" spans="1:14" ht="15">
      <c r="A1105" s="344">
        <v>60478</v>
      </c>
      <c r="B1105" s="345" t="s">
        <v>137</v>
      </c>
      <c r="C1105" s="344">
        <v>221128</v>
      </c>
      <c r="D1105" s="344" t="str">
        <f t="shared" si="51"/>
        <v>221128</v>
      </c>
      <c r="E1105" s="346" t="s">
        <v>146</v>
      </c>
      <c r="F1105" s="344" t="s">
        <v>145</v>
      </c>
      <c r="G1105" s="344" t="str">
        <f t="shared" si="52"/>
        <v>60478AXLE 4</v>
      </c>
      <c r="H1105" s="344">
        <v>4</v>
      </c>
      <c r="I1105" s="344">
        <v>17</v>
      </c>
      <c r="J1105" s="344">
        <v>4</v>
      </c>
      <c r="K1105" s="344">
        <v>5</v>
      </c>
      <c r="L1105" t="str">
        <f t="shared" si="53"/>
        <v>60478</v>
      </c>
      <c r="M1105" s="344" t="s">
        <v>145</v>
      </c>
      <c r="N1105" s="344">
        <v>221128</v>
      </c>
    </row>
    <row r="1106" spans="1:14" ht="15">
      <c r="A1106" s="344">
        <v>60379</v>
      </c>
      <c r="B1106" s="345" t="s">
        <v>137</v>
      </c>
      <c r="C1106" s="344">
        <v>221129</v>
      </c>
      <c r="D1106" s="344" t="str">
        <f t="shared" si="51"/>
        <v>221129</v>
      </c>
      <c r="E1106" s="346" t="s">
        <v>146</v>
      </c>
      <c r="F1106" s="344" t="s">
        <v>139</v>
      </c>
      <c r="G1106" s="344" t="str">
        <f t="shared" si="52"/>
        <v>60379AXLE 1</v>
      </c>
      <c r="H1106" s="344">
        <v>20</v>
      </c>
      <c r="I1106" s="344">
        <v>1</v>
      </c>
      <c r="J1106" s="344">
        <v>1</v>
      </c>
      <c r="K1106" s="344">
        <v>8</v>
      </c>
      <c r="L1106" t="str">
        <f t="shared" si="53"/>
        <v>60379</v>
      </c>
      <c r="M1106" s="344" t="s">
        <v>139</v>
      </c>
      <c r="N1106" s="344">
        <v>221129</v>
      </c>
    </row>
    <row r="1107" spans="1:14" ht="15">
      <c r="A1107" s="344">
        <v>60379</v>
      </c>
      <c r="B1107" s="345" t="s">
        <v>137</v>
      </c>
      <c r="C1107" s="344">
        <v>221129</v>
      </c>
      <c r="D1107" s="344" t="str">
        <f t="shared" si="51"/>
        <v>221129</v>
      </c>
      <c r="E1107" s="346" t="s">
        <v>147</v>
      </c>
      <c r="F1107" s="344" t="s">
        <v>141</v>
      </c>
      <c r="G1107" s="344" t="str">
        <f t="shared" si="52"/>
        <v>60379AXLE 2</v>
      </c>
      <c r="H1107" s="344">
        <v>19</v>
      </c>
      <c r="I1107" s="344">
        <v>2</v>
      </c>
      <c r="J1107" s="344">
        <v>2</v>
      </c>
      <c r="K1107" s="344">
        <v>7</v>
      </c>
      <c r="L1107" t="str">
        <f t="shared" si="53"/>
        <v>60379</v>
      </c>
      <c r="M1107" s="344" t="s">
        <v>141</v>
      </c>
      <c r="N1107" s="344">
        <v>221129</v>
      </c>
    </row>
    <row r="1108" spans="1:14" ht="15">
      <c r="A1108" s="344">
        <v>60379</v>
      </c>
      <c r="B1108" s="345" t="s">
        <v>137</v>
      </c>
      <c r="C1108" s="344">
        <v>221129</v>
      </c>
      <c r="D1108" s="344" t="str">
        <f t="shared" si="51"/>
        <v>221129</v>
      </c>
      <c r="E1108" s="346" t="s">
        <v>147</v>
      </c>
      <c r="F1108" s="344" t="s">
        <v>143</v>
      </c>
      <c r="G1108" s="344" t="str">
        <f t="shared" si="52"/>
        <v>60379AXLE 3</v>
      </c>
      <c r="H1108" s="344">
        <v>18</v>
      </c>
      <c r="I1108" s="344">
        <v>3</v>
      </c>
      <c r="J1108" s="344">
        <v>3</v>
      </c>
      <c r="K1108" s="344">
        <v>6</v>
      </c>
      <c r="L1108" t="str">
        <f t="shared" si="53"/>
        <v>60379</v>
      </c>
      <c r="M1108" s="344" t="s">
        <v>143</v>
      </c>
      <c r="N1108" s="344">
        <v>221129</v>
      </c>
    </row>
    <row r="1109" spans="1:14" ht="15">
      <c r="A1109" s="344">
        <v>60379</v>
      </c>
      <c r="B1109" s="345" t="s">
        <v>137</v>
      </c>
      <c r="C1109" s="344">
        <v>221129</v>
      </c>
      <c r="D1109" s="344" t="str">
        <f t="shared" si="51"/>
        <v>221129</v>
      </c>
      <c r="E1109" s="346" t="s">
        <v>146</v>
      </c>
      <c r="F1109" s="344" t="s">
        <v>145</v>
      </c>
      <c r="G1109" s="344" t="str">
        <f t="shared" si="52"/>
        <v>60379AXLE 4</v>
      </c>
      <c r="H1109" s="344">
        <v>17</v>
      </c>
      <c r="I1109" s="344">
        <v>4</v>
      </c>
      <c r="J1109" s="344">
        <v>4</v>
      </c>
      <c r="K1109" s="344">
        <v>5</v>
      </c>
      <c r="L1109" t="str">
        <f t="shared" si="53"/>
        <v>60379</v>
      </c>
      <c r="M1109" s="344" t="s">
        <v>145</v>
      </c>
      <c r="N1109" s="344">
        <v>221129</v>
      </c>
    </row>
    <row r="1110" spans="1:14" ht="15">
      <c r="A1110" s="344">
        <v>60779</v>
      </c>
      <c r="B1110" s="345" t="s">
        <v>137</v>
      </c>
      <c r="C1110" s="344">
        <v>221129</v>
      </c>
      <c r="D1110" s="344" t="str">
        <f t="shared" si="51"/>
        <v>221129</v>
      </c>
      <c r="E1110" s="346" t="s">
        <v>146</v>
      </c>
      <c r="F1110" s="344" t="s">
        <v>139</v>
      </c>
      <c r="G1110" s="344" t="str">
        <f t="shared" si="52"/>
        <v>60779AXLE 1</v>
      </c>
      <c r="H1110" s="344">
        <v>13</v>
      </c>
      <c r="I1110" s="344">
        <v>8</v>
      </c>
      <c r="J1110" s="344">
        <v>1</v>
      </c>
      <c r="K1110" s="344">
        <v>8</v>
      </c>
      <c r="L1110" t="str">
        <f t="shared" si="53"/>
        <v>60779</v>
      </c>
      <c r="M1110" s="344" t="s">
        <v>139</v>
      </c>
      <c r="N1110" s="344">
        <v>221129</v>
      </c>
    </row>
    <row r="1111" spans="1:14" ht="15">
      <c r="A1111" s="344">
        <v>60779</v>
      </c>
      <c r="B1111" s="345" t="s">
        <v>137</v>
      </c>
      <c r="C1111" s="344">
        <v>221129</v>
      </c>
      <c r="D1111" s="344" t="str">
        <f t="shared" si="51"/>
        <v>221129</v>
      </c>
      <c r="E1111" s="346" t="s">
        <v>147</v>
      </c>
      <c r="F1111" s="344" t="s">
        <v>141</v>
      </c>
      <c r="G1111" s="344" t="str">
        <f t="shared" si="52"/>
        <v>60779AXLE 2</v>
      </c>
      <c r="H1111" s="344">
        <v>14</v>
      </c>
      <c r="I1111" s="344">
        <v>7</v>
      </c>
      <c r="J1111" s="344">
        <v>2</v>
      </c>
      <c r="K1111" s="344">
        <v>7</v>
      </c>
      <c r="L1111" t="str">
        <f t="shared" si="53"/>
        <v>60779</v>
      </c>
      <c r="M1111" s="344" t="s">
        <v>141</v>
      </c>
      <c r="N1111" s="344">
        <v>221129</v>
      </c>
    </row>
    <row r="1112" spans="1:14" ht="15">
      <c r="A1112" s="344">
        <v>60779</v>
      </c>
      <c r="B1112" s="345" t="s">
        <v>137</v>
      </c>
      <c r="C1112" s="344">
        <v>221129</v>
      </c>
      <c r="D1112" s="344" t="str">
        <f t="shared" si="51"/>
        <v>221129</v>
      </c>
      <c r="E1112" s="346" t="s">
        <v>147</v>
      </c>
      <c r="F1112" s="344" t="s">
        <v>143</v>
      </c>
      <c r="G1112" s="344" t="str">
        <f t="shared" si="52"/>
        <v>60779AXLE 3</v>
      </c>
      <c r="H1112" s="344">
        <v>15</v>
      </c>
      <c r="I1112" s="344">
        <v>6</v>
      </c>
      <c r="J1112" s="344">
        <v>3</v>
      </c>
      <c r="K1112" s="344">
        <v>6</v>
      </c>
      <c r="L1112" t="str">
        <f t="shared" si="53"/>
        <v>60779</v>
      </c>
      <c r="M1112" s="344" t="s">
        <v>143</v>
      </c>
      <c r="N1112" s="344">
        <v>221129</v>
      </c>
    </row>
    <row r="1113" spans="1:14" ht="15">
      <c r="A1113" s="344">
        <v>60779</v>
      </c>
      <c r="B1113" s="345" t="s">
        <v>137</v>
      </c>
      <c r="C1113" s="344">
        <v>221129</v>
      </c>
      <c r="D1113" s="344" t="str">
        <f t="shared" si="51"/>
        <v>221129</v>
      </c>
      <c r="E1113" s="346" t="s">
        <v>146</v>
      </c>
      <c r="F1113" s="344" t="s">
        <v>145</v>
      </c>
      <c r="G1113" s="344" t="str">
        <f t="shared" si="52"/>
        <v>60779AXLE 4</v>
      </c>
      <c r="H1113" s="344">
        <v>16</v>
      </c>
      <c r="I1113" s="344">
        <v>5</v>
      </c>
      <c r="J1113" s="344">
        <v>4</v>
      </c>
      <c r="K1113" s="344">
        <v>5</v>
      </c>
      <c r="L1113" t="str">
        <f t="shared" si="53"/>
        <v>60779</v>
      </c>
      <c r="M1113" s="344" t="s">
        <v>145</v>
      </c>
      <c r="N1113" s="344">
        <v>221129</v>
      </c>
    </row>
    <row r="1114" spans="1:14" ht="15">
      <c r="A1114" s="344">
        <v>60979</v>
      </c>
      <c r="B1114" s="345" t="s">
        <v>137</v>
      </c>
      <c r="C1114" s="344">
        <v>221129</v>
      </c>
      <c r="D1114" s="344" t="str">
        <f t="shared" si="51"/>
        <v>221129</v>
      </c>
      <c r="E1114" s="346" t="s">
        <v>146</v>
      </c>
      <c r="F1114" s="344" t="s">
        <v>139</v>
      </c>
      <c r="G1114" s="344" t="str">
        <f t="shared" si="52"/>
        <v>60979AXLE 1</v>
      </c>
      <c r="H1114" s="344">
        <v>9</v>
      </c>
      <c r="I1114" s="344">
        <v>12</v>
      </c>
      <c r="J1114" s="344">
        <v>1</v>
      </c>
      <c r="K1114" s="344">
        <v>8</v>
      </c>
      <c r="L1114" t="str">
        <f t="shared" si="53"/>
        <v>60979</v>
      </c>
      <c r="M1114" s="344" t="s">
        <v>139</v>
      </c>
      <c r="N1114" s="344">
        <v>221129</v>
      </c>
    </row>
    <row r="1115" spans="1:14" ht="15">
      <c r="A1115" s="344">
        <v>60979</v>
      </c>
      <c r="B1115" s="345" t="s">
        <v>137</v>
      </c>
      <c r="C1115" s="344">
        <v>221129</v>
      </c>
      <c r="D1115" s="344" t="str">
        <f t="shared" si="51"/>
        <v>221129</v>
      </c>
      <c r="E1115" s="346" t="s">
        <v>147</v>
      </c>
      <c r="F1115" s="344" t="s">
        <v>141</v>
      </c>
      <c r="G1115" s="344" t="str">
        <f t="shared" si="52"/>
        <v>60979AXLE 2</v>
      </c>
      <c r="H1115" s="344">
        <v>10</v>
      </c>
      <c r="I1115" s="344">
        <v>11</v>
      </c>
      <c r="J1115" s="344">
        <v>2</v>
      </c>
      <c r="K1115" s="344">
        <v>7</v>
      </c>
      <c r="L1115" t="str">
        <f t="shared" si="53"/>
        <v>60979</v>
      </c>
      <c r="M1115" s="344" t="s">
        <v>141</v>
      </c>
      <c r="N1115" s="344">
        <v>221129</v>
      </c>
    </row>
    <row r="1116" spans="1:14" ht="15">
      <c r="A1116" s="344">
        <v>60979</v>
      </c>
      <c r="B1116" s="345" t="s">
        <v>137</v>
      </c>
      <c r="C1116" s="344">
        <v>221129</v>
      </c>
      <c r="D1116" s="344" t="str">
        <f t="shared" si="51"/>
        <v>221129</v>
      </c>
      <c r="E1116" s="346" t="s">
        <v>147</v>
      </c>
      <c r="F1116" s="344" t="s">
        <v>143</v>
      </c>
      <c r="G1116" s="344" t="str">
        <f t="shared" si="52"/>
        <v>60979AXLE 3</v>
      </c>
      <c r="H1116" s="344">
        <v>11</v>
      </c>
      <c r="I1116" s="344">
        <v>10</v>
      </c>
      <c r="J1116" s="344">
        <v>3</v>
      </c>
      <c r="K1116" s="344">
        <v>6</v>
      </c>
      <c r="L1116" t="str">
        <f t="shared" si="53"/>
        <v>60979</v>
      </c>
      <c r="M1116" s="344" t="s">
        <v>143</v>
      </c>
      <c r="N1116" s="344">
        <v>221129</v>
      </c>
    </row>
    <row r="1117" spans="1:14" ht="15">
      <c r="A1117" s="344">
        <v>60979</v>
      </c>
      <c r="B1117" s="345" t="s">
        <v>137</v>
      </c>
      <c r="C1117" s="344">
        <v>221129</v>
      </c>
      <c r="D1117" s="344" t="str">
        <f t="shared" si="51"/>
        <v>221129</v>
      </c>
      <c r="E1117" s="346" t="s">
        <v>146</v>
      </c>
      <c r="F1117" s="344" t="s">
        <v>145</v>
      </c>
      <c r="G1117" s="344" t="str">
        <f t="shared" si="52"/>
        <v>60979AXLE 4</v>
      </c>
      <c r="H1117" s="344">
        <v>12</v>
      </c>
      <c r="I1117" s="344">
        <v>9</v>
      </c>
      <c r="J1117" s="344">
        <v>4</v>
      </c>
      <c r="K1117" s="344">
        <v>5</v>
      </c>
      <c r="L1117" t="str">
        <f t="shared" si="53"/>
        <v>60979</v>
      </c>
      <c r="M1117" s="344" t="s">
        <v>145</v>
      </c>
      <c r="N1117" s="344">
        <v>221129</v>
      </c>
    </row>
    <row r="1118" spans="1:14" ht="15">
      <c r="A1118" s="344">
        <v>60879</v>
      </c>
      <c r="B1118" s="345" t="s">
        <v>137</v>
      </c>
      <c r="C1118" s="344">
        <v>221129</v>
      </c>
      <c r="D1118" s="344" t="str">
        <f t="shared" si="51"/>
        <v>221129</v>
      </c>
      <c r="E1118" s="346" t="s">
        <v>146</v>
      </c>
      <c r="F1118" s="344" t="s">
        <v>139</v>
      </c>
      <c r="G1118" s="344" t="str">
        <f t="shared" si="52"/>
        <v>60879AXLE 1</v>
      </c>
      <c r="H1118" s="344">
        <v>5</v>
      </c>
      <c r="I1118" s="344">
        <v>16</v>
      </c>
      <c r="J1118" s="344">
        <v>1</v>
      </c>
      <c r="K1118" s="344">
        <v>8</v>
      </c>
      <c r="L1118" t="str">
        <f t="shared" si="53"/>
        <v>60879</v>
      </c>
      <c r="M1118" s="344" t="s">
        <v>139</v>
      </c>
      <c r="N1118" s="344">
        <v>221129</v>
      </c>
    </row>
    <row r="1119" spans="1:14" ht="15">
      <c r="A1119" s="344">
        <v>60879</v>
      </c>
      <c r="B1119" s="345" t="s">
        <v>137</v>
      </c>
      <c r="C1119" s="344">
        <v>221129</v>
      </c>
      <c r="D1119" s="344" t="str">
        <f t="shared" si="51"/>
        <v>221129</v>
      </c>
      <c r="E1119" s="346" t="s">
        <v>147</v>
      </c>
      <c r="F1119" s="344" t="s">
        <v>141</v>
      </c>
      <c r="G1119" s="344" t="str">
        <f t="shared" si="52"/>
        <v>60879AXLE 2</v>
      </c>
      <c r="H1119" s="344">
        <v>6</v>
      </c>
      <c r="I1119" s="344">
        <v>15</v>
      </c>
      <c r="J1119" s="344">
        <v>2</v>
      </c>
      <c r="K1119" s="344">
        <v>7</v>
      </c>
      <c r="L1119" t="str">
        <f t="shared" si="53"/>
        <v>60879</v>
      </c>
      <c r="M1119" s="344" t="s">
        <v>141</v>
      </c>
      <c r="N1119" s="344">
        <v>221129</v>
      </c>
    </row>
    <row r="1120" spans="1:14" ht="15">
      <c r="A1120" s="344">
        <v>60879</v>
      </c>
      <c r="B1120" s="345" t="s">
        <v>137</v>
      </c>
      <c r="C1120" s="344">
        <v>221129</v>
      </c>
      <c r="D1120" s="344" t="str">
        <f t="shared" si="51"/>
        <v>221129</v>
      </c>
      <c r="E1120" s="346" t="s">
        <v>147</v>
      </c>
      <c r="F1120" s="344" t="s">
        <v>143</v>
      </c>
      <c r="G1120" s="344" t="str">
        <f t="shared" si="52"/>
        <v>60879AXLE 3</v>
      </c>
      <c r="H1120" s="344">
        <v>7</v>
      </c>
      <c r="I1120" s="344">
        <v>14</v>
      </c>
      <c r="J1120" s="344">
        <v>3</v>
      </c>
      <c r="K1120" s="344">
        <v>6</v>
      </c>
      <c r="L1120" t="str">
        <f t="shared" si="53"/>
        <v>60879</v>
      </c>
      <c r="M1120" s="344" t="s">
        <v>143</v>
      </c>
      <c r="N1120" s="344">
        <v>221129</v>
      </c>
    </row>
    <row r="1121" spans="1:14" ht="15">
      <c r="A1121" s="344">
        <v>60879</v>
      </c>
      <c r="B1121" s="345" t="s">
        <v>137</v>
      </c>
      <c r="C1121" s="344">
        <v>221129</v>
      </c>
      <c r="D1121" s="344" t="str">
        <f t="shared" si="51"/>
        <v>221129</v>
      </c>
      <c r="E1121" s="346" t="s">
        <v>146</v>
      </c>
      <c r="F1121" s="344" t="s">
        <v>145</v>
      </c>
      <c r="G1121" s="344" t="str">
        <f t="shared" si="52"/>
        <v>60879AXLE 4</v>
      </c>
      <c r="H1121" s="344">
        <v>8</v>
      </c>
      <c r="I1121" s="344">
        <v>13</v>
      </c>
      <c r="J1121" s="344">
        <v>4</v>
      </c>
      <c r="K1121" s="344">
        <v>5</v>
      </c>
      <c r="L1121" t="str">
        <f t="shared" si="53"/>
        <v>60879</v>
      </c>
      <c r="M1121" s="344" t="s">
        <v>145</v>
      </c>
      <c r="N1121" s="344">
        <v>221129</v>
      </c>
    </row>
    <row r="1122" spans="1:14" ht="15">
      <c r="A1122" s="344">
        <v>60479</v>
      </c>
      <c r="B1122" s="345" t="s">
        <v>137</v>
      </c>
      <c r="C1122" s="344">
        <v>221129</v>
      </c>
      <c r="D1122" s="344" t="str">
        <f t="shared" si="51"/>
        <v>221129</v>
      </c>
      <c r="E1122" s="346" t="s">
        <v>146</v>
      </c>
      <c r="F1122" s="344" t="s">
        <v>139</v>
      </c>
      <c r="G1122" s="344" t="str">
        <f t="shared" si="52"/>
        <v>60479AXLE 1</v>
      </c>
      <c r="H1122" s="344">
        <v>1</v>
      </c>
      <c r="I1122" s="344">
        <v>20</v>
      </c>
      <c r="J1122" s="344">
        <v>1</v>
      </c>
      <c r="K1122" s="344">
        <v>8</v>
      </c>
      <c r="L1122" t="str">
        <f t="shared" si="53"/>
        <v>60479</v>
      </c>
      <c r="M1122" s="344" t="s">
        <v>139</v>
      </c>
      <c r="N1122" s="344">
        <v>221129</v>
      </c>
    </row>
    <row r="1123" spans="1:14" ht="15">
      <c r="A1123" s="344">
        <v>60479</v>
      </c>
      <c r="B1123" s="345" t="s">
        <v>137</v>
      </c>
      <c r="C1123" s="344">
        <v>221129</v>
      </c>
      <c r="D1123" s="344" t="str">
        <f t="shared" si="51"/>
        <v>221129</v>
      </c>
      <c r="E1123" s="346" t="s">
        <v>147</v>
      </c>
      <c r="F1123" s="344" t="s">
        <v>141</v>
      </c>
      <c r="G1123" s="344" t="str">
        <f t="shared" si="52"/>
        <v>60479AXLE 2</v>
      </c>
      <c r="H1123" s="344">
        <v>2</v>
      </c>
      <c r="I1123" s="344">
        <v>19</v>
      </c>
      <c r="J1123" s="344">
        <v>2</v>
      </c>
      <c r="K1123" s="344">
        <v>7</v>
      </c>
      <c r="L1123" t="str">
        <f t="shared" si="53"/>
        <v>60479</v>
      </c>
      <c r="M1123" s="344" t="s">
        <v>141</v>
      </c>
      <c r="N1123" s="344">
        <v>221129</v>
      </c>
    </row>
    <row r="1124" spans="1:14" ht="15">
      <c r="A1124" s="344">
        <v>60479</v>
      </c>
      <c r="B1124" s="345" t="s">
        <v>137</v>
      </c>
      <c r="C1124" s="344">
        <v>221129</v>
      </c>
      <c r="D1124" s="344" t="str">
        <f t="shared" si="51"/>
        <v>221129</v>
      </c>
      <c r="E1124" s="346" t="s">
        <v>147</v>
      </c>
      <c r="F1124" s="344" t="s">
        <v>143</v>
      </c>
      <c r="G1124" s="344" t="str">
        <f t="shared" si="52"/>
        <v>60479AXLE 3</v>
      </c>
      <c r="H1124" s="344">
        <v>3</v>
      </c>
      <c r="I1124" s="344">
        <v>18</v>
      </c>
      <c r="J1124" s="344">
        <v>3</v>
      </c>
      <c r="K1124" s="344">
        <v>6</v>
      </c>
      <c r="L1124" t="str">
        <f t="shared" si="53"/>
        <v>60479</v>
      </c>
      <c r="M1124" s="344" t="s">
        <v>143</v>
      </c>
      <c r="N1124" s="344">
        <v>221129</v>
      </c>
    </row>
    <row r="1125" spans="1:14" ht="15">
      <c r="A1125" s="344">
        <v>60479</v>
      </c>
      <c r="B1125" s="345" t="s">
        <v>137</v>
      </c>
      <c r="C1125" s="344">
        <v>221129</v>
      </c>
      <c r="D1125" s="344" t="str">
        <f t="shared" si="51"/>
        <v>221129</v>
      </c>
      <c r="E1125" s="346" t="s">
        <v>146</v>
      </c>
      <c r="F1125" s="344" t="s">
        <v>145</v>
      </c>
      <c r="G1125" s="344" t="str">
        <f t="shared" si="52"/>
        <v>60479AXLE 4</v>
      </c>
      <c r="H1125" s="344">
        <v>4</v>
      </c>
      <c r="I1125" s="344">
        <v>17</v>
      </c>
      <c r="J1125" s="344">
        <v>4</v>
      </c>
      <c r="K1125" s="344">
        <v>5</v>
      </c>
      <c r="L1125" t="str">
        <f t="shared" si="53"/>
        <v>60479</v>
      </c>
      <c r="M1125" s="344" t="s">
        <v>145</v>
      </c>
      <c r="N1125" s="344">
        <v>221129</v>
      </c>
    </row>
    <row r="1126" spans="1:14" ht="15">
      <c r="A1126" s="344">
        <v>60380</v>
      </c>
      <c r="B1126" s="345" t="s">
        <v>137</v>
      </c>
      <c r="C1126" s="344">
        <v>221130</v>
      </c>
      <c r="D1126" s="344" t="str">
        <f t="shared" si="51"/>
        <v>221130</v>
      </c>
      <c r="E1126" s="346" t="s">
        <v>146</v>
      </c>
      <c r="F1126" s="344" t="s">
        <v>139</v>
      </c>
      <c r="G1126" s="344" t="str">
        <f t="shared" si="52"/>
        <v>60380AXLE 1</v>
      </c>
      <c r="H1126" s="344">
        <v>20</v>
      </c>
      <c r="I1126" s="344">
        <v>1</v>
      </c>
      <c r="J1126" s="344">
        <v>1</v>
      </c>
      <c r="K1126" s="344">
        <v>8</v>
      </c>
      <c r="L1126" t="str">
        <f t="shared" si="53"/>
        <v>60380</v>
      </c>
      <c r="M1126" s="344" t="s">
        <v>139</v>
      </c>
      <c r="N1126" s="344">
        <v>221130</v>
      </c>
    </row>
    <row r="1127" spans="1:14" ht="15">
      <c r="A1127" s="344">
        <v>60380</v>
      </c>
      <c r="B1127" s="345" t="s">
        <v>137</v>
      </c>
      <c r="C1127" s="344">
        <v>221130</v>
      </c>
      <c r="D1127" s="344" t="str">
        <f t="shared" si="51"/>
        <v>221130</v>
      </c>
      <c r="E1127" s="346" t="s">
        <v>147</v>
      </c>
      <c r="F1127" s="344" t="s">
        <v>141</v>
      </c>
      <c r="G1127" s="344" t="str">
        <f t="shared" si="52"/>
        <v>60380AXLE 2</v>
      </c>
      <c r="H1127" s="344">
        <v>19</v>
      </c>
      <c r="I1127" s="344">
        <v>2</v>
      </c>
      <c r="J1127" s="344">
        <v>2</v>
      </c>
      <c r="K1127" s="344">
        <v>7</v>
      </c>
      <c r="L1127" t="str">
        <f t="shared" si="53"/>
        <v>60380</v>
      </c>
      <c r="M1127" s="344" t="s">
        <v>141</v>
      </c>
      <c r="N1127" s="344">
        <v>221130</v>
      </c>
    </row>
    <row r="1128" spans="1:14" ht="15">
      <c r="A1128" s="344">
        <v>60380</v>
      </c>
      <c r="B1128" s="345" t="s">
        <v>137</v>
      </c>
      <c r="C1128" s="344">
        <v>221130</v>
      </c>
      <c r="D1128" s="344" t="str">
        <f t="shared" si="51"/>
        <v>221130</v>
      </c>
      <c r="E1128" s="346" t="s">
        <v>147</v>
      </c>
      <c r="F1128" s="344" t="s">
        <v>143</v>
      </c>
      <c r="G1128" s="344" t="str">
        <f t="shared" si="52"/>
        <v>60380AXLE 3</v>
      </c>
      <c r="H1128" s="344">
        <v>18</v>
      </c>
      <c r="I1128" s="344">
        <v>3</v>
      </c>
      <c r="J1128" s="344">
        <v>3</v>
      </c>
      <c r="K1128" s="344">
        <v>6</v>
      </c>
      <c r="L1128" t="str">
        <f t="shared" si="53"/>
        <v>60380</v>
      </c>
      <c r="M1128" s="344" t="s">
        <v>143</v>
      </c>
      <c r="N1128" s="344">
        <v>221130</v>
      </c>
    </row>
    <row r="1129" spans="1:14" ht="15">
      <c r="A1129" s="344">
        <v>60380</v>
      </c>
      <c r="B1129" s="345" t="s">
        <v>137</v>
      </c>
      <c r="C1129" s="344">
        <v>221130</v>
      </c>
      <c r="D1129" s="344" t="str">
        <f t="shared" si="51"/>
        <v>221130</v>
      </c>
      <c r="E1129" s="346" t="s">
        <v>146</v>
      </c>
      <c r="F1129" s="344" t="s">
        <v>145</v>
      </c>
      <c r="G1129" s="344" t="str">
        <f t="shared" si="52"/>
        <v>60380AXLE 4</v>
      </c>
      <c r="H1129" s="344">
        <v>17</v>
      </c>
      <c r="I1129" s="344">
        <v>4</v>
      </c>
      <c r="J1129" s="344">
        <v>4</v>
      </c>
      <c r="K1129" s="344">
        <v>5</v>
      </c>
      <c r="L1129" t="str">
        <f t="shared" si="53"/>
        <v>60380</v>
      </c>
      <c r="M1129" s="344" t="s">
        <v>145</v>
      </c>
      <c r="N1129" s="344">
        <v>221130</v>
      </c>
    </row>
    <row r="1130" spans="1:14" ht="15">
      <c r="A1130" s="344">
        <v>60780</v>
      </c>
      <c r="B1130" s="345" t="s">
        <v>137</v>
      </c>
      <c r="C1130" s="344">
        <v>221130</v>
      </c>
      <c r="D1130" s="344" t="str">
        <f t="shared" si="51"/>
        <v>221130</v>
      </c>
      <c r="E1130" s="346" t="s">
        <v>146</v>
      </c>
      <c r="F1130" s="344" t="s">
        <v>139</v>
      </c>
      <c r="G1130" s="344" t="str">
        <f t="shared" si="52"/>
        <v>60780AXLE 1</v>
      </c>
      <c r="H1130" s="344">
        <v>13</v>
      </c>
      <c r="I1130" s="344">
        <v>8</v>
      </c>
      <c r="J1130" s="344">
        <v>1</v>
      </c>
      <c r="K1130" s="344">
        <v>8</v>
      </c>
      <c r="L1130" t="str">
        <f t="shared" si="53"/>
        <v>60780</v>
      </c>
      <c r="M1130" s="344" t="s">
        <v>139</v>
      </c>
      <c r="N1130" s="344">
        <v>221130</v>
      </c>
    </row>
    <row r="1131" spans="1:14" ht="15">
      <c r="A1131" s="344">
        <v>60780</v>
      </c>
      <c r="B1131" s="345" t="s">
        <v>137</v>
      </c>
      <c r="C1131" s="344">
        <v>221130</v>
      </c>
      <c r="D1131" s="344" t="str">
        <f t="shared" si="51"/>
        <v>221130</v>
      </c>
      <c r="E1131" s="346" t="s">
        <v>147</v>
      </c>
      <c r="F1131" s="344" t="s">
        <v>141</v>
      </c>
      <c r="G1131" s="344" t="str">
        <f t="shared" si="52"/>
        <v>60780AXLE 2</v>
      </c>
      <c r="H1131" s="344">
        <v>14</v>
      </c>
      <c r="I1131" s="344">
        <v>7</v>
      </c>
      <c r="J1131" s="344">
        <v>2</v>
      </c>
      <c r="K1131" s="344">
        <v>7</v>
      </c>
      <c r="L1131" t="str">
        <f t="shared" si="53"/>
        <v>60780</v>
      </c>
      <c r="M1131" s="344" t="s">
        <v>141</v>
      </c>
      <c r="N1131" s="344">
        <v>221130</v>
      </c>
    </row>
    <row r="1132" spans="1:14" ht="15">
      <c r="A1132" s="344">
        <v>60780</v>
      </c>
      <c r="B1132" s="345" t="s">
        <v>137</v>
      </c>
      <c r="C1132" s="344">
        <v>221130</v>
      </c>
      <c r="D1132" s="344" t="str">
        <f t="shared" si="51"/>
        <v>221130</v>
      </c>
      <c r="E1132" s="346" t="s">
        <v>147</v>
      </c>
      <c r="F1132" s="344" t="s">
        <v>143</v>
      </c>
      <c r="G1132" s="344" t="str">
        <f t="shared" si="52"/>
        <v>60780AXLE 3</v>
      </c>
      <c r="H1132" s="344">
        <v>15</v>
      </c>
      <c r="I1132" s="344">
        <v>6</v>
      </c>
      <c r="J1132" s="344">
        <v>3</v>
      </c>
      <c r="K1132" s="344">
        <v>6</v>
      </c>
      <c r="L1132" t="str">
        <f t="shared" si="53"/>
        <v>60780</v>
      </c>
      <c r="M1132" s="344" t="s">
        <v>143</v>
      </c>
      <c r="N1132" s="344">
        <v>221130</v>
      </c>
    </row>
    <row r="1133" spans="1:14" ht="15">
      <c r="A1133" s="344">
        <v>60780</v>
      </c>
      <c r="B1133" s="345" t="s">
        <v>137</v>
      </c>
      <c r="C1133" s="344">
        <v>221130</v>
      </c>
      <c r="D1133" s="344" t="str">
        <f t="shared" si="51"/>
        <v>221130</v>
      </c>
      <c r="E1133" s="346" t="s">
        <v>146</v>
      </c>
      <c r="F1133" s="344" t="s">
        <v>145</v>
      </c>
      <c r="G1133" s="344" t="str">
        <f t="shared" si="52"/>
        <v>60780AXLE 4</v>
      </c>
      <c r="H1133" s="344">
        <v>16</v>
      </c>
      <c r="I1133" s="344">
        <v>5</v>
      </c>
      <c r="J1133" s="344">
        <v>4</v>
      </c>
      <c r="K1133" s="344">
        <v>5</v>
      </c>
      <c r="L1133" t="str">
        <f t="shared" si="53"/>
        <v>60780</v>
      </c>
      <c r="M1133" s="344" t="s">
        <v>145</v>
      </c>
      <c r="N1133" s="344">
        <v>221130</v>
      </c>
    </row>
    <row r="1134" spans="1:14" ht="15">
      <c r="A1134" s="344">
        <v>60980</v>
      </c>
      <c r="B1134" s="345" t="s">
        <v>137</v>
      </c>
      <c r="C1134" s="344">
        <v>221130</v>
      </c>
      <c r="D1134" s="344" t="str">
        <f t="shared" si="51"/>
        <v>221130</v>
      </c>
      <c r="E1134" s="346" t="s">
        <v>146</v>
      </c>
      <c r="F1134" s="344" t="s">
        <v>139</v>
      </c>
      <c r="G1134" s="344" t="str">
        <f t="shared" si="52"/>
        <v>60980AXLE 1</v>
      </c>
      <c r="H1134" s="344">
        <v>9</v>
      </c>
      <c r="I1134" s="344">
        <v>12</v>
      </c>
      <c r="J1134" s="344">
        <v>1</v>
      </c>
      <c r="K1134" s="344">
        <v>8</v>
      </c>
      <c r="L1134" t="str">
        <f t="shared" si="53"/>
        <v>60980</v>
      </c>
      <c r="M1134" s="344" t="s">
        <v>139</v>
      </c>
      <c r="N1134" s="344">
        <v>221130</v>
      </c>
    </row>
    <row r="1135" spans="1:14" ht="15">
      <c r="A1135" s="344">
        <v>60980</v>
      </c>
      <c r="B1135" s="345" t="s">
        <v>137</v>
      </c>
      <c r="C1135" s="344">
        <v>221130</v>
      </c>
      <c r="D1135" s="344" t="str">
        <f t="shared" si="51"/>
        <v>221130</v>
      </c>
      <c r="E1135" s="346" t="s">
        <v>147</v>
      </c>
      <c r="F1135" s="344" t="s">
        <v>141</v>
      </c>
      <c r="G1135" s="344" t="str">
        <f t="shared" si="52"/>
        <v>60980AXLE 2</v>
      </c>
      <c r="H1135" s="344">
        <v>10</v>
      </c>
      <c r="I1135" s="344">
        <v>11</v>
      </c>
      <c r="J1135" s="344">
        <v>2</v>
      </c>
      <c r="K1135" s="344">
        <v>7</v>
      </c>
      <c r="L1135" t="str">
        <f t="shared" si="53"/>
        <v>60980</v>
      </c>
      <c r="M1135" s="344" t="s">
        <v>141</v>
      </c>
      <c r="N1135" s="344">
        <v>221130</v>
      </c>
    </row>
    <row r="1136" spans="1:14" ht="15">
      <c r="A1136" s="344">
        <v>60980</v>
      </c>
      <c r="B1136" s="345" t="s">
        <v>137</v>
      </c>
      <c r="C1136" s="344">
        <v>221130</v>
      </c>
      <c r="D1136" s="344" t="str">
        <f t="shared" si="51"/>
        <v>221130</v>
      </c>
      <c r="E1136" s="346" t="s">
        <v>147</v>
      </c>
      <c r="F1136" s="344" t="s">
        <v>143</v>
      </c>
      <c r="G1136" s="344" t="str">
        <f t="shared" si="52"/>
        <v>60980AXLE 3</v>
      </c>
      <c r="H1136" s="344">
        <v>11</v>
      </c>
      <c r="I1136" s="344">
        <v>10</v>
      </c>
      <c r="J1136" s="344">
        <v>3</v>
      </c>
      <c r="K1136" s="344">
        <v>6</v>
      </c>
      <c r="L1136" t="str">
        <f t="shared" si="53"/>
        <v>60980</v>
      </c>
      <c r="M1136" s="344" t="s">
        <v>143</v>
      </c>
      <c r="N1136" s="344">
        <v>221130</v>
      </c>
    </row>
    <row r="1137" spans="1:14" ht="15">
      <c r="A1137" s="344">
        <v>60980</v>
      </c>
      <c r="B1137" s="345" t="s">
        <v>137</v>
      </c>
      <c r="C1137" s="344">
        <v>221130</v>
      </c>
      <c r="D1137" s="344" t="str">
        <f t="shared" si="51"/>
        <v>221130</v>
      </c>
      <c r="E1137" s="346" t="s">
        <v>146</v>
      </c>
      <c r="F1137" s="344" t="s">
        <v>145</v>
      </c>
      <c r="G1137" s="344" t="str">
        <f t="shared" si="52"/>
        <v>60980AXLE 4</v>
      </c>
      <c r="H1137" s="344">
        <v>12</v>
      </c>
      <c r="I1137" s="344">
        <v>9</v>
      </c>
      <c r="J1137" s="344">
        <v>4</v>
      </c>
      <c r="K1137" s="344">
        <v>5</v>
      </c>
      <c r="L1137" t="str">
        <f t="shared" si="53"/>
        <v>60980</v>
      </c>
      <c r="M1137" s="344" t="s">
        <v>145</v>
      </c>
      <c r="N1137" s="344">
        <v>221130</v>
      </c>
    </row>
    <row r="1138" spans="1:14" ht="15">
      <c r="A1138" s="344">
        <v>60880</v>
      </c>
      <c r="B1138" s="345" t="s">
        <v>137</v>
      </c>
      <c r="C1138" s="344">
        <v>221130</v>
      </c>
      <c r="D1138" s="344" t="str">
        <f t="shared" si="51"/>
        <v>221130</v>
      </c>
      <c r="E1138" s="346" t="s">
        <v>146</v>
      </c>
      <c r="F1138" s="344" t="s">
        <v>139</v>
      </c>
      <c r="G1138" s="344" t="str">
        <f t="shared" si="52"/>
        <v>60880AXLE 1</v>
      </c>
      <c r="H1138" s="344">
        <v>5</v>
      </c>
      <c r="I1138" s="344">
        <v>16</v>
      </c>
      <c r="J1138" s="344">
        <v>1</v>
      </c>
      <c r="K1138" s="344">
        <v>8</v>
      </c>
      <c r="L1138" t="str">
        <f t="shared" si="53"/>
        <v>60880</v>
      </c>
      <c r="M1138" s="344" t="s">
        <v>139</v>
      </c>
      <c r="N1138" s="344">
        <v>221130</v>
      </c>
    </row>
    <row r="1139" spans="1:14" ht="15">
      <c r="A1139" s="344">
        <v>60880</v>
      </c>
      <c r="B1139" s="345" t="s">
        <v>137</v>
      </c>
      <c r="C1139" s="344">
        <v>221130</v>
      </c>
      <c r="D1139" s="344" t="str">
        <f t="shared" si="51"/>
        <v>221130</v>
      </c>
      <c r="E1139" s="346" t="s">
        <v>147</v>
      </c>
      <c r="F1139" s="344" t="s">
        <v>141</v>
      </c>
      <c r="G1139" s="344" t="str">
        <f t="shared" si="52"/>
        <v>60880AXLE 2</v>
      </c>
      <c r="H1139" s="344">
        <v>6</v>
      </c>
      <c r="I1139" s="344">
        <v>15</v>
      </c>
      <c r="J1139" s="344">
        <v>2</v>
      </c>
      <c r="K1139" s="344">
        <v>7</v>
      </c>
      <c r="L1139" t="str">
        <f t="shared" si="53"/>
        <v>60880</v>
      </c>
      <c r="M1139" s="344" t="s">
        <v>141</v>
      </c>
      <c r="N1139" s="344">
        <v>221130</v>
      </c>
    </row>
    <row r="1140" spans="1:14" ht="15">
      <c r="A1140" s="344">
        <v>60880</v>
      </c>
      <c r="B1140" s="345" t="s">
        <v>137</v>
      </c>
      <c r="C1140" s="344">
        <v>221130</v>
      </c>
      <c r="D1140" s="344" t="str">
        <f t="shared" si="51"/>
        <v>221130</v>
      </c>
      <c r="E1140" s="346" t="s">
        <v>147</v>
      </c>
      <c r="F1140" s="344" t="s">
        <v>143</v>
      </c>
      <c r="G1140" s="344" t="str">
        <f t="shared" si="52"/>
        <v>60880AXLE 3</v>
      </c>
      <c r="H1140" s="344">
        <v>7</v>
      </c>
      <c r="I1140" s="344">
        <v>14</v>
      </c>
      <c r="J1140" s="344">
        <v>3</v>
      </c>
      <c r="K1140" s="344">
        <v>6</v>
      </c>
      <c r="L1140" t="str">
        <f t="shared" si="53"/>
        <v>60880</v>
      </c>
      <c r="M1140" s="344" t="s">
        <v>143</v>
      </c>
      <c r="N1140" s="344">
        <v>221130</v>
      </c>
    </row>
    <row r="1141" spans="1:14" ht="15">
      <c r="A1141" s="344">
        <v>60880</v>
      </c>
      <c r="B1141" s="345" t="s">
        <v>137</v>
      </c>
      <c r="C1141" s="344">
        <v>221130</v>
      </c>
      <c r="D1141" s="344" t="str">
        <f t="shared" si="51"/>
        <v>221130</v>
      </c>
      <c r="E1141" s="346" t="s">
        <v>146</v>
      </c>
      <c r="F1141" s="344" t="s">
        <v>145</v>
      </c>
      <c r="G1141" s="344" t="str">
        <f t="shared" si="52"/>
        <v>60880AXLE 4</v>
      </c>
      <c r="H1141" s="344">
        <v>8</v>
      </c>
      <c r="I1141" s="344">
        <v>13</v>
      </c>
      <c r="J1141" s="344">
        <v>4</v>
      </c>
      <c r="K1141" s="344">
        <v>5</v>
      </c>
      <c r="L1141" t="str">
        <f t="shared" si="53"/>
        <v>60880</v>
      </c>
      <c r="M1141" s="344" t="s">
        <v>145</v>
      </c>
      <c r="N1141" s="344">
        <v>221130</v>
      </c>
    </row>
    <row r="1142" spans="1:14" ht="15">
      <c r="A1142" s="344">
        <v>60480</v>
      </c>
      <c r="B1142" s="345" t="s">
        <v>137</v>
      </c>
      <c r="C1142" s="344">
        <v>221130</v>
      </c>
      <c r="D1142" s="344" t="str">
        <f t="shared" si="51"/>
        <v>221130</v>
      </c>
      <c r="E1142" s="346" t="s">
        <v>146</v>
      </c>
      <c r="F1142" s="344" t="s">
        <v>139</v>
      </c>
      <c r="G1142" s="344" t="str">
        <f t="shared" si="52"/>
        <v>60480AXLE 1</v>
      </c>
      <c r="H1142" s="344">
        <v>1</v>
      </c>
      <c r="I1142" s="344">
        <v>20</v>
      </c>
      <c r="J1142" s="344">
        <v>1</v>
      </c>
      <c r="K1142" s="344">
        <v>8</v>
      </c>
      <c r="L1142" t="str">
        <f t="shared" si="53"/>
        <v>60480</v>
      </c>
      <c r="M1142" s="344" t="s">
        <v>139</v>
      </c>
      <c r="N1142" s="344">
        <v>221130</v>
      </c>
    </row>
    <row r="1143" spans="1:14" ht="15">
      <c r="A1143" s="344">
        <v>60480</v>
      </c>
      <c r="B1143" s="345" t="s">
        <v>137</v>
      </c>
      <c r="C1143" s="344">
        <v>221130</v>
      </c>
      <c r="D1143" s="344" t="str">
        <f t="shared" si="51"/>
        <v>221130</v>
      </c>
      <c r="E1143" s="346" t="s">
        <v>147</v>
      </c>
      <c r="F1143" s="344" t="s">
        <v>141</v>
      </c>
      <c r="G1143" s="344" t="str">
        <f t="shared" si="52"/>
        <v>60480AXLE 2</v>
      </c>
      <c r="H1143" s="344">
        <v>2</v>
      </c>
      <c r="I1143" s="344">
        <v>19</v>
      </c>
      <c r="J1143" s="344">
        <v>2</v>
      </c>
      <c r="K1143" s="344">
        <v>7</v>
      </c>
      <c r="L1143" t="str">
        <f t="shared" si="53"/>
        <v>60480</v>
      </c>
      <c r="M1143" s="344" t="s">
        <v>141</v>
      </c>
      <c r="N1143" s="344">
        <v>221130</v>
      </c>
    </row>
    <row r="1144" spans="1:14" ht="15">
      <c r="A1144" s="344">
        <v>60480</v>
      </c>
      <c r="B1144" s="345" t="s">
        <v>137</v>
      </c>
      <c r="C1144" s="344">
        <v>221130</v>
      </c>
      <c r="D1144" s="344" t="str">
        <f t="shared" si="51"/>
        <v>221130</v>
      </c>
      <c r="E1144" s="346" t="s">
        <v>147</v>
      </c>
      <c r="F1144" s="344" t="s">
        <v>143</v>
      </c>
      <c r="G1144" s="344" t="str">
        <f t="shared" si="52"/>
        <v>60480AXLE 3</v>
      </c>
      <c r="H1144" s="344">
        <v>3</v>
      </c>
      <c r="I1144" s="344">
        <v>18</v>
      </c>
      <c r="J1144" s="344">
        <v>3</v>
      </c>
      <c r="K1144" s="344">
        <v>6</v>
      </c>
      <c r="L1144" t="str">
        <f t="shared" si="53"/>
        <v>60480</v>
      </c>
      <c r="M1144" s="344" t="s">
        <v>143</v>
      </c>
      <c r="N1144" s="344">
        <v>221130</v>
      </c>
    </row>
    <row r="1145" spans="1:14" ht="15">
      <c r="A1145" s="344">
        <v>60480</v>
      </c>
      <c r="B1145" s="345" t="s">
        <v>137</v>
      </c>
      <c r="C1145" s="344">
        <v>221130</v>
      </c>
      <c r="D1145" s="344" t="str">
        <f t="shared" si="51"/>
        <v>221130</v>
      </c>
      <c r="E1145" s="346" t="s">
        <v>146</v>
      </c>
      <c r="F1145" s="344" t="s">
        <v>145</v>
      </c>
      <c r="G1145" s="344" t="str">
        <f t="shared" si="52"/>
        <v>60480AXLE 4</v>
      </c>
      <c r="H1145" s="344">
        <v>4</v>
      </c>
      <c r="I1145" s="344">
        <v>17</v>
      </c>
      <c r="J1145" s="344">
        <v>4</v>
      </c>
      <c r="K1145" s="344">
        <v>5</v>
      </c>
      <c r="L1145" t="str">
        <f t="shared" si="53"/>
        <v>60480</v>
      </c>
      <c r="M1145" s="344" t="s">
        <v>145</v>
      </c>
      <c r="N1145" s="344">
        <v>221130</v>
      </c>
    </row>
    <row r="1146" spans="1:14" ht="15">
      <c r="A1146" s="344">
        <v>60381</v>
      </c>
      <c r="B1146" s="345" t="s">
        <v>137</v>
      </c>
      <c r="C1146" s="344">
        <v>221131</v>
      </c>
      <c r="D1146" s="344" t="str">
        <f t="shared" si="51"/>
        <v>221131</v>
      </c>
      <c r="E1146" s="346" t="s">
        <v>146</v>
      </c>
      <c r="F1146" s="344" t="s">
        <v>139</v>
      </c>
      <c r="G1146" s="344" t="str">
        <f t="shared" si="52"/>
        <v>60381AXLE 1</v>
      </c>
      <c r="H1146" s="344">
        <v>20</v>
      </c>
      <c r="I1146" s="344">
        <v>1</v>
      </c>
      <c r="J1146" s="344">
        <v>1</v>
      </c>
      <c r="K1146" s="344">
        <v>8</v>
      </c>
      <c r="L1146" t="str">
        <f t="shared" si="53"/>
        <v>60381</v>
      </c>
      <c r="M1146" s="344" t="s">
        <v>139</v>
      </c>
      <c r="N1146" s="344">
        <v>221131</v>
      </c>
    </row>
    <row r="1147" spans="1:14" ht="15">
      <c r="A1147" s="344">
        <v>60381</v>
      </c>
      <c r="B1147" s="345" t="s">
        <v>137</v>
      </c>
      <c r="C1147" s="344">
        <v>221131</v>
      </c>
      <c r="D1147" s="344" t="str">
        <f t="shared" si="51"/>
        <v>221131</v>
      </c>
      <c r="E1147" s="346" t="s">
        <v>147</v>
      </c>
      <c r="F1147" s="344" t="s">
        <v>141</v>
      </c>
      <c r="G1147" s="344" t="str">
        <f t="shared" si="52"/>
        <v>60381AXLE 2</v>
      </c>
      <c r="H1147" s="344">
        <v>19</v>
      </c>
      <c r="I1147" s="344">
        <v>2</v>
      </c>
      <c r="J1147" s="344">
        <v>2</v>
      </c>
      <c r="K1147" s="344">
        <v>7</v>
      </c>
      <c r="L1147" t="str">
        <f t="shared" si="53"/>
        <v>60381</v>
      </c>
      <c r="M1147" s="344" t="s">
        <v>141</v>
      </c>
      <c r="N1147" s="344">
        <v>221131</v>
      </c>
    </row>
    <row r="1148" spans="1:14" ht="15">
      <c r="A1148" s="344">
        <v>60381</v>
      </c>
      <c r="B1148" s="345" t="s">
        <v>137</v>
      </c>
      <c r="C1148" s="344">
        <v>221131</v>
      </c>
      <c r="D1148" s="344" t="str">
        <f t="shared" si="51"/>
        <v>221131</v>
      </c>
      <c r="E1148" s="346" t="s">
        <v>147</v>
      </c>
      <c r="F1148" s="344" t="s">
        <v>143</v>
      </c>
      <c r="G1148" s="344" t="str">
        <f t="shared" si="52"/>
        <v>60381AXLE 3</v>
      </c>
      <c r="H1148" s="344">
        <v>18</v>
      </c>
      <c r="I1148" s="344">
        <v>3</v>
      </c>
      <c r="J1148" s="344">
        <v>3</v>
      </c>
      <c r="K1148" s="344">
        <v>6</v>
      </c>
      <c r="L1148" t="str">
        <f t="shared" si="53"/>
        <v>60381</v>
      </c>
      <c r="M1148" s="344" t="s">
        <v>143</v>
      </c>
      <c r="N1148" s="344">
        <v>221131</v>
      </c>
    </row>
    <row r="1149" spans="1:14" ht="15">
      <c r="A1149" s="344">
        <v>60381</v>
      </c>
      <c r="B1149" s="345" t="s">
        <v>137</v>
      </c>
      <c r="C1149" s="344">
        <v>221131</v>
      </c>
      <c r="D1149" s="344" t="str">
        <f t="shared" si="51"/>
        <v>221131</v>
      </c>
      <c r="E1149" s="346" t="s">
        <v>146</v>
      </c>
      <c r="F1149" s="344" t="s">
        <v>145</v>
      </c>
      <c r="G1149" s="344" t="str">
        <f t="shared" si="52"/>
        <v>60381AXLE 4</v>
      </c>
      <c r="H1149" s="344">
        <v>17</v>
      </c>
      <c r="I1149" s="344">
        <v>4</v>
      </c>
      <c r="J1149" s="344">
        <v>4</v>
      </c>
      <c r="K1149" s="344">
        <v>5</v>
      </c>
      <c r="L1149" t="str">
        <f t="shared" si="53"/>
        <v>60381</v>
      </c>
      <c r="M1149" s="344" t="s">
        <v>145</v>
      </c>
      <c r="N1149" s="344">
        <v>221131</v>
      </c>
    </row>
    <row r="1150" spans="1:14" ht="15">
      <c r="A1150" s="344">
        <v>60781</v>
      </c>
      <c r="B1150" s="345" t="s">
        <v>137</v>
      </c>
      <c r="C1150" s="344">
        <v>221131</v>
      </c>
      <c r="D1150" s="344" t="str">
        <f t="shared" si="51"/>
        <v>221131</v>
      </c>
      <c r="E1150" s="346" t="s">
        <v>146</v>
      </c>
      <c r="F1150" s="344" t="s">
        <v>139</v>
      </c>
      <c r="G1150" s="344" t="str">
        <f t="shared" si="52"/>
        <v>60781AXLE 1</v>
      </c>
      <c r="H1150" s="344">
        <v>13</v>
      </c>
      <c r="I1150" s="344">
        <v>8</v>
      </c>
      <c r="J1150" s="344">
        <v>1</v>
      </c>
      <c r="K1150" s="344">
        <v>8</v>
      </c>
      <c r="L1150" t="str">
        <f t="shared" si="53"/>
        <v>60781</v>
      </c>
      <c r="M1150" s="344" t="s">
        <v>139</v>
      </c>
      <c r="N1150" s="344">
        <v>221131</v>
      </c>
    </row>
    <row r="1151" spans="1:14" ht="15">
      <c r="A1151" s="344">
        <v>60781</v>
      </c>
      <c r="B1151" s="345" t="s">
        <v>137</v>
      </c>
      <c r="C1151" s="344">
        <v>221131</v>
      </c>
      <c r="D1151" s="344" t="str">
        <f t="shared" si="51"/>
        <v>221131</v>
      </c>
      <c r="E1151" s="346" t="s">
        <v>147</v>
      </c>
      <c r="F1151" s="344" t="s">
        <v>141</v>
      </c>
      <c r="G1151" s="344" t="str">
        <f t="shared" si="52"/>
        <v>60781AXLE 2</v>
      </c>
      <c r="H1151" s="344">
        <v>14</v>
      </c>
      <c r="I1151" s="344">
        <v>7</v>
      </c>
      <c r="J1151" s="344">
        <v>2</v>
      </c>
      <c r="K1151" s="344">
        <v>7</v>
      </c>
      <c r="L1151" t="str">
        <f t="shared" si="53"/>
        <v>60781</v>
      </c>
      <c r="M1151" s="344" t="s">
        <v>141</v>
      </c>
      <c r="N1151" s="344">
        <v>221131</v>
      </c>
    </row>
    <row r="1152" spans="1:14" ht="15">
      <c r="A1152" s="344">
        <v>60781</v>
      </c>
      <c r="B1152" s="345" t="s">
        <v>137</v>
      </c>
      <c r="C1152" s="344">
        <v>221131</v>
      </c>
      <c r="D1152" s="344" t="str">
        <f t="shared" si="51"/>
        <v>221131</v>
      </c>
      <c r="E1152" s="346" t="s">
        <v>147</v>
      </c>
      <c r="F1152" s="344" t="s">
        <v>143</v>
      </c>
      <c r="G1152" s="344" t="str">
        <f t="shared" si="52"/>
        <v>60781AXLE 3</v>
      </c>
      <c r="H1152" s="344">
        <v>15</v>
      </c>
      <c r="I1152" s="344">
        <v>6</v>
      </c>
      <c r="J1152" s="344">
        <v>3</v>
      </c>
      <c r="K1152" s="344">
        <v>6</v>
      </c>
      <c r="L1152" t="str">
        <f t="shared" si="53"/>
        <v>60781</v>
      </c>
      <c r="M1152" s="344" t="s">
        <v>143</v>
      </c>
      <c r="N1152" s="344">
        <v>221131</v>
      </c>
    </row>
    <row r="1153" spans="1:14" ht="15">
      <c r="A1153" s="344">
        <v>60781</v>
      </c>
      <c r="B1153" s="345" t="s">
        <v>137</v>
      </c>
      <c r="C1153" s="344">
        <v>221131</v>
      </c>
      <c r="D1153" s="344" t="str">
        <f t="shared" si="51"/>
        <v>221131</v>
      </c>
      <c r="E1153" s="346" t="s">
        <v>146</v>
      </c>
      <c r="F1153" s="344" t="s">
        <v>145</v>
      </c>
      <c r="G1153" s="344" t="str">
        <f t="shared" si="52"/>
        <v>60781AXLE 4</v>
      </c>
      <c r="H1153" s="344">
        <v>16</v>
      </c>
      <c r="I1153" s="344">
        <v>5</v>
      </c>
      <c r="J1153" s="344">
        <v>4</v>
      </c>
      <c r="K1153" s="344">
        <v>5</v>
      </c>
      <c r="L1153" t="str">
        <f t="shared" si="53"/>
        <v>60781</v>
      </c>
      <c r="M1153" s="344" t="s">
        <v>145</v>
      </c>
      <c r="N1153" s="344">
        <v>221131</v>
      </c>
    </row>
    <row r="1154" spans="1:14" ht="15">
      <c r="A1154" s="344">
        <v>60981</v>
      </c>
      <c r="B1154" s="345" t="s">
        <v>137</v>
      </c>
      <c r="C1154" s="344">
        <v>221131</v>
      </c>
      <c r="D1154" s="344" t="str">
        <f t="shared" si="51"/>
        <v>221131</v>
      </c>
      <c r="E1154" s="346" t="s">
        <v>146</v>
      </c>
      <c r="F1154" s="344" t="s">
        <v>139</v>
      </c>
      <c r="G1154" s="344" t="str">
        <f t="shared" si="52"/>
        <v>60981AXLE 1</v>
      </c>
      <c r="H1154" s="344">
        <v>9</v>
      </c>
      <c r="I1154" s="344">
        <v>12</v>
      </c>
      <c r="J1154" s="344">
        <v>1</v>
      </c>
      <c r="K1154" s="344">
        <v>8</v>
      </c>
      <c r="L1154" t="str">
        <f t="shared" si="53"/>
        <v>60981</v>
      </c>
      <c r="M1154" s="344" t="s">
        <v>139</v>
      </c>
      <c r="N1154" s="344">
        <v>221131</v>
      </c>
    </row>
    <row r="1155" spans="1:14" ht="15">
      <c r="A1155" s="344">
        <v>60981</v>
      </c>
      <c r="B1155" s="345" t="s">
        <v>137</v>
      </c>
      <c r="C1155" s="344">
        <v>221131</v>
      </c>
      <c r="D1155" s="344" t="str">
        <f t="shared" ref="D1155:D1218" si="54">CONCATENATE(B1155,C1155)</f>
        <v>221131</v>
      </c>
      <c r="E1155" s="346" t="s">
        <v>147</v>
      </c>
      <c r="F1155" s="344" t="s">
        <v>141</v>
      </c>
      <c r="G1155" s="344" t="str">
        <f t="shared" ref="G1155:G1218" si="55">CONCATENATE(A1155,F1155)</f>
        <v>60981AXLE 2</v>
      </c>
      <c r="H1155" s="344">
        <v>10</v>
      </c>
      <c r="I1155" s="344">
        <v>11</v>
      </c>
      <c r="J1155" s="344">
        <v>2</v>
      </c>
      <c r="K1155" s="344">
        <v>7</v>
      </c>
      <c r="L1155" t="str">
        <f t="shared" ref="L1155:L1218" si="56">CONCATENATE(A1155,B1155)</f>
        <v>60981</v>
      </c>
      <c r="M1155" s="344" t="s">
        <v>141</v>
      </c>
      <c r="N1155" s="344">
        <v>221131</v>
      </c>
    </row>
    <row r="1156" spans="1:14" ht="15">
      <c r="A1156" s="344">
        <v>60981</v>
      </c>
      <c r="B1156" s="345" t="s">
        <v>137</v>
      </c>
      <c r="C1156" s="344">
        <v>221131</v>
      </c>
      <c r="D1156" s="344" t="str">
        <f t="shared" si="54"/>
        <v>221131</v>
      </c>
      <c r="E1156" s="346" t="s">
        <v>147</v>
      </c>
      <c r="F1156" s="344" t="s">
        <v>143</v>
      </c>
      <c r="G1156" s="344" t="str">
        <f t="shared" si="55"/>
        <v>60981AXLE 3</v>
      </c>
      <c r="H1156" s="344">
        <v>11</v>
      </c>
      <c r="I1156" s="344">
        <v>10</v>
      </c>
      <c r="J1156" s="344">
        <v>3</v>
      </c>
      <c r="K1156" s="344">
        <v>6</v>
      </c>
      <c r="L1156" t="str">
        <f t="shared" si="56"/>
        <v>60981</v>
      </c>
      <c r="M1156" s="344" t="s">
        <v>143</v>
      </c>
      <c r="N1156" s="344">
        <v>221131</v>
      </c>
    </row>
    <row r="1157" spans="1:14" ht="15">
      <c r="A1157" s="344">
        <v>60981</v>
      </c>
      <c r="B1157" s="345" t="s">
        <v>137</v>
      </c>
      <c r="C1157" s="344">
        <v>221131</v>
      </c>
      <c r="D1157" s="344" t="str">
        <f t="shared" si="54"/>
        <v>221131</v>
      </c>
      <c r="E1157" s="346" t="s">
        <v>146</v>
      </c>
      <c r="F1157" s="344" t="s">
        <v>145</v>
      </c>
      <c r="G1157" s="344" t="str">
        <f t="shared" si="55"/>
        <v>60981AXLE 4</v>
      </c>
      <c r="H1157" s="344">
        <v>12</v>
      </c>
      <c r="I1157" s="344">
        <v>9</v>
      </c>
      <c r="J1157" s="344">
        <v>4</v>
      </c>
      <c r="K1157" s="344">
        <v>5</v>
      </c>
      <c r="L1157" t="str">
        <f t="shared" si="56"/>
        <v>60981</v>
      </c>
      <c r="M1157" s="344" t="s">
        <v>145</v>
      </c>
      <c r="N1157" s="344">
        <v>221131</v>
      </c>
    </row>
    <row r="1158" spans="1:14" ht="15">
      <c r="A1158" s="344">
        <v>60881</v>
      </c>
      <c r="B1158" s="345" t="s">
        <v>137</v>
      </c>
      <c r="C1158" s="344">
        <v>221131</v>
      </c>
      <c r="D1158" s="344" t="str">
        <f t="shared" si="54"/>
        <v>221131</v>
      </c>
      <c r="E1158" s="346" t="s">
        <v>146</v>
      </c>
      <c r="F1158" s="344" t="s">
        <v>139</v>
      </c>
      <c r="G1158" s="344" t="str">
        <f t="shared" si="55"/>
        <v>60881AXLE 1</v>
      </c>
      <c r="H1158" s="344">
        <v>5</v>
      </c>
      <c r="I1158" s="344">
        <v>16</v>
      </c>
      <c r="J1158" s="344">
        <v>1</v>
      </c>
      <c r="K1158" s="344">
        <v>8</v>
      </c>
      <c r="L1158" t="str">
        <f t="shared" si="56"/>
        <v>60881</v>
      </c>
      <c r="M1158" s="344" t="s">
        <v>139</v>
      </c>
      <c r="N1158" s="344">
        <v>221131</v>
      </c>
    </row>
    <row r="1159" spans="1:14" ht="15">
      <c r="A1159" s="344">
        <v>60881</v>
      </c>
      <c r="B1159" s="345" t="s">
        <v>137</v>
      </c>
      <c r="C1159" s="344">
        <v>221131</v>
      </c>
      <c r="D1159" s="344" t="str">
        <f t="shared" si="54"/>
        <v>221131</v>
      </c>
      <c r="E1159" s="346" t="s">
        <v>147</v>
      </c>
      <c r="F1159" s="344" t="s">
        <v>141</v>
      </c>
      <c r="G1159" s="344" t="str">
        <f t="shared" si="55"/>
        <v>60881AXLE 2</v>
      </c>
      <c r="H1159" s="344">
        <v>6</v>
      </c>
      <c r="I1159" s="344">
        <v>15</v>
      </c>
      <c r="J1159" s="344">
        <v>2</v>
      </c>
      <c r="K1159" s="344">
        <v>7</v>
      </c>
      <c r="L1159" t="str">
        <f t="shared" si="56"/>
        <v>60881</v>
      </c>
      <c r="M1159" s="344" t="s">
        <v>141</v>
      </c>
      <c r="N1159" s="344">
        <v>221131</v>
      </c>
    </row>
    <row r="1160" spans="1:14" ht="15">
      <c r="A1160" s="344">
        <v>60881</v>
      </c>
      <c r="B1160" s="345" t="s">
        <v>137</v>
      </c>
      <c r="C1160" s="344">
        <v>221131</v>
      </c>
      <c r="D1160" s="344" t="str">
        <f t="shared" si="54"/>
        <v>221131</v>
      </c>
      <c r="E1160" s="346" t="s">
        <v>147</v>
      </c>
      <c r="F1160" s="344" t="s">
        <v>143</v>
      </c>
      <c r="G1160" s="344" t="str">
        <f t="shared" si="55"/>
        <v>60881AXLE 3</v>
      </c>
      <c r="H1160" s="344">
        <v>7</v>
      </c>
      <c r="I1160" s="344">
        <v>14</v>
      </c>
      <c r="J1160" s="344">
        <v>3</v>
      </c>
      <c r="K1160" s="344">
        <v>6</v>
      </c>
      <c r="L1160" t="str">
        <f t="shared" si="56"/>
        <v>60881</v>
      </c>
      <c r="M1160" s="344" t="s">
        <v>143</v>
      </c>
      <c r="N1160" s="344">
        <v>221131</v>
      </c>
    </row>
    <row r="1161" spans="1:14" ht="15">
      <c r="A1161" s="344">
        <v>60881</v>
      </c>
      <c r="B1161" s="345" t="s">
        <v>137</v>
      </c>
      <c r="C1161" s="344">
        <v>221131</v>
      </c>
      <c r="D1161" s="344" t="str">
        <f t="shared" si="54"/>
        <v>221131</v>
      </c>
      <c r="E1161" s="346" t="s">
        <v>146</v>
      </c>
      <c r="F1161" s="344" t="s">
        <v>145</v>
      </c>
      <c r="G1161" s="344" t="str">
        <f t="shared" si="55"/>
        <v>60881AXLE 4</v>
      </c>
      <c r="H1161" s="344">
        <v>8</v>
      </c>
      <c r="I1161" s="344">
        <v>13</v>
      </c>
      <c r="J1161" s="344">
        <v>4</v>
      </c>
      <c r="K1161" s="344">
        <v>5</v>
      </c>
      <c r="L1161" t="str">
        <f t="shared" si="56"/>
        <v>60881</v>
      </c>
      <c r="M1161" s="344" t="s">
        <v>145</v>
      </c>
      <c r="N1161" s="344">
        <v>221131</v>
      </c>
    </row>
    <row r="1162" spans="1:14" ht="15">
      <c r="A1162" s="344">
        <v>60481</v>
      </c>
      <c r="B1162" s="345" t="s">
        <v>137</v>
      </c>
      <c r="C1162" s="344">
        <v>221131</v>
      </c>
      <c r="D1162" s="344" t="str">
        <f t="shared" si="54"/>
        <v>221131</v>
      </c>
      <c r="E1162" s="346" t="s">
        <v>146</v>
      </c>
      <c r="F1162" s="344" t="s">
        <v>139</v>
      </c>
      <c r="G1162" s="344" t="str">
        <f t="shared" si="55"/>
        <v>60481AXLE 1</v>
      </c>
      <c r="H1162" s="344">
        <v>1</v>
      </c>
      <c r="I1162" s="344">
        <v>20</v>
      </c>
      <c r="J1162" s="344">
        <v>1</v>
      </c>
      <c r="K1162" s="344">
        <v>8</v>
      </c>
      <c r="L1162" t="str">
        <f t="shared" si="56"/>
        <v>60481</v>
      </c>
      <c r="M1162" s="344" t="s">
        <v>139</v>
      </c>
      <c r="N1162" s="344">
        <v>221131</v>
      </c>
    </row>
    <row r="1163" spans="1:14" ht="15">
      <c r="A1163" s="344">
        <v>60481</v>
      </c>
      <c r="B1163" s="345" t="s">
        <v>137</v>
      </c>
      <c r="C1163" s="344">
        <v>221131</v>
      </c>
      <c r="D1163" s="344" t="str">
        <f t="shared" si="54"/>
        <v>221131</v>
      </c>
      <c r="E1163" s="346" t="s">
        <v>147</v>
      </c>
      <c r="F1163" s="344" t="s">
        <v>141</v>
      </c>
      <c r="G1163" s="344" t="str">
        <f t="shared" si="55"/>
        <v>60481AXLE 2</v>
      </c>
      <c r="H1163" s="344">
        <v>2</v>
      </c>
      <c r="I1163" s="344">
        <v>19</v>
      </c>
      <c r="J1163" s="344">
        <v>2</v>
      </c>
      <c r="K1163" s="344">
        <v>7</v>
      </c>
      <c r="L1163" t="str">
        <f t="shared" si="56"/>
        <v>60481</v>
      </c>
      <c r="M1163" s="344" t="s">
        <v>141</v>
      </c>
      <c r="N1163" s="344">
        <v>221131</v>
      </c>
    </row>
    <row r="1164" spans="1:14" ht="15">
      <c r="A1164" s="344">
        <v>60481</v>
      </c>
      <c r="B1164" s="345" t="s">
        <v>137</v>
      </c>
      <c r="C1164" s="344">
        <v>221131</v>
      </c>
      <c r="D1164" s="344" t="str">
        <f t="shared" si="54"/>
        <v>221131</v>
      </c>
      <c r="E1164" s="346" t="s">
        <v>147</v>
      </c>
      <c r="F1164" s="344" t="s">
        <v>143</v>
      </c>
      <c r="G1164" s="344" t="str">
        <f t="shared" si="55"/>
        <v>60481AXLE 3</v>
      </c>
      <c r="H1164" s="344">
        <v>3</v>
      </c>
      <c r="I1164" s="344">
        <v>18</v>
      </c>
      <c r="J1164" s="344">
        <v>3</v>
      </c>
      <c r="K1164" s="344">
        <v>6</v>
      </c>
      <c r="L1164" t="str">
        <f t="shared" si="56"/>
        <v>60481</v>
      </c>
      <c r="M1164" s="344" t="s">
        <v>143</v>
      </c>
      <c r="N1164" s="344">
        <v>221131</v>
      </c>
    </row>
    <row r="1165" spans="1:14" ht="15">
      <c r="A1165" s="344">
        <v>60481</v>
      </c>
      <c r="B1165" s="345" t="s">
        <v>137</v>
      </c>
      <c r="C1165" s="344">
        <v>221131</v>
      </c>
      <c r="D1165" s="344" t="str">
        <f t="shared" si="54"/>
        <v>221131</v>
      </c>
      <c r="E1165" s="346" t="s">
        <v>146</v>
      </c>
      <c r="F1165" s="344" t="s">
        <v>145</v>
      </c>
      <c r="G1165" s="344" t="str">
        <f t="shared" si="55"/>
        <v>60481AXLE 4</v>
      </c>
      <c r="H1165" s="344">
        <v>4</v>
      </c>
      <c r="I1165" s="344">
        <v>17</v>
      </c>
      <c r="J1165" s="344">
        <v>4</v>
      </c>
      <c r="K1165" s="344">
        <v>5</v>
      </c>
      <c r="L1165" t="str">
        <f t="shared" si="56"/>
        <v>60481</v>
      </c>
      <c r="M1165" s="344" t="s">
        <v>145</v>
      </c>
      <c r="N1165" s="344">
        <v>221131</v>
      </c>
    </row>
    <row r="1166" spans="1:14" ht="15">
      <c r="A1166" s="344">
        <v>60382</v>
      </c>
      <c r="B1166" s="345" t="s">
        <v>137</v>
      </c>
      <c r="C1166" s="344">
        <v>221132</v>
      </c>
      <c r="D1166" s="344" t="str">
        <f t="shared" si="54"/>
        <v>221132</v>
      </c>
      <c r="E1166" s="346" t="s">
        <v>146</v>
      </c>
      <c r="F1166" s="344" t="s">
        <v>139</v>
      </c>
      <c r="G1166" s="344" t="str">
        <f t="shared" si="55"/>
        <v>60382AXLE 1</v>
      </c>
      <c r="H1166" s="344">
        <v>20</v>
      </c>
      <c r="I1166" s="344">
        <v>1</v>
      </c>
      <c r="J1166" s="344">
        <v>1</v>
      </c>
      <c r="K1166" s="344">
        <v>8</v>
      </c>
      <c r="L1166" t="str">
        <f t="shared" si="56"/>
        <v>60382</v>
      </c>
      <c r="M1166" s="344" t="s">
        <v>139</v>
      </c>
      <c r="N1166" s="344">
        <v>221132</v>
      </c>
    </row>
    <row r="1167" spans="1:14" ht="15">
      <c r="A1167" s="344">
        <v>60382</v>
      </c>
      <c r="B1167" s="345" t="s">
        <v>137</v>
      </c>
      <c r="C1167" s="344">
        <v>221132</v>
      </c>
      <c r="D1167" s="344" t="str">
        <f t="shared" si="54"/>
        <v>221132</v>
      </c>
      <c r="E1167" s="346" t="s">
        <v>147</v>
      </c>
      <c r="F1167" s="344" t="s">
        <v>141</v>
      </c>
      <c r="G1167" s="344" t="str">
        <f t="shared" si="55"/>
        <v>60382AXLE 2</v>
      </c>
      <c r="H1167" s="344">
        <v>19</v>
      </c>
      <c r="I1167" s="344">
        <v>2</v>
      </c>
      <c r="J1167" s="344">
        <v>2</v>
      </c>
      <c r="K1167" s="344">
        <v>7</v>
      </c>
      <c r="L1167" t="str">
        <f t="shared" si="56"/>
        <v>60382</v>
      </c>
      <c r="M1167" s="344" t="s">
        <v>141</v>
      </c>
      <c r="N1167" s="344">
        <v>221132</v>
      </c>
    </row>
    <row r="1168" spans="1:14" ht="15">
      <c r="A1168" s="344">
        <v>60382</v>
      </c>
      <c r="B1168" s="345" t="s">
        <v>137</v>
      </c>
      <c r="C1168" s="344">
        <v>221132</v>
      </c>
      <c r="D1168" s="344" t="str">
        <f t="shared" si="54"/>
        <v>221132</v>
      </c>
      <c r="E1168" s="346" t="s">
        <v>147</v>
      </c>
      <c r="F1168" s="344" t="s">
        <v>143</v>
      </c>
      <c r="G1168" s="344" t="str">
        <f t="shared" si="55"/>
        <v>60382AXLE 3</v>
      </c>
      <c r="H1168" s="344">
        <v>18</v>
      </c>
      <c r="I1168" s="344">
        <v>3</v>
      </c>
      <c r="J1168" s="344">
        <v>3</v>
      </c>
      <c r="K1168" s="344">
        <v>6</v>
      </c>
      <c r="L1168" t="str">
        <f t="shared" si="56"/>
        <v>60382</v>
      </c>
      <c r="M1168" s="344" t="s">
        <v>143</v>
      </c>
      <c r="N1168" s="344">
        <v>221132</v>
      </c>
    </row>
    <row r="1169" spans="1:14" ht="15">
      <c r="A1169" s="344">
        <v>60382</v>
      </c>
      <c r="B1169" s="345" t="s">
        <v>137</v>
      </c>
      <c r="C1169" s="344">
        <v>221132</v>
      </c>
      <c r="D1169" s="344" t="str">
        <f t="shared" si="54"/>
        <v>221132</v>
      </c>
      <c r="E1169" s="346" t="s">
        <v>146</v>
      </c>
      <c r="F1169" s="344" t="s">
        <v>145</v>
      </c>
      <c r="G1169" s="344" t="str">
        <f t="shared" si="55"/>
        <v>60382AXLE 4</v>
      </c>
      <c r="H1169" s="344">
        <v>17</v>
      </c>
      <c r="I1169" s="344">
        <v>4</v>
      </c>
      <c r="J1169" s="344">
        <v>4</v>
      </c>
      <c r="K1169" s="344">
        <v>5</v>
      </c>
      <c r="L1169" t="str">
        <f t="shared" si="56"/>
        <v>60382</v>
      </c>
      <c r="M1169" s="344" t="s">
        <v>145</v>
      </c>
      <c r="N1169" s="344">
        <v>221132</v>
      </c>
    </row>
    <row r="1170" spans="1:14" ht="15">
      <c r="A1170" s="344">
        <v>60782</v>
      </c>
      <c r="B1170" s="345" t="s">
        <v>137</v>
      </c>
      <c r="C1170" s="344">
        <v>221132</v>
      </c>
      <c r="D1170" s="344" t="str">
        <f t="shared" si="54"/>
        <v>221132</v>
      </c>
      <c r="E1170" s="346" t="s">
        <v>146</v>
      </c>
      <c r="F1170" s="344" t="s">
        <v>139</v>
      </c>
      <c r="G1170" s="344" t="str">
        <f t="shared" si="55"/>
        <v>60782AXLE 1</v>
      </c>
      <c r="H1170" s="344">
        <v>13</v>
      </c>
      <c r="I1170" s="344">
        <v>8</v>
      </c>
      <c r="J1170" s="344">
        <v>1</v>
      </c>
      <c r="K1170" s="344">
        <v>8</v>
      </c>
      <c r="L1170" t="str">
        <f t="shared" si="56"/>
        <v>60782</v>
      </c>
      <c r="M1170" s="344" t="s">
        <v>139</v>
      </c>
      <c r="N1170" s="344">
        <v>221132</v>
      </c>
    </row>
    <row r="1171" spans="1:14" ht="15">
      <c r="A1171" s="344">
        <v>60782</v>
      </c>
      <c r="B1171" s="345" t="s">
        <v>137</v>
      </c>
      <c r="C1171" s="344">
        <v>221132</v>
      </c>
      <c r="D1171" s="344" t="str">
        <f t="shared" si="54"/>
        <v>221132</v>
      </c>
      <c r="E1171" s="346" t="s">
        <v>147</v>
      </c>
      <c r="F1171" s="344" t="s">
        <v>141</v>
      </c>
      <c r="G1171" s="344" t="str">
        <f t="shared" si="55"/>
        <v>60782AXLE 2</v>
      </c>
      <c r="H1171" s="344">
        <v>14</v>
      </c>
      <c r="I1171" s="344">
        <v>7</v>
      </c>
      <c r="J1171" s="344">
        <v>2</v>
      </c>
      <c r="K1171" s="344">
        <v>7</v>
      </c>
      <c r="L1171" t="str">
        <f t="shared" si="56"/>
        <v>60782</v>
      </c>
      <c r="M1171" s="344" t="s">
        <v>141</v>
      </c>
      <c r="N1171" s="344">
        <v>221132</v>
      </c>
    </row>
    <row r="1172" spans="1:14" ht="15">
      <c r="A1172" s="344">
        <v>60782</v>
      </c>
      <c r="B1172" s="345" t="s">
        <v>137</v>
      </c>
      <c r="C1172" s="344">
        <v>221132</v>
      </c>
      <c r="D1172" s="344" t="str">
        <f t="shared" si="54"/>
        <v>221132</v>
      </c>
      <c r="E1172" s="346" t="s">
        <v>147</v>
      </c>
      <c r="F1172" s="344" t="s">
        <v>143</v>
      </c>
      <c r="G1172" s="344" t="str">
        <f t="shared" si="55"/>
        <v>60782AXLE 3</v>
      </c>
      <c r="H1172" s="344">
        <v>15</v>
      </c>
      <c r="I1172" s="344">
        <v>6</v>
      </c>
      <c r="J1172" s="344">
        <v>3</v>
      </c>
      <c r="K1172" s="344">
        <v>6</v>
      </c>
      <c r="L1172" t="str">
        <f t="shared" si="56"/>
        <v>60782</v>
      </c>
      <c r="M1172" s="344" t="s">
        <v>143</v>
      </c>
      <c r="N1172" s="344">
        <v>221132</v>
      </c>
    </row>
    <row r="1173" spans="1:14" ht="15">
      <c r="A1173" s="344">
        <v>60782</v>
      </c>
      <c r="B1173" s="345" t="s">
        <v>137</v>
      </c>
      <c r="C1173" s="344">
        <v>221132</v>
      </c>
      <c r="D1173" s="344" t="str">
        <f t="shared" si="54"/>
        <v>221132</v>
      </c>
      <c r="E1173" s="346" t="s">
        <v>146</v>
      </c>
      <c r="F1173" s="344" t="s">
        <v>145</v>
      </c>
      <c r="G1173" s="344" t="str">
        <f t="shared" si="55"/>
        <v>60782AXLE 4</v>
      </c>
      <c r="H1173" s="344">
        <v>16</v>
      </c>
      <c r="I1173" s="344">
        <v>5</v>
      </c>
      <c r="J1173" s="344">
        <v>4</v>
      </c>
      <c r="K1173" s="344">
        <v>5</v>
      </c>
      <c r="L1173" t="str">
        <f t="shared" si="56"/>
        <v>60782</v>
      </c>
      <c r="M1173" s="344" t="s">
        <v>145</v>
      </c>
      <c r="N1173" s="344">
        <v>221132</v>
      </c>
    </row>
    <row r="1174" spans="1:14" ht="15">
      <c r="A1174" s="344">
        <v>60982</v>
      </c>
      <c r="B1174" s="345" t="s">
        <v>137</v>
      </c>
      <c r="C1174" s="344">
        <v>221132</v>
      </c>
      <c r="D1174" s="344" t="str">
        <f t="shared" si="54"/>
        <v>221132</v>
      </c>
      <c r="E1174" s="346" t="s">
        <v>146</v>
      </c>
      <c r="F1174" s="344" t="s">
        <v>139</v>
      </c>
      <c r="G1174" s="344" t="str">
        <f t="shared" si="55"/>
        <v>60982AXLE 1</v>
      </c>
      <c r="H1174" s="344">
        <v>9</v>
      </c>
      <c r="I1174" s="344">
        <v>12</v>
      </c>
      <c r="J1174" s="344">
        <v>1</v>
      </c>
      <c r="K1174" s="344">
        <v>8</v>
      </c>
      <c r="L1174" t="str">
        <f t="shared" si="56"/>
        <v>60982</v>
      </c>
      <c r="M1174" s="344" t="s">
        <v>139</v>
      </c>
      <c r="N1174" s="344">
        <v>221132</v>
      </c>
    </row>
    <row r="1175" spans="1:14" ht="15">
      <c r="A1175" s="344">
        <v>60982</v>
      </c>
      <c r="B1175" s="345" t="s">
        <v>137</v>
      </c>
      <c r="C1175" s="344">
        <v>221132</v>
      </c>
      <c r="D1175" s="344" t="str">
        <f t="shared" si="54"/>
        <v>221132</v>
      </c>
      <c r="E1175" s="346" t="s">
        <v>147</v>
      </c>
      <c r="F1175" s="344" t="s">
        <v>141</v>
      </c>
      <c r="G1175" s="344" t="str">
        <f t="shared" si="55"/>
        <v>60982AXLE 2</v>
      </c>
      <c r="H1175" s="344">
        <v>10</v>
      </c>
      <c r="I1175" s="344">
        <v>11</v>
      </c>
      <c r="J1175" s="344">
        <v>2</v>
      </c>
      <c r="K1175" s="344">
        <v>7</v>
      </c>
      <c r="L1175" t="str">
        <f t="shared" si="56"/>
        <v>60982</v>
      </c>
      <c r="M1175" s="344" t="s">
        <v>141</v>
      </c>
      <c r="N1175" s="344">
        <v>221132</v>
      </c>
    </row>
    <row r="1176" spans="1:14" ht="15">
      <c r="A1176" s="344">
        <v>60982</v>
      </c>
      <c r="B1176" s="345" t="s">
        <v>137</v>
      </c>
      <c r="C1176" s="344">
        <v>221132</v>
      </c>
      <c r="D1176" s="344" t="str">
        <f t="shared" si="54"/>
        <v>221132</v>
      </c>
      <c r="E1176" s="346" t="s">
        <v>147</v>
      </c>
      <c r="F1176" s="344" t="s">
        <v>143</v>
      </c>
      <c r="G1176" s="344" t="str">
        <f t="shared" si="55"/>
        <v>60982AXLE 3</v>
      </c>
      <c r="H1176" s="344">
        <v>11</v>
      </c>
      <c r="I1176" s="344">
        <v>10</v>
      </c>
      <c r="J1176" s="344">
        <v>3</v>
      </c>
      <c r="K1176" s="344">
        <v>6</v>
      </c>
      <c r="L1176" t="str">
        <f t="shared" si="56"/>
        <v>60982</v>
      </c>
      <c r="M1176" s="344" t="s">
        <v>143</v>
      </c>
      <c r="N1176" s="344">
        <v>221132</v>
      </c>
    </row>
    <row r="1177" spans="1:14" ht="15">
      <c r="A1177" s="344">
        <v>60982</v>
      </c>
      <c r="B1177" s="345" t="s">
        <v>137</v>
      </c>
      <c r="C1177" s="344">
        <v>221132</v>
      </c>
      <c r="D1177" s="344" t="str">
        <f t="shared" si="54"/>
        <v>221132</v>
      </c>
      <c r="E1177" s="346" t="s">
        <v>146</v>
      </c>
      <c r="F1177" s="344" t="s">
        <v>145</v>
      </c>
      <c r="G1177" s="344" t="str">
        <f t="shared" si="55"/>
        <v>60982AXLE 4</v>
      </c>
      <c r="H1177" s="344">
        <v>12</v>
      </c>
      <c r="I1177" s="344">
        <v>9</v>
      </c>
      <c r="J1177" s="344">
        <v>4</v>
      </c>
      <c r="K1177" s="344">
        <v>5</v>
      </c>
      <c r="L1177" t="str">
        <f t="shared" si="56"/>
        <v>60982</v>
      </c>
      <c r="M1177" s="344" t="s">
        <v>145</v>
      </c>
      <c r="N1177" s="344">
        <v>221132</v>
      </c>
    </row>
    <row r="1178" spans="1:14" ht="15">
      <c r="A1178" s="344">
        <v>60882</v>
      </c>
      <c r="B1178" s="345" t="s">
        <v>137</v>
      </c>
      <c r="C1178" s="344">
        <v>221132</v>
      </c>
      <c r="D1178" s="344" t="str">
        <f t="shared" si="54"/>
        <v>221132</v>
      </c>
      <c r="E1178" s="346" t="s">
        <v>146</v>
      </c>
      <c r="F1178" s="344" t="s">
        <v>139</v>
      </c>
      <c r="G1178" s="344" t="str">
        <f t="shared" si="55"/>
        <v>60882AXLE 1</v>
      </c>
      <c r="H1178" s="344">
        <v>5</v>
      </c>
      <c r="I1178" s="344">
        <v>16</v>
      </c>
      <c r="J1178" s="344">
        <v>1</v>
      </c>
      <c r="K1178" s="344">
        <v>8</v>
      </c>
      <c r="L1178" t="str">
        <f t="shared" si="56"/>
        <v>60882</v>
      </c>
      <c r="M1178" s="344" t="s">
        <v>139</v>
      </c>
      <c r="N1178" s="344">
        <v>221132</v>
      </c>
    </row>
    <row r="1179" spans="1:14" ht="15">
      <c r="A1179" s="344">
        <v>60882</v>
      </c>
      <c r="B1179" s="345" t="s">
        <v>137</v>
      </c>
      <c r="C1179" s="344">
        <v>221132</v>
      </c>
      <c r="D1179" s="344" t="str">
        <f t="shared" si="54"/>
        <v>221132</v>
      </c>
      <c r="E1179" s="346" t="s">
        <v>147</v>
      </c>
      <c r="F1179" s="344" t="s">
        <v>141</v>
      </c>
      <c r="G1179" s="344" t="str">
        <f t="shared" si="55"/>
        <v>60882AXLE 2</v>
      </c>
      <c r="H1179" s="344">
        <v>6</v>
      </c>
      <c r="I1179" s="344">
        <v>15</v>
      </c>
      <c r="J1179" s="344">
        <v>2</v>
      </c>
      <c r="K1179" s="344">
        <v>7</v>
      </c>
      <c r="L1179" t="str">
        <f t="shared" si="56"/>
        <v>60882</v>
      </c>
      <c r="M1179" s="344" t="s">
        <v>141</v>
      </c>
      <c r="N1179" s="344">
        <v>221132</v>
      </c>
    </row>
    <row r="1180" spans="1:14" ht="15">
      <c r="A1180" s="344">
        <v>60882</v>
      </c>
      <c r="B1180" s="345" t="s">
        <v>137</v>
      </c>
      <c r="C1180" s="344">
        <v>221132</v>
      </c>
      <c r="D1180" s="344" t="str">
        <f t="shared" si="54"/>
        <v>221132</v>
      </c>
      <c r="E1180" s="346" t="s">
        <v>147</v>
      </c>
      <c r="F1180" s="344" t="s">
        <v>143</v>
      </c>
      <c r="G1180" s="344" t="str">
        <f t="shared" si="55"/>
        <v>60882AXLE 3</v>
      </c>
      <c r="H1180" s="344">
        <v>7</v>
      </c>
      <c r="I1180" s="344">
        <v>14</v>
      </c>
      <c r="J1180" s="344">
        <v>3</v>
      </c>
      <c r="K1180" s="344">
        <v>6</v>
      </c>
      <c r="L1180" t="str">
        <f t="shared" si="56"/>
        <v>60882</v>
      </c>
      <c r="M1180" s="344" t="s">
        <v>143</v>
      </c>
      <c r="N1180" s="344">
        <v>221132</v>
      </c>
    </row>
    <row r="1181" spans="1:14" ht="15">
      <c r="A1181" s="344">
        <v>60882</v>
      </c>
      <c r="B1181" s="345" t="s">
        <v>137</v>
      </c>
      <c r="C1181" s="344">
        <v>221132</v>
      </c>
      <c r="D1181" s="344" t="str">
        <f t="shared" si="54"/>
        <v>221132</v>
      </c>
      <c r="E1181" s="346" t="s">
        <v>146</v>
      </c>
      <c r="F1181" s="344" t="s">
        <v>145</v>
      </c>
      <c r="G1181" s="344" t="str">
        <f t="shared" si="55"/>
        <v>60882AXLE 4</v>
      </c>
      <c r="H1181" s="344">
        <v>8</v>
      </c>
      <c r="I1181" s="344">
        <v>13</v>
      </c>
      <c r="J1181" s="344">
        <v>4</v>
      </c>
      <c r="K1181" s="344">
        <v>5</v>
      </c>
      <c r="L1181" t="str">
        <f t="shared" si="56"/>
        <v>60882</v>
      </c>
      <c r="M1181" s="344" t="s">
        <v>145</v>
      </c>
      <c r="N1181" s="344">
        <v>221132</v>
      </c>
    </row>
    <row r="1182" spans="1:14" ht="15">
      <c r="A1182" s="344">
        <v>60482</v>
      </c>
      <c r="B1182" s="345" t="s">
        <v>137</v>
      </c>
      <c r="C1182" s="344">
        <v>221132</v>
      </c>
      <c r="D1182" s="344" t="str">
        <f t="shared" si="54"/>
        <v>221132</v>
      </c>
      <c r="E1182" s="346" t="s">
        <v>146</v>
      </c>
      <c r="F1182" s="344" t="s">
        <v>139</v>
      </c>
      <c r="G1182" s="344" t="str">
        <f t="shared" si="55"/>
        <v>60482AXLE 1</v>
      </c>
      <c r="H1182" s="344">
        <v>1</v>
      </c>
      <c r="I1182" s="344">
        <v>20</v>
      </c>
      <c r="J1182" s="344">
        <v>1</v>
      </c>
      <c r="K1182" s="344">
        <v>8</v>
      </c>
      <c r="L1182" t="str">
        <f t="shared" si="56"/>
        <v>60482</v>
      </c>
      <c r="M1182" s="344" t="s">
        <v>139</v>
      </c>
      <c r="N1182" s="344">
        <v>221132</v>
      </c>
    </row>
    <row r="1183" spans="1:14" ht="15">
      <c r="A1183" s="344">
        <v>60482</v>
      </c>
      <c r="B1183" s="345" t="s">
        <v>137</v>
      </c>
      <c r="C1183" s="344">
        <v>221132</v>
      </c>
      <c r="D1183" s="344" t="str">
        <f t="shared" si="54"/>
        <v>221132</v>
      </c>
      <c r="E1183" s="346" t="s">
        <v>147</v>
      </c>
      <c r="F1183" s="344" t="s">
        <v>141</v>
      </c>
      <c r="G1183" s="344" t="str">
        <f t="shared" si="55"/>
        <v>60482AXLE 2</v>
      </c>
      <c r="H1183" s="344">
        <v>2</v>
      </c>
      <c r="I1183" s="344">
        <v>19</v>
      </c>
      <c r="J1183" s="344">
        <v>2</v>
      </c>
      <c r="K1183" s="344">
        <v>7</v>
      </c>
      <c r="L1183" t="str">
        <f t="shared" si="56"/>
        <v>60482</v>
      </c>
      <c r="M1183" s="344" t="s">
        <v>141</v>
      </c>
      <c r="N1183" s="344">
        <v>221132</v>
      </c>
    </row>
    <row r="1184" spans="1:14" ht="15">
      <c r="A1184" s="344">
        <v>60482</v>
      </c>
      <c r="B1184" s="345" t="s">
        <v>137</v>
      </c>
      <c r="C1184" s="344">
        <v>221132</v>
      </c>
      <c r="D1184" s="344" t="str">
        <f t="shared" si="54"/>
        <v>221132</v>
      </c>
      <c r="E1184" s="346" t="s">
        <v>147</v>
      </c>
      <c r="F1184" s="344" t="s">
        <v>143</v>
      </c>
      <c r="G1184" s="344" t="str">
        <f t="shared" si="55"/>
        <v>60482AXLE 3</v>
      </c>
      <c r="H1184" s="344">
        <v>3</v>
      </c>
      <c r="I1184" s="344">
        <v>18</v>
      </c>
      <c r="J1184" s="344">
        <v>3</v>
      </c>
      <c r="K1184" s="344">
        <v>6</v>
      </c>
      <c r="L1184" t="str">
        <f t="shared" si="56"/>
        <v>60482</v>
      </c>
      <c r="M1184" s="344" t="s">
        <v>143</v>
      </c>
      <c r="N1184" s="344">
        <v>221132</v>
      </c>
    </row>
    <row r="1185" spans="1:14" ht="15">
      <c r="A1185" s="344">
        <v>60482</v>
      </c>
      <c r="B1185" s="345" t="s">
        <v>137</v>
      </c>
      <c r="C1185" s="344">
        <v>221132</v>
      </c>
      <c r="D1185" s="344" t="str">
        <f t="shared" si="54"/>
        <v>221132</v>
      </c>
      <c r="E1185" s="346" t="s">
        <v>146</v>
      </c>
      <c r="F1185" s="344" t="s">
        <v>145</v>
      </c>
      <c r="G1185" s="344" t="str">
        <f t="shared" si="55"/>
        <v>60482AXLE 4</v>
      </c>
      <c r="H1185" s="344">
        <v>4</v>
      </c>
      <c r="I1185" s="344">
        <v>17</v>
      </c>
      <c r="J1185" s="344">
        <v>4</v>
      </c>
      <c r="K1185" s="344">
        <v>5</v>
      </c>
      <c r="L1185" t="str">
        <f t="shared" si="56"/>
        <v>60482</v>
      </c>
      <c r="M1185" s="344" t="s">
        <v>145</v>
      </c>
      <c r="N1185" s="344">
        <v>221132</v>
      </c>
    </row>
    <row r="1186" spans="1:14" ht="15">
      <c r="A1186" s="344">
        <v>60383</v>
      </c>
      <c r="B1186" s="345" t="s">
        <v>137</v>
      </c>
      <c r="C1186" s="344">
        <v>221133</v>
      </c>
      <c r="D1186" s="344" t="str">
        <f t="shared" si="54"/>
        <v>221133</v>
      </c>
      <c r="E1186" s="346" t="s">
        <v>146</v>
      </c>
      <c r="F1186" s="344" t="s">
        <v>139</v>
      </c>
      <c r="G1186" s="344" t="str">
        <f t="shared" si="55"/>
        <v>60383AXLE 1</v>
      </c>
      <c r="H1186" s="344">
        <v>20</v>
      </c>
      <c r="I1186" s="344">
        <v>1</v>
      </c>
      <c r="J1186" s="344">
        <v>1</v>
      </c>
      <c r="K1186" s="344">
        <v>8</v>
      </c>
      <c r="L1186" t="str">
        <f t="shared" si="56"/>
        <v>60383</v>
      </c>
      <c r="M1186" s="344" t="s">
        <v>139</v>
      </c>
      <c r="N1186" s="344">
        <v>221133</v>
      </c>
    </row>
    <row r="1187" spans="1:14" ht="15">
      <c r="A1187" s="344">
        <v>60383</v>
      </c>
      <c r="B1187" s="345" t="s">
        <v>137</v>
      </c>
      <c r="C1187" s="344">
        <v>221133</v>
      </c>
      <c r="D1187" s="344" t="str">
        <f t="shared" si="54"/>
        <v>221133</v>
      </c>
      <c r="E1187" s="346" t="s">
        <v>147</v>
      </c>
      <c r="F1187" s="344" t="s">
        <v>141</v>
      </c>
      <c r="G1187" s="344" t="str">
        <f t="shared" si="55"/>
        <v>60383AXLE 2</v>
      </c>
      <c r="H1187" s="344">
        <v>19</v>
      </c>
      <c r="I1187" s="344">
        <v>2</v>
      </c>
      <c r="J1187" s="344">
        <v>2</v>
      </c>
      <c r="K1187" s="344">
        <v>7</v>
      </c>
      <c r="L1187" t="str">
        <f t="shared" si="56"/>
        <v>60383</v>
      </c>
      <c r="M1187" s="344" t="s">
        <v>141</v>
      </c>
      <c r="N1187" s="344">
        <v>221133</v>
      </c>
    </row>
    <row r="1188" spans="1:14" ht="15">
      <c r="A1188" s="344">
        <v>60383</v>
      </c>
      <c r="B1188" s="345" t="s">
        <v>137</v>
      </c>
      <c r="C1188" s="344">
        <v>221133</v>
      </c>
      <c r="D1188" s="344" t="str">
        <f t="shared" si="54"/>
        <v>221133</v>
      </c>
      <c r="E1188" s="346" t="s">
        <v>147</v>
      </c>
      <c r="F1188" s="344" t="s">
        <v>143</v>
      </c>
      <c r="G1188" s="344" t="str">
        <f t="shared" si="55"/>
        <v>60383AXLE 3</v>
      </c>
      <c r="H1188" s="344">
        <v>18</v>
      </c>
      <c r="I1188" s="344">
        <v>3</v>
      </c>
      <c r="J1188" s="344">
        <v>3</v>
      </c>
      <c r="K1188" s="344">
        <v>6</v>
      </c>
      <c r="L1188" t="str">
        <f t="shared" si="56"/>
        <v>60383</v>
      </c>
      <c r="M1188" s="344" t="s">
        <v>143</v>
      </c>
      <c r="N1188" s="344">
        <v>221133</v>
      </c>
    </row>
    <row r="1189" spans="1:14" ht="15">
      <c r="A1189" s="344">
        <v>60383</v>
      </c>
      <c r="B1189" s="345" t="s">
        <v>137</v>
      </c>
      <c r="C1189" s="344">
        <v>221133</v>
      </c>
      <c r="D1189" s="344" t="str">
        <f t="shared" si="54"/>
        <v>221133</v>
      </c>
      <c r="E1189" s="346" t="s">
        <v>146</v>
      </c>
      <c r="F1189" s="344" t="s">
        <v>145</v>
      </c>
      <c r="G1189" s="344" t="str">
        <f t="shared" si="55"/>
        <v>60383AXLE 4</v>
      </c>
      <c r="H1189" s="344">
        <v>17</v>
      </c>
      <c r="I1189" s="344">
        <v>4</v>
      </c>
      <c r="J1189" s="344">
        <v>4</v>
      </c>
      <c r="K1189" s="344">
        <v>5</v>
      </c>
      <c r="L1189" t="str">
        <f t="shared" si="56"/>
        <v>60383</v>
      </c>
      <c r="M1189" s="344" t="s">
        <v>145</v>
      </c>
      <c r="N1189" s="344">
        <v>221133</v>
      </c>
    </row>
    <row r="1190" spans="1:14" ht="15">
      <c r="A1190" s="344">
        <v>60783</v>
      </c>
      <c r="B1190" s="345" t="s">
        <v>137</v>
      </c>
      <c r="C1190" s="344">
        <v>221133</v>
      </c>
      <c r="D1190" s="344" t="str">
        <f t="shared" si="54"/>
        <v>221133</v>
      </c>
      <c r="E1190" s="346" t="s">
        <v>146</v>
      </c>
      <c r="F1190" s="344" t="s">
        <v>139</v>
      </c>
      <c r="G1190" s="344" t="str">
        <f t="shared" si="55"/>
        <v>60783AXLE 1</v>
      </c>
      <c r="H1190" s="344">
        <v>13</v>
      </c>
      <c r="I1190" s="344">
        <v>8</v>
      </c>
      <c r="J1190" s="344">
        <v>1</v>
      </c>
      <c r="K1190" s="344">
        <v>8</v>
      </c>
      <c r="L1190" t="str">
        <f t="shared" si="56"/>
        <v>60783</v>
      </c>
      <c r="M1190" s="344" t="s">
        <v>139</v>
      </c>
      <c r="N1190" s="344">
        <v>221133</v>
      </c>
    </row>
    <row r="1191" spans="1:14" ht="15">
      <c r="A1191" s="344">
        <v>60783</v>
      </c>
      <c r="B1191" s="345" t="s">
        <v>137</v>
      </c>
      <c r="C1191" s="344">
        <v>221133</v>
      </c>
      <c r="D1191" s="344" t="str">
        <f t="shared" si="54"/>
        <v>221133</v>
      </c>
      <c r="E1191" s="346" t="s">
        <v>147</v>
      </c>
      <c r="F1191" s="344" t="s">
        <v>141</v>
      </c>
      <c r="G1191" s="344" t="str">
        <f t="shared" si="55"/>
        <v>60783AXLE 2</v>
      </c>
      <c r="H1191" s="344">
        <v>14</v>
      </c>
      <c r="I1191" s="344">
        <v>7</v>
      </c>
      <c r="J1191" s="344">
        <v>2</v>
      </c>
      <c r="K1191" s="344">
        <v>7</v>
      </c>
      <c r="L1191" t="str">
        <f t="shared" si="56"/>
        <v>60783</v>
      </c>
      <c r="M1191" s="344" t="s">
        <v>141</v>
      </c>
      <c r="N1191" s="344">
        <v>221133</v>
      </c>
    </row>
    <row r="1192" spans="1:14" ht="15">
      <c r="A1192" s="344">
        <v>60783</v>
      </c>
      <c r="B1192" s="345" t="s">
        <v>137</v>
      </c>
      <c r="C1192" s="344">
        <v>221133</v>
      </c>
      <c r="D1192" s="344" t="str">
        <f t="shared" si="54"/>
        <v>221133</v>
      </c>
      <c r="E1192" s="346" t="s">
        <v>147</v>
      </c>
      <c r="F1192" s="344" t="s">
        <v>143</v>
      </c>
      <c r="G1192" s="344" t="str">
        <f t="shared" si="55"/>
        <v>60783AXLE 3</v>
      </c>
      <c r="H1192" s="344">
        <v>15</v>
      </c>
      <c r="I1192" s="344">
        <v>6</v>
      </c>
      <c r="J1192" s="344">
        <v>3</v>
      </c>
      <c r="K1192" s="344">
        <v>6</v>
      </c>
      <c r="L1192" t="str">
        <f t="shared" si="56"/>
        <v>60783</v>
      </c>
      <c r="M1192" s="344" t="s">
        <v>143</v>
      </c>
      <c r="N1192" s="344">
        <v>221133</v>
      </c>
    </row>
    <row r="1193" spans="1:14" ht="15">
      <c r="A1193" s="344">
        <v>60783</v>
      </c>
      <c r="B1193" s="345" t="s">
        <v>137</v>
      </c>
      <c r="C1193" s="344">
        <v>221133</v>
      </c>
      <c r="D1193" s="344" t="str">
        <f t="shared" si="54"/>
        <v>221133</v>
      </c>
      <c r="E1193" s="346" t="s">
        <v>146</v>
      </c>
      <c r="F1193" s="344" t="s">
        <v>145</v>
      </c>
      <c r="G1193" s="344" t="str">
        <f t="shared" si="55"/>
        <v>60783AXLE 4</v>
      </c>
      <c r="H1193" s="344">
        <v>16</v>
      </c>
      <c r="I1193" s="344">
        <v>5</v>
      </c>
      <c r="J1193" s="344">
        <v>4</v>
      </c>
      <c r="K1193" s="344">
        <v>5</v>
      </c>
      <c r="L1193" t="str">
        <f t="shared" si="56"/>
        <v>60783</v>
      </c>
      <c r="M1193" s="344" t="s">
        <v>145</v>
      </c>
      <c r="N1193" s="344">
        <v>221133</v>
      </c>
    </row>
    <row r="1194" spans="1:14" ht="15">
      <c r="A1194" s="344">
        <v>60983</v>
      </c>
      <c r="B1194" s="345" t="s">
        <v>137</v>
      </c>
      <c r="C1194" s="344">
        <v>221133</v>
      </c>
      <c r="D1194" s="344" t="str">
        <f t="shared" si="54"/>
        <v>221133</v>
      </c>
      <c r="E1194" s="346" t="s">
        <v>146</v>
      </c>
      <c r="F1194" s="344" t="s">
        <v>139</v>
      </c>
      <c r="G1194" s="344" t="str">
        <f t="shared" si="55"/>
        <v>60983AXLE 1</v>
      </c>
      <c r="H1194" s="344">
        <v>9</v>
      </c>
      <c r="I1194" s="344">
        <v>12</v>
      </c>
      <c r="J1194" s="344">
        <v>1</v>
      </c>
      <c r="K1194" s="344">
        <v>8</v>
      </c>
      <c r="L1194" t="str">
        <f t="shared" si="56"/>
        <v>60983</v>
      </c>
      <c r="M1194" s="344" t="s">
        <v>139</v>
      </c>
      <c r="N1194" s="344">
        <v>221133</v>
      </c>
    </row>
    <row r="1195" spans="1:14" ht="15">
      <c r="A1195" s="344">
        <v>60983</v>
      </c>
      <c r="B1195" s="345" t="s">
        <v>137</v>
      </c>
      <c r="C1195" s="344">
        <v>221133</v>
      </c>
      <c r="D1195" s="344" t="str">
        <f t="shared" si="54"/>
        <v>221133</v>
      </c>
      <c r="E1195" s="346" t="s">
        <v>147</v>
      </c>
      <c r="F1195" s="344" t="s">
        <v>141</v>
      </c>
      <c r="G1195" s="344" t="str">
        <f t="shared" si="55"/>
        <v>60983AXLE 2</v>
      </c>
      <c r="H1195" s="344">
        <v>10</v>
      </c>
      <c r="I1195" s="344">
        <v>11</v>
      </c>
      <c r="J1195" s="344">
        <v>2</v>
      </c>
      <c r="K1195" s="344">
        <v>7</v>
      </c>
      <c r="L1195" t="str">
        <f t="shared" si="56"/>
        <v>60983</v>
      </c>
      <c r="M1195" s="344" t="s">
        <v>141</v>
      </c>
      <c r="N1195" s="344">
        <v>221133</v>
      </c>
    </row>
    <row r="1196" spans="1:14" ht="15">
      <c r="A1196" s="344">
        <v>60983</v>
      </c>
      <c r="B1196" s="345" t="s">
        <v>137</v>
      </c>
      <c r="C1196" s="344">
        <v>221133</v>
      </c>
      <c r="D1196" s="344" t="str">
        <f t="shared" si="54"/>
        <v>221133</v>
      </c>
      <c r="E1196" s="346" t="s">
        <v>147</v>
      </c>
      <c r="F1196" s="344" t="s">
        <v>143</v>
      </c>
      <c r="G1196" s="344" t="str">
        <f t="shared" si="55"/>
        <v>60983AXLE 3</v>
      </c>
      <c r="H1196" s="344">
        <v>11</v>
      </c>
      <c r="I1196" s="344">
        <v>10</v>
      </c>
      <c r="J1196" s="344">
        <v>3</v>
      </c>
      <c r="K1196" s="344">
        <v>6</v>
      </c>
      <c r="L1196" t="str">
        <f t="shared" si="56"/>
        <v>60983</v>
      </c>
      <c r="M1196" s="344" t="s">
        <v>143</v>
      </c>
      <c r="N1196" s="344">
        <v>221133</v>
      </c>
    </row>
    <row r="1197" spans="1:14" ht="15">
      <c r="A1197" s="344">
        <v>60983</v>
      </c>
      <c r="B1197" s="345" t="s">
        <v>137</v>
      </c>
      <c r="C1197" s="344">
        <v>221133</v>
      </c>
      <c r="D1197" s="344" t="str">
        <f t="shared" si="54"/>
        <v>221133</v>
      </c>
      <c r="E1197" s="346" t="s">
        <v>146</v>
      </c>
      <c r="F1197" s="344" t="s">
        <v>145</v>
      </c>
      <c r="G1197" s="344" t="str">
        <f t="shared" si="55"/>
        <v>60983AXLE 4</v>
      </c>
      <c r="H1197" s="344">
        <v>12</v>
      </c>
      <c r="I1197" s="344">
        <v>9</v>
      </c>
      <c r="J1197" s="344">
        <v>4</v>
      </c>
      <c r="K1197" s="344">
        <v>5</v>
      </c>
      <c r="L1197" t="str">
        <f t="shared" si="56"/>
        <v>60983</v>
      </c>
      <c r="M1197" s="344" t="s">
        <v>145</v>
      </c>
      <c r="N1197" s="344">
        <v>221133</v>
      </c>
    </row>
    <row r="1198" spans="1:14" ht="15">
      <c r="A1198" s="344">
        <v>60883</v>
      </c>
      <c r="B1198" s="345" t="s">
        <v>137</v>
      </c>
      <c r="C1198" s="344">
        <v>221133</v>
      </c>
      <c r="D1198" s="344" t="str">
        <f t="shared" si="54"/>
        <v>221133</v>
      </c>
      <c r="E1198" s="346" t="s">
        <v>146</v>
      </c>
      <c r="F1198" s="344" t="s">
        <v>139</v>
      </c>
      <c r="G1198" s="344" t="str">
        <f t="shared" si="55"/>
        <v>60883AXLE 1</v>
      </c>
      <c r="H1198" s="344">
        <v>5</v>
      </c>
      <c r="I1198" s="344">
        <v>16</v>
      </c>
      <c r="J1198" s="344">
        <v>1</v>
      </c>
      <c r="K1198" s="344">
        <v>8</v>
      </c>
      <c r="L1198" t="str">
        <f t="shared" si="56"/>
        <v>60883</v>
      </c>
      <c r="M1198" s="344" t="s">
        <v>139</v>
      </c>
      <c r="N1198" s="344">
        <v>221133</v>
      </c>
    </row>
    <row r="1199" spans="1:14" ht="15">
      <c r="A1199" s="344">
        <v>60883</v>
      </c>
      <c r="B1199" s="345" t="s">
        <v>137</v>
      </c>
      <c r="C1199" s="344">
        <v>221133</v>
      </c>
      <c r="D1199" s="344" t="str">
        <f t="shared" si="54"/>
        <v>221133</v>
      </c>
      <c r="E1199" s="346" t="s">
        <v>147</v>
      </c>
      <c r="F1199" s="344" t="s">
        <v>141</v>
      </c>
      <c r="G1199" s="344" t="str">
        <f t="shared" si="55"/>
        <v>60883AXLE 2</v>
      </c>
      <c r="H1199" s="344">
        <v>6</v>
      </c>
      <c r="I1199" s="344">
        <v>15</v>
      </c>
      <c r="J1199" s="344">
        <v>2</v>
      </c>
      <c r="K1199" s="344">
        <v>7</v>
      </c>
      <c r="L1199" t="str">
        <f t="shared" si="56"/>
        <v>60883</v>
      </c>
      <c r="M1199" s="344" t="s">
        <v>141</v>
      </c>
      <c r="N1199" s="344">
        <v>221133</v>
      </c>
    </row>
    <row r="1200" spans="1:14" ht="15">
      <c r="A1200" s="344">
        <v>60883</v>
      </c>
      <c r="B1200" s="345" t="s">
        <v>137</v>
      </c>
      <c r="C1200" s="344">
        <v>221133</v>
      </c>
      <c r="D1200" s="344" t="str">
        <f t="shared" si="54"/>
        <v>221133</v>
      </c>
      <c r="E1200" s="346" t="s">
        <v>147</v>
      </c>
      <c r="F1200" s="344" t="s">
        <v>143</v>
      </c>
      <c r="G1200" s="344" t="str">
        <f t="shared" si="55"/>
        <v>60883AXLE 3</v>
      </c>
      <c r="H1200" s="344">
        <v>7</v>
      </c>
      <c r="I1200" s="344">
        <v>14</v>
      </c>
      <c r="J1200" s="344">
        <v>3</v>
      </c>
      <c r="K1200" s="344">
        <v>6</v>
      </c>
      <c r="L1200" t="str">
        <f t="shared" si="56"/>
        <v>60883</v>
      </c>
      <c r="M1200" s="344" t="s">
        <v>143</v>
      </c>
      <c r="N1200" s="344">
        <v>221133</v>
      </c>
    </row>
    <row r="1201" spans="1:14" ht="15">
      <c r="A1201" s="344">
        <v>60883</v>
      </c>
      <c r="B1201" s="345" t="s">
        <v>137</v>
      </c>
      <c r="C1201" s="344">
        <v>221133</v>
      </c>
      <c r="D1201" s="344" t="str">
        <f t="shared" si="54"/>
        <v>221133</v>
      </c>
      <c r="E1201" s="346" t="s">
        <v>146</v>
      </c>
      <c r="F1201" s="344" t="s">
        <v>145</v>
      </c>
      <c r="G1201" s="344" t="str">
        <f t="shared" si="55"/>
        <v>60883AXLE 4</v>
      </c>
      <c r="H1201" s="344">
        <v>8</v>
      </c>
      <c r="I1201" s="344">
        <v>13</v>
      </c>
      <c r="J1201" s="344">
        <v>4</v>
      </c>
      <c r="K1201" s="344">
        <v>5</v>
      </c>
      <c r="L1201" t="str">
        <f t="shared" si="56"/>
        <v>60883</v>
      </c>
      <c r="M1201" s="344" t="s">
        <v>145</v>
      </c>
      <c r="N1201" s="344">
        <v>221133</v>
      </c>
    </row>
    <row r="1202" spans="1:14" ht="15">
      <c r="A1202" s="344">
        <v>60483</v>
      </c>
      <c r="B1202" s="345" t="s">
        <v>137</v>
      </c>
      <c r="C1202" s="344">
        <v>221133</v>
      </c>
      <c r="D1202" s="344" t="str">
        <f t="shared" si="54"/>
        <v>221133</v>
      </c>
      <c r="E1202" s="346" t="s">
        <v>146</v>
      </c>
      <c r="F1202" s="344" t="s">
        <v>139</v>
      </c>
      <c r="G1202" s="344" t="str">
        <f t="shared" si="55"/>
        <v>60483AXLE 1</v>
      </c>
      <c r="H1202" s="344">
        <v>1</v>
      </c>
      <c r="I1202" s="344">
        <v>20</v>
      </c>
      <c r="J1202" s="344">
        <v>1</v>
      </c>
      <c r="K1202" s="344">
        <v>8</v>
      </c>
      <c r="L1202" t="str">
        <f t="shared" si="56"/>
        <v>60483</v>
      </c>
      <c r="M1202" s="344" t="s">
        <v>139</v>
      </c>
      <c r="N1202" s="344">
        <v>221133</v>
      </c>
    </row>
    <row r="1203" spans="1:14" ht="15">
      <c r="A1203" s="344">
        <v>60483</v>
      </c>
      <c r="B1203" s="345" t="s">
        <v>137</v>
      </c>
      <c r="C1203" s="344">
        <v>221133</v>
      </c>
      <c r="D1203" s="344" t="str">
        <f t="shared" si="54"/>
        <v>221133</v>
      </c>
      <c r="E1203" s="346" t="s">
        <v>147</v>
      </c>
      <c r="F1203" s="344" t="s">
        <v>141</v>
      </c>
      <c r="G1203" s="344" t="str">
        <f t="shared" si="55"/>
        <v>60483AXLE 2</v>
      </c>
      <c r="H1203" s="344">
        <v>2</v>
      </c>
      <c r="I1203" s="344">
        <v>19</v>
      </c>
      <c r="J1203" s="344">
        <v>2</v>
      </c>
      <c r="K1203" s="344">
        <v>7</v>
      </c>
      <c r="L1203" t="str">
        <f t="shared" si="56"/>
        <v>60483</v>
      </c>
      <c r="M1203" s="344" t="s">
        <v>141</v>
      </c>
      <c r="N1203" s="344">
        <v>221133</v>
      </c>
    </row>
    <row r="1204" spans="1:14" ht="15">
      <c r="A1204" s="344">
        <v>60483</v>
      </c>
      <c r="B1204" s="345" t="s">
        <v>137</v>
      </c>
      <c r="C1204" s="344">
        <v>221133</v>
      </c>
      <c r="D1204" s="344" t="str">
        <f t="shared" si="54"/>
        <v>221133</v>
      </c>
      <c r="E1204" s="346" t="s">
        <v>147</v>
      </c>
      <c r="F1204" s="344" t="s">
        <v>143</v>
      </c>
      <c r="G1204" s="344" t="str">
        <f t="shared" si="55"/>
        <v>60483AXLE 3</v>
      </c>
      <c r="H1204" s="344">
        <v>3</v>
      </c>
      <c r="I1204" s="344">
        <v>18</v>
      </c>
      <c r="J1204" s="344">
        <v>3</v>
      </c>
      <c r="K1204" s="344">
        <v>6</v>
      </c>
      <c r="L1204" t="str">
        <f t="shared" si="56"/>
        <v>60483</v>
      </c>
      <c r="M1204" s="344" t="s">
        <v>143</v>
      </c>
      <c r="N1204" s="344">
        <v>221133</v>
      </c>
    </row>
    <row r="1205" spans="1:14" ht="15">
      <c r="A1205" s="344">
        <v>60483</v>
      </c>
      <c r="B1205" s="345" t="s">
        <v>137</v>
      </c>
      <c r="C1205" s="344">
        <v>221133</v>
      </c>
      <c r="D1205" s="344" t="str">
        <f t="shared" si="54"/>
        <v>221133</v>
      </c>
      <c r="E1205" s="346" t="s">
        <v>146</v>
      </c>
      <c r="F1205" s="344" t="s">
        <v>145</v>
      </c>
      <c r="G1205" s="344" t="str">
        <f t="shared" si="55"/>
        <v>60483AXLE 4</v>
      </c>
      <c r="H1205" s="344">
        <v>4</v>
      </c>
      <c r="I1205" s="344">
        <v>17</v>
      </c>
      <c r="J1205" s="344">
        <v>4</v>
      </c>
      <c r="K1205" s="344">
        <v>5</v>
      </c>
      <c r="L1205" t="str">
        <f t="shared" si="56"/>
        <v>60483</v>
      </c>
      <c r="M1205" s="344" t="s">
        <v>145</v>
      </c>
      <c r="N1205" s="344">
        <v>221133</v>
      </c>
    </row>
    <row r="1206" spans="1:14" ht="15">
      <c r="A1206" s="344">
        <v>60384</v>
      </c>
      <c r="B1206" s="345" t="s">
        <v>137</v>
      </c>
      <c r="C1206" s="344">
        <v>221134</v>
      </c>
      <c r="D1206" s="344" t="str">
        <f t="shared" si="54"/>
        <v>221134</v>
      </c>
      <c r="E1206" s="346" t="s">
        <v>146</v>
      </c>
      <c r="F1206" s="344" t="s">
        <v>139</v>
      </c>
      <c r="G1206" s="344" t="str">
        <f t="shared" si="55"/>
        <v>60384AXLE 1</v>
      </c>
      <c r="H1206" s="344">
        <v>20</v>
      </c>
      <c r="I1206" s="344">
        <v>1</v>
      </c>
      <c r="J1206" s="344">
        <v>1</v>
      </c>
      <c r="K1206" s="344">
        <v>8</v>
      </c>
      <c r="L1206" t="str">
        <f t="shared" si="56"/>
        <v>60384</v>
      </c>
      <c r="M1206" s="344" t="s">
        <v>139</v>
      </c>
      <c r="N1206" s="344">
        <v>221134</v>
      </c>
    </row>
    <row r="1207" spans="1:14" ht="15">
      <c r="A1207" s="344">
        <v>60384</v>
      </c>
      <c r="B1207" s="345" t="s">
        <v>137</v>
      </c>
      <c r="C1207" s="344">
        <v>221134</v>
      </c>
      <c r="D1207" s="344" t="str">
        <f t="shared" si="54"/>
        <v>221134</v>
      </c>
      <c r="E1207" s="346" t="s">
        <v>147</v>
      </c>
      <c r="F1207" s="344" t="s">
        <v>141</v>
      </c>
      <c r="G1207" s="344" t="str">
        <f t="shared" si="55"/>
        <v>60384AXLE 2</v>
      </c>
      <c r="H1207" s="344">
        <v>19</v>
      </c>
      <c r="I1207" s="344">
        <v>2</v>
      </c>
      <c r="J1207" s="344">
        <v>2</v>
      </c>
      <c r="K1207" s="344">
        <v>7</v>
      </c>
      <c r="L1207" t="str">
        <f t="shared" si="56"/>
        <v>60384</v>
      </c>
      <c r="M1207" s="344" t="s">
        <v>141</v>
      </c>
      <c r="N1207" s="344">
        <v>221134</v>
      </c>
    </row>
    <row r="1208" spans="1:14" ht="15">
      <c r="A1208" s="344">
        <v>60384</v>
      </c>
      <c r="B1208" s="345" t="s">
        <v>137</v>
      </c>
      <c r="C1208" s="344">
        <v>221134</v>
      </c>
      <c r="D1208" s="344" t="str">
        <f t="shared" si="54"/>
        <v>221134</v>
      </c>
      <c r="E1208" s="346" t="s">
        <v>147</v>
      </c>
      <c r="F1208" s="344" t="s">
        <v>143</v>
      </c>
      <c r="G1208" s="344" t="str">
        <f t="shared" si="55"/>
        <v>60384AXLE 3</v>
      </c>
      <c r="H1208" s="344">
        <v>18</v>
      </c>
      <c r="I1208" s="344">
        <v>3</v>
      </c>
      <c r="J1208" s="344">
        <v>3</v>
      </c>
      <c r="K1208" s="344">
        <v>6</v>
      </c>
      <c r="L1208" t="str">
        <f t="shared" si="56"/>
        <v>60384</v>
      </c>
      <c r="M1208" s="344" t="s">
        <v>143</v>
      </c>
      <c r="N1208" s="344">
        <v>221134</v>
      </c>
    </row>
    <row r="1209" spans="1:14" ht="15">
      <c r="A1209" s="344">
        <v>60384</v>
      </c>
      <c r="B1209" s="345" t="s">
        <v>137</v>
      </c>
      <c r="C1209" s="344">
        <v>221134</v>
      </c>
      <c r="D1209" s="344" t="str">
        <f t="shared" si="54"/>
        <v>221134</v>
      </c>
      <c r="E1209" s="346" t="s">
        <v>146</v>
      </c>
      <c r="F1209" s="344" t="s">
        <v>145</v>
      </c>
      <c r="G1209" s="344" t="str">
        <f t="shared" si="55"/>
        <v>60384AXLE 4</v>
      </c>
      <c r="H1209" s="344">
        <v>17</v>
      </c>
      <c r="I1209" s="344">
        <v>4</v>
      </c>
      <c r="J1209" s="344">
        <v>4</v>
      </c>
      <c r="K1209" s="344">
        <v>5</v>
      </c>
      <c r="L1209" t="str">
        <f t="shared" si="56"/>
        <v>60384</v>
      </c>
      <c r="M1209" s="344" t="s">
        <v>145</v>
      </c>
      <c r="N1209" s="344">
        <v>221134</v>
      </c>
    </row>
    <row r="1210" spans="1:14" ht="15">
      <c r="A1210" s="344">
        <v>60784</v>
      </c>
      <c r="B1210" s="345" t="s">
        <v>137</v>
      </c>
      <c r="C1210" s="344">
        <v>221134</v>
      </c>
      <c r="D1210" s="344" t="str">
        <f t="shared" si="54"/>
        <v>221134</v>
      </c>
      <c r="E1210" s="346" t="s">
        <v>146</v>
      </c>
      <c r="F1210" s="344" t="s">
        <v>139</v>
      </c>
      <c r="G1210" s="344" t="str">
        <f t="shared" si="55"/>
        <v>60784AXLE 1</v>
      </c>
      <c r="H1210" s="344">
        <v>13</v>
      </c>
      <c r="I1210" s="344">
        <v>8</v>
      </c>
      <c r="J1210" s="344">
        <v>1</v>
      </c>
      <c r="K1210" s="344">
        <v>8</v>
      </c>
      <c r="L1210" t="str">
        <f t="shared" si="56"/>
        <v>60784</v>
      </c>
      <c r="M1210" s="344" t="s">
        <v>139</v>
      </c>
      <c r="N1210" s="344">
        <v>221134</v>
      </c>
    </row>
    <row r="1211" spans="1:14" ht="15">
      <c r="A1211" s="344">
        <v>60784</v>
      </c>
      <c r="B1211" s="345" t="s">
        <v>137</v>
      </c>
      <c r="C1211" s="344">
        <v>221134</v>
      </c>
      <c r="D1211" s="344" t="str">
        <f t="shared" si="54"/>
        <v>221134</v>
      </c>
      <c r="E1211" s="346" t="s">
        <v>147</v>
      </c>
      <c r="F1211" s="344" t="s">
        <v>141</v>
      </c>
      <c r="G1211" s="344" t="str">
        <f t="shared" si="55"/>
        <v>60784AXLE 2</v>
      </c>
      <c r="H1211" s="344">
        <v>14</v>
      </c>
      <c r="I1211" s="344">
        <v>7</v>
      </c>
      <c r="J1211" s="344">
        <v>2</v>
      </c>
      <c r="K1211" s="344">
        <v>7</v>
      </c>
      <c r="L1211" t="str">
        <f t="shared" si="56"/>
        <v>60784</v>
      </c>
      <c r="M1211" s="344" t="s">
        <v>141</v>
      </c>
      <c r="N1211" s="344">
        <v>221134</v>
      </c>
    </row>
    <row r="1212" spans="1:14" ht="15">
      <c r="A1212" s="344">
        <v>60784</v>
      </c>
      <c r="B1212" s="345" t="s">
        <v>137</v>
      </c>
      <c r="C1212" s="344">
        <v>221134</v>
      </c>
      <c r="D1212" s="344" t="str">
        <f t="shared" si="54"/>
        <v>221134</v>
      </c>
      <c r="E1212" s="346" t="s">
        <v>147</v>
      </c>
      <c r="F1212" s="344" t="s">
        <v>143</v>
      </c>
      <c r="G1212" s="344" t="str">
        <f t="shared" si="55"/>
        <v>60784AXLE 3</v>
      </c>
      <c r="H1212" s="344">
        <v>15</v>
      </c>
      <c r="I1212" s="344">
        <v>6</v>
      </c>
      <c r="J1212" s="344">
        <v>3</v>
      </c>
      <c r="K1212" s="344">
        <v>6</v>
      </c>
      <c r="L1212" t="str">
        <f t="shared" si="56"/>
        <v>60784</v>
      </c>
      <c r="M1212" s="344" t="s">
        <v>143</v>
      </c>
      <c r="N1212" s="344">
        <v>221134</v>
      </c>
    </row>
    <row r="1213" spans="1:14" ht="15">
      <c r="A1213" s="344">
        <v>60784</v>
      </c>
      <c r="B1213" s="345" t="s">
        <v>137</v>
      </c>
      <c r="C1213" s="344">
        <v>221134</v>
      </c>
      <c r="D1213" s="344" t="str">
        <f t="shared" si="54"/>
        <v>221134</v>
      </c>
      <c r="E1213" s="346" t="s">
        <v>146</v>
      </c>
      <c r="F1213" s="344" t="s">
        <v>145</v>
      </c>
      <c r="G1213" s="344" t="str">
        <f t="shared" si="55"/>
        <v>60784AXLE 4</v>
      </c>
      <c r="H1213" s="344">
        <v>16</v>
      </c>
      <c r="I1213" s="344">
        <v>5</v>
      </c>
      <c r="J1213" s="344">
        <v>4</v>
      </c>
      <c r="K1213" s="344">
        <v>5</v>
      </c>
      <c r="L1213" t="str">
        <f t="shared" si="56"/>
        <v>60784</v>
      </c>
      <c r="M1213" s="344" t="s">
        <v>145</v>
      </c>
      <c r="N1213" s="344">
        <v>221134</v>
      </c>
    </row>
    <row r="1214" spans="1:14" ht="15">
      <c r="A1214" s="344">
        <v>60984</v>
      </c>
      <c r="B1214" s="345" t="s">
        <v>137</v>
      </c>
      <c r="C1214" s="344">
        <v>221134</v>
      </c>
      <c r="D1214" s="344" t="str">
        <f t="shared" si="54"/>
        <v>221134</v>
      </c>
      <c r="E1214" s="346" t="s">
        <v>146</v>
      </c>
      <c r="F1214" s="344" t="s">
        <v>139</v>
      </c>
      <c r="G1214" s="344" t="str">
        <f t="shared" si="55"/>
        <v>60984AXLE 1</v>
      </c>
      <c r="H1214" s="344">
        <v>9</v>
      </c>
      <c r="I1214" s="344">
        <v>12</v>
      </c>
      <c r="J1214" s="344">
        <v>1</v>
      </c>
      <c r="K1214" s="344">
        <v>8</v>
      </c>
      <c r="L1214" t="str">
        <f t="shared" si="56"/>
        <v>60984</v>
      </c>
      <c r="M1214" s="344" t="s">
        <v>139</v>
      </c>
      <c r="N1214" s="344">
        <v>221134</v>
      </c>
    </row>
    <row r="1215" spans="1:14" ht="15">
      <c r="A1215" s="344">
        <v>60984</v>
      </c>
      <c r="B1215" s="345" t="s">
        <v>137</v>
      </c>
      <c r="C1215" s="344">
        <v>221134</v>
      </c>
      <c r="D1215" s="344" t="str">
        <f t="shared" si="54"/>
        <v>221134</v>
      </c>
      <c r="E1215" s="346" t="s">
        <v>147</v>
      </c>
      <c r="F1215" s="344" t="s">
        <v>141</v>
      </c>
      <c r="G1215" s="344" t="str">
        <f t="shared" si="55"/>
        <v>60984AXLE 2</v>
      </c>
      <c r="H1215" s="344">
        <v>10</v>
      </c>
      <c r="I1215" s="344">
        <v>11</v>
      </c>
      <c r="J1215" s="344">
        <v>2</v>
      </c>
      <c r="K1215" s="344">
        <v>7</v>
      </c>
      <c r="L1215" t="str">
        <f t="shared" si="56"/>
        <v>60984</v>
      </c>
      <c r="M1215" s="344" t="s">
        <v>141</v>
      </c>
      <c r="N1215" s="344">
        <v>221134</v>
      </c>
    </row>
    <row r="1216" spans="1:14" ht="15">
      <c r="A1216" s="344">
        <v>60984</v>
      </c>
      <c r="B1216" s="345" t="s">
        <v>137</v>
      </c>
      <c r="C1216" s="344">
        <v>221134</v>
      </c>
      <c r="D1216" s="344" t="str">
        <f t="shared" si="54"/>
        <v>221134</v>
      </c>
      <c r="E1216" s="346" t="s">
        <v>147</v>
      </c>
      <c r="F1216" s="344" t="s">
        <v>143</v>
      </c>
      <c r="G1216" s="344" t="str">
        <f t="shared" si="55"/>
        <v>60984AXLE 3</v>
      </c>
      <c r="H1216" s="344">
        <v>11</v>
      </c>
      <c r="I1216" s="344">
        <v>10</v>
      </c>
      <c r="J1216" s="344">
        <v>3</v>
      </c>
      <c r="K1216" s="344">
        <v>6</v>
      </c>
      <c r="L1216" t="str">
        <f t="shared" si="56"/>
        <v>60984</v>
      </c>
      <c r="M1216" s="344" t="s">
        <v>143</v>
      </c>
      <c r="N1216" s="344">
        <v>221134</v>
      </c>
    </row>
    <row r="1217" spans="1:14" ht="15">
      <c r="A1217" s="344">
        <v>60984</v>
      </c>
      <c r="B1217" s="345" t="s">
        <v>137</v>
      </c>
      <c r="C1217" s="344">
        <v>221134</v>
      </c>
      <c r="D1217" s="344" t="str">
        <f t="shared" si="54"/>
        <v>221134</v>
      </c>
      <c r="E1217" s="346" t="s">
        <v>146</v>
      </c>
      <c r="F1217" s="344" t="s">
        <v>145</v>
      </c>
      <c r="G1217" s="344" t="str">
        <f t="shared" si="55"/>
        <v>60984AXLE 4</v>
      </c>
      <c r="H1217" s="344">
        <v>12</v>
      </c>
      <c r="I1217" s="344">
        <v>9</v>
      </c>
      <c r="J1217" s="344">
        <v>4</v>
      </c>
      <c r="K1217" s="344">
        <v>5</v>
      </c>
      <c r="L1217" t="str">
        <f t="shared" si="56"/>
        <v>60984</v>
      </c>
      <c r="M1217" s="344" t="s">
        <v>145</v>
      </c>
      <c r="N1217" s="344">
        <v>221134</v>
      </c>
    </row>
    <row r="1218" spans="1:14" ht="15">
      <c r="A1218" s="344">
        <v>60884</v>
      </c>
      <c r="B1218" s="345" t="s">
        <v>137</v>
      </c>
      <c r="C1218" s="344">
        <v>221134</v>
      </c>
      <c r="D1218" s="344" t="str">
        <f t="shared" si="54"/>
        <v>221134</v>
      </c>
      <c r="E1218" s="346" t="s">
        <v>146</v>
      </c>
      <c r="F1218" s="344" t="s">
        <v>139</v>
      </c>
      <c r="G1218" s="344" t="str">
        <f t="shared" si="55"/>
        <v>60884AXLE 1</v>
      </c>
      <c r="H1218" s="344">
        <v>5</v>
      </c>
      <c r="I1218" s="344">
        <v>16</v>
      </c>
      <c r="J1218" s="344">
        <v>1</v>
      </c>
      <c r="K1218" s="344">
        <v>8</v>
      </c>
      <c r="L1218" t="str">
        <f t="shared" si="56"/>
        <v>60884</v>
      </c>
      <c r="M1218" s="344" t="s">
        <v>139</v>
      </c>
      <c r="N1218" s="344">
        <v>221134</v>
      </c>
    </row>
    <row r="1219" spans="1:14" ht="15">
      <c r="A1219" s="344">
        <v>60884</v>
      </c>
      <c r="B1219" s="345" t="s">
        <v>137</v>
      </c>
      <c r="C1219" s="344">
        <v>221134</v>
      </c>
      <c r="D1219" s="344" t="str">
        <f t="shared" ref="D1219:D1282" si="57">CONCATENATE(B1219,C1219)</f>
        <v>221134</v>
      </c>
      <c r="E1219" s="346" t="s">
        <v>147</v>
      </c>
      <c r="F1219" s="344" t="s">
        <v>141</v>
      </c>
      <c r="G1219" s="344" t="str">
        <f t="shared" ref="G1219:G1282" si="58">CONCATENATE(A1219,F1219)</f>
        <v>60884AXLE 2</v>
      </c>
      <c r="H1219" s="344">
        <v>6</v>
      </c>
      <c r="I1219" s="344">
        <v>15</v>
      </c>
      <c r="J1219" s="344">
        <v>2</v>
      </c>
      <c r="K1219" s="344">
        <v>7</v>
      </c>
      <c r="L1219" t="str">
        <f t="shared" ref="L1219:L1282" si="59">CONCATENATE(A1219,B1219)</f>
        <v>60884</v>
      </c>
      <c r="M1219" s="344" t="s">
        <v>141</v>
      </c>
      <c r="N1219" s="344">
        <v>221134</v>
      </c>
    </row>
    <row r="1220" spans="1:14" ht="15">
      <c r="A1220" s="344">
        <v>60884</v>
      </c>
      <c r="B1220" s="345" t="s">
        <v>137</v>
      </c>
      <c r="C1220" s="344">
        <v>221134</v>
      </c>
      <c r="D1220" s="344" t="str">
        <f t="shared" si="57"/>
        <v>221134</v>
      </c>
      <c r="E1220" s="346" t="s">
        <v>147</v>
      </c>
      <c r="F1220" s="344" t="s">
        <v>143</v>
      </c>
      <c r="G1220" s="344" t="str">
        <f t="shared" si="58"/>
        <v>60884AXLE 3</v>
      </c>
      <c r="H1220" s="344">
        <v>7</v>
      </c>
      <c r="I1220" s="344">
        <v>14</v>
      </c>
      <c r="J1220" s="344">
        <v>3</v>
      </c>
      <c r="K1220" s="344">
        <v>6</v>
      </c>
      <c r="L1220" t="str">
        <f t="shared" si="59"/>
        <v>60884</v>
      </c>
      <c r="M1220" s="344" t="s">
        <v>143</v>
      </c>
      <c r="N1220" s="344">
        <v>221134</v>
      </c>
    </row>
    <row r="1221" spans="1:14" ht="15">
      <c r="A1221" s="344">
        <v>60884</v>
      </c>
      <c r="B1221" s="345" t="s">
        <v>137</v>
      </c>
      <c r="C1221" s="344">
        <v>221134</v>
      </c>
      <c r="D1221" s="344" t="str">
        <f t="shared" si="57"/>
        <v>221134</v>
      </c>
      <c r="E1221" s="346" t="s">
        <v>146</v>
      </c>
      <c r="F1221" s="344" t="s">
        <v>145</v>
      </c>
      <c r="G1221" s="344" t="str">
        <f t="shared" si="58"/>
        <v>60884AXLE 4</v>
      </c>
      <c r="H1221" s="344">
        <v>8</v>
      </c>
      <c r="I1221" s="344">
        <v>13</v>
      </c>
      <c r="J1221" s="344">
        <v>4</v>
      </c>
      <c r="K1221" s="344">
        <v>5</v>
      </c>
      <c r="L1221" t="str">
        <f t="shared" si="59"/>
        <v>60884</v>
      </c>
      <c r="M1221" s="344" t="s">
        <v>145</v>
      </c>
      <c r="N1221" s="344">
        <v>221134</v>
      </c>
    </row>
    <row r="1222" spans="1:14" ht="15">
      <c r="A1222" s="344">
        <v>60484</v>
      </c>
      <c r="B1222" s="345" t="s">
        <v>137</v>
      </c>
      <c r="C1222" s="344">
        <v>221134</v>
      </c>
      <c r="D1222" s="344" t="str">
        <f t="shared" si="57"/>
        <v>221134</v>
      </c>
      <c r="E1222" s="346" t="s">
        <v>146</v>
      </c>
      <c r="F1222" s="344" t="s">
        <v>139</v>
      </c>
      <c r="G1222" s="344" t="str">
        <f t="shared" si="58"/>
        <v>60484AXLE 1</v>
      </c>
      <c r="H1222" s="344">
        <v>1</v>
      </c>
      <c r="I1222" s="344">
        <v>20</v>
      </c>
      <c r="J1222" s="344">
        <v>1</v>
      </c>
      <c r="K1222" s="344">
        <v>8</v>
      </c>
      <c r="L1222" t="str">
        <f t="shared" si="59"/>
        <v>60484</v>
      </c>
      <c r="M1222" s="344" t="s">
        <v>139</v>
      </c>
      <c r="N1222" s="344">
        <v>221134</v>
      </c>
    </row>
    <row r="1223" spans="1:14" ht="15">
      <c r="A1223" s="344">
        <v>60484</v>
      </c>
      <c r="B1223" s="345" t="s">
        <v>137</v>
      </c>
      <c r="C1223" s="344">
        <v>221134</v>
      </c>
      <c r="D1223" s="344" t="str">
        <f t="shared" si="57"/>
        <v>221134</v>
      </c>
      <c r="E1223" s="346" t="s">
        <v>147</v>
      </c>
      <c r="F1223" s="344" t="s">
        <v>141</v>
      </c>
      <c r="G1223" s="344" t="str">
        <f t="shared" si="58"/>
        <v>60484AXLE 2</v>
      </c>
      <c r="H1223" s="344">
        <v>2</v>
      </c>
      <c r="I1223" s="344">
        <v>19</v>
      </c>
      <c r="J1223" s="344">
        <v>2</v>
      </c>
      <c r="K1223" s="344">
        <v>7</v>
      </c>
      <c r="L1223" t="str">
        <f t="shared" si="59"/>
        <v>60484</v>
      </c>
      <c r="M1223" s="344" t="s">
        <v>141</v>
      </c>
      <c r="N1223" s="344">
        <v>221134</v>
      </c>
    </row>
    <row r="1224" spans="1:14" ht="15">
      <c r="A1224" s="344">
        <v>60484</v>
      </c>
      <c r="B1224" s="345" t="s">
        <v>137</v>
      </c>
      <c r="C1224" s="344">
        <v>221134</v>
      </c>
      <c r="D1224" s="344" t="str">
        <f t="shared" si="57"/>
        <v>221134</v>
      </c>
      <c r="E1224" s="346" t="s">
        <v>147</v>
      </c>
      <c r="F1224" s="344" t="s">
        <v>143</v>
      </c>
      <c r="G1224" s="344" t="str">
        <f t="shared" si="58"/>
        <v>60484AXLE 3</v>
      </c>
      <c r="H1224" s="344">
        <v>3</v>
      </c>
      <c r="I1224" s="344">
        <v>18</v>
      </c>
      <c r="J1224" s="344">
        <v>3</v>
      </c>
      <c r="K1224" s="344">
        <v>6</v>
      </c>
      <c r="L1224" t="str">
        <f t="shared" si="59"/>
        <v>60484</v>
      </c>
      <c r="M1224" s="344" t="s">
        <v>143</v>
      </c>
      <c r="N1224" s="344">
        <v>221134</v>
      </c>
    </row>
    <row r="1225" spans="1:14" ht="15">
      <c r="A1225" s="344">
        <v>60484</v>
      </c>
      <c r="B1225" s="345" t="s">
        <v>137</v>
      </c>
      <c r="C1225" s="344">
        <v>221134</v>
      </c>
      <c r="D1225" s="344" t="str">
        <f t="shared" si="57"/>
        <v>221134</v>
      </c>
      <c r="E1225" s="346" t="s">
        <v>146</v>
      </c>
      <c r="F1225" s="344" t="s">
        <v>145</v>
      </c>
      <c r="G1225" s="344" t="str">
        <f t="shared" si="58"/>
        <v>60484AXLE 4</v>
      </c>
      <c r="H1225" s="344">
        <v>4</v>
      </c>
      <c r="I1225" s="344">
        <v>17</v>
      </c>
      <c r="J1225" s="344">
        <v>4</v>
      </c>
      <c r="K1225" s="344">
        <v>5</v>
      </c>
      <c r="L1225" t="str">
        <f t="shared" si="59"/>
        <v>60484</v>
      </c>
      <c r="M1225" s="344" t="s">
        <v>145</v>
      </c>
      <c r="N1225" s="344">
        <v>221134</v>
      </c>
    </row>
    <row r="1226" spans="1:14" ht="15">
      <c r="A1226" s="344">
        <v>60385</v>
      </c>
      <c r="B1226" s="345" t="s">
        <v>137</v>
      </c>
      <c r="C1226" s="344">
        <v>221135</v>
      </c>
      <c r="D1226" s="344" t="str">
        <f t="shared" si="57"/>
        <v>221135</v>
      </c>
      <c r="E1226" s="346" t="s">
        <v>146</v>
      </c>
      <c r="F1226" s="344" t="s">
        <v>139</v>
      </c>
      <c r="G1226" s="344" t="str">
        <f t="shared" si="58"/>
        <v>60385AXLE 1</v>
      </c>
      <c r="H1226" s="344">
        <v>20</v>
      </c>
      <c r="I1226" s="344">
        <v>1</v>
      </c>
      <c r="J1226" s="344">
        <v>1</v>
      </c>
      <c r="K1226" s="344">
        <v>8</v>
      </c>
      <c r="L1226" t="str">
        <f t="shared" si="59"/>
        <v>60385</v>
      </c>
      <c r="M1226" s="344" t="s">
        <v>139</v>
      </c>
      <c r="N1226" s="344">
        <v>221135</v>
      </c>
    </row>
    <row r="1227" spans="1:14" ht="15">
      <c r="A1227" s="344">
        <v>60385</v>
      </c>
      <c r="B1227" s="345" t="s">
        <v>137</v>
      </c>
      <c r="C1227" s="344">
        <v>221135</v>
      </c>
      <c r="D1227" s="344" t="str">
        <f t="shared" si="57"/>
        <v>221135</v>
      </c>
      <c r="E1227" s="346" t="s">
        <v>147</v>
      </c>
      <c r="F1227" s="344" t="s">
        <v>141</v>
      </c>
      <c r="G1227" s="344" t="str">
        <f t="shared" si="58"/>
        <v>60385AXLE 2</v>
      </c>
      <c r="H1227" s="344">
        <v>19</v>
      </c>
      <c r="I1227" s="344">
        <v>2</v>
      </c>
      <c r="J1227" s="344">
        <v>2</v>
      </c>
      <c r="K1227" s="344">
        <v>7</v>
      </c>
      <c r="L1227" t="str">
        <f t="shared" si="59"/>
        <v>60385</v>
      </c>
      <c r="M1227" s="344" t="s">
        <v>141</v>
      </c>
      <c r="N1227" s="344">
        <v>221135</v>
      </c>
    </row>
    <row r="1228" spans="1:14" ht="15">
      <c r="A1228" s="344">
        <v>60385</v>
      </c>
      <c r="B1228" s="345" t="s">
        <v>137</v>
      </c>
      <c r="C1228" s="344">
        <v>221135</v>
      </c>
      <c r="D1228" s="344" t="str">
        <f t="shared" si="57"/>
        <v>221135</v>
      </c>
      <c r="E1228" s="346" t="s">
        <v>147</v>
      </c>
      <c r="F1228" s="344" t="s">
        <v>143</v>
      </c>
      <c r="G1228" s="344" t="str">
        <f t="shared" si="58"/>
        <v>60385AXLE 3</v>
      </c>
      <c r="H1228" s="344">
        <v>18</v>
      </c>
      <c r="I1228" s="344">
        <v>3</v>
      </c>
      <c r="J1228" s="344">
        <v>3</v>
      </c>
      <c r="K1228" s="344">
        <v>6</v>
      </c>
      <c r="L1228" t="str">
        <f t="shared" si="59"/>
        <v>60385</v>
      </c>
      <c r="M1228" s="344" t="s">
        <v>143</v>
      </c>
      <c r="N1228" s="344">
        <v>221135</v>
      </c>
    </row>
    <row r="1229" spans="1:14" ht="15">
      <c r="A1229" s="344">
        <v>60385</v>
      </c>
      <c r="B1229" s="345" t="s">
        <v>137</v>
      </c>
      <c r="C1229" s="344">
        <v>221135</v>
      </c>
      <c r="D1229" s="344" t="str">
        <f t="shared" si="57"/>
        <v>221135</v>
      </c>
      <c r="E1229" s="346" t="s">
        <v>146</v>
      </c>
      <c r="F1229" s="344" t="s">
        <v>145</v>
      </c>
      <c r="G1229" s="344" t="str">
        <f t="shared" si="58"/>
        <v>60385AXLE 4</v>
      </c>
      <c r="H1229" s="344">
        <v>17</v>
      </c>
      <c r="I1229" s="344">
        <v>4</v>
      </c>
      <c r="J1229" s="344">
        <v>4</v>
      </c>
      <c r="K1229" s="344">
        <v>5</v>
      </c>
      <c r="L1229" t="str">
        <f t="shared" si="59"/>
        <v>60385</v>
      </c>
      <c r="M1229" s="344" t="s">
        <v>145</v>
      </c>
      <c r="N1229" s="344">
        <v>221135</v>
      </c>
    </row>
    <row r="1230" spans="1:14" ht="15">
      <c r="A1230" s="344">
        <v>60785</v>
      </c>
      <c r="B1230" s="345" t="s">
        <v>137</v>
      </c>
      <c r="C1230" s="344">
        <v>221135</v>
      </c>
      <c r="D1230" s="344" t="str">
        <f t="shared" si="57"/>
        <v>221135</v>
      </c>
      <c r="E1230" s="346" t="s">
        <v>146</v>
      </c>
      <c r="F1230" s="344" t="s">
        <v>139</v>
      </c>
      <c r="G1230" s="344" t="str">
        <f t="shared" si="58"/>
        <v>60785AXLE 1</v>
      </c>
      <c r="H1230" s="344">
        <v>13</v>
      </c>
      <c r="I1230" s="344">
        <v>8</v>
      </c>
      <c r="J1230" s="344">
        <v>1</v>
      </c>
      <c r="K1230" s="344">
        <v>8</v>
      </c>
      <c r="L1230" t="str">
        <f t="shared" si="59"/>
        <v>60785</v>
      </c>
      <c r="M1230" s="344" t="s">
        <v>139</v>
      </c>
      <c r="N1230" s="344">
        <v>221135</v>
      </c>
    </row>
    <row r="1231" spans="1:14" ht="15">
      <c r="A1231" s="344">
        <v>60785</v>
      </c>
      <c r="B1231" s="345" t="s">
        <v>137</v>
      </c>
      <c r="C1231" s="344">
        <v>221135</v>
      </c>
      <c r="D1231" s="344" t="str">
        <f t="shared" si="57"/>
        <v>221135</v>
      </c>
      <c r="E1231" s="346" t="s">
        <v>147</v>
      </c>
      <c r="F1231" s="344" t="s">
        <v>141</v>
      </c>
      <c r="G1231" s="344" t="str">
        <f t="shared" si="58"/>
        <v>60785AXLE 2</v>
      </c>
      <c r="H1231" s="344">
        <v>14</v>
      </c>
      <c r="I1231" s="344">
        <v>7</v>
      </c>
      <c r="J1231" s="344">
        <v>2</v>
      </c>
      <c r="K1231" s="344">
        <v>7</v>
      </c>
      <c r="L1231" t="str">
        <f t="shared" si="59"/>
        <v>60785</v>
      </c>
      <c r="M1231" s="344" t="s">
        <v>141</v>
      </c>
      <c r="N1231" s="344">
        <v>221135</v>
      </c>
    </row>
    <row r="1232" spans="1:14" ht="15">
      <c r="A1232" s="344">
        <v>60785</v>
      </c>
      <c r="B1232" s="345" t="s">
        <v>137</v>
      </c>
      <c r="C1232" s="344">
        <v>221135</v>
      </c>
      <c r="D1232" s="344" t="str">
        <f t="shared" si="57"/>
        <v>221135</v>
      </c>
      <c r="E1232" s="346" t="s">
        <v>147</v>
      </c>
      <c r="F1232" s="344" t="s">
        <v>143</v>
      </c>
      <c r="G1232" s="344" t="str">
        <f t="shared" si="58"/>
        <v>60785AXLE 3</v>
      </c>
      <c r="H1232" s="344">
        <v>15</v>
      </c>
      <c r="I1232" s="344">
        <v>6</v>
      </c>
      <c r="J1232" s="344">
        <v>3</v>
      </c>
      <c r="K1232" s="344">
        <v>6</v>
      </c>
      <c r="L1232" t="str">
        <f t="shared" si="59"/>
        <v>60785</v>
      </c>
      <c r="M1232" s="344" t="s">
        <v>143</v>
      </c>
      <c r="N1232" s="344">
        <v>221135</v>
      </c>
    </row>
    <row r="1233" spans="1:14" ht="15">
      <c r="A1233" s="344">
        <v>60785</v>
      </c>
      <c r="B1233" s="345" t="s">
        <v>137</v>
      </c>
      <c r="C1233" s="344">
        <v>221135</v>
      </c>
      <c r="D1233" s="344" t="str">
        <f t="shared" si="57"/>
        <v>221135</v>
      </c>
      <c r="E1233" s="346" t="s">
        <v>146</v>
      </c>
      <c r="F1233" s="344" t="s">
        <v>145</v>
      </c>
      <c r="G1233" s="344" t="str">
        <f t="shared" si="58"/>
        <v>60785AXLE 4</v>
      </c>
      <c r="H1233" s="344">
        <v>16</v>
      </c>
      <c r="I1233" s="344">
        <v>5</v>
      </c>
      <c r="J1233" s="344">
        <v>4</v>
      </c>
      <c r="K1233" s="344">
        <v>5</v>
      </c>
      <c r="L1233" t="str">
        <f t="shared" si="59"/>
        <v>60785</v>
      </c>
      <c r="M1233" s="344" t="s">
        <v>145</v>
      </c>
      <c r="N1233" s="344">
        <v>221135</v>
      </c>
    </row>
    <row r="1234" spans="1:14" ht="15">
      <c r="A1234" s="344">
        <v>60985</v>
      </c>
      <c r="B1234" s="345" t="s">
        <v>137</v>
      </c>
      <c r="C1234" s="344">
        <v>221135</v>
      </c>
      <c r="D1234" s="344" t="str">
        <f t="shared" si="57"/>
        <v>221135</v>
      </c>
      <c r="E1234" s="346" t="s">
        <v>146</v>
      </c>
      <c r="F1234" s="344" t="s">
        <v>139</v>
      </c>
      <c r="G1234" s="344" t="str">
        <f t="shared" si="58"/>
        <v>60985AXLE 1</v>
      </c>
      <c r="H1234" s="344">
        <v>9</v>
      </c>
      <c r="I1234" s="344">
        <v>12</v>
      </c>
      <c r="J1234" s="344">
        <v>1</v>
      </c>
      <c r="K1234" s="344">
        <v>8</v>
      </c>
      <c r="L1234" t="str">
        <f t="shared" si="59"/>
        <v>60985</v>
      </c>
      <c r="M1234" s="344" t="s">
        <v>139</v>
      </c>
      <c r="N1234" s="344">
        <v>221135</v>
      </c>
    </row>
    <row r="1235" spans="1:14" ht="15">
      <c r="A1235" s="344">
        <v>60985</v>
      </c>
      <c r="B1235" s="345" t="s">
        <v>137</v>
      </c>
      <c r="C1235" s="344">
        <v>221135</v>
      </c>
      <c r="D1235" s="344" t="str">
        <f t="shared" si="57"/>
        <v>221135</v>
      </c>
      <c r="E1235" s="346" t="s">
        <v>147</v>
      </c>
      <c r="F1235" s="344" t="s">
        <v>141</v>
      </c>
      <c r="G1235" s="344" t="str">
        <f t="shared" si="58"/>
        <v>60985AXLE 2</v>
      </c>
      <c r="H1235" s="344">
        <v>10</v>
      </c>
      <c r="I1235" s="344">
        <v>11</v>
      </c>
      <c r="J1235" s="344">
        <v>2</v>
      </c>
      <c r="K1235" s="344">
        <v>7</v>
      </c>
      <c r="L1235" t="str">
        <f t="shared" si="59"/>
        <v>60985</v>
      </c>
      <c r="M1235" s="344" t="s">
        <v>141</v>
      </c>
      <c r="N1235" s="344">
        <v>221135</v>
      </c>
    </row>
    <row r="1236" spans="1:14" ht="15">
      <c r="A1236" s="344">
        <v>60985</v>
      </c>
      <c r="B1236" s="345" t="s">
        <v>137</v>
      </c>
      <c r="C1236" s="344">
        <v>221135</v>
      </c>
      <c r="D1236" s="344" t="str">
        <f t="shared" si="57"/>
        <v>221135</v>
      </c>
      <c r="E1236" s="346" t="s">
        <v>147</v>
      </c>
      <c r="F1236" s="344" t="s">
        <v>143</v>
      </c>
      <c r="G1236" s="344" t="str">
        <f t="shared" si="58"/>
        <v>60985AXLE 3</v>
      </c>
      <c r="H1236" s="344">
        <v>11</v>
      </c>
      <c r="I1236" s="344">
        <v>10</v>
      </c>
      <c r="J1236" s="344">
        <v>3</v>
      </c>
      <c r="K1236" s="344">
        <v>6</v>
      </c>
      <c r="L1236" t="str">
        <f t="shared" si="59"/>
        <v>60985</v>
      </c>
      <c r="M1236" s="344" t="s">
        <v>143</v>
      </c>
      <c r="N1236" s="344">
        <v>221135</v>
      </c>
    </row>
    <row r="1237" spans="1:14" ht="15">
      <c r="A1237" s="344">
        <v>60985</v>
      </c>
      <c r="B1237" s="345" t="s">
        <v>137</v>
      </c>
      <c r="C1237" s="344">
        <v>221135</v>
      </c>
      <c r="D1237" s="344" t="str">
        <f t="shared" si="57"/>
        <v>221135</v>
      </c>
      <c r="E1237" s="346" t="s">
        <v>146</v>
      </c>
      <c r="F1237" s="344" t="s">
        <v>145</v>
      </c>
      <c r="G1237" s="344" t="str">
        <f t="shared" si="58"/>
        <v>60985AXLE 4</v>
      </c>
      <c r="H1237" s="344">
        <v>12</v>
      </c>
      <c r="I1237" s="344">
        <v>9</v>
      </c>
      <c r="J1237" s="344">
        <v>4</v>
      </c>
      <c r="K1237" s="344">
        <v>5</v>
      </c>
      <c r="L1237" t="str">
        <f t="shared" si="59"/>
        <v>60985</v>
      </c>
      <c r="M1237" s="344" t="s">
        <v>145</v>
      </c>
      <c r="N1237" s="344">
        <v>221135</v>
      </c>
    </row>
    <row r="1238" spans="1:14" ht="15">
      <c r="A1238" s="344">
        <v>60885</v>
      </c>
      <c r="B1238" s="345" t="s">
        <v>137</v>
      </c>
      <c r="C1238" s="344">
        <v>221135</v>
      </c>
      <c r="D1238" s="344" t="str">
        <f t="shared" si="57"/>
        <v>221135</v>
      </c>
      <c r="E1238" s="346" t="s">
        <v>146</v>
      </c>
      <c r="F1238" s="344" t="s">
        <v>139</v>
      </c>
      <c r="G1238" s="344" t="str">
        <f t="shared" si="58"/>
        <v>60885AXLE 1</v>
      </c>
      <c r="H1238" s="344">
        <v>5</v>
      </c>
      <c r="I1238" s="344">
        <v>16</v>
      </c>
      <c r="J1238" s="344">
        <v>1</v>
      </c>
      <c r="K1238" s="344">
        <v>8</v>
      </c>
      <c r="L1238" t="str">
        <f t="shared" si="59"/>
        <v>60885</v>
      </c>
      <c r="M1238" s="344" t="s">
        <v>139</v>
      </c>
      <c r="N1238" s="344">
        <v>221135</v>
      </c>
    </row>
    <row r="1239" spans="1:14" ht="15">
      <c r="A1239" s="344">
        <v>60885</v>
      </c>
      <c r="B1239" s="345" t="s">
        <v>137</v>
      </c>
      <c r="C1239" s="344">
        <v>221135</v>
      </c>
      <c r="D1239" s="344" t="str">
        <f t="shared" si="57"/>
        <v>221135</v>
      </c>
      <c r="E1239" s="346" t="s">
        <v>147</v>
      </c>
      <c r="F1239" s="344" t="s">
        <v>141</v>
      </c>
      <c r="G1239" s="344" t="str">
        <f t="shared" si="58"/>
        <v>60885AXLE 2</v>
      </c>
      <c r="H1239" s="344">
        <v>6</v>
      </c>
      <c r="I1239" s="344">
        <v>15</v>
      </c>
      <c r="J1239" s="344">
        <v>2</v>
      </c>
      <c r="K1239" s="344">
        <v>7</v>
      </c>
      <c r="L1239" t="str">
        <f t="shared" si="59"/>
        <v>60885</v>
      </c>
      <c r="M1239" s="344" t="s">
        <v>141</v>
      </c>
      <c r="N1239" s="344">
        <v>221135</v>
      </c>
    </row>
    <row r="1240" spans="1:14" ht="15">
      <c r="A1240" s="344">
        <v>60885</v>
      </c>
      <c r="B1240" s="345" t="s">
        <v>137</v>
      </c>
      <c r="C1240" s="344">
        <v>221135</v>
      </c>
      <c r="D1240" s="344" t="str">
        <f t="shared" si="57"/>
        <v>221135</v>
      </c>
      <c r="E1240" s="346" t="s">
        <v>147</v>
      </c>
      <c r="F1240" s="344" t="s">
        <v>143</v>
      </c>
      <c r="G1240" s="344" t="str">
        <f t="shared" si="58"/>
        <v>60885AXLE 3</v>
      </c>
      <c r="H1240" s="344">
        <v>7</v>
      </c>
      <c r="I1240" s="344">
        <v>14</v>
      </c>
      <c r="J1240" s="344">
        <v>3</v>
      </c>
      <c r="K1240" s="344">
        <v>6</v>
      </c>
      <c r="L1240" t="str">
        <f t="shared" si="59"/>
        <v>60885</v>
      </c>
      <c r="M1240" s="344" t="s">
        <v>143</v>
      </c>
      <c r="N1240" s="344">
        <v>221135</v>
      </c>
    </row>
    <row r="1241" spans="1:14" ht="15">
      <c r="A1241" s="344">
        <v>60885</v>
      </c>
      <c r="B1241" s="345" t="s">
        <v>137</v>
      </c>
      <c r="C1241" s="344">
        <v>221135</v>
      </c>
      <c r="D1241" s="344" t="str">
        <f t="shared" si="57"/>
        <v>221135</v>
      </c>
      <c r="E1241" s="346" t="s">
        <v>146</v>
      </c>
      <c r="F1241" s="344" t="s">
        <v>145</v>
      </c>
      <c r="G1241" s="344" t="str">
        <f t="shared" si="58"/>
        <v>60885AXLE 4</v>
      </c>
      <c r="H1241" s="344">
        <v>8</v>
      </c>
      <c r="I1241" s="344">
        <v>13</v>
      </c>
      <c r="J1241" s="344">
        <v>4</v>
      </c>
      <c r="K1241" s="344">
        <v>5</v>
      </c>
      <c r="L1241" t="str">
        <f t="shared" si="59"/>
        <v>60885</v>
      </c>
      <c r="M1241" s="344" t="s">
        <v>145</v>
      </c>
      <c r="N1241" s="344">
        <v>221135</v>
      </c>
    </row>
    <row r="1242" spans="1:14" ht="15">
      <c r="A1242" s="344">
        <v>60485</v>
      </c>
      <c r="B1242" s="345" t="s">
        <v>137</v>
      </c>
      <c r="C1242" s="344">
        <v>221135</v>
      </c>
      <c r="D1242" s="344" t="str">
        <f t="shared" si="57"/>
        <v>221135</v>
      </c>
      <c r="E1242" s="346" t="s">
        <v>146</v>
      </c>
      <c r="F1242" s="344" t="s">
        <v>139</v>
      </c>
      <c r="G1242" s="344" t="str">
        <f t="shared" si="58"/>
        <v>60485AXLE 1</v>
      </c>
      <c r="H1242" s="344">
        <v>1</v>
      </c>
      <c r="I1242" s="344">
        <v>20</v>
      </c>
      <c r="J1242" s="344">
        <v>1</v>
      </c>
      <c r="K1242" s="344">
        <v>8</v>
      </c>
      <c r="L1242" t="str">
        <f t="shared" si="59"/>
        <v>60485</v>
      </c>
      <c r="M1242" s="344" t="s">
        <v>139</v>
      </c>
      <c r="N1242" s="344">
        <v>221135</v>
      </c>
    </row>
    <row r="1243" spans="1:14" ht="15">
      <c r="A1243" s="344">
        <v>60485</v>
      </c>
      <c r="B1243" s="345" t="s">
        <v>137</v>
      </c>
      <c r="C1243" s="344">
        <v>221135</v>
      </c>
      <c r="D1243" s="344" t="str">
        <f t="shared" si="57"/>
        <v>221135</v>
      </c>
      <c r="E1243" s="346" t="s">
        <v>147</v>
      </c>
      <c r="F1243" s="344" t="s">
        <v>141</v>
      </c>
      <c r="G1243" s="344" t="str">
        <f t="shared" si="58"/>
        <v>60485AXLE 2</v>
      </c>
      <c r="H1243" s="344">
        <v>2</v>
      </c>
      <c r="I1243" s="344">
        <v>19</v>
      </c>
      <c r="J1243" s="344">
        <v>2</v>
      </c>
      <c r="K1243" s="344">
        <v>7</v>
      </c>
      <c r="L1243" t="str">
        <f t="shared" si="59"/>
        <v>60485</v>
      </c>
      <c r="M1243" s="344" t="s">
        <v>141</v>
      </c>
      <c r="N1243" s="344">
        <v>221135</v>
      </c>
    </row>
    <row r="1244" spans="1:14" ht="15">
      <c r="A1244" s="344">
        <v>60485</v>
      </c>
      <c r="B1244" s="345" t="s">
        <v>137</v>
      </c>
      <c r="C1244" s="344">
        <v>221135</v>
      </c>
      <c r="D1244" s="344" t="str">
        <f t="shared" si="57"/>
        <v>221135</v>
      </c>
      <c r="E1244" s="346" t="s">
        <v>147</v>
      </c>
      <c r="F1244" s="344" t="s">
        <v>143</v>
      </c>
      <c r="G1244" s="344" t="str">
        <f t="shared" si="58"/>
        <v>60485AXLE 3</v>
      </c>
      <c r="H1244" s="344">
        <v>3</v>
      </c>
      <c r="I1244" s="344">
        <v>18</v>
      </c>
      <c r="J1244" s="344">
        <v>3</v>
      </c>
      <c r="K1244" s="344">
        <v>6</v>
      </c>
      <c r="L1244" t="str">
        <f t="shared" si="59"/>
        <v>60485</v>
      </c>
      <c r="M1244" s="344" t="s">
        <v>143</v>
      </c>
      <c r="N1244" s="344">
        <v>221135</v>
      </c>
    </row>
    <row r="1245" spans="1:14" ht="15">
      <c r="A1245" s="344">
        <v>60485</v>
      </c>
      <c r="B1245" s="345" t="s">
        <v>137</v>
      </c>
      <c r="C1245" s="344">
        <v>221135</v>
      </c>
      <c r="D1245" s="344" t="str">
        <f t="shared" si="57"/>
        <v>221135</v>
      </c>
      <c r="E1245" s="346" t="s">
        <v>146</v>
      </c>
      <c r="F1245" s="344" t="s">
        <v>145</v>
      </c>
      <c r="G1245" s="344" t="str">
        <f t="shared" si="58"/>
        <v>60485AXLE 4</v>
      </c>
      <c r="H1245" s="344">
        <v>4</v>
      </c>
      <c r="I1245" s="344">
        <v>17</v>
      </c>
      <c r="J1245" s="344">
        <v>4</v>
      </c>
      <c r="K1245" s="344">
        <v>5</v>
      </c>
      <c r="L1245" t="str">
        <f t="shared" si="59"/>
        <v>60485</v>
      </c>
      <c r="M1245" s="344" t="s">
        <v>145</v>
      </c>
      <c r="N1245" s="344">
        <v>221135</v>
      </c>
    </row>
    <row r="1246" spans="1:14" ht="15">
      <c r="A1246" s="344">
        <v>60386</v>
      </c>
      <c r="B1246" s="345" t="s">
        <v>137</v>
      </c>
      <c r="C1246" s="344">
        <v>221136</v>
      </c>
      <c r="D1246" s="344" t="str">
        <f t="shared" si="57"/>
        <v>221136</v>
      </c>
      <c r="E1246" s="346" t="s">
        <v>146</v>
      </c>
      <c r="F1246" s="344" t="s">
        <v>139</v>
      </c>
      <c r="G1246" s="344" t="str">
        <f t="shared" si="58"/>
        <v>60386AXLE 1</v>
      </c>
      <c r="H1246" s="344">
        <v>20</v>
      </c>
      <c r="I1246" s="344">
        <v>1</v>
      </c>
      <c r="J1246" s="344">
        <v>1</v>
      </c>
      <c r="K1246" s="344">
        <v>8</v>
      </c>
      <c r="L1246" t="str">
        <f t="shared" si="59"/>
        <v>60386</v>
      </c>
      <c r="M1246" s="344" t="s">
        <v>139</v>
      </c>
      <c r="N1246" s="344">
        <v>221136</v>
      </c>
    </row>
    <row r="1247" spans="1:14" ht="15">
      <c r="A1247" s="344">
        <v>60386</v>
      </c>
      <c r="B1247" s="345" t="s">
        <v>137</v>
      </c>
      <c r="C1247" s="344">
        <v>221136</v>
      </c>
      <c r="D1247" s="344" t="str">
        <f t="shared" si="57"/>
        <v>221136</v>
      </c>
      <c r="E1247" s="346" t="s">
        <v>147</v>
      </c>
      <c r="F1247" s="344" t="s">
        <v>141</v>
      </c>
      <c r="G1247" s="344" t="str">
        <f t="shared" si="58"/>
        <v>60386AXLE 2</v>
      </c>
      <c r="H1247" s="344">
        <v>19</v>
      </c>
      <c r="I1247" s="344">
        <v>2</v>
      </c>
      <c r="J1247" s="344">
        <v>2</v>
      </c>
      <c r="K1247" s="344">
        <v>7</v>
      </c>
      <c r="L1247" t="str">
        <f t="shared" si="59"/>
        <v>60386</v>
      </c>
      <c r="M1247" s="344" t="s">
        <v>141</v>
      </c>
      <c r="N1247" s="344">
        <v>221136</v>
      </c>
    </row>
    <row r="1248" spans="1:14" ht="15">
      <c r="A1248" s="344">
        <v>60386</v>
      </c>
      <c r="B1248" s="345" t="s">
        <v>137</v>
      </c>
      <c r="C1248" s="344">
        <v>221136</v>
      </c>
      <c r="D1248" s="344" t="str">
        <f t="shared" si="57"/>
        <v>221136</v>
      </c>
      <c r="E1248" s="346" t="s">
        <v>147</v>
      </c>
      <c r="F1248" s="344" t="s">
        <v>143</v>
      </c>
      <c r="G1248" s="344" t="str">
        <f t="shared" si="58"/>
        <v>60386AXLE 3</v>
      </c>
      <c r="H1248" s="344">
        <v>18</v>
      </c>
      <c r="I1248" s="344">
        <v>3</v>
      </c>
      <c r="J1248" s="344">
        <v>3</v>
      </c>
      <c r="K1248" s="344">
        <v>6</v>
      </c>
      <c r="L1248" t="str">
        <f t="shared" si="59"/>
        <v>60386</v>
      </c>
      <c r="M1248" s="344" t="s">
        <v>143</v>
      </c>
      <c r="N1248" s="344">
        <v>221136</v>
      </c>
    </row>
    <row r="1249" spans="1:14" ht="15">
      <c r="A1249" s="344">
        <v>60386</v>
      </c>
      <c r="B1249" s="345" t="s">
        <v>137</v>
      </c>
      <c r="C1249" s="344">
        <v>221136</v>
      </c>
      <c r="D1249" s="344" t="str">
        <f t="shared" si="57"/>
        <v>221136</v>
      </c>
      <c r="E1249" s="346" t="s">
        <v>146</v>
      </c>
      <c r="F1249" s="344" t="s">
        <v>145</v>
      </c>
      <c r="G1249" s="344" t="str">
        <f t="shared" si="58"/>
        <v>60386AXLE 4</v>
      </c>
      <c r="H1249" s="344">
        <v>17</v>
      </c>
      <c r="I1249" s="344">
        <v>4</v>
      </c>
      <c r="J1249" s="344">
        <v>4</v>
      </c>
      <c r="K1249" s="344">
        <v>5</v>
      </c>
      <c r="L1249" t="str">
        <f t="shared" si="59"/>
        <v>60386</v>
      </c>
      <c r="M1249" s="344" t="s">
        <v>145</v>
      </c>
      <c r="N1249" s="344">
        <v>221136</v>
      </c>
    </row>
    <row r="1250" spans="1:14" ht="15">
      <c r="A1250" s="344">
        <v>60786</v>
      </c>
      <c r="B1250" s="345" t="s">
        <v>137</v>
      </c>
      <c r="C1250" s="344">
        <v>221136</v>
      </c>
      <c r="D1250" s="344" t="str">
        <f t="shared" si="57"/>
        <v>221136</v>
      </c>
      <c r="E1250" s="346" t="s">
        <v>146</v>
      </c>
      <c r="F1250" s="344" t="s">
        <v>139</v>
      </c>
      <c r="G1250" s="344" t="str">
        <f t="shared" si="58"/>
        <v>60786AXLE 1</v>
      </c>
      <c r="H1250" s="344">
        <v>13</v>
      </c>
      <c r="I1250" s="344">
        <v>8</v>
      </c>
      <c r="J1250" s="344">
        <v>1</v>
      </c>
      <c r="K1250" s="344">
        <v>8</v>
      </c>
      <c r="L1250" t="str">
        <f t="shared" si="59"/>
        <v>60786</v>
      </c>
      <c r="M1250" s="344" t="s">
        <v>139</v>
      </c>
      <c r="N1250" s="344">
        <v>221136</v>
      </c>
    </row>
    <row r="1251" spans="1:14" ht="15">
      <c r="A1251" s="344">
        <v>60786</v>
      </c>
      <c r="B1251" s="345" t="s">
        <v>137</v>
      </c>
      <c r="C1251" s="344">
        <v>221136</v>
      </c>
      <c r="D1251" s="344" t="str">
        <f t="shared" si="57"/>
        <v>221136</v>
      </c>
      <c r="E1251" s="346" t="s">
        <v>147</v>
      </c>
      <c r="F1251" s="344" t="s">
        <v>141</v>
      </c>
      <c r="G1251" s="344" t="str">
        <f t="shared" si="58"/>
        <v>60786AXLE 2</v>
      </c>
      <c r="H1251" s="344">
        <v>14</v>
      </c>
      <c r="I1251" s="344">
        <v>7</v>
      </c>
      <c r="J1251" s="344">
        <v>2</v>
      </c>
      <c r="K1251" s="344">
        <v>7</v>
      </c>
      <c r="L1251" t="str">
        <f t="shared" si="59"/>
        <v>60786</v>
      </c>
      <c r="M1251" s="344" t="s">
        <v>141</v>
      </c>
      <c r="N1251" s="344">
        <v>221136</v>
      </c>
    </row>
    <row r="1252" spans="1:14" ht="15">
      <c r="A1252" s="344">
        <v>60786</v>
      </c>
      <c r="B1252" s="345" t="s">
        <v>137</v>
      </c>
      <c r="C1252" s="344">
        <v>221136</v>
      </c>
      <c r="D1252" s="344" t="str">
        <f t="shared" si="57"/>
        <v>221136</v>
      </c>
      <c r="E1252" s="346" t="s">
        <v>147</v>
      </c>
      <c r="F1252" s="344" t="s">
        <v>143</v>
      </c>
      <c r="G1252" s="344" t="str">
        <f t="shared" si="58"/>
        <v>60786AXLE 3</v>
      </c>
      <c r="H1252" s="344">
        <v>15</v>
      </c>
      <c r="I1252" s="344">
        <v>6</v>
      </c>
      <c r="J1252" s="344">
        <v>3</v>
      </c>
      <c r="K1252" s="344">
        <v>6</v>
      </c>
      <c r="L1252" t="str">
        <f t="shared" si="59"/>
        <v>60786</v>
      </c>
      <c r="M1252" s="344" t="s">
        <v>143</v>
      </c>
      <c r="N1252" s="344">
        <v>221136</v>
      </c>
    </row>
    <row r="1253" spans="1:14" ht="15">
      <c r="A1253" s="344">
        <v>60786</v>
      </c>
      <c r="B1253" s="345" t="s">
        <v>137</v>
      </c>
      <c r="C1253" s="344">
        <v>221136</v>
      </c>
      <c r="D1253" s="344" t="str">
        <f t="shared" si="57"/>
        <v>221136</v>
      </c>
      <c r="E1253" s="346" t="s">
        <v>146</v>
      </c>
      <c r="F1253" s="344" t="s">
        <v>145</v>
      </c>
      <c r="G1253" s="344" t="str">
        <f t="shared" si="58"/>
        <v>60786AXLE 4</v>
      </c>
      <c r="H1253" s="344">
        <v>16</v>
      </c>
      <c r="I1253" s="344">
        <v>5</v>
      </c>
      <c r="J1253" s="344">
        <v>4</v>
      </c>
      <c r="K1253" s="344">
        <v>5</v>
      </c>
      <c r="L1253" t="str">
        <f t="shared" si="59"/>
        <v>60786</v>
      </c>
      <c r="M1253" s="344" t="s">
        <v>145</v>
      </c>
      <c r="N1253" s="344">
        <v>221136</v>
      </c>
    </row>
    <row r="1254" spans="1:14" ht="15">
      <c r="A1254" s="344">
        <v>60986</v>
      </c>
      <c r="B1254" s="345" t="s">
        <v>137</v>
      </c>
      <c r="C1254" s="344">
        <v>221136</v>
      </c>
      <c r="D1254" s="344" t="str">
        <f t="shared" si="57"/>
        <v>221136</v>
      </c>
      <c r="E1254" s="346" t="s">
        <v>146</v>
      </c>
      <c r="F1254" s="344" t="s">
        <v>139</v>
      </c>
      <c r="G1254" s="344" t="str">
        <f t="shared" si="58"/>
        <v>60986AXLE 1</v>
      </c>
      <c r="H1254" s="344">
        <v>9</v>
      </c>
      <c r="I1254" s="344">
        <v>12</v>
      </c>
      <c r="J1254" s="344">
        <v>1</v>
      </c>
      <c r="K1254" s="344">
        <v>8</v>
      </c>
      <c r="L1254" t="str">
        <f t="shared" si="59"/>
        <v>60986</v>
      </c>
      <c r="M1254" s="344" t="s">
        <v>139</v>
      </c>
      <c r="N1254" s="344">
        <v>221136</v>
      </c>
    </row>
    <row r="1255" spans="1:14" ht="15">
      <c r="A1255" s="344">
        <v>60986</v>
      </c>
      <c r="B1255" s="345" t="s">
        <v>137</v>
      </c>
      <c r="C1255" s="344">
        <v>221136</v>
      </c>
      <c r="D1255" s="344" t="str">
        <f t="shared" si="57"/>
        <v>221136</v>
      </c>
      <c r="E1255" s="346" t="s">
        <v>147</v>
      </c>
      <c r="F1255" s="344" t="s">
        <v>141</v>
      </c>
      <c r="G1255" s="344" t="str">
        <f t="shared" si="58"/>
        <v>60986AXLE 2</v>
      </c>
      <c r="H1255" s="344">
        <v>10</v>
      </c>
      <c r="I1255" s="344">
        <v>11</v>
      </c>
      <c r="J1255" s="344">
        <v>2</v>
      </c>
      <c r="K1255" s="344">
        <v>7</v>
      </c>
      <c r="L1255" t="str">
        <f t="shared" si="59"/>
        <v>60986</v>
      </c>
      <c r="M1255" s="344" t="s">
        <v>141</v>
      </c>
      <c r="N1255" s="344">
        <v>221136</v>
      </c>
    </row>
    <row r="1256" spans="1:14" ht="15">
      <c r="A1256" s="344">
        <v>60986</v>
      </c>
      <c r="B1256" s="345" t="s">
        <v>137</v>
      </c>
      <c r="C1256" s="344">
        <v>221136</v>
      </c>
      <c r="D1256" s="344" t="str">
        <f t="shared" si="57"/>
        <v>221136</v>
      </c>
      <c r="E1256" s="346" t="s">
        <v>147</v>
      </c>
      <c r="F1256" s="344" t="s">
        <v>143</v>
      </c>
      <c r="G1256" s="344" t="str">
        <f t="shared" si="58"/>
        <v>60986AXLE 3</v>
      </c>
      <c r="H1256" s="344">
        <v>11</v>
      </c>
      <c r="I1256" s="344">
        <v>10</v>
      </c>
      <c r="J1256" s="344">
        <v>3</v>
      </c>
      <c r="K1256" s="344">
        <v>6</v>
      </c>
      <c r="L1256" t="str">
        <f t="shared" si="59"/>
        <v>60986</v>
      </c>
      <c r="M1256" s="344" t="s">
        <v>143</v>
      </c>
      <c r="N1256" s="344">
        <v>221136</v>
      </c>
    </row>
    <row r="1257" spans="1:14" ht="15">
      <c r="A1257" s="344">
        <v>60986</v>
      </c>
      <c r="B1257" s="345" t="s">
        <v>137</v>
      </c>
      <c r="C1257" s="344">
        <v>221136</v>
      </c>
      <c r="D1257" s="344" t="str">
        <f t="shared" si="57"/>
        <v>221136</v>
      </c>
      <c r="E1257" s="346" t="s">
        <v>146</v>
      </c>
      <c r="F1257" s="344" t="s">
        <v>145</v>
      </c>
      <c r="G1257" s="344" t="str">
        <f t="shared" si="58"/>
        <v>60986AXLE 4</v>
      </c>
      <c r="H1257" s="344">
        <v>12</v>
      </c>
      <c r="I1257" s="344">
        <v>9</v>
      </c>
      <c r="J1257" s="344">
        <v>4</v>
      </c>
      <c r="K1257" s="344">
        <v>5</v>
      </c>
      <c r="L1257" t="str">
        <f t="shared" si="59"/>
        <v>60986</v>
      </c>
      <c r="M1257" s="344" t="s">
        <v>145</v>
      </c>
      <c r="N1257" s="344">
        <v>221136</v>
      </c>
    </row>
    <row r="1258" spans="1:14" ht="15">
      <c r="A1258" s="344">
        <v>60886</v>
      </c>
      <c r="B1258" s="345" t="s">
        <v>137</v>
      </c>
      <c r="C1258" s="344">
        <v>221136</v>
      </c>
      <c r="D1258" s="344" t="str">
        <f t="shared" si="57"/>
        <v>221136</v>
      </c>
      <c r="E1258" s="346" t="s">
        <v>146</v>
      </c>
      <c r="F1258" s="344" t="s">
        <v>139</v>
      </c>
      <c r="G1258" s="344" t="str">
        <f t="shared" si="58"/>
        <v>60886AXLE 1</v>
      </c>
      <c r="H1258" s="344">
        <v>5</v>
      </c>
      <c r="I1258" s="344">
        <v>16</v>
      </c>
      <c r="J1258" s="344">
        <v>1</v>
      </c>
      <c r="K1258" s="344">
        <v>8</v>
      </c>
      <c r="L1258" t="str">
        <f t="shared" si="59"/>
        <v>60886</v>
      </c>
      <c r="M1258" s="344" t="s">
        <v>139</v>
      </c>
      <c r="N1258" s="344">
        <v>221136</v>
      </c>
    </row>
    <row r="1259" spans="1:14" ht="15">
      <c r="A1259" s="344">
        <v>60886</v>
      </c>
      <c r="B1259" s="345" t="s">
        <v>137</v>
      </c>
      <c r="C1259" s="344">
        <v>221136</v>
      </c>
      <c r="D1259" s="344" t="str">
        <f t="shared" si="57"/>
        <v>221136</v>
      </c>
      <c r="E1259" s="346" t="s">
        <v>147</v>
      </c>
      <c r="F1259" s="344" t="s">
        <v>141</v>
      </c>
      <c r="G1259" s="344" t="str">
        <f t="shared" si="58"/>
        <v>60886AXLE 2</v>
      </c>
      <c r="H1259" s="344">
        <v>6</v>
      </c>
      <c r="I1259" s="344">
        <v>15</v>
      </c>
      <c r="J1259" s="344">
        <v>2</v>
      </c>
      <c r="K1259" s="344">
        <v>7</v>
      </c>
      <c r="L1259" t="str">
        <f t="shared" si="59"/>
        <v>60886</v>
      </c>
      <c r="M1259" s="344" t="s">
        <v>141</v>
      </c>
      <c r="N1259" s="344">
        <v>221136</v>
      </c>
    </row>
    <row r="1260" spans="1:14" ht="15">
      <c r="A1260" s="344">
        <v>60886</v>
      </c>
      <c r="B1260" s="345" t="s">
        <v>137</v>
      </c>
      <c r="C1260" s="344">
        <v>221136</v>
      </c>
      <c r="D1260" s="344" t="str">
        <f t="shared" si="57"/>
        <v>221136</v>
      </c>
      <c r="E1260" s="346" t="s">
        <v>147</v>
      </c>
      <c r="F1260" s="344" t="s">
        <v>143</v>
      </c>
      <c r="G1260" s="344" t="str">
        <f t="shared" si="58"/>
        <v>60886AXLE 3</v>
      </c>
      <c r="H1260" s="344">
        <v>7</v>
      </c>
      <c r="I1260" s="344">
        <v>14</v>
      </c>
      <c r="J1260" s="344">
        <v>3</v>
      </c>
      <c r="K1260" s="344">
        <v>6</v>
      </c>
      <c r="L1260" t="str">
        <f t="shared" si="59"/>
        <v>60886</v>
      </c>
      <c r="M1260" s="344" t="s">
        <v>143</v>
      </c>
      <c r="N1260" s="344">
        <v>221136</v>
      </c>
    </row>
    <row r="1261" spans="1:14" ht="15">
      <c r="A1261" s="344">
        <v>60886</v>
      </c>
      <c r="B1261" s="345" t="s">
        <v>137</v>
      </c>
      <c r="C1261" s="344">
        <v>221136</v>
      </c>
      <c r="D1261" s="344" t="str">
        <f t="shared" si="57"/>
        <v>221136</v>
      </c>
      <c r="E1261" s="346" t="s">
        <v>146</v>
      </c>
      <c r="F1261" s="344" t="s">
        <v>145</v>
      </c>
      <c r="G1261" s="344" t="str">
        <f t="shared" si="58"/>
        <v>60886AXLE 4</v>
      </c>
      <c r="H1261" s="344">
        <v>8</v>
      </c>
      <c r="I1261" s="344">
        <v>13</v>
      </c>
      <c r="J1261" s="344">
        <v>4</v>
      </c>
      <c r="K1261" s="344">
        <v>5</v>
      </c>
      <c r="L1261" t="str">
        <f t="shared" si="59"/>
        <v>60886</v>
      </c>
      <c r="M1261" s="344" t="s">
        <v>145</v>
      </c>
      <c r="N1261" s="344">
        <v>221136</v>
      </c>
    </row>
    <row r="1262" spans="1:14" ht="15">
      <c r="A1262" s="344">
        <v>60486</v>
      </c>
      <c r="B1262" s="345" t="s">
        <v>137</v>
      </c>
      <c r="C1262" s="344">
        <v>221136</v>
      </c>
      <c r="D1262" s="344" t="str">
        <f t="shared" si="57"/>
        <v>221136</v>
      </c>
      <c r="E1262" s="346" t="s">
        <v>146</v>
      </c>
      <c r="F1262" s="344" t="s">
        <v>139</v>
      </c>
      <c r="G1262" s="344" t="str">
        <f t="shared" si="58"/>
        <v>60486AXLE 1</v>
      </c>
      <c r="H1262" s="344">
        <v>1</v>
      </c>
      <c r="I1262" s="344">
        <v>20</v>
      </c>
      <c r="J1262" s="344">
        <v>1</v>
      </c>
      <c r="K1262" s="344">
        <v>8</v>
      </c>
      <c r="L1262" t="str">
        <f t="shared" si="59"/>
        <v>60486</v>
      </c>
      <c r="M1262" s="344" t="s">
        <v>139</v>
      </c>
      <c r="N1262" s="344">
        <v>221136</v>
      </c>
    </row>
    <row r="1263" spans="1:14" ht="15">
      <c r="A1263" s="344">
        <v>60486</v>
      </c>
      <c r="B1263" s="345" t="s">
        <v>137</v>
      </c>
      <c r="C1263" s="344">
        <v>221136</v>
      </c>
      <c r="D1263" s="344" t="str">
        <f t="shared" si="57"/>
        <v>221136</v>
      </c>
      <c r="E1263" s="346" t="s">
        <v>147</v>
      </c>
      <c r="F1263" s="344" t="s">
        <v>141</v>
      </c>
      <c r="G1263" s="344" t="str">
        <f t="shared" si="58"/>
        <v>60486AXLE 2</v>
      </c>
      <c r="H1263" s="344">
        <v>2</v>
      </c>
      <c r="I1263" s="344">
        <v>19</v>
      </c>
      <c r="J1263" s="344">
        <v>2</v>
      </c>
      <c r="K1263" s="344">
        <v>7</v>
      </c>
      <c r="L1263" t="str">
        <f t="shared" si="59"/>
        <v>60486</v>
      </c>
      <c r="M1263" s="344" t="s">
        <v>141</v>
      </c>
      <c r="N1263" s="344">
        <v>221136</v>
      </c>
    </row>
    <row r="1264" spans="1:14" ht="15">
      <c r="A1264" s="344">
        <v>60486</v>
      </c>
      <c r="B1264" s="345" t="s">
        <v>137</v>
      </c>
      <c r="C1264" s="344">
        <v>221136</v>
      </c>
      <c r="D1264" s="344" t="str">
        <f t="shared" si="57"/>
        <v>221136</v>
      </c>
      <c r="E1264" s="346" t="s">
        <v>147</v>
      </c>
      <c r="F1264" s="344" t="s">
        <v>143</v>
      </c>
      <c r="G1264" s="344" t="str">
        <f t="shared" si="58"/>
        <v>60486AXLE 3</v>
      </c>
      <c r="H1264" s="344">
        <v>3</v>
      </c>
      <c r="I1264" s="344">
        <v>18</v>
      </c>
      <c r="J1264" s="344">
        <v>3</v>
      </c>
      <c r="K1264" s="344">
        <v>6</v>
      </c>
      <c r="L1264" t="str">
        <f t="shared" si="59"/>
        <v>60486</v>
      </c>
      <c r="M1264" s="344" t="s">
        <v>143</v>
      </c>
      <c r="N1264" s="344">
        <v>221136</v>
      </c>
    </row>
    <row r="1265" spans="1:14" ht="15">
      <c r="A1265" s="344">
        <v>60486</v>
      </c>
      <c r="B1265" s="345" t="s">
        <v>137</v>
      </c>
      <c r="C1265" s="344">
        <v>221136</v>
      </c>
      <c r="D1265" s="344" t="str">
        <f t="shared" si="57"/>
        <v>221136</v>
      </c>
      <c r="E1265" s="346" t="s">
        <v>146</v>
      </c>
      <c r="F1265" s="344" t="s">
        <v>145</v>
      </c>
      <c r="G1265" s="344" t="str">
        <f t="shared" si="58"/>
        <v>60486AXLE 4</v>
      </c>
      <c r="H1265" s="344">
        <v>4</v>
      </c>
      <c r="I1265" s="344">
        <v>17</v>
      </c>
      <c r="J1265" s="344">
        <v>4</v>
      </c>
      <c r="K1265" s="344">
        <v>5</v>
      </c>
      <c r="L1265" t="str">
        <f t="shared" si="59"/>
        <v>60486</v>
      </c>
      <c r="M1265" s="344" t="s">
        <v>145</v>
      </c>
      <c r="N1265" s="344">
        <v>221136</v>
      </c>
    </row>
    <row r="1266" spans="1:14" ht="15">
      <c r="A1266" s="344">
        <v>60387</v>
      </c>
      <c r="B1266" s="345" t="s">
        <v>137</v>
      </c>
      <c r="C1266" s="344">
        <v>221137</v>
      </c>
      <c r="D1266" s="344" t="str">
        <f t="shared" si="57"/>
        <v>221137</v>
      </c>
      <c r="E1266" s="346" t="s">
        <v>146</v>
      </c>
      <c r="F1266" s="344" t="s">
        <v>139</v>
      </c>
      <c r="G1266" s="344" t="str">
        <f t="shared" si="58"/>
        <v>60387AXLE 1</v>
      </c>
      <c r="H1266" s="344">
        <v>20</v>
      </c>
      <c r="I1266" s="344">
        <v>1</v>
      </c>
      <c r="J1266" s="344">
        <v>1</v>
      </c>
      <c r="K1266" s="344">
        <v>8</v>
      </c>
      <c r="L1266" t="str">
        <f t="shared" si="59"/>
        <v>60387</v>
      </c>
      <c r="M1266" s="344" t="s">
        <v>139</v>
      </c>
      <c r="N1266" s="344">
        <v>221137</v>
      </c>
    </row>
    <row r="1267" spans="1:14" ht="15">
      <c r="A1267" s="344">
        <v>60387</v>
      </c>
      <c r="B1267" s="345" t="s">
        <v>137</v>
      </c>
      <c r="C1267" s="344">
        <v>221137</v>
      </c>
      <c r="D1267" s="344" t="str">
        <f t="shared" si="57"/>
        <v>221137</v>
      </c>
      <c r="E1267" s="346" t="s">
        <v>147</v>
      </c>
      <c r="F1267" s="344" t="s">
        <v>141</v>
      </c>
      <c r="G1267" s="344" t="str">
        <f t="shared" si="58"/>
        <v>60387AXLE 2</v>
      </c>
      <c r="H1267" s="344">
        <v>19</v>
      </c>
      <c r="I1267" s="344">
        <v>2</v>
      </c>
      <c r="J1267" s="344">
        <v>2</v>
      </c>
      <c r="K1267" s="344">
        <v>7</v>
      </c>
      <c r="L1267" t="str">
        <f t="shared" si="59"/>
        <v>60387</v>
      </c>
      <c r="M1267" s="344" t="s">
        <v>141</v>
      </c>
      <c r="N1267" s="344">
        <v>221137</v>
      </c>
    </row>
    <row r="1268" spans="1:14" ht="15">
      <c r="A1268" s="344">
        <v>60387</v>
      </c>
      <c r="B1268" s="345" t="s">
        <v>137</v>
      </c>
      <c r="C1268" s="344">
        <v>221137</v>
      </c>
      <c r="D1268" s="344" t="str">
        <f t="shared" si="57"/>
        <v>221137</v>
      </c>
      <c r="E1268" s="346" t="s">
        <v>147</v>
      </c>
      <c r="F1268" s="344" t="s">
        <v>143</v>
      </c>
      <c r="G1268" s="344" t="str">
        <f t="shared" si="58"/>
        <v>60387AXLE 3</v>
      </c>
      <c r="H1268" s="344">
        <v>18</v>
      </c>
      <c r="I1268" s="344">
        <v>3</v>
      </c>
      <c r="J1268" s="344">
        <v>3</v>
      </c>
      <c r="K1268" s="344">
        <v>6</v>
      </c>
      <c r="L1268" t="str">
        <f t="shared" si="59"/>
        <v>60387</v>
      </c>
      <c r="M1268" s="344" t="s">
        <v>143</v>
      </c>
      <c r="N1268" s="344">
        <v>221137</v>
      </c>
    </row>
    <row r="1269" spans="1:14" ht="15">
      <c r="A1269" s="344">
        <v>60387</v>
      </c>
      <c r="B1269" s="345" t="s">
        <v>137</v>
      </c>
      <c r="C1269" s="344">
        <v>221137</v>
      </c>
      <c r="D1269" s="344" t="str">
        <f t="shared" si="57"/>
        <v>221137</v>
      </c>
      <c r="E1269" s="346" t="s">
        <v>146</v>
      </c>
      <c r="F1269" s="344" t="s">
        <v>145</v>
      </c>
      <c r="G1269" s="344" t="str">
        <f t="shared" si="58"/>
        <v>60387AXLE 4</v>
      </c>
      <c r="H1269" s="344">
        <v>17</v>
      </c>
      <c r="I1269" s="344">
        <v>4</v>
      </c>
      <c r="J1269" s="344">
        <v>4</v>
      </c>
      <c r="K1269" s="344">
        <v>5</v>
      </c>
      <c r="L1269" t="str">
        <f t="shared" si="59"/>
        <v>60387</v>
      </c>
      <c r="M1269" s="344" t="s">
        <v>145</v>
      </c>
      <c r="N1269" s="344">
        <v>221137</v>
      </c>
    </row>
    <row r="1270" spans="1:14" ht="15">
      <c r="A1270" s="344">
        <v>60787</v>
      </c>
      <c r="B1270" s="345" t="s">
        <v>137</v>
      </c>
      <c r="C1270" s="344">
        <v>221137</v>
      </c>
      <c r="D1270" s="344" t="str">
        <f t="shared" si="57"/>
        <v>221137</v>
      </c>
      <c r="E1270" s="346" t="s">
        <v>146</v>
      </c>
      <c r="F1270" s="344" t="s">
        <v>139</v>
      </c>
      <c r="G1270" s="344" t="str">
        <f t="shared" si="58"/>
        <v>60787AXLE 1</v>
      </c>
      <c r="H1270" s="344">
        <v>13</v>
      </c>
      <c r="I1270" s="344">
        <v>8</v>
      </c>
      <c r="J1270" s="344">
        <v>1</v>
      </c>
      <c r="K1270" s="344">
        <v>8</v>
      </c>
      <c r="L1270" t="str">
        <f t="shared" si="59"/>
        <v>60787</v>
      </c>
      <c r="M1270" s="344" t="s">
        <v>139</v>
      </c>
      <c r="N1270" s="344">
        <v>221137</v>
      </c>
    </row>
    <row r="1271" spans="1:14" ht="15">
      <c r="A1271" s="344">
        <v>60787</v>
      </c>
      <c r="B1271" s="345" t="s">
        <v>137</v>
      </c>
      <c r="C1271" s="344">
        <v>221137</v>
      </c>
      <c r="D1271" s="344" t="str">
        <f t="shared" si="57"/>
        <v>221137</v>
      </c>
      <c r="E1271" s="346" t="s">
        <v>147</v>
      </c>
      <c r="F1271" s="344" t="s">
        <v>141</v>
      </c>
      <c r="G1271" s="344" t="str">
        <f t="shared" si="58"/>
        <v>60787AXLE 2</v>
      </c>
      <c r="H1271" s="344">
        <v>14</v>
      </c>
      <c r="I1271" s="344">
        <v>7</v>
      </c>
      <c r="J1271" s="344">
        <v>2</v>
      </c>
      <c r="K1271" s="344">
        <v>7</v>
      </c>
      <c r="L1271" t="str">
        <f t="shared" si="59"/>
        <v>60787</v>
      </c>
      <c r="M1271" s="344" t="s">
        <v>141</v>
      </c>
      <c r="N1271" s="344">
        <v>221137</v>
      </c>
    </row>
    <row r="1272" spans="1:14" ht="15">
      <c r="A1272" s="344">
        <v>60787</v>
      </c>
      <c r="B1272" s="345" t="s">
        <v>137</v>
      </c>
      <c r="C1272" s="344">
        <v>221137</v>
      </c>
      <c r="D1272" s="344" t="str">
        <f t="shared" si="57"/>
        <v>221137</v>
      </c>
      <c r="E1272" s="346" t="s">
        <v>147</v>
      </c>
      <c r="F1272" s="344" t="s">
        <v>143</v>
      </c>
      <c r="G1272" s="344" t="str">
        <f t="shared" si="58"/>
        <v>60787AXLE 3</v>
      </c>
      <c r="H1272" s="344">
        <v>15</v>
      </c>
      <c r="I1272" s="344">
        <v>6</v>
      </c>
      <c r="J1272" s="344">
        <v>3</v>
      </c>
      <c r="K1272" s="344">
        <v>6</v>
      </c>
      <c r="L1272" t="str">
        <f t="shared" si="59"/>
        <v>60787</v>
      </c>
      <c r="M1272" s="344" t="s">
        <v>143</v>
      </c>
      <c r="N1272" s="344">
        <v>221137</v>
      </c>
    </row>
    <row r="1273" spans="1:14" ht="15">
      <c r="A1273" s="344">
        <v>60787</v>
      </c>
      <c r="B1273" s="345" t="s">
        <v>137</v>
      </c>
      <c r="C1273" s="344">
        <v>221137</v>
      </c>
      <c r="D1273" s="344" t="str">
        <f t="shared" si="57"/>
        <v>221137</v>
      </c>
      <c r="E1273" s="346" t="s">
        <v>146</v>
      </c>
      <c r="F1273" s="344" t="s">
        <v>145</v>
      </c>
      <c r="G1273" s="344" t="str">
        <f t="shared" si="58"/>
        <v>60787AXLE 4</v>
      </c>
      <c r="H1273" s="344">
        <v>16</v>
      </c>
      <c r="I1273" s="344">
        <v>5</v>
      </c>
      <c r="J1273" s="344">
        <v>4</v>
      </c>
      <c r="K1273" s="344">
        <v>5</v>
      </c>
      <c r="L1273" t="str">
        <f t="shared" si="59"/>
        <v>60787</v>
      </c>
      <c r="M1273" s="344" t="s">
        <v>145</v>
      </c>
      <c r="N1273" s="344">
        <v>221137</v>
      </c>
    </row>
    <row r="1274" spans="1:14" ht="15">
      <c r="A1274" s="344">
        <v>60987</v>
      </c>
      <c r="B1274" s="345" t="s">
        <v>137</v>
      </c>
      <c r="C1274" s="344">
        <v>221137</v>
      </c>
      <c r="D1274" s="344" t="str">
        <f t="shared" si="57"/>
        <v>221137</v>
      </c>
      <c r="E1274" s="346" t="s">
        <v>146</v>
      </c>
      <c r="F1274" s="344" t="s">
        <v>139</v>
      </c>
      <c r="G1274" s="344" t="str">
        <f t="shared" si="58"/>
        <v>60987AXLE 1</v>
      </c>
      <c r="H1274" s="344">
        <v>9</v>
      </c>
      <c r="I1274" s="344">
        <v>12</v>
      </c>
      <c r="J1274" s="344">
        <v>1</v>
      </c>
      <c r="K1274" s="344">
        <v>8</v>
      </c>
      <c r="L1274" t="str">
        <f t="shared" si="59"/>
        <v>60987</v>
      </c>
      <c r="M1274" s="344" t="s">
        <v>139</v>
      </c>
      <c r="N1274" s="344">
        <v>221137</v>
      </c>
    </row>
    <row r="1275" spans="1:14" ht="15">
      <c r="A1275" s="344">
        <v>60987</v>
      </c>
      <c r="B1275" s="345" t="s">
        <v>137</v>
      </c>
      <c r="C1275" s="344">
        <v>221137</v>
      </c>
      <c r="D1275" s="344" t="str">
        <f t="shared" si="57"/>
        <v>221137</v>
      </c>
      <c r="E1275" s="346" t="s">
        <v>147</v>
      </c>
      <c r="F1275" s="344" t="s">
        <v>141</v>
      </c>
      <c r="G1275" s="344" t="str">
        <f t="shared" si="58"/>
        <v>60987AXLE 2</v>
      </c>
      <c r="H1275" s="344">
        <v>10</v>
      </c>
      <c r="I1275" s="344">
        <v>11</v>
      </c>
      <c r="J1275" s="344">
        <v>2</v>
      </c>
      <c r="K1275" s="344">
        <v>7</v>
      </c>
      <c r="L1275" t="str">
        <f t="shared" si="59"/>
        <v>60987</v>
      </c>
      <c r="M1275" s="344" t="s">
        <v>141</v>
      </c>
      <c r="N1275" s="344">
        <v>221137</v>
      </c>
    </row>
    <row r="1276" spans="1:14" ht="15">
      <c r="A1276" s="344">
        <v>60987</v>
      </c>
      <c r="B1276" s="345" t="s">
        <v>137</v>
      </c>
      <c r="C1276" s="344">
        <v>221137</v>
      </c>
      <c r="D1276" s="344" t="str">
        <f t="shared" si="57"/>
        <v>221137</v>
      </c>
      <c r="E1276" s="346" t="s">
        <v>147</v>
      </c>
      <c r="F1276" s="344" t="s">
        <v>143</v>
      </c>
      <c r="G1276" s="344" t="str">
        <f t="shared" si="58"/>
        <v>60987AXLE 3</v>
      </c>
      <c r="H1276" s="344">
        <v>11</v>
      </c>
      <c r="I1276" s="344">
        <v>10</v>
      </c>
      <c r="J1276" s="344">
        <v>3</v>
      </c>
      <c r="K1276" s="344">
        <v>6</v>
      </c>
      <c r="L1276" t="str">
        <f t="shared" si="59"/>
        <v>60987</v>
      </c>
      <c r="M1276" s="344" t="s">
        <v>143</v>
      </c>
      <c r="N1276" s="344">
        <v>221137</v>
      </c>
    </row>
    <row r="1277" spans="1:14" ht="15">
      <c r="A1277" s="344">
        <v>60987</v>
      </c>
      <c r="B1277" s="345" t="s">
        <v>137</v>
      </c>
      <c r="C1277" s="344">
        <v>221137</v>
      </c>
      <c r="D1277" s="344" t="str">
        <f t="shared" si="57"/>
        <v>221137</v>
      </c>
      <c r="E1277" s="346" t="s">
        <v>146</v>
      </c>
      <c r="F1277" s="344" t="s">
        <v>145</v>
      </c>
      <c r="G1277" s="344" t="str">
        <f t="shared" si="58"/>
        <v>60987AXLE 4</v>
      </c>
      <c r="H1277" s="344">
        <v>12</v>
      </c>
      <c r="I1277" s="344">
        <v>9</v>
      </c>
      <c r="J1277" s="344">
        <v>4</v>
      </c>
      <c r="K1277" s="344">
        <v>5</v>
      </c>
      <c r="L1277" t="str">
        <f t="shared" si="59"/>
        <v>60987</v>
      </c>
      <c r="M1277" s="344" t="s">
        <v>145</v>
      </c>
      <c r="N1277" s="344">
        <v>221137</v>
      </c>
    </row>
    <row r="1278" spans="1:14" ht="15">
      <c r="A1278" s="344">
        <v>60887</v>
      </c>
      <c r="B1278" s="345" t="s">
        <v>137</v>
      </c>
      <c r="C1278" s="344">
        <v>221137</v>
      </c>
      <c r="D1278" s="344" t="str">
        <f t="shared" si="57"/>
        <v>221137</v>
      </c>
      <c r="E1278" s="346" t="s">
        <v>146</v>
      </c>
      <c r="F1278" s="344" t="s">
        <v>139</v>
      </c>
      <c r="G1278" s="344" t="str">
        <f t="shared" si="58"/>
        <v>60887AXLE 1</v>
      </c>
      <c r="H1278" s="344">
        <v>5</v>
      </c>
      <c r="I1278" s="344">
        <v>16</v>
      </c>
      <c r="J1278" s="344">
        <v>1</v>
      </c>
      <c r="K1278" s="344">
        <v>8</v>
      </c>
      <c r="L1278" t="str">
        <f t="shared" si="59"/>
        <v>60887</v>
      </c>
      <c r="M1278" s="344" t="s">
        <v>139</v>
      </c>
      <c r="N1278" s="344">
        <v>221137</v>
      </c>
    </row>
    <row r="1279" spans="1:14" ht="15">
      <c r="A1279" s="344">
        <v>60887</v>
      </c>
      <c r="B1279" s="345" t="s">
        <v>137</v>
      </c>
      <c r="C1279" s="344">
        <v>221137</v>
      </c>
      <c r="D1279" s="344" t="str">
        <f t="shared" si="57"/>
        <v>221137</v>
      </c>
      <c r="E1279" s="346" t="s">
        <v>147</v>
      </c>
      <c r="F1279" s="344" t="s">
        <v>141</v>
      </c>
      <c r="G1279" s="344" t="str">
        <f t="shared" si="58"/>
        <v>60887AXLE 2</v>
      </c>
      <c r="H1279" s="344">
        <v>6</v>
      </c>
      <c r="I1279" s="344">
        <v>15</v>
      </c>
      <c r="J1279" s="344">
        <v>2</v>
      </c>
      <c r="K1279" s="344">
        <v>7</v>
      </c>
      <c r="L1279" t="str">
        <f t="shared" si="59"/>
        <v>60887</v>
      </c>
      <c r="M1279" s="344" t="s">
        <v>141</v>
      </c>
      <c r="N1279" s="344">
        <v>221137</v>
      </c>
    </row>
    <row r="1280" spans="1:14" ht="15">
      <c r="A1280" s="344">
        <v>60887</v>
      </c>
      <c r="B1280" s="345" t="s">
        <v>137</v>
      </c>
      <c r="C1280" s="344">
        <v>221137</v>
      </c>
      <c r="D1280" s="344" t="str">
        <f t="shared" si="57"/>
        <v>221137</v>
      </c>
      <c r="E1280" s="346" t="s">
        <v>147</v>
      </c>
      <c r="F1280" s="344" t="s">
        <v>143</v>
      </c>
      <c r="G1280" s="344" t="str">
        <f t="shared" si="58"/>
        <v>60887AXLE 3</v>
      </c>
      <c r="H1280" s="344">
        <v>7</v>
      </c>
      <c r="I1280" s="344">
        <v>14</v>
      </c>
      <c r="J1280" s="344">
        <v>3</v>
      </c>
      <c r="K1280" s="344">
        <v>6</v>
      </c>
      <c r="L1280" t="str">
        <f t="shared" si="59"/>
        <v>60887</v>
      </c>
      <c r="M1280" s="344" t="s">
        <v>143</v>
      </c>
      <c r="N1280" s="344">
        <v>221137</v>
      </c>
    </row>
    <row r="1281" spans="1:14" ht="15">
      <c r="A1281" s="344">
        <v>60887</v>
      </c>
      <c r="B1281" s="345" t="s">
        <v>137</v>
      </c>
      <c r="C1281" s="344">
        <v>221137</v>
      </c>
      <c r="D1281" s="344" t="str">
        <f t="shared" si="57"/>
        <v>221137</v>
      </c>
      <c r="E1281" s="346" t="s">
        <v>146</v>
      </c>
      <c r="F1281" s="344" t="s">
        <v>145</v>
      </c>
      <c r="G1281" s="344" t="str">
        <f t="shared" si="58"/>
        <v>60887AXLE 4</v>
      </c>
      <c r="H1281" s="344">
        <v>8</v>
      </c>
      <c r="I1281" s="344">
        <v>13</v>
      </c>
      <c r="J1281" s="344">
        <v>4</v>
      </c>
      <c r="K1281" s="344">
        <v>5</v>
      </c>
      <c r="L1281" t="str">
        <f t="shared" si="59"/>
        <v>60887</v>
      </c>
      <c r="M1281" s="344" t="s">
        <v>145</v>
      </c>
      <c r="N1281" s="344">
        <v>221137</v>
      </c>
    </row>
    <row r="1282" spans="1:14" ht="15">
      <c r="A1282" s="344">
        <v>60487</v>
      </c>
      <c r="B1282" s="345" t="s">
        <v>137</v>
      </c>
      <c r="C1282" s="344">
        <v>221137</v>
      </c>
      <c r="D1282" s="344" t="str">
        <f t="shared" si="57"/>
        <v>221137</v>
      </c>
      <c r="E1282" s="346" t="s">
        <v>146</v>
      </c>
      <c r="F1282" s="344" t="s">
        <v>139</v>
      </c>
      <c r="G1282" s="344" t="str">
        <f t="shared" si="58"/>
        <v>60487AXLE 1</v>
      </c>
      <c r="H1282" s="344">
        <v>1</v>
      </c>
      <c r="I1282" s="344">
        <v>20</v>
      </c>
      <c r="J1282" s="344">
        <v>1</v>
      </c>
      <c r="K1282" s="344">
        <v>8</v>
      </c>
      <c r="L1282" t="str">
        <f t="shared" si="59"/>
        <v>60487</v>
      </c>
      <c r="M1282" s="344" t="s">
        <v>139</v>
      </c>
      <c r="N1282" s="344">
        <v>221137</v>
      </c>
    </row>
    <row r="1283" spans="1:14" ht="15">
      <c r="A1283" s="344">
        <v>60487</v>
      </c>
      <c r="B1283" s="345" t="s">
        <v>137</v>
      </c>
      <c r="C1283" s="344">
        <v>221137</v>
      </c>
      <c r="D1283" s="344" t="str">
        <f t="shared" ref="D1283:D1346" si="60">CONCATENATE(B1283,C1283)</f>
        <v>221137</v>
      </c>
      <c r="E1283" s="346" t="s">
        <v>147</v>
      </c>
      <c r="F1283" s="344" t="s">
        <v>141</v>
      </c>
      <c r="G1283" s="344" t="str">
        <f t="shared" ref="G1283:G1346" si="61">CONCATENATE(A1283,F1283)</f>
        <v>60487AXLE 2</v>
      </c>
      <c r="H1283" s="344">
        <v>2</v>
      </c>
      <c r="I1283" s="344">
        <v>19</v>
      </c>
      <c r="J1283" s="344">
        <v>2</v>
      </c>
      <c r="K1283" s="344">
        <v>7</v>
      </c>
      <c r="L1283" t="str">
        <f t="shared" ref="L1283:L1346" si="62">CONCATENATE(A1283,B1283)</f>
        <v>60487</v>
      </c>
      <c r="M1283" s="344" t="s">
        <v>141</v>
      </c>
      <c r="N1283" s="344">
        <v>221137</v>
      </c>
    </row>
    <row r="1284" spans="1:14" ht="15">
      <c r="A1284" s="344">
        <v>60487</v>
      </c>
      <c r="B1284" s="345" t="s">
        <v>137</v>
      </c>
      <c r="C1284" s="344">
        <v>221137</v>
      </c>
      <c r="D1284" s="344" t="str">
        <f t="shared" si="60"/>
        <v>221137</v>
      </c>
      <c r="E1284" s="346" t="s">
        <v>147</v>
      </c>
      <c r="F1284" s="344" t="s">
        <v>143</v>
      </c>
      <c r="G1284" s="344" t="str">
        <f t="shared" si="61"/>
        <v>60487AXLE 3</v>
      </c>
      <c r="H1284" s="344">
        <v>3</v>
      </c>
      <c r="I1284" s="344">
        <v>18</v>
      </c>
      <c r="J1284" s="344">
        <v>3</v>
      </c>
      <c r="K1284" s="344">
        <v>6</v>
      </c>
      <c r="L1284" t="str">
        <f t="shared" si="62"/>
        <v>60487</v>
      </c>
      <c r="M1284" s="344" t="s">
        <v>143</v>
      </c>
      <c r="N1284" s="344">
        <v>221137</v>
      </c>
    </row>
    <row r="1285" spans="1:14" ht="15">
      <c r="A1285" s="344">
        <v>60487</v>
      </c>
      <c r="B1285" s="345" t="s">
        <v>137</v>
      </c>
      <c r="C1285" s="344">
        <v>221137</v>
      </c>
      <c r="D1285" s="344" t="str">
        <f t="shared" si="60"/>
        <v>221137</v>
      </c>
      <c r="E1285" s="346" t="s">
        <v>146</v>
      </c>
      <c r="F1285" s="344" t="s">
        <v>145</v>
      </c>
      <c r="G1285" s="344" t="str">
        <f t="shared" si="61"/>
        <v>60487AXLE 4</v>
      </c>
      <c r="H1285" s="344">
        <v>4</v>
      </c>
      <c r="I1285" s="344">
        <v>17</v>
      </c>
      <c r="J1285" s="344">
        <v>4</v>
      </c>
      <c r="K1285" s="344">
        <v>5</v>
      </c>
      <c r="L1285" t="str">
        <f t="shared" si="62"/>
        <v>60487</v>
      </c>
      <c r="M1285" s="344" t="s">
        <v>145</v>
      </c>
      <c r="N1285" s="344">
        <v>221137</v>
      </c>
    </row>
    <row r="1286" spans="1:14" ht="15">
      <c r="A1286" s="344">
        <v>60388</v>
      </c>
      <c r="B1286" s="345" t="s">
        <v>137</v>
      </c>
      <c r="C1286" s="344">
        <v>221138</v>
      </c>
      <c r="D1286" s="344" t="str">
        <f t="shared" si="60"/>
        <v>221138</v>
      </c>
      <c r="E1286" s="346" t="s">
        <v>146</v>
      </c>
      <c r="F1286" s="344" t="s">
        <v>139</v>
      </c>
      <c r="G1286" s="344" t="str">
        <f t="shared" si="61"/>
        <v>60388AXLE 1</v>
      </c>
      <c r="H1286" s="344">
        <v>20</v>
      </c>
      <c r="I1286" s="344">
        <v>1</v>
      </c>
      <c r="J1286" s="344">
        <v>1</v>
      </c>
      <c r="K1286" s="344">
        <v>8</v>
      </c>
      <c r="L1286" t="str">
        <f t="shared" si="62"/>
        <v>60388</v>
      </c>
      <c r="M1286" s="344" t="s">
        <v>139</v>
      </c>
      <c r="N1286" s="344">
        <v>221138</v>
      </c>
    </row>
    <row r="1287" spans="1:14" ht="15">
      <c r="A1287" s="344">
        <v>60388</v>
      </c>
      <c r="B1287" s="345" t="s">
        <v>137</v>
      </c>
      <c r="C1287" s="344">
        <v>221138</v>
      </c>
      <c r="D1287" s="344" t="str">
        <f t="shared" si="60"/>
        <v>221138</v>
      </c>
      <c r="E1287" s="346" t="s">
        <v>147</v>
      </c>
      <c r="F1287" s="344" t="s">
        <v>141</v>
      </c>
      <c r="G1287" s="344" t="str">
        <f t="shared" si="61"/>
        <v>60388AXLE 2</v>
      </c>
      <c r="H1287" s="344">
        <v>19</v>
      </c>
      <c r="I1287" s="344">
        <v>2</v>
      </c>
      <c r="J1287" s="344">
        <v>2</v>
      </c>
      <c r="K1287" s="344">
        <v>7</v>
      </c>
      <c r="L1287" t="str">
        <f t="shared" si="62"/>
        <v>60388</v>
      </c>
      <c r="M1287" s="344" t="s">
        <v>141</v>
      </c>
      <c r="N1287" s="344">
        <v>221138</v>
      </c>
    </row>
    <row r="1288" spans="1:14" ht="15">
      <c r="A1288" s="344">
        <v>60388</v>
      </c>
      <c r="B1288" s="345" t="s">
        <v>137</v>
      </c>
      <c r="C1288" s="344">
        <v>221138</v>
      </c>
      <c r="D1288" s="344" t="str">
        <f t="shared" si="60"/>
        <v>221138</v>
      </c>
      <c r="E1288" s="346" t="s">
        <v>147</v>
      </c>
      <c r="F1288" s="344" t="s">
        <v>143</v>
      </c>
      <c r="G1288" s="344" t="str">
        <f t="shared" si="61"/>
        <v>60388AXLE 3</v>
      </c>
      <c r="H1288" s="344">
        <v>18</v>
      </c>
      <c r="I1288" s="344">
        <v>3</v>
      </c>
      <c r="J1288" s="344">
        <v>3</v>
      </c>
      <c r="K1288" s="344">
        <v>6</v>
      </c>
      <c r="L1288" t="str">
        <f t="shared" si="62"/>
        <v>60388</v>
      </c>
      <c r="M1288" s="344" t="s">
        <v>143</v>
      </c>
      <c r="N1288" s="344">
        <v>221138</v>
      </c>
    </row>
    <row r="1289" spans="1:14" ht="15">
      <c r="A1289" s="344">
        <v>60388</v>
      </c>
      <c r="B1289" s="345" t="s">
        <v>137</v>
      </c>
      <c r="C1289" s="344">
        <v>221138</v>
      </c>
      <c r="D1289" s="344" t="str">
        <f t="shared" si="60"/>
        <v>221138</v>
      </c>
      <c r="E1289" s="346" t="s">
        <v>146</v>
      </c>
      <c r="F1289" s="344" t="s">
        <v>145</v>
      </c>
      <c r="G1289" s="344" t="str">
        <f t="shared" si="61"/>
        <v>60388AXLE 4</v>
      </c>
      <c r="H1289" s="344">
        <v>17</v>
      </c>
      <c r="I1289" s="344">
        <v>4</v>
      </c>
      <c r="J1289" s="344">
        <v>4</v>
      </c>
      <c r="K1289" s="344">
        <v>5</v>
      </c>
      <c r="L1289" t="str">
        <f t="shared" si="62"/>
        <v>60388</v>
      </c>
      <c r="M1289" s="344" t="s">
        <v>145</v>
      </c>
      <c r="N1289" s="344">
        <v>221138</v>
      </c>
    </row>
    <row r="1290" spans="1:14" ht="15">
      <c r="A1290" s="344">
        <v>60788</v>
      </c>
      <c r="B1290" s="345" t="s">
        <v>137</v>
      </c>
      <c r="C1290" s="344">
        <v>221138</v>
      </c>
      <c r="D1290" s="344" t="str">
        <f t="shared" si="60"/>
        <v>221138</v>
      </c>
      <c r="E1290" s="346" t="s">
        <v>146</v>
      </c>
      <c r="F1290" s="344" t="s">
        <v>139</v>
      </c>
      <c r="G1290" s="344" t="str">
        <f t="shared" si="61"/>
        <v>60788AXLE 1</v>
      </c>
      <c r="H1290" s="344">
        <v>13</v>
      </c>
      <c r="I1290" s="344">
        <v>8</v>
      </c>
      <c r="J1290" s="344">
        <v>1</v>
      </c>
      <c r="K1290" s="344">
        <v>8</v>
      </c>
      <c r="L1290" t="str">
        <f t="shared" si="62"/>
        <v>60788</v>
      </c>
      <c r="M1290" s="344" t="s">
        <v>139</v>
      </c>
      <c r="N1290" s="344">
        <v>221138</v>
      </c>
    </row>
    <row r="1291" spans="1:14" ht="15">
      <c r="A1291" s="344">
        <v>60788</v>
      </c>
      <c r="B1291" s="345" t="s">
        <v>137</v>
      </c>
      <c r="C1291" s="344">
        <v>221138</v>
      </c>
      <c r="D1291" s="344" t="str">
        <f t="shared" si="60"/>
        <v>221138</v>
      </c>
      <c r="E1291" s="346" t="s">
        <v>147</v>
      </c>
      <c r="F1291" s="344" t="s">
        <v>141</v>
      </c>
      <c r="G1291" s="344" t="str">
        <f t="shared" si="61"/>
        <v>60788AXLE 2</v>
      </c>
      <c r="H1291" s="344">
        <v>14</v>
      </c>
      <c r="I1291" s="344">
        <v>7</v>
      </c>
      <c r="J1291" s="344">
        <v>2</v>
      </c>
      <c r="K1291" s="344">
        <v>7</v>
      </c>
      <c r="L1291" t="str">
        <f t="shared" si="62"/>
        <v>60788</v>
      </c>
      <c r="M1291" s="344" t="s">
        <v>141</v>
      </c>
      <c r="N1291" s="344">
        <v>221138</v>
      </c>
    </row>
    <row r="1292" spans="1:14" ht="15">
      <c r="A1292" s="344">
        <v>60788</v>
      </c>
      <c r="B1292" s="345" t="s">
        <v>137</v>
      </c>
      <c r="C1292" s="344">
        <v>221138</v>
      </c>
      <c r="D1292" s="344" t="str">
        <f t="shared" si="60"/>
        <v>221138</v>
      </c>
      <c r="E1292" s="346" t="s">
        <v>147</v>
      </c>
      <c r="F1292" s="344" t="s">
        <v>143</v>
      </c>
      <c r="G1292" s="344" t="str">
        <f t="shared" si="61"/>
        <v>60788AXLE 3</v>
      </c>
      <c r="H1292" s="344">
        <v>15</v>
      </c>
      <c r="I1292" s="344">
        <v>6</v>
      </c>
      <c r="J1292" s="344">
        <v>3</v>
      </c>
      <c r="K1292" s="344">
        <v>6</v>
      </c>
      <c r="L1292" t="str">
        <f t="shared" si="62"/>
        <v>60788</v>
      </c>
      <c r="M1292" s="344" t="s">
        <v>143</v>
      </c>
      <c r="N1292" s="344">
        <v>221138</v>
      </c>
    </row>
    <row r="1293" spans="1:14" ht="15">
      <c r="A1293" s="344">
        <v>60788</v>
      </c>
      <c r="B1293" s="345" t="s">
        <v>137</v>
      </c>
      <c r="C1293" s="344">
        <v>221138</v>
      </c>
      <c r="D1293" s="344" t="str">
        <f t="shared" si="60"/>
        <v>221138</v>
      </c>
      <c r="E1293" s="346" t="s">
        <v>146</v>
      </c>
      <c r="F1293" s="344" t="s">
        <v>145</v>
      </c>
      <c r="G1293" s="344" t="str">
        <f t="shared" si="61"/>
        <v>60788AXLE 4</v>
      </c>
      <c r="H1293" s="344">
        <v>16</v>
      </c>
      <c r="I1293" s="344">
        <v>5</v>
      </c>
      <c r="J1293" s="344">
        <v>4</v>
      </c>
      <c r="K1293" s="344">
        <v>5</v>
      </c>
      <c r="L1293" t="str">
        <f t="shared" si="62"/>
        <v>60788</v>
      </c>
      <c r="M1293" s="344" t="s">
        <v>145</v>
      </c>
      <c r="N1293" s="344">
        <v>221138</v>
      </c>
    </row>
    <row r="1294" spans="1:14" ht="15">
      <c r="A1294" s="344">
        <v>60988</v>
      </c>
      <c r="B1294" s="345" t="s">
        <v>137</v>
      </c>
      <c r="C1294" s="344">
        <v>221138</v>
      </c>
      <c r="D1294" s="344" t="str">
        <f t="shared" si="60"/>
        <v>221138</v>
      </c>
      <c r="E1294" s="346" t="s">
        <v>146</v>
      </c>
      <c r="F1294" s="344" t="s">
        <v>139</v>
      </c>
      <c r="G1294" s="344" t="str">
        <f t="shared" si="61"/>
        <v>60988AXLE 1</v>
      </c>
      <c r="H1294" s="344">
        <v>9</v>
      </c>
      <c r="I1294" s="344">
        <v>12</v>
      </c>
      <c r="J1294" s="344">
        <v>1</v>
      </c>
      <c r="K1294" s="344">
        <v>8</v>
      </c>
      <c r="L1294" t="str">
        <f t="shared" si="62"/>
        <v>60988</v>
      </c>
      <c r="M1294" s="344" t="s">
        <v>139</v>
      </c>
      <c r="N1294" s="344">
        <v>221138</v>
      </c>
    </row>
    <row r="1295" spans="1:14" ht="15">
      <c r="A1295" s="344">
        <v>60988</v>
      </c>
      <c r="B1295" s="345" t="s">
        <v>137</v>
      </c>
      <c r="C1295" s="344">
        <v>221138</v>
      </c>
      <c r="D1295" s="344" t="str">
        <f t="shared" si="60"/>
        <v>221138</v>
      </c>
      <c r="E1295" s="346" t="s">
        <v>147</v>
      </c>
      <c r="F1295" s="344" t="s">
        <v>141</v>
      </c>
      <c r="G1295" s="344" t="str">
        <f t="shared" si="61"/>
        <v>60988AXLE 2</v>
      </c>
      <c r="H1295" s="344">
        <v>10</v>
      </c>
      <c r="I1295" s="344">
        <v>11</v>
      </c>
      <c r="J1295" s="344">
        <v>2</v>
      </c>
      <c r="K1295" s="344">
        <v>7</v>
      </c>
      <c r="L1295" t="str">
        <f t="shared" si="62"/>
        <v>60988</v>
      </c>
      <c r="M1295" s="344" t="s">
        <v>141</v>
      </c>
      <c r="N1295" s="344">
        <v>221138</v>
      </c>
    </row>
    <row r="1296" spans="1:14" ht="15">
      <c r="A1296" s="344">
        <v>60988</v>
      </c>
      <c r="B1296" s="345" t="s">
        <v>137</v>
      </c>
      <c r="C1296" s="344">
        <v>221138</v>
      </c>
      <c r="D1296" s="344" t="str">
        <f t="shared" si="60"/>
        <v>221138</v>
      </c>
      <c r="E1296" s="346" t="s">
        <v>147</v>
      </c>
      <c r="F1296" s="344" t="s">
        <v>143</v>
      </c>
      <c r="G1296" s="344" t="str">
        <f t="shared" si="61"/>
        <v>60988AXLE 3</v>
      </c>
      <c r="H1296" s="344">
        <v>11</v>
      </c>
      <c r="I1296" s="344">
        <v>10</v>
      </c>
      <c r="J1296" s="344">
        <v>3</v>
      </c>
      <c r="K1296" s="344">
        <v>6</v>
      </c>
      <c r="L1296" t="str">
        <f t="shared" si="62"/>
        <v>60988</v>
      </c>
      <c r="M1296" s="344" t="s">
        <v>143</v>
      </c>
      <c r="N1296" s="344">
        <v>221138</v>
      </c>
    </row>
    <row r="1297" spans="1:14" ht="15">
      <c r="A1297" s="344">
        <v>60988</v>
      </c>
      <c r="B1297" s="345" t="s">
        <v>137</v>
      </c>
      <c r="C1297" s="344">
        <v>221138</v>
      </c>
      <c r="D1297" s="344" t="str">
        <f t="shared" si="60"/>
        <v>221138</v>
      </c>
      <c r="E1297" s="346" t="s">
        <v>146</v>
      </c>
      <c r="F1297" s="344" t="s">
        <v>145</v>
      </c>
      <c r="G1297" s="344" t="str">
        <f t="shared" si="61"/>
        <v>60988AXLE 4</v>
      </c>
      <c r="H1297" s="344">
        <v>12</v>
      </c>
      <c r="I1297" s="344">
        <v>9</v>
      </c>
      <c r="J1297" s="344">
        <v>4</v>
      </c>
      <c r="K1297" s="344">
        <v>5</v>
      </c>
      <c r="L1297" t="str">
        <f t="shared" si="62"/>
        <v>60988</v>
      </c>
      <c r="M1297" s="344" t="s">
        <v>145</v>
      </c>
      <c r="N1297" s="344">
        <v>221138</v>
      </c>
    </row>
    <row r="1298" spans="1:14" ht="15">
      <c r="A1298" s="344">
        <v>60888</v>
      </c>
      <c r="B1298" s="345" t="s">
        <v>137</v>
      </c>
      <c r="C1298" s="344">
        <v>221138</v>
      </c>
      <c r="D1298" s="344" t="str">
        <f t="shared" si="60"/>
        <v>221138</v>
      </c>
      <c r="E1298" s="346" t="s">
        <v>146</v>
      </c>
      <c r="F1298" s="344" t="s">
        <v>139</v>
      </c>
      <c r="G1298" s="344" t="str">
        <f t="shared" si="61"/>
        <v>60888AXLE 1</v>
      </c>
      <c r="H1298" s="344">
        <v>5</v>
      </c>
      <c r="I1298" s="344">
        <v>16</v>
      </c>
      <c r="J1298" s="344">
        <v>1</v>
      </c>
      <c r="K1298" s="344">
        <v>8</v>
      </c>
      <c r="L1298" t="str">
        <f t="shared" si="62"/>
        <v>60888</v>
      </c>
      <c r="M1298" s="344" t="s">
        <v>139</v>
      </c>
      <c r="N1298" s="344">
        <v>221138</v>
      </c>
    </row>
    <row r="1299" spans="1:14" ht="15">
      <c r="A1299" s="344">
        <v>60888</v>
      </c>
      <c r="B1299" s="345" t="s">
        <v>137</v>
      </c>
      <c r="C1299" s="344">
        <v>221138</v>
      </c>
      <c r="D1299" s="344" t="str">
        <f t="shared" si="60"/>
        <v>221138</v>
      </c>
      <c r="E1299" s="346" t="s">
        <v>147</v>
      </c>
      <c r="F1299" s="344" t="s">
        <v>141</v>
      </c>
      <c r="G1299" s="344" t="str">
        <f t="shared" si="61"/>
        <v>60888AXLE 2</v>
      </c>
      <c r="H1299" s="344">
        <v>6</v>
      </c>
      <c r="I1299" s="344">
        <v>15</v>
      </c>
      <c r="J1299" s="344">
        <v>2</v>
      </c>
      <c r="K1299" s="344">
        <v>7</v>
      </c>
      <c r="L1299" t="str">
        <f t="shared" si="62"/>
        <v>60888</v>
      </c>
      <c r="M1299" s="344" t="s">
        <v>141</v>
      </c>
      <c r="N1299" s="344">
        <v>221138</v>
      </c>
    </row>
    <row r="1300" spans="1:14" ht="15">
      <c r="A1300" s="344">
        <v>60888</v>
      </c>
      <c r="B1300" s="345" t="s">
        <v>137</v>
      </c>
      <c r="C1300" s="344">
        <v>221138</v>
      </c>
      <c r="D1300" s="344" t="str">
        <f t="shared" si="60"/>
        <v>221138</v>
      </c>
      <c r="E1300" s="346" t="s">
        <v>147</v>
      </c>
      <c r="F1300" s="344" t="s">
        <v>143</v>
      </c>
      <c r="G1300" s="344" t="str">
        <f t="shared" si="61"/>
        <v>60888AXLE 3</v>
      </c>
      <c r="H1300" s="344">
        <v>7</v>
      </c>
      <c r="I1300" s="344">
        <v>14</v>
      </c>
      <c r="J1300" s="344">
        <v>3</v>
      </c>
      <c r="K1300" s="344">
        <v>6</v>
      </c>
      <c r="L1300" t="str">
        <f t="shared" si="62"/>
        <v>60888</v>
      </c>
      <c r="M1300" s="344" t="s">
        <v>143</v>
      </c>
      <c r="N1300" s="344">
        <v>221138</v>
      </c>
    </row>
    <row r="1301" spans="1:14" ht="15">
      <c r="A1301" s="344">
        <v>60888</v>
      </c>
      <c r="B1301" s="345" t="s">
        <v>137</v>
      </c>
      <c r="C1301" s="344">
        <v>221138</v>
      </c>
      <c r="D1301" s="344" t="str">
        <f t="shared" si="60"/>
        <v>221138</v>
      </c>
      <c r="E1301" s="346" t="s">
        <v>146</v>
      </c>
      <c r="F1301" s="344" t="s">
        <v>145</v>
      </c>
      <c r="G1301" s="344" t="str">
        <f t="shared" si="61"/>
        <v>60888AXLE 4</v>
      </c>
      <c r="H1301" s="344">
        <v>8</v>
      </c>
      <c r="I1301" s="344">
        <v>13</v>
      </c>
      <c r="J1301" s="344">
        <v>4</v>
      </c>
      <c r="K1301" s="344">
        <v>5</v>
      </c>
      <c r="L1301" t="str">
        <f t="shared" si="62"/>
        <v>60888</v>
      </c>
      <c r="M1301" s="344" t="s">
        <v>145</v>
      </c>
      <c r="N1301" s="344">
        <v>221138</v>
      </c>
    </row>
    <row r="1302" spans="1:14" ht="15">
      <c r="A1302" s="344">
        <v>60488</v>
      </c>
      <c r="B1302" s="345" t="s">
        <v>137</v>
      </c>
      <c r="C1302" s="344">
        <v>221138</v>
      </c>
      <c r="D1302" s="344" t="str">
        <f t="shared" si="60"/>
        <v>221138</v>
      </c>
      <c r="E1302" s="346" t="s">
        <v>146</v>
      </c>
      <c r="F1302" s="344" t="s">
        <v>139</v>
      </c>
      <c r="G1302" s="344" t="str">
        <f t="shared" si="61"/>
        <v>60488AXLE 1</v>
      </c>
      <c r="H1302" s="344">
        <v>1</v>
      </c>
      <c r="I1302" s="344">
        <v>20</v>
      </c>
      <c r="J1302" s="344">
        <v>1</v>
      </c>
      <c r="K1302" s="344">
        <v>8</v>
      </c>
      <c r="L1302" t="str">
        <f t="shared" si="62"/>
        <v>60488</v>
      </c>
      <c r="M1302" s="344" t="s">
        <v>139</v>
      </c>
      <c r="N1302" s="344">
        <v>221138</v>
      </c>
    </row>
    <row r="1303" spans="1:14" ht="15">
      <c r="A1303" s="344">
        <v>60488</v>
      </c>
      <c r="B1303" s="345" t="s">
        <v>137</v>
      </c>
      <c r="C1303" s="344">
        <v>221138</v>
      </c>
      <c r="D1303" s="344" t="str">
        <f t="shared" si="60"/>
        <v>221138</v>
      </c>
      <c r="E1303" s="346" t="s">
        <v>147</v>
      </c>
      <c r="F1303" s="344" t="s">
        <v>141</v>
      </c>
      <c r="G1303" s="344" t="str">
        <f t="shared" si="61"/>
        <v>60488AXLE 2</v>
      </c>
      <c r="H1303" s="344">
        <v>2</v>
      </c>
      <c r="I1303" s="344">
        <v>19</v>
      </c>
      <c r="J1303" s="344">
        <v>2</v>
      </c>
      <c r="K1303" s="344">
        <v>7</v>
      </c>
      <c r="L1303" t="str">
        <f t="shared" si="62"/>
        <v>60488</v>
      </c>
      <c r="M1303" s="344" t="s">
        <v>141</v>
      </c>
      <c r="N1303" s="344">
        <v>221138</v>
      </c>
    </row>
    <row r="1304" spans="1:14" ht="15">
      <c r="A1304" s="344">
        <v>60488</v>
      </c>
      <c r="B1304" s="345" t="s">
        <v>137</v>
      </c>
      <c r="C1304" s="344">
        <v>221138</v>
      </c>
      <c r="D1304" s="344" t="str">
        <f t="shared" si="60"/>
        <v>221138</v>
      </c>
      <c r="E1304" s="346" t="s">
        <v>147</v>
      </c>
      <c r="F1304" s="344" t="s">
        <v>143</v>
      </c>
      <c r="G1304" s="344" t="str">
        <f t="shared" si="61"/>
        <v>60488AXLE 3</v>
      </c>
      <c r="H1304" s="344">
        <v>3</v>
      </c>
      <c r="I1304" s="344">
        <v>18</v>
      </c>
      <c r="J1304" s="344">
        <v>3</v>
      </c>
      <c r="K1304" s="344">
        <v>6</v>
      </c>
      <c r="L1304" t="str">
        <f t="shared" si="62"/>
        <v>60488</v>
      </c>
      <c r="M1304" s="344" t="s">
        <v>143</v>
      </c>
      <c r="N1304" s="344">
        <v>221138</v>
      </c>
    </row>
    <row r="1305" spans="1:14" ht="15">
      <c r="A1305" s="344">
        <v>60488</v>
      </c>
      <c r="B1305" s="345" t="s">
        <v>137</v>
      </c>
      <c r="C1305" s="344">
        <v>221138</v>
      </c>
      <c r="D1305" s="344" t="str">
        <f t="shared" si="60"/>
        <v>221138</v>
      </c>
      <c r="E1305" s="346" t="s">
        <v>146</v>
      </c>
      <c r="F1305" s="344" t="s">
        <v>145</v>
      </c>
      <c r="G1305" s="344" t="str">
        <f t="shared" si="61"/>
        <v>60488AXLE 4</v>
      </c>
      <c r="H1305" s="344">
        <v>4</v>
      </c>
      <c r="I1305" s="344">
        <v>17</v>
      </c>
      <c r="J1305" s="344">
        <v>4</v>
      </c>
      <c r="K1305" s="344">
        <v>5</v>
      </c>
      <c r="L1305" t="str">
        <f t="shared" si="62"/>
        <v>60488</v>
      </c>
      <c r="M1305" s="344" t="s">
        <v>145</v>
      </c>
      <c r="N1305" s="344">
        <v>221138</v>
      </c>
    </row>
    <row r="1306" spans="1:14" ht="15">
      <c r="A1306" s="344">
        <v>60389</v>
      </c>
      <c r="B1306" s="345" t="s">
        <v>137</v>
      </c>
      <c r="C1306" s="344">
        <v>221139</v>
      </c>
      <c r="D1306" s="344" t="str">
        <f t="shared" si="60"/>
        <v>221139</v>
      </c>
      <c r="E1306" s="346" t="s">
        <v>146</v>
      </c>
      <c r="F1306" s="344" t="s">
        <v>139</v>
      </c>
      <c r="G1306" s="344" t="str">
        <f t="shared" si="61"/>
        <v>60389AXLE 1</v>
      </c>
      <c r="H1306" s="344">
        <v>20</v>
      </c>
      <c r="I1306" s="344">
        <v>1</v>
      </c>
      <c r="J1306" s="344">
        <v>1</v>
      </c>
      <c r="K1306" s="344">
        <v>8</v>
      </c>
      <c r="L1306" t="str">
        <f t="shared" si="62"/>
        <v>60389</v>
      </c>
      <c r="M1306" s="344" t="s">
        <v>139</v>
      </c>
      <c r="N1306" s="344">
        <v>221139</v>
      </c>
    </row>
    <row r="1307" spans="1:14" ht="15">
      <c r="A1307" s="344">
        <v>60389</v>
      </c>
      <c r="B1307" s="345" t="s">
        <v>137</v>
      </c>
      <c r="C1307" s="344">
        <v>221139</v>
      </c>
      <c r="D1307" s="344" t="str">
        <f t="shared" si="60"/>
        <v>221139</v>
      </c>
      <c r="E1307" s="346" t="s">
        <v>147</v>
      </c>
      <c r="F1307" s="344" t="s">
        <v>141</v>
      </c>
      <c r="G1307" s="344" t="str">
        <f t="shared" si="61"/>
        <v>60389AXLE 2</v>
      </c>
      <c r="H1307" s="344">
        <v>19</v>
      </c>
      <c r="I1307" s="344">
        <v>2</v>
      </c>
      <c r="J1307" s="344">
        <v>2</v>
      </c>
      <c r="K1307" s="344">
        <v>7</v>
      </c>
      <c r="L1307" t="str">
        <f t="shared" si="62"/>
        <v>60389</v>
      </c>
      <c r="M1307" s="344" t="s">
        <v>141</v>
      </c>
      <c r="N1307" s="344">
        <v>221139</v>
      </c>
    </row>
    <row r="1308" spans="1:14" ht="15">
      <c r="A1308" s="344">
        <v>60389</v>
      </c>
      <c r="B1308" s="345" t="s">
        <v>137</v>
      </c>
      <c r="C1308" s="344">
        <v>221139</v>
      </c>
      <c r="D1308" s="344" t="str">
        <f t="shared" si="60"/>
        <v>221139</v>
      </c>
      <c r="E1308" s="346" t="s">
        <v>147</v>
      </c>
      <c r="F1308" s="344" t="s">
        <v>143</v>
      </c>
      <c r="G1308" s="344" t="str">
        <f t="shared" si="61"/>
        <v>60389AXLE 3</v>
      </c>
      <c r="H1308" s="344">
        <v>18</v>
      </c>
      <c r="I1308" s="344">
        <v>3</v>
      </c>
      <c r="J1308" s="344">
        <v>3</v>
      </c>
      <c r="K1308" s="344">
        <v>6</v>
      </c>
      <c r="L1308" t="str">
        <f t="shared" si="62"/>
        <v>60389</v>
      </c>
      <c r="M1308" s="344" t="s">
        <v>143</v>
      </c>
      <c r="N1308" s="344">
        <v>221139</v>
      </c>
    </row>
    <row r="1309" spans="1:14" ht="15">
      <c r="A1309" s="344">
        <v>60389</v>
      </c>
      <c r="B1309" s="345" t="s">
        <v>137</v>
      </c>
      <c r="C1309" s="344">
        <v>221139</v>
      </c>
      <c r="D1309" s="344" t="str">
        <f t="shared" si="60"/>
        <v>221139</v>
      </c>
      <c r="E1309" s="346" t="s">
        <v>146</v>
      </c>
      <c r="F1309" s="344" t="s">
        <v>145</v>
      </c>
      <c r="G1309" s="344" t="str">
        <f t="shared" si="61"/>
        <v>60389AXLE 4</v>
      </c>
      <c r="H1309" s="344">
        <v>17</v>
      </c>
      <c r="I1309" s="344">
        <v>4</v>
      </c>
      <c r="J1309" s="344">
        <v>4</v>
      </c>
      <c r="K1309" s="344">
        <v>5</v>
      </c>
      <c r="L1309" t="str">
        <f t="shared" si="62"/>
        <v>60389</v>
      </c>
      <c r="M1309" s="344" t="s">
        <v>145</v>
      </c>
      <c r="N1309" s="344">
        <v>221139</v>
      </c>
    </row>
    <row r="1310" spans="1:14" ht="15">
      <c r="A1310" s="344">
        <v>60789</v>
      </c>
      <c r="B1310" s="345" t="s">
        <v>137</v>
      </c>
      <c r="C1310" s="344">
        <v>221139</v>
      </c>
      <c r="D1310" s="344" t="str">
        <f t="shared" si="60"/>
        <v>221139</v>
      </c>
      <c r="E1310" s="346" t="s">
        <v>146</v>
      </c>
      <c r="F1310" s="344" t="s">
        <v>139</v>
      </c>
      <c r="G1310" s="344" t="str">
        <f t="shared" si="61"/>
        <v>60789AXLE 1</v>
      </c>
      <c r="H1310" s="344">
        <v>13</v>
      </c>
      <c r="I1310" s="344">
        <v>8</v>
      </c>
      <c r="J1310" s="344">
        <v>1</v>
      </c>
      <c r="K1310" s="344">
        <v>8</v>
      </c>
      <c r="L1310" t="str">
        <f t="shared" si="62"/>
        <v>60789</v>
      </c>
      <c r="M1310" s="344" t="s">
        <v>139</v>
      </c>
      <c r="N1310" s="344">
        <v>221139</v>
      </c>
    </row>
    <row r="1311" spans="1:14" ht="15">
      <c r="A1311" s="344">
        <v>60789</v>
      </c>
      <c r="B1311" s="345" t="s">
        <v>137</v>
      </c>
      <c r="C1311" s="344">
        <v>221139</v>
      </c>
      <c r="D1311" s="344" t="str">
        <f t="shared" si="60"/>
        <v>221139</v>
      </c>
      <c r="E1311" s="346" t="s">
        <v>147</v>
      </c>
      <c r="F1311" s="344" t="s">
        <v>141</v>
      </c>
      <c r="G1311" s="344" t="str">
        <f t="shared" si="61"/>
        <v>60789AXLE 2</v>
      </c>
      <c r="H1311" s="344">
        <v>14</v>
      </c>
      <c r="I1311" s="344">
        <v>7</v>
      </c>
      <c r="J1311" s="344">
        <v>2</v>
      </c>
      <c r="K1311" s="344">
        <v>7</v>
      </c>
      <c r="L1311" t="str">
        <f t="shared" si="62"/>
        <v>60789</v>
      </c>
      <c r="M1311" s="344" t="s">
        <v>141</v>
      </c>
      <c r="N1311" s="344">
        <v>221139</v>
      </c>
    </row>
    <row r="1312" spans="1:14" ht="15">
      <c r="A1312" s="344">
        <v>60789</v>
      </c>
      <c r="B1312" s="345" t="s">
        <v>137</v>
      </c>
      <c r="C1312" s="344">
        <v>221139</v>
      </c>
      <c r="D1312" s="344" t="str">
        <f t="shared" si="60"/>
        <v>221139</v>
      </c>
      <c r="E1312" s="346" t="s">
        <v>147</v>
      </c>
      <c r="F1312" s="344" t="s">
        <v>143</v>
      </c>
      <c r="G1312" s="344" t="str">
        <f t="shared" si="61"/>
        <v>60789AXLE 3</v>
      </c>
      <c r="H1312" s="344">
        <v>15</v>
      </c>
      <c r="I1312" s="344">
        <v>6</v>
      </c>
      <c r="J1312" s="344">
        <v>3</v>
      </c>
      <c r="K1312" s="344">
        <v>6</v>
      </c>
      <c r="L1312" t="str">
        <f t="shared" si="62"/>
        <v>60789</v>
      </c>
      <c r="M1312" s="344" t="s">
        <v>143</v>
      </c>
      <c r="N1312" s="344">
        <v>221139</v>
      </c>
    </row>
    <row r="1313" spans="1:14" ht="15">
      <c r="A1313" s="344">
        <v>60789</v>
      </c>
      <c r="B1313" s="345" t="s">
        <v>137</v>
      </c>
      <c r="C1313" s="344">
        <v>221139</v>
      </c>
      <c r="D1313" s="344" t="str">
        <f t="shared" si="60"/>
        <v>221139</v>
      </c>
      <c r="E1313" s="346" t="s">
        <v>146</v>
      </c>
      <c r="F1313" s="344" t="s">
        <v>145</v>
      </c>
      <c r="G1313" s="344" t="str">
        <f t="shared" si="61"/>
        <v>60789AXLE 4</v>
      </c>
      <c r="H1313" s="344">
        <v>16</v>
      </c>
      <c r="I1313" s="344">
        <v>5</v>
      </c>
      <c r="J1313" s="344">
        <v>4</v>
      </c>
      <c r="K1313" s="344">
        <v>5</v>
      </c>
      <c r="L1313" t="str">
        <f t="shared" si="62"/>
        <v>60789</v>
      </c>
      <c r="M1313" s="344" t="s">
        <v>145</v>
      </c>
      <c r="N1313" s="344">
        <v>221139</v>
      </c>
    </row>
    <row r="1314" spans="1:14" ht="15">
      <c r="A1314" s="344">
        <v>60989</v>
      </c>
      <c r="B1314" s="345" t="s">
        <v>137</v>
      </c>
      <c r="C1314" s="344">
        <v>221139</v>
      </c>
      <c r="D1314" s="344" t="str">
        <f t="shared" si="60"/>
        <v>221139</v>
      </c>
      <c r="E1314" s="346" t="s">
        <v>146</v>
      </c>
      <c r="F1314" s="344" t="s">
        <v>139</v>
      </c>
      <c r="G1314" s="344" t="str">
        <f t="shared" si="61"/>
        <v>60989AXLE 1</v>
      </c>
      <c r="H1314" s="344">
        <v>9</v>
      </c>
      <c r="I1314" s="344">
        <v>12</v>
      </c>
      <c r="J1314" s="344">
        <v>1</v>
      </c>
      <c r="K1314" s="344">
        <v>8</v>
      </c>
      <c r="L1314" t="str">
        <f t="shared" si="62"/>
        <v>60989</v>
      </c>
      <c r="M1314" s="344" t="s">
        <v>139</v>
      </c>
      <c r="N1314" s="344">
        <v>221139</v>
      </c>
    </row>
    <row r="1315" spans="1:14" ht="15">
      <c r="A1315" s="344">
        <v>60989</v>
      </c>
      <c r="B1315" s="345" t="s">
        <v>137</v>
      </c>
      <c r="C1315" s="344">
        <v>221139</v>
      </c>
      <c r="D1315" s="344" t="str">
        <f t="shared" si="60"/>
        <v>221139</v>
      </c>
      <c r="E1315" s="346" t="s">
        <v>147</v>
      </c>
      <c r="F1315" s="344" t="s">
        <v>141</v>
      </c>
      <c r="G1315" s="344" t="str">
        <f t="shared" si="61"/>
        <v>60989AXLE 2</v>
      </c>
      <c r="H1315" s="344">
        <v>10</v>
      </c>
      <c r="I1315" s="344">
        <v>11</v>
      </c>
      <c r="J1315" s="344">
        <v>2</v>
      </c>
      <c r="K1315" s="344">
        <v>7</v>
      </c>
      <c r="L1315" t="str">
        <f t="shared" si="62"/>
        <v>60989</v>
      </c>
      <c r="M1315" s="344" t="s">
        <v>141</v>
      </c>
      <c r="N1315" s="344">
        <v>221139</v>
      </c>
    </row>
    <row r="1316" spans="1:14" ht="15">
      <c r="A1316" s="344">
        <v>60989</v>
      </c>
      <c r="B1316" s="345" t="s">
        <v>137</v>
      </c>
      <c r="C1316" s="344">
        <v>221139</v>
      </c>
      <c r="D1316" s="344" t="str">
        <f t="shared" si="60"/>
        <v>221139</v>
      </c>
      <c r="E1316" s="346" t="s">
        <v>147</v>
      </c>
      <c r="F1316" s="344" t="s">
        <v>143</v>
      </c>
      <c r="G1316" s="344" t="str">
        <f t="shared" si="61"/>
        <v>60989AXLE 3</v>
      </c>
      <c r="H1316" s="344">
        <v>11</v>
      </c>
      <c r="I1316" s="344">
        <v>10</v>
      </c>
      <c r="J1316" s="344">
        <v>3</v>
      </c>
      <c r="K1316" s="344">
        <v>6</v>
      </c>
      <c r="L1316" t="str">
        <f t="shared" si="62"/>
        <v>60989</v>
      </c>
      <c r="M1316" s="344" t="s">
        <v>143</v>
      </c>
      <c r="N1316" s="344">
        <v>221139</v>
      </c>
    </row>
    <row r="1317" spans="1:14" ht="15">
      <c r="A1317" s="344">
        <v>60989</v>
      </c>
      <c r="B1317" s="345" t="s">
        <v>137</v>
      </c>
      <c r="C1317" s="344">
        <v>221139</v>
      </c>
      <c r="D1317" s="344" t="str">
        <f t="shared" si="60"/>
        <v>221139</v>
      </c>
      <c r="E1317" s="346" t="s">
        <v>146</v>
      </c>
      <c r="F1317" s="344" t="s">
        <v>145</v>
      </c>
      <c r="G1317" s="344" t="str">
        <f t="shared" si="61"/>
        <v>60989AXLE 4</v>
      </c>
      <c r="H1317" s="344">
        <v>12</v>
      </c>
      <c r="I1317" s="344">
        <v>9</v>
      </c>
      <c r="J1317" s="344">
        <v>4</v>
      </c>
      <c r="K1317" s="344">
        <v>5</v>
      </c>
      <c r="L1317" t="str">
        <f t="shared" si="62"/>
        <v>60989</v>
      </c>
      <c r="M1317" s="344" t="s">
        <v>145</v>
      </c>
      <c r="N1317" s="344">
        <v>221139</v>
      </c>
    </row>
    <row r="1318" spans="1:14" ht="15">
      <c r="A1318" s="344">
        <v>60889</v>
      </c>
      <c r="B1318" s="345" t="s">
        <v>137</v>
      </c>
      <c r="C1318" s="344">
        <v>221139</v>
      </c>
      <c r="D1318" s="344" t="str">
        <f t="shared" si="60"/>
        <v>221139</v>
      </c>
      <c r="E1318" s="346" t="s">
        <v>146</v>
      </c>
      <c r="F1318" s="344" t="s">
        <v>139</v>
      </c>
      <c r="G1318" s="344" t="str">
        <f t="shared" si="61"/>
        <v>60889AXLE 1</v>
      </c>
      <c r="H1318" s="344">
        <v>5</v>
      </c>
      <c r="I1318" s="344">
        <v>16</v>
      </c>
      <c r="J1318" s="344">
        <v>1</v>
      </c>
      <c r="K1318" s="344">
        <v>8</v>
      </c>
      <c r="L1318" t="str">
        <f t="shared" si="62"/>
        <v>60889</v>
      </c>
      <c r="M1318" s="344" t="s">
        <v>139</v>
      </c>
      <c r="N1318" s="344">
        <v>221139</v>
      </c>
    </row>
    <row r="1319" spans="1:14" ht="15">
      <c r="A1319" s="344">
        <v>60889</v>
      </c>
      <c r="B1319" s="345" t="s">
        <v>137</v>
      </c>
      <c r="C1319" s="344">
        <v>221139</v>
      </c>
      <c r="D1319" s="344" t="str">
        <f t="shared" si="60"/>
        <v>221139</v>
      </c>
      <c r="E1319" s="346" t="s">
        <v>147</v>
      </c>
      <c r="F1319" s="344" t="s">
        <v>141</v>
      </c>
      <c r="G1319" s="344" t="str">
        <f t="shared" si="61"/>
        <v>60889AXLE 2</v>
      </c>
      <c r="H1319" s="344">
        <v>6</v>
      </c>
      <c r="I1319" s="344">
        <v>15</v>
      </c>
      <c r="J1319" s="344">
        <v>2</v>
      </c>
      <c r="K1319" s="344">
        <v>7</v>
      </c>
      <c r="L1319" t="str">
        <f t="shared" si="62"/>
        <v>60889</v>
      </c>
      <c r="M1319" s="344" t="s">
        <v>141</v>
      </c>
      <c r="N1319" s="344">
        <v>221139</v>
      </c>
    </row>
    <row r="1320" spans="1:14" ht="15">
      <c r="A1320" s="344">
        <v>60889</v>
      </c>
      <c r="B1320" s="345" t="s">
        <v>137</v>
      </c>
      <c r="C1320" s="344">
        <v>221139</v>
      </c>
      <c r="D1320" s="344" t="str">
        <f t="shared" si="60"/>
        <v>221139</v>
      </c>
      <c r="E1320" s="346" t="s">
        <v>147</v>
      </c>
      <c r="F1320" s="344" t="s">
        <v>143</v>
      </c>
      <c r="G1320" s="344" t="str">
        <f t="shared" si="61"/>
        <v>60889AXLE 3</v>
      </c>
      <c r="H1320" s="344">
        <v>7</v>
      </c>
      <c r="I1320" s="344">
        <v>14</v>
      </c>
      <c r="J1320" s="344">
        <v>3</v>
      </c>
      <c r="K1320" s="344">
        <v>6</v>
      </c>
      <c r="L1320" t="str">
        <f t="shared" si="62"/>
        <v>60889</v>
      </c>
      <c r="M1320" s="344" t="s">
        <v>143</v>
      </c>
      <c r="N1320" s="344">
        <v>221139</v>
      </c>
    </row>
    <row r="1321" spans="1:14" ht="15">
      <c r="A1321" s="344">
        <v>60889</v>
      </c>
      <c r="B1321" s="345" t="s">
        <v>137</v>
      </c>
      <c r="C1321" s="344">
        <v>221139</v>
      </c>
      <c r="D1321" s="344" t="str">
        <f t="shared" si="60"/>
        <v>221139</v>
      </c>
      <c r="E1321" s="346" t="s">
        <v>146</v>
      </c>
      <c r="F1321" s="344" t="s">
        <v>145</v>
      </c>
      <c r="G1321" s="344" t="str">
        <f t="shared" si="61"/>
        <v>60889AXLE 4</v>
      </c>
      <c r="H1321" s="344">
        <v>8</v>
      </c>
      <c r="I1321" s="344">
        <v>13</v>
      </c>
      <c r="J1321" s="344">
        <v>4</v>
      </c>
      <c r="K1321" s="344">
        <v>5</v>
      </c>
      <c r="L1321" t="str">
        <f t="shared" si="62"/>
        <v>60889</v>
      </c>
      <c r="M1321" s="344" t="s">
        <v>145</v>
      </c>
      <c r="N1321" s="344">
        <v>221139</v>
      </c>
    </row>
    <row r="1322" spans="1:14" ht="15">
      <c r="A1322" s="344">
        <v>60489</v>
      </c>
      <c r="B1322" s="345" t="s">
        <v>137</v>
      </c>
      <c r="C1322" s="344">
        <v>221139</v>
      </c>
      <c r="D1322" s="344" t="str">
        <f t="shared" si="60"/>
        <v>221139</v>
      </c>
      <c r="E1322" s="346" t="s">
        <v>146</v>
      </c>
      <c r="F1322" s="344" t="s">
        <v>139</v>
      </c>
      <c r="G1322" s="344" t="str">
        <f t="shared" si="61"/>
        <v>60489AXLE 1</v>
      </c>
      <c r="H1322" s="344">
        <v>1</v>
      </c>
      <c r="I1322" s="344">
        <v>20</v>
      </c>
      <c r="J1322" s="344">
        <v>1</v>
      </c>
      <c r="K1322" s="344">
        <v>8</v>
      </c>
      <c r="L1322" t="str">
        <f t="shared" si="62"/>
        <v>60489</v>
      </c>
      <c r="M1322" s="344" t="s">
        <v>139</v>
      </c>
      <c r="N1322" s="344">
        <v>221139</v>
      </c>
    </row>
    <row r="1323" spans="1:14" ht="15">
      <c r="A1323" s="344">
        <v>60489</v>
      </c>
      <c r="B1323" s="345" t="s">
        <v>137</v>
      </c>
      <c r="C1323" s="344">
        <v>221139</v>
      </c>
      <c r="D1323" s="344" t="str">
        <f t="shared" si="60"/>
        <v>221139</v>
      </c>
      <c r="E1323" s="346" t="s">
        <v>147</v>
      </c>
      <c r="F1323" s="344" t="s">
        <v>141</v>
      </c>
      <c r="G1323" s="344" t="str">
        <f t="shared" si="61"/>
        <v>60489AXLE 2</v>
      </c>
      <c r="H1323" s="344">
        <v>2</v>
      </c>
      <c r="I1323" s="344">
        <v>19</v>
      </c>
      <c r="J1323" s="344">
        <v>2</v>
      </c>
      <c r="K1323" s="344">
        <v>7</v>
      </c>
      <c r="L1323" t="str">
        <f t="shared" si="62"/>
        <v>60489</v>
      </c>
      <c r="M1323" s="344" t="s">
        <v>141</v>
      </c>
      <c r="N1323" s="344">
        <v>221139</v>
      </c>
    </row>
    <row r="1324" spans="1:14" ht="15">
      <c r="A1324" s="344">
        <v>60489</v>
      </c>
      <c r="B1324" s="345" t="s">
        <v>137</v>
      </c>
      <c r="C1324" s="344">
        <v>221139</v>
      </c>
      <c r="D1324" s="344" t="str">
        <f t="shared" si="60"/>
        <v>221139</v>
      </c>
      <c r="E1324" s="346" t="s">
        <v>147</v>
      </c>
      <c r="F1324" s="344" t="s">
        <v>143</v>
      </c>
      <c r="G1324" s="344" t="str">
        <f t="shared" si="61"/>
        <v>60489AXLE 3</v>
      </c>
      <c r="H1324" s="344">
        <v>3</v>
      </c>
      <c r="I1324" s="344">
        <v>18</v>
      </c>
      <c r="J1324" s="344">
        <v>3</v>
      </c>
      <c r="K1324" s="344">
        <v>6</v>
      </c>
      <c r="L1324" t="str">
        <f t="shared" si="62"/>
        <v>60489</v>
      </c>
      <c r="M1324" s="344" t="s">
        <v>143</v>
      </c>
      <c r="N1324" s="344">
        <v>221139</v>
      </c>
    </row>
    <row r="1325" spans="1:14" ht="15">
      <c r="A1325" s="344">
        <v>60489</v>
      </c>
      <c r="B1325" s="345" t="s">
        <v>137</v>
      </c>
      <c r="C1325" s="344">
        <v>221139</v>
      </c>
      <c r="D1325" s="344" t="str">
        <f t="shared" si="60"/>
        <v>221139</v>
      </c>
      <c r="E1325" s="346" t="s">
        <v>146</v>
      </c>
      <c r="F1325" s="344" t="s">
        <v>145</v>
      </c>
      <c r="G1325" s="344" t="str">
        <f t="shared" si="61"/>
        <v>60489AXLE 4</v>
      </c>
      <c r="H1325" s="344">
        <v>4</v>
      </c>
      <c r="I1325" s="344">
        <v>17</v>
      </c>
      <c r="J1325" s="344">
        <v>4</v>
      </c>
      <c r="K1325" s="344">
        <v>5</v>
      </c>
      <c r="L1325" t="str">
        <f t="shared" si="62"/>
        <v>60489</v>
      </c>
      <c r="M1325" s="344" t="s">
        <v>145</v>
      </c>
      <c r="N1325" s="344">
        <v>221139</v>
      </c>
    </row>
    <row r="1326" spans="1:14" ht="15">
      <c r="A1326" s="344">
        <v>60390</v>
      </c>
      <c r="B1326" s="345" t="s">
        <v>137</v>
      </c>
      <c r="C1326" s="344">
        <v>221140</v>
      </c>
      <c r="D1326" s="344" t="str">
        <f t="shared" si="60"/>
        <v>221140</v>
      </c>
      <c r="E1326" s="346" t="s">
        <v>146</v>
      </c>
      <c r="F1326" s="344" t="s">
        <v>139</v>
      </c>
      <c r="G1326" s="344" t="str">
        <f t="shared" si="61"/>
        <v>60390AXLE 1</v>
      </c>
      <c r="H1326" s="344">
        <v>20</v>
      </c>
      <c r="I1326" s="344">
        <v>1</v>
      </c>
      <c r="J1326" s="344">
        <v>1</v>
      </c>
      <c r="K1326" s="344">
        <v>8</v>
      </c>
      <c r="L1326" t="str">
        <f t="shared" si="62"/>
        <v>60390</v>
      </c>
      <c r="M1326" s="344" t="s">
        <v>139</v>
      </c>
      <c r="N1326" s="344">
        <v>221140</v>
      </c>
    </row>
    <row r="1327" spans="1:14" ht="15">
      <c r="A1327" s="344">
        <v>60390</v>
      </c>
      <c r="B1327" s="345" t="s">
        <v>137</v>
      </c>
      <c r="C1327" s="344">
        <v>221140</v>
      </c>
      <c r="D1327" s="344" t="str">
        <f t="shared" si="60"/>
        <v>221140</v>
      </c>
      <c r="E1327" s="346" t="s">
        <v>147</v>
      </c>
      <c r="F1327" s="344" t="s">
        <v>141</v>
      </c>
      <c r="G1327" s="344" t="str">
        <f t="shared" si="61"/>
        <v>60390AXLE 2</v>
      </c>
      <c r="H1327" s="344">
        <v>19</v>
      </c>
      <c r="I1327" s="344">
        <v>2</v>
      </c>
      <c r="J1327" s="344">
        <v>2</v>
      </c>
      <c r="K1327" s="344">
        <v>7</v>
      </c>
      <c r="L1327" t="str">
        <f t="shared" si="62"/>
        <v>60390</v>
      </c>
      <c r="M1327" s="344" t="s">
        <v>141</v>
      </c>
      <c r="N1327" s="344">
        <v>221140</v>
      </c>
    </row>
    <row r="1328" spans="1:14" ht="15">
      <c r="A1328" s="344">
        <v>60390</v>
      </c>
      <c r="B1328" s="345" t="s">
        <v>137</v>
      </c>
      <c r="C1328" s="344">
        <v>221140</v>
      </c>
      <c r="D1328" s="344" t="str">
        <f t="shared" si="60"/>
        <v>221140</v>
      </c>
      <c r="E1328" s="346" t="s">
        <v>147</v>
      </c>
      <c r="F1328" s="344" t="s">
        <v>143</v>
      </c>
      <c r="G1328" s="344" t="str">
        <f t="shared" si="61"/>
        <v>60390AXLE 3</v>
      </c>
      <c r="H1328" s="344">
        <v>18</v>
      </c>
      <c r="I1328" s="344">
        <v>3</v>
      </c>
      <c r="J1328" s="344">
        <v>3</v>
      </c>
      <c r="K1328" s="344">
        <v>6</v>
      </c>
      <c r="L1328" t="str">
        <f t="shared" si="62"/>
        <v>60390</v>
      </c>
      <c r="M1328" s="344" t="s">
        <v>143</v>
      </c>
      <c r="N1328" s="344">
        <v>221140</v>
      </c>
    </row>
    <row r="1329" spans="1:14" ht="15">
      <c r="A1329" s="344">
        <v>60390</v>
      </c>
      <c r="B1329" s="345" t="s">
        <v>137</v>
      </c>
      <c r="C1329" s="344">
        <v>221140</v>
      </c>
      <c r="D1329" s="344" t="str">
        <f t="shared" si="60"/>
        <v>221140</v>
      </c>
      <c r="E1329" s="346" t="s">
        <v>146</v>
      </c>
      <c r="F1329" s="344" t="s">
        <v>145</v>
      </c>
      <c r="G1329" s="344" t="str">
        <f t="shared" si="61"/>
        <v>60390AXLE 4</v>
      </c>
      <c r="H1329" s="344">
        <v>17</v>
      </c>
      <c r="I1329" s="344">
        <v>4</v>
      </c>
      <c r="J1329" s="344">
        <v>4</v>
      </c>
      <c r="K1329" s="344">
        <v>5</v>
      </c>
      <c r="L1329" t="str">
        <f t="shared" si="62"/>
        <v>60390</v>
      </c>
      <c r="M1329" s="344" t="s">
        <v>145</v>
      </c>
      <c r="N1329" s="344">
        <v>221140</v>
      </c>
    </row>
    <row r="1330" spans="1:14" ht="15">
      <c r="A1330" s="344">
        <v>60790</v>
      </c>
      <c r="B1330" s="345" t="s">
        <v>137</v>
      </c>
      <c r="C1330" s="344">
        <v>221140</v>
      </c>
      <c r="D1330" s="344" t="str">
        <f t="shared" si="60"/>
        <v>221140</v>
      </c>
      <c r="E1330" s="346" t="s">
        <v>146</v>
      </c>
      <c r="F1330" s="344" t="s">
        <v>139</v>
      </c>
      <c r="G1330" s="344" t="str">
        <f t="shared" si="61"/>
        <v>60790AXLE 1</v>
      </c>
      <c r="H1330" s="344">
        <v>13</v>
      </c>
      <c r="I1330" s="344">
        <v>8</v>
      </c>
      <c r="J1330" s="344">
        <v>1</v>
      </c>
      <c r="K1330" s="344">
        <v>8</v>
      </c>
      <c r="L1330" t="str">
        <f t="shared" si="62"/>
        <v>60790</v>
      </c>
      <c r="M1330" s="344" t="s">
        <v>139</v>
      </c>
      <c r="N1330" s="344">
        <v>221140</v>
      </c>
    </row>
    <row r="1331" spans="1:14" ht="15">
      <c r="A1331" s="344">
        <v>60790</v>
      </c>
      <c r="B1331" s="345" t="s">
        <v>137</v>
      </c>
      <c r="C1331" s="344">
        <v>221140</v>
      </c>
      <c r="D1331" s="344" t="str">
        <f t="shared" si="60"/>
        <v>221140</v>
      </c>
      <c r="E1331" s="346" t="s">
        <v>147</v>
      </c>
      <c r="F1331" s="344" t="s">
        <v>141</v>
      </c>
      <c r="G1331" s="344" t="str">
        <f t="shared" si="61"/>
        <v>60790AXLE 2</v>
      </c>
      <c r="H1331" s="344">
        <v>14</v>
      </c>
      <c r="I1331" s="344">
        <v>7</v>
      </c>
      <c r="J1331" s="344">
        <v>2</v>
      </c>
      <c r="K1331" s="344">
        <v>7</v>
      </c>
      <c r="L1331" t="str">
        <f t="shared" si="62"/>
        <v>60790</v>
      </c>
      <c r="M1331" s="344" t="s">
        <v>141</v>
      </c>
      <c r="N1331" s="344">
        <v>221140</v>
      </c>
    </row>
    <row r="1332" spans="1:14" ht="15">
      <c r="A1332" s="344">
        <v>60790</v>
      </c>
      <c r="B1332" s="345" t="s">
        <v>137</v>
      </c>
      <c r="C1332" s="344">
        <v>221140</v>
      </c>
      <c r="D1332" s="344" t="str">
        <f t="shared" si="60"/>
        <v>221140</v>
      </c>
      <c r="E1332" s="346" t="s">
        <v>147</v>
      </c>
      <c r="F1332" s="344" t="s">
        <v>143</v>
      </c>
      <c r="G1332" s="344" t="str">
        <f t="shared" si="61"/>
        <v>60790AXLE 3</v>
      </c>
      <c r="H1332" s="344">
        <v>15</v>
      </c>
      <c r="I1332" s="344">
        <v>6</v>
      </c>
      <c r="J1332" s="344">
        <v>3</v>
      </c>
      <c r="K1332" s="344">
        <v>6</v>
      </c>
      <c r="L1332" t="str">
        <f t="shared" si="62"/>
        <v>60790</v>
      </c>
      <c r="M1332" s="344" t="s">
        <v>143</v>
      </c>
      <c r="N1332" s="344">
        <v>221140</v>
      </c>
    </row>
    <row r="1333" spans="1:14" ht="15">
      <c r="A1333" s="344">
        <v>60790</v>
      </c>
      <c r="B1333" s="345" t="s">
        <v>137</v>
      </c>
      <c r="C1333" s="344">
        <v>221140</v>
      </c>
      <c r="D1333" s="344" t="str">
        <f t="shared" si="60"/>
        <v>221140</v>
      </c>
      <c r="E1333" s="346" t="s">
        <v>146</v>
      </c>
      <c r="F1333" s="344" t="s">
        <v>145</v>
      </c>
      <c r="G1333" s="344" t="str">
        <f t="shared" si="61"/>
        <v>60790AXLE 4</v>
      </c>
      <c r="H1333" s="344">
        <v>16</v>
      </c>
      <c r="I1333" s="344">
        <v>5</v>
      </c>
      <c r="J1333" s="344">
        <v>4</v>
      </c>
      <c r="K1333" s="344">
        <v>5</v>
      </c>
      <c r="L1333" t="str">
        <f t="shared" si="62"/>
        <v>60790</v>
      </c>
      <c r="M1333" s="344" t="s">
        <v>145</v>
      </c>
      <c r="N1333" s="344">
        <v>221140</v>
      </c>
    </row>
    <row r="1334" spans="1:14" ht="15">
      <c r="A1334" s="344">
        <v>60990</v>
      </c>
      <c r="B1334" s="345" t="s">
        <v>137</v>
      </c>
      <c r="C1334" s="344">
        <v>221140</v>
      </c>
      <c r="D1334" s="344" t="str">
        <f t="shared" si="60"/>
        <v>221140</v>
      </c>
      <c r="E1334" s="346" t="s">
        <v>146</v>
      </c>
      <c r="F1334" s="344" t="s">
        <v>139</v>
      </c>
      <c r="G1334" s="344" t="str">
        <f t="shared" si="61"/>
        <v>60990AXLE 1</v>
      </c>
      <c r="H1334" s="344">
        <v>9</v>
      </c>
      <c r="I1334" s="344">
        <v>12</v>
      </c>
      <c r="J1334" s="344">
        <v>1</v>
      </c>
      <c r="K1334" s="344">
        <v>8</v>
      </c>
      <c r="L1334" t="str">
        <f t="shared" si="62"/>
        <v>60990</v>
      </c>
      <c r="M1334" s="344" t="s">
        <v>139</v>
      </c>
      <c r="N1334" s="344">
        <v>221140</v>
      </c>
    </row>
    <row r="1335" spans="1:14" ht="15">
      <c r="A1335" s="344">
        <v>60990</v>
      </c>
      <c r="B1335" s="345" t="s">
        <v>137</v>
      </c>
      <c r="C1335" s="344">
        <v>221140</v>
      </c>
      <c r="D1335" s="344" t="str">
        <f t="shared" si="60"/>
        <v>221140</v>
      </c>
      <c r="E1335" s="346" t="s">
        <v>147</v>
      </c>
      <c r="F1335" s="344" t="s">
        <v>141</v>
      </c>
      <c r="G1335" s="344" t="str">
        <f t="shared" si="61"/>
        <v>60990AXLE 2</v>
      </c>
      <c r="H1335" s="344">
        <v>10</v>
      </c>
      <c r="I1335" s="344">
        <v>11</v>
      </c>
      <c r="J1335" s="344">
        <v>2</v>
      </c>
      <c r="K1335" s="344">
        <v>7</v>
      </c>
      <c r="L1335" t="str">
        <f t="shared" si="62"/>
        <v>60990</v>
      </c>
      <c r="M1335" s="344" t="s">
        <v>141</v>
      </c>
      <c r="N1335" s="344">
        <v>221140</v>
      </c>
    </row>
    <row r="1336" spans="1:14" ht="15">
      <c r="A1336" s="344">
        <v>60990</v>
      </c>
      <c r="B1336" s="345" t="s">
        <v>137</v>
      </c>
      <c r="C1336" s="344">
        <v>221140</v>
      </c>
      <c r="D1336" s="344" t="str">
        <f t="shared" si="60"/>
        <v>221140</v>
      </c>
      <c r="E1336" s="346" t="s">
        <v>147</v>
      </c>
      <c r="F1336" s="344" t="s">
        <v>143</v>
      </c>
      <c r="G1336" s="344" t="str">
        <f t="shared" si="61"/>
        <v>60990AXLE 3</v>
      </c>
      <c r="H1336" s="344">
        <v>11</v>
      </c>
      <c r="I1336" s="344">
        <v>10</v>
      </c>
      <c r="J1336" s="344">
        <v>3</v>
      </c>
      <c r="K1336" s="344">
        <v>6</v>
      </c>
      <c r="L1336" t="str">
        <f t="shared" si="62"/>
        <v>60990</v>
      </c>
      <c r="M1336" s="344" t="s">
        <v>143</v>
      </c>
      <c r="N1336" s="344">
        <v>221140</v>
      </c>
    </row>
    <row r="1337" spans="1:14" ht="15">
      <c r="A1337" s="344">
        <v>60990</v>
      </c>
      <c r="B1337" s="345" t="s">
        <v>137</v>
      </c>
      <c r="C1337" s="344">
        <v>221140</v>
      </c>
      <c r="D1337" s="344" t="str">
        <f t="shared" si="60"/>
        <v>221140</v>
      </c>
      <c r="E1337" s="346" t="s">
        <v>146</v>
      </c>
      <c r="F1337" s="344" t="s">
        <v>145</v>
      </c>
      <c r="G1337" s="344" t="str">
        <f t="shared" si="61"/>
        <v>60990AXLE 4</v>
      </c>
      <c r="H1337" s="344">
        <v>12</v>
      </c>
      <c r="I1337" s="344">
        <v>9</v>
      </c>
      <c r="J1337" s="344">
        <v>4</v>
      </c>
      <c r="K1337" s="344">
        <v>5</v>
      </c>
      <c r="L1337" t="str">
        <f t="shared" si="62"/>
        <v>60990</v>
      </c>
      <c r="M1337" s="344" t="s">
        <v>145</v>
      </c>
      <c r="N1337" s="344">
        <v>221140</v>
      </c>
    </row>
    <row r="1338" spans="1:14" ht="15">
      <c r="A1338" s="344">
        <v>60890</v>
      </c>
      <c r="B1338" s="345" t="s">
        <v>137</v>
      </c>
      <c r="C1338" s="344">
        <v>221140</v>
      </c>
      <c r="D1338" s="344" t="str">
        <f t="shared" si="60"/>
        <v>221140</v>
      </c>
      <c r="E1338" s="346" t="s">
        <v>146</v>
      </c>
      <c r="F1338" s="344" t="s">
        <v>139</v>
      </c>
      <c r="G1338" s="344" t="str">
        <f t="shared" si="61"/>
        <v>60890AXLE 1</v>
      </c>
      <c r="H1338" s="344">
        <v>5</v>
      </c>
      <c r="I1338" s="344">
        <v>16</v>
      </c>
      <c r="J1338" s="344">
        <v>1</v>
      </c>
      <c r="K1338" s="344">
        <v>8</v>
      </c>
      <c r="L1338" t="str">
        <f t="shared" si="62"/>
        <v>60890</v>
      </c>
      <c r="M1338" s="344" t="s">
        <v>139</v>
      </c>
      <c r="N1338" s="344">
        <v>221140</v>
      </c>
    </row>
    <row r="1339" spans="1:14" ht="15">
      <c r="A1339" s="344">
        <v>60890</v>
      </c>
      <c r="B1339" s="345" t="s">
        <v>137</v>
      </c>
      <c r="C1339" s="344">
        <v>221140</v>
      </c>
      <c r="D1339" s="344" t="str">
        <f t="shared" si="60"/>
        <v>221140</v>
      </c>
      <c r="E1339" s="346" t="s">
        <v>147</v>
      </c>
      <c r="F1339" s="344" t="s">
        <v>141</v>
      </c>
      <c r="G1339" s="344" t="str">
        <f t="shared" si="61"/>
        <v>60890AXLE 2</v>
      </c>
      <c r="H1339" s="344">
        <v>6</v>
      </c>
      <c r="I1339" s="344">
        <v>15</v>
      </c>
      <c r="J1339" s="344">
        <v>2</v>
      </c>
      <c r="K1339" s="344">
        <v>7</v>
      </c>
      <c r="L1339" t="str">
        <f t="shared" si="62"/>
        <v>60890</v>
      </c>
      <c r="M1339" s="344" t="s">
        <v>141</v>
      </c>
      <c r="N1339" s="344">
        <v>221140</v>
      </c>
    </row>
    <row r="1340" spans="1:14" ht="15">
      <c r="A1340" s="344">
        <v>60890</v>
      </c>
      <c r="B1340" s="345" t="s">
        <v>137</v>
      </c>
      <c r="C1340" s="344">
        <v>221140</v>
      </c>
      <c r="D1340" s="344" t="str">
        <f t="shared" si="60"/>
        <v>221140</v>
      </c>
      <c r="E1340" s="346" t="s">
        <v>147</v>
      </c>
      <c r="F1340" s="344" t="s">
        <v>143</v>
      </c>
      <c r="G1340" s="344" t="str">
        <f t="shared" si="61"/>
        <v>60890AXLE 3</v>
      </c>
      <c r="H1340" s="344">
        <v>7</v>
      </c>
      <c r="I1340" s="344">
        <v>14</v>
      </c>
      <c r="J1340" s="344">
        <v>3</v>
      </c>
      <c r="K1340" s="344">
        <v>6</v>
      </c>
      <c r="L1340" t="str">
        <f t="shared" si="62"/>
        <v>60890</v>
      </c>
      <c r="M1340" s="344" t="s">
        <v>143</v>
      </c>
      <c r="N1340" s="344">
        <v>221140</v>
      </c>
    </row>
    <row r="1341" spans="1:14" ht="15">
      <c r="A1341" s="344">
        <v>60890</v>
      </c>
      <c r="B1341" s="345" t="s">
        <v>137</v>
      </c>
      <c r="C1341" s="344">
        <v>221140</v>
      </c>
      <c r="D1341" s="344" t="str">
        <f t="shared" si="60"/>
        <v>221140</v>
      </c>
      <c r="E1341" s="346" t="s">
        <v>146</v>
      </c>
      <c r="F1341" s="344" t="s">
        <v>145</v>
      </c>
      <c r="G1341" s="344" t="str">
        <f t="shared" si="61"/>
        <v>60890AXLE 4</v>
      </c>
      <c r="H1341" s="344">
        <v>8</v>
      </c>
      <c r="I1341" s="344">
        <v>13</v>
      </c>
      <c r="J1341" s="344">
        <v>4</v>
      </c>
      <c r="K1341" s="344">
        <v>5</v>
      </c>
      <c r="L1341" t="str">
        <f t="shared" si="62"/>
        <v>60890</v>
      </c>
      <c r="M1341" s="344" t="s">
        <v>145</v>
      </c>
      <c r="N1341" s="344">
        <v>221140</v>
      </c>
    </row>
    <row r="1342" spans="1:14" ht="15">
      <c r="A1342" s="344">
        <v>60490</v>
      </c>
      <c r="B1342" s="345" t="s">
        <v>137</v>
      </c>
      <c r="C1342" s="344">
        <v>221140</v>
      </c>
      <c r="D1342" s="344" t="str">
        <f t="shared" si="60"/>
        <v>221140</v>
      </c>
      <c r="E1342" s="346" t="s">
        <v>146</v>
      </c>
      <c r="F1342" s="344" t="s">
        <v>139</v>
      </c>
      <c r="G1342" s="344" t="str">
        <f t="shared" si="61"/>
        <v>60490AXLE 1</v>
      </c>
      <c r="H1342" s="344">
        <v>1</v>
      </c>
      <c r="I1342" s="344">
        <v>20</v>
      </c>
      <c r="J1342" s="344">
        <v>1</v>
      </c>
      <c r="K1342" s="344">
        <v>8</v>
      </c>
      <c r="L1342" t="str">
        <f t="shared" si="62"/>
        <v>60490</v>
      </c>
      <c r="M1342" s="344" t="s">
        <v>139</v>
      </c>
      <c r="N1342" s="344">
        <v>221140</v>
      </c>
    </row>
    <row r="1343" spans="1:14" ht="15">
      <c r="A1343" s="344">
        <v>60490</v>
      </c>
      <c r="B1343" s="345" t="s">
        <v>137</v>
      </c>
      <c r="C1343" s="344">
        <v>221140</v>
      </c>
      <c r="D1343" s="344" t="str">
        <f t="shared" si="60"/>
        <v>221140</v>
      </c>
      <c r="E1343" s="346" t="s">
        <v>147</v>
      </c>
      <c r="F1343" s="344" t="s">
        <v>141</v>
      </c>
      <c r="G1343" s="344" t="str">
        <f t="shared" si="61"/>
        <v>60490AXLE 2</v>
      </c>
      <c r="H1343" s="344">
        <v>2</v>
      </c>
      <c r="I1343" s="344">
        <v>19</v>
      </c>
      <c r="J1343" s="344">
        <v>2</v>
      </c>
      <c r="K1343" s="344">
        <v>7</v>
      </c>
      <c r="L1343" t="str">
        <f t="shared" si="62"/>
        <v>60490</v>
      </c>
      <c r="M1343" s="344" t="s">
        <v>141</v>
      </c>
      <c r="N1343" s="344">
        <v>221140</v>
      </c>
    </row>
    <row r="1344" spans="1:14" ht="15">
      <c r="A1344" s="344">
        <v>60490</v>
      </c>
      <c r="B1344" s="345" t="s">
        <v>137</v>
      </c>
      <c r="C1344" s="344">
        <v>221140</v>
      </c>
      <c r="D1344" s="344" t="str">
        <f t="shared" si="60"/>
        <v>221140</v>
      </c>
      <c r="E1344" s="346" t="s">
        <v>147</v>
      </c>
      <c r="F1344" s="344" t="s">
        <v>143</v>
      </c>
      <c r="G1344" s="344" t="str">
        <f t="shared" si="61"/>
        <v>60490AXLE 3</v>
      </c>
      <c r="H1344" s="344">
        <v>3</v>
      </c>
      <c r="I1344" s="344">
        <v>18</v>
      </c>
      <c r="J1344" s="344">
        <v>3</v>
      </c>
      <c r="K1344" s="344">
        <v>6</v>
      </c>
      <c r="L1344" t="str">
        <f t="shared" si="62"/>
        <v>60490</v>
      </c>
      <c r="M1344" s="344" t="s">
        <v>143</v>
      </c>
      <c r="N1344" s="344">
        <v>221140</v>
      </c>
    </row>
    <row r="1345" spans="1:14" ht="15">
      <c r="A1345" s="344">
        <v>60490</v>
      </c>
      <c r="B1345" s="345" t="s">
        <v>137</v>
      </c>
      <c r="C1345" s="344">
        <v>221140</v>
      </c>
      <c r="D1345" s="344" t="str">
        <f t="shared" si="60"/>
        <v>221140</v>
      </c>
      <c r="E1345" s="346" t="s">
        <v>146</v>
      </c>
      <c r="F1345" s="344" t="s">
        <v>145</v>
      </c>
      <c r="G1345" s="344" t="str">
        <f t="shared" si="61"/>
        <v>60490AXLE 4</v>
      </c>
      <c r="H1345" s="344">
        <v>4</v>
      </c>
      <c r="I1345" s="344">
        <v>17</v>
      </c>
      <c r="J1345" s="344">
        <v>4</v>
      </c>
      <c r="K1345" s="344">
        <v>5</v>
      </c>
      <c r="L1345" t="str">
        <f t="shared" si="62"/>
        <v>60490</v>
      </c>
      <c r="M1345" s="344" t="s">
        <v>145</v>
      </c>
      <c r="N1345" s="344">
        <v>221140</v>
      </c>
    </row>
    <row r="1346" spans="1:14" ht="15">
      <c r="A1346" s="344">
        <v>60391</v>
      </c>
      <c r="B1346" s="345" t="s">
        <v>137</v>
      </c>
      <c r="C1346" s="344">
        <v>221141</v>
      </c>
      <c r="D1346" s="344" t="str">
        <f t="shared" si="60"/>
        <v>221141</v>
      </c>
      <c r="E1346" s="346" t="s">
        <v>146</v>
      </c>
      <c r="F1346" s="344" t="s">
        <v>139</v>
      </c>
      <c r="G1346" s="344" t="str">
        <f t="shared" si="61"/>
        <v>60391AXLE 1</v>
      </c>
      <c r="H1346" s="344">
        <v>16</v>
      </c>
      <c r="I1346" s="344">
        <v>1</v>
      </c>
      <c r="J1346" s="344">
        <v>1</v>
      </c>
      <c r="K1346" s="344">
        <v>8</v>
      </c>
      <c r="L1346" t="str">
        <f t="shared" si="62"/>
        <v>60391</v>
      </c>
      <c r="M1346" s="344" t="s">
        <v>139</v>
      </c>
      <c r="N1346" s="344">
        <v>221141</v>
      </c>
    </row>
    <row r="1347" spans="1:14" ht="15">
      <c r="A1347" s="344">
        <v>60391</v>
      </c>
      <c r="B1347" s="345" t="s">
        <v>137</v>
      </c>
      <c r="C1347" s="344">
        <v>221141</v>
      </c>
      <c r="D1347" s="344" t="str">
        <f t="shared" ref="D1347:D1409" si="63">CONCATENATE(B1347,C1347)</f>
        <v>221141</v>
      </c>
      <c r="E1347" s="346" t="s">
        <v>147</v>
      </c>
      <c r="F1347" s="344" t="s">
        <v>141</v>
      </c>
      <c r="G1347" s="344" t="str">
        <f t="shared" ref="G1347:G1409" si="64">CONCATENATE(A1347,F1347)</f>
        <v>60391AXLE 2</v>
      </c>
      <c r="H1347" s="344">
        <v>15</v>
      </c>
      <c r="I1347" s="344">
        <v>2</v>
      </c>
      <c r="J1347" s="344">
        <v>2</v>
      </c>
      <c r="K1347" s="344">
        <v>7</v>
      </c>
      <c r="L1347" t="str">
        <f t="shared" ref="L1347:L1409" si="65">CONCATENATE(A1347,B1347)</f>
        <v>60391</v>
      </c>
      <c r="M1347" s="344" t="s">
        <v>141</v>
      </c>
      <c r="N1347" s="344">
        <v>221141</v>
      </c>
    </row>
    <row r="1348" spans="1:14" ht="15">
      <c r="A1348" s="344">
        <v>60391</v>
      </c>
      <c r="B1348" s="345" t="s">
        <v>137</v>
      </c>
      <c r="C1348" s="344">
        <v>221141</v>
      </c>
      <c r="D1348" s="344" t="str">
        <f t="shared" si="63"/>
        <v>221141</v>
      </c>
      <c r="E1348" s="346" t="s">
        <v>147</v>
      </c>
      <c r="F1348" s="344" t="s">
        <v>143</v>
      </c>
      <c r="G1348" s="344" t="str">
        <f t="shared" si="64"/>
        <v>60391AXLE 3</v>
      </c>
      <c r="H1348" s="344">
        <v>14</v>
      </c>
      <c r="I1348" s="344">
        <v>3</v>
      </c>
      <c r="J1348" s="344">
        <v>3</v>
      </c>
      <c r="K1348" s="344">
        <v>6</v>
      </c>
      <c r="L1348" t="str">
        <f t="shared" si="65"/>
        <v>60391</v>
      </c>
      <c r="M1348" s="344" t="s">
        <v>143</v>
      </c>
      <c r="N1348" s="344">
        <v>221141</v>
      </c>
    </row>
    <row r="1349" spans="1:14" ht="15">
      <c r="A1349" s="344">
        <v>60391</v>
      </c>
      <c r="B1349" s="345" t="s">
        <v>137</v>
      </c>
      <c r="C1349" s="344">
        <v>221141</v>
      </c>
      <c r="D1349" s="344" t="str">
        <f t="shared" si="63"/>
        <v>221141</v>
      </c>
      <c r="E1349" s="346" t="s">
        <v>146</v>
      </c>
      <c r="F1349" s="344" t="s">
        <v>145</v>
      </c>
      <c r="G1349" s="344" t="str">
        <f t="shared" si="64"/>
        <v>60391AXLE 4</v>
      </c>
      <c r="H1349" s="344">
        <v>13</v>
      </c>
      <c r="I1349" s="344">
        <v>4</v>
      </c>
      <c r="J1349" s="344">
        <v>4</v>
      </c>
      <c r="K1349" s="344">
        <v>5</v>
      </c>
      <c r="L1349" t="str">
        <f t="shared" si="65"/>
        <v>60391</v>
      </c>
      <c r="M1349" s="344" t="s">
        <v>145</v>
      </c>
      <c r="N1349" s="344">
        <v>221141</v>
      </c>
    </row>
    <row r="1350" spans="1:14" ht="15">
      <c r="A1350" s="344">
        <v>60791</v>
      </c>
      <c r="B1350" s="345" t="s">
        <v>137</v>
      </c>
      <c r="C1350" s="344">
        <v>221141</v>
      </c>
      <c r="D1350" s="344" t="str">
        <f t="shared" si="63"/>
        <v>221141</v>
      </c>
      <c r="E1350" s="346" t="s">
        <v>146</v>
      </c>
      <c r="F1350" s="344" t="s">
        <v>139</v>
      </c>
      <c r="G1350" s="344" t="str">
        <f t="shared" si="64"/>
        <v>60791AXLE 1</v>
      </c>
      <c r="H1350" s="344">
        <v>9</v>
      </c>
      <c r="I1350" s="344">
        <v>8</v>
      </c>
      <c r="J1350" s="344">
        <v>1</v>
      </c>
      <c r="K1350" s="344">
        <v>8</v>
      </c>
      <c r="L1350" t="str">
        <f t="shared" si="65"/>
        <v>60791</v>
      </c>
      <c r="M1350" s="344" t="s">
        <v>139</v>
      </c>
      <c r="N1350" s="344">
        <v>221141</v>
      </c>
    </row>
    <row r="1351" spans="1:14" ht="15">
      <c r="A1351" s="344">
        <v>60791</v>
      </c>
      <c r="B1351" s="345" t="s">
        <v>137</v>
      </c>
      <c r="C1351" s="344">
        <v>221141</v>
      </c>
      <c r="D1351" s="344" t="str">
        <f t="shared" si="63"/>
        <v>221141</v>
      </c>
      <c r="E1351" s="346" t="s">
        <v>147</v>
      </c>
      <c r="F1351" s="344" t="s">
        <v>141</v>
      </c>
      <c r="G1351" s="344" t="str">
        <f t="shared" si="64"/>
        <v>60791AXLE 2</v>
      </c>
      <c r="H1351" s="344">
        <v>10</v>
      </c>
      <c r="I1351" s="344">
        <v>7</v>
      </c>
      <c r="J1351" s="344">
        <v>2</v>
      </c>
      <c r="K1351" s="344">
        <v>7</v>
      </c>
      <c r="L1351" t="str">
        <f t="shared" si="65"/>
        <v>60791</v>
      </c>
      <c r="M1351" s="344" t="s">
        <v>141</v>
      </c>
      <c r="N1351" s="344">
        <v>221141</v>
      </c>
    </row>
    <row r="1352" spans="1:14" ht="15">
      <c r="A1352" s="344">
        <v>60791</v>
      </c>
      <c r="B1352" s="345" t="s">
        <v>137</v>
      </c>
      <c r="C1352" s="344">
        <v>221141</v>
      </c>
      <c r="D1352" s="344" t="str">
        <f t="shared" si="63"/>
        <v>221141</v>
      </c>
      <c r="E1352" s="346" t="s">
        <v>147</v>
      </c>
      <c r="F1352" s="344" t="s">
        <v>143</v>
      </c>
      <c r="G1352" s="344" t="str">
        <f t="shared" si="64"/>
        <v>60791AXLE 3</v>
      </c>
      <c r="H1352" s="344">
        <v>11</v>
      </c>
      <c r="I1352" s="344">
        <v>6</v>
      </c>
      <c r="J1352" s="344">
        <v>3</v>
      </c>
      <c r="K1352" s="344">
        <v>6</v>
      </c>
      <c r="L1352" t="str">
        <f t="shared" si="65"/>
        <v>60791</v>
      </c>
      <c r="M1352" s="344" t="s">
        <v>143</v>
      </c>
      <c r="N1352" s="344">
        <v>221141</v>
      </c>
    </row>
    <row r="1353" spans="1:14" ht="15">
      <c r="A1353" s="344">
        <v>60791</v>
      </c>
      <c r="B1353" s="345" t="s">
        <v>137</v>
      </c>
      <c r="C1353" s="344">
        <v>221141</v>
      </c>
      <c r="D1353" s="344" t="str">
        <f t="shared" si="63"/>
        <v>221141</v>
      </c>
      <c r="E1353" s="346" t="s">
        <v>146</v>
      </c>
      <c r="F1353" s="344" t="s">
        <v>145</v>
      </c>
      <c r="G1353" s="344" t="str">
        <f t="shared" si="64"/>
        <v>60791AXLE 4</v>
      </c>
      <c r="H1353" s="344">
        <v>12</v>
      </c>
      <c r="I1353" s="344">
        <v>5</v>
      </c>
      <c r="J1353" s="344">
        <v>4</v>
      </c>
      <c r="K1353" s="344">
        <v>5</v>
      </c>
      <c r="L1353" t="str">
        <f t="shared" si="65"/>
        <v>60791</v>
      </c>
      <c r="M1353" s="344" t="s">
        <v>145</v>
      </c>
      <c r="N1353" s="344">
        <v>221141</v>
      </c>
    </row>
    <row r="1354" spans="1:14" ht="15">
      <c r="A1354" s="344">
        <v>60991</v>
      </c>
      <c r="B1354" s="345" t="s">
        <v>137</v>
      </c>
      <c r="C1354" s="344">
        <v>221141</v>
      </c>
      <c r="D1354" s="344" t="str">
        <f t="shared" si="63"/>
        <v>221141</v>
      </c>
      <c r="E1354" s="346" t="s">
        <v>146</v>
      </c>
      <c r="F1354" s="344" t="s">
        <v>139</v>
      </c>
      <c r="G1354" s="344" t="str">
        <f t="shared" si="64"/>
        <v>60991AXLE 1</v>
      </c>
      <c r="H1354" s="344">
        <v>5</v>
      </c>
      <c r="I1354" s="344">
        <v>12</v>
      </c>
      <c r="J1354" s="344">
        <v>1</v>
      </c>
      <c r="K1354" s="344">
        <v>8</v>
      </c>
      <c r="L1354" t="str">
        <f t="shared" si="65"/>
        <v>60991</v>
      </c>
      <c r="M1354" s="344" t="s">
        <v>139</v>
      </c>
      <c r="N1354" s="344">
        <v>221141</v>
      </c>
    </row>
    <row r="1355" spans="1:14" ht="15">
      <c r="A1355" s="344">
        <v>60991</v>
      </c>
      <c r="B1355" s="345" t="s">
        <v>137</v>
      </c>
      <c r="C1355" s="344">
        <v>221141</v>
      </c>
      <c r="D1355" s="344" t="str">
        <f t="shared" si="63"/>
        <v>221141</v>
      </c>
      <c r="E1355" s="346" t="s">
        <v>147</v>
      </c>
      <c r="F1355" s="344" t="s">
        <v>141</v>
      </c>
      <c r="G1355" s="344" t="str">
        <f t="shared" si="64"/>
        <v>60991AXLE 2</v>
      </c>
      <c r="H1355" s="344">
        <v>6</v>
      </c>
      <c r="I1355" s="344">
        <v>11</v>
      </c>
      <c r="J1355" s="344">
        <v>2</v>
      </c>
      <c r="K1355" s="344">
        <v>7</v>
      </c>
      <c r="L1355" t="str">
        <f t="shared" si="65"/>
        <v>60991</v>
      </c>
      <c r="M1355" s="344" t="s">
        <v>141</v>
      </c>
      <c r="N1355" s="344">
        <v>221141</v>
      </c>
    </row>
    <row r="1356" spans="1:14" ht="15">
      <c r="A1356" s="344">
        <v>60991</v>
      </c>
      <c r="B1356" s="345" t="s">
        <v>137</v>
      </c>
      <c r="C1356" s="344">
        <v>221141</v>
      </c>
      <c r="D1356" s="344" t="str">
        <f t="shared" si="63"/>
        <v>221141</v>
      </c>
      <c r="E1356" s="346" t="s">
        <v>147</v>
      </c>
      <c r="F1356" s="344" t="s">
        <v>143</v>
      </c>
      <c r="G1356" s="344" t="str">
        <f t="shared" si="64"/>
        <v>60991AXLE 3</v>
      </c>
      <c r="H1356" s="344">
        <v>7</v>
      </c>
      <c r="I1356" s="344">
        <v>10</v>
      </c>
      <c r="J1356" s="344">
        <v>3</v>
      </c>
      <c r="K1356" s="344">
        <v>6</v>
      </c>
      <c r="L1356" t="str">
        <f t="shared" si="65"/>
        <v>60991</v>
      </c>
      <c r="M1356" s="344" t="s">
        <v>143</v>
      </c>
      <c r="N1356" s="344">
        <v>221141</v>
      </c>
    </row>
    <row r="1357" spans="1:14" ht="15">
      <c r="A1357" s="344">
        <v>60991</v>
      </c>
      <c r="B1357" s="345" t="s">
        <v>137</v>
      </c>
      <c r="C1357" s="344">
        <v>221141</v>
      </c>
      <c r="D1357" s="344" t="str">
        <f t="shared" si="63"/>
        <v>221141</v>
      </c>
      <c r="E1357" s="346" t="s">
        <v>146</v>
      </c>
      <c r="F1357" s="344" t="s">
        <v>145</v>
      </c>
      <c r="G1357" s="344" t="str">
        <f t="shared" si="64"/>
        <v>60991AXLE 4</v>
      </c>
      <c r="H1357" s="344">
        <v>8</v>
      </c>
      <c r="I1357" s="344">
        <v>9</v>
      </c>
      <c r="J1357" s="344">
        <v>4</v>
      </c>
      <c r="K1357" s="344">
        <v>5</v>
      </c>
      <c r="L1357" t="str">
        <f t="shared" si="65"/>
        <v>60991</v>
      </c>
      <c r="M1357" s="344" t="s">
        <v>145</v>
      </c>
      <c r="N1357" s="344">
        <v>221141</v>
      </c>
    </row>
    <row r="1358" spans="1:14" ht="15">
      <c r="A1358" s="344">
        <v>60491</v>
      </c>
      <c r="B1358" s="345" t="s">
        <v>137</v>
      </c>
      <c r="C1358" s="344">
        <v>221141</v>
      </c>
      <c r="D1358" s="344" t="str">
        <f t="shared" si="63"/>
        <v>221141</v>
      </c>
      <c r="E1358" s="346" t="s">
        <v>146</v>
      </c>
      <c r="F1358" s="344" t="s">
        <v>139</v>
      </c>
      <c r="G1358" s="344" t="str">
        <f t="shared" si="64"/>
        <v>60491AXLE 1</v>
      </c>
      <c r="H1358" s="344">
        <v>1</v>
      </c>
      <c r="I1358" s="344">
        <v>16</v>
      </c>
      <c r="J1358" s="344">
        <v>1</v>
      </c>
      <c r="K1358" s="344">
        <v>8</v>
      </c>
      <c r="L1358" t="str">
        <f t="shared" si="65"/>
        <v>60491</v>
      </c>
      <c r="M1358" s="344" t="s">
        <v>139</v>
      </c>
      <c r="N1358" s="344">
        <v>221141</v>
      </c>
    </row>
    <row r="1359" spans="1:14" ht="15">
      <c r="A1359" s="344">
        <v>60491</v>
      </c>
      <c r="B1359" s="345" t="s">
        <v>137</v>
      </c>
      <c r="C1359" s="344">
        <v>221141</v>
      </c>
      <c r="D1359" s="344" t="str">
        <f t="shared" si="63"/>
        <v>221141</v>
      </c>
      <c r="E1359" s="346" t="s">
        <v>147</v>
      </c>
      <c r="F1359" s="344" t="s">
        <v>141</v>
      </c>
      <c r="G1359" s="344" t="str">
        <f t="shared" si="64"/>
        <v>60491AXLE 2</v>
      </c>
      <c r="H1359" s="344">
        <v>2</v>
      </c>
      <c r="I1359" s="344">
        <v>15</v>
      </c>
      <c r="J1359" s="344">
        <v>2</v>
      </c>
      <c r="K1359" s="344">
        <v>7</v>
      </c>
      <c r="L1359" t="str">
        <f t="shared" si="65"/>
        <v>60491</v>
      </c>
      <c r="M1359" s="344" t="s">
        <v>141</v>
      </c>
      <c r="N1359" s="344">
        <v>221141</v>
      </c>
    </row>
    <row r="1360" spans="1:14" ht="15">
      <c r="A1360" s="344">
        <v>60491</v>
      </c>
      <c r="B1360" s="345" t="s">
        <v>137</v>
      </c>
      <c r="C1360" s="344">
        <v>221141</v>
      </c>
      <c r="D1360" s="344" t="str">
        <f t="shared" si="63"/>
        <v>221141</v>
      </c>
      <c r="E1360" s="346" t="s">
        <v>147</v>
      </c>
      <c r="F1360" s="344" t="s">
        <v>143</v>
      </c>
      <c r="G1360" s="344" t="str">
        <f t="shared" si="64"/>
        <v>60491AXLE 3</v>
      </c>
      <c r="H1360" s="344">
        <v>3</v>
      </c>
      <c r="I1360" s="344">
        <v>14</v>
      </c>
      <c r="J1360" s="344">
        <v>3</v>
      </c>
      <c r="K1360" s="344">
        <v>6</v>
      </c>
      <c r="L1360" t="str">
        <f t="shared" si="65"/>
        <v>60491</v>
      </c>
      <c r="M1360" s="344" t="s">
        <v>143</v>
      </c>
      <c r="N1360" s="344">
        <v>221141</v>
      </c>
    </row>
    <row r="1361" spans="1:14" ht="15">
      <c r="A1361" s="344">
        <v>60491</v>
      </c>
      <c r="B1361" s="345" t="s">
        <v>137</v>
      </c>
      <c r="C1361" s="344">
        <v>221141</v>
      </c>
      <c r="D1361" s="344" t="str">
        <f t="shared" si="63"/>
        <v>221141</v>
      </c>
      <c r="E1361" s="346" t="s">
        <v>146</v>
      </c>
      <c r="F1361" s="344" t="s">
        <v>145</v>
      </c>
      <c r="G1361" s="344" t="str">
        <f t="shared" si="64"/>
        <v>60491AXLE 4</v>
      </c>
      <c r="H1361" s="344">
        <v>4</v>
      </c>
      <c r="I1361" s="344">
        <v>13</v>
      </c>
      <c r="J1361" s="344">
        <v>4</v>
      </c>
      <c r="K1361" s="344">
        <v>5</v>
      </c>
      <c r="L1361" t="str">
        <f t="shared" si="65"/>
        <v>60491</v>
      </c>
      <c r="M1361" s="344" t="s">
        <v>145</v>
      </c>
      <c r="N1361" s="344">
        <v>221141</v>
      </c>
    </row>
    <row r="1362" spans="1:14" ht="15">
      <c r="A1362" s="344">
        <v>60392</v>
      </c>
      <c r="B1362" s="345" t="s">
        <v>137</v>
      </c>
      <c r="C1362" s="344">
        <v>221142</v>
      </c>
      <c r="D1362" s="344" t="str">
        <f t="shared" si="63"/>
        <v>221142</v>
      </c>
      <c r="E1362" s="346" t="s">
        <v>146</v>
      </c>
      <c r="F1362" s="344" t="s">
        <v>139</v>
      </c>
      <c r="G1362" s="344" t="str">
        <f t="shared" si="64"/>
        <v>60392AXLE 1</v>
      </c>
      <c r="H1362" s="344">
        <v>20</v>
      </c>
      <c r="I1362" s="344">
        <v>1</v>
      </c>
      <c r="J1362" s="344">
        <v>1</v>
      </c>
      <c r="K1362" s="344">
        <v>8</v>
      </c>
      <c r="L1362" t="str">
        <f t="shared" si="65"/>
        <v>60392</v>
      </c>
      <c r="M1362" s="344" t="s">
        <v>139</v>
      </c>
      <c r="N1362" s="344">
        <v>221142</v>
      </c>
    </row>
    <row r="1363" spans="1:14" ht="15">
      <c r="A1363" s="344">
        <v>60392</v>
      </c>
      <c r="B1363" s="345" t="s">
        <v>137</v>
      </c>
      <c r="C1363" s="344">
        <v>221142</v>
      </c>
      <c r="D1363" s="344" t="str">
        <f t="shared" si="63"/>
        <v>221142</v>
      </c>
      <c r="E1363" s="346" t="s">
        <v>147</v>
      </c>
      <c r="F1363" s="344" t="s">
        <v>141</v>
      </c>
      <c r="G1363" s="344" t="str">
        <f t="shared" si="64"/>
        <v>60392AXLE 2</v>
      </c>
      <c r="H1363" s="344">
        <v>19</v>
      </c>
      <c r="I1363" s="344">
        <v>2</v>
      </c>
      <c r="J1363" s="344">
        <v>2</v>
      </c>
      <c r="K1363" s="344">
        <v>7</v>
      </c>
      <c r="L1363" t="str">
        <f t="shared" si="65"/>
        <v>60392</v>
      </c>
      <c r="M1363" s="344" t="s">
        <v>141</v>
      </c>
      <c r="N1363" s="344">
        <v>221142</v>
      </c>
    </row>
    <row r="1364" spans="1:14" ht="15">
      <c r="A1364" s="344">
        <v>60392</v>
      </c>
      <c r="B1364" s="345" t="s">
        <v>137</v>
      </c>
      <c r="C1364" s="344">
        <v>221142</v>
      </c>
      <c r="D1364" s="344" t="str">
        <f t="shared" si="63"/>
        <v>221142</v>
      </c>
      <c r="E1364" s="346" t="s">
        <v>147</v>
      </c>
      <c r="F1364" s="344" t="s">
        <v>143</v>
      </c>
      <c r="G1364" s="344" t="str">
        <f t="shared" si="64"/>
        <v>60392AXLE 3</v>
      </c>
      <c r="H1364" s="344">
        <v>18</v>
      </c>
      <c r="I1364" s="344">
        <v>3</v>
      </c>
      <c r="J1364" s="344">
        <v>3</v>
      </c>
      <c r="K1364" s="344">
        <v>6</v>
      </c>
      <c r="L1364" t="str">
        <f t="shared" si="65"/>
        <v>60392</v>
      </c>
      <c r="M1364" s="344" t="s">
        <v>143</v>
      </c>
      <c r="N1364" s="344">
        <v>221142</v>
      </c>
    </row>
    <row r="1365" spans="1:14" ht="15">
      <c r="A1365" s="344">
        <v>60392</v>
      </c>
      <c r="B1365" s="345" t="s">
        <v>137</v>
      </c>
      <c r="C1365" s="344">
        <v>221142</v>
      </c>
      <c r="D1365" s="344" t="str">
        <f t="shared" si="63"/>
        <v>221142</v>
      </c>
      <c r="E1365" s="346" t="s">
        <v>146</v>
      </c>
      <c r="F1365" s="344" t="s">
        <v>145</v>
      </c>
      <c r="G1365" s="344" t="str">
        <f t="shared" si="64"/>
        <v>60392AXLE 4</v>
      </c>
      <c r="H1365" s="344">
        <v>17</v>
      </c>
      <c r="I1365" s="344">
        <v>4</v>
      </c>
      <c r="J1365" s="344">
        <v>4</v>
      </c>
      <c r="K1365" s="344">
        <v>5</v>
      </c>
      <c r="L1365" t="str">
        <f t="shared" si="65"/>
        <v>60392</v>
      </c>
      <c r="M1365" s="344" t="s">
        <v>145</v>
      </c>
      <c r="N1365" s="344">
        <v>221142</v>
      </c>
    </row>
    <row r="1366" spans="1:14" ht="15">
      <c r="A1366" s="344">
        <v>60992</v>
      </c>
      <c r="B1366" s="345" t="s">
        <v>137</v>
      </c>
      <c r="C1366" s="344">
        <v>221142</v>
      </c>
      <c r="D1366" s="344" t="str">
        <f t="shared" si="63"/>
        <v>221142</v>
      </c>
      <c r="E1366" s="346" t="s">
        <v>146</v>
      </c>
      <c r="F1366" s="344" t="s">
        <v>139</v>
      </c>
      <c r="G1366" s="344" t="str">
        <f t="shared" si="64"/>
        <v>60992AXLE 1</v>
      </c>
      <c r="H1366" s="344">
        <v>13</v>
      </c>
      <c r="I1366" s="344">
        <v>8</v>
      </c>
      <c r="J1366" s="344">
        <v>1</v>
      </c>
      <c r="K1366" s="344">
        <v>8</v>
      </c>
      <c r="L1366" t="str">
        <f t="shared" si="65"/>
        <v>60992</v>
      </c>
      <c r="M1366" s="344" t="s">
        <v>139</v>
      </c>
      <c r="N1366" s="344">
        <v>221142</v>
      </c>
    </row>
    <row r="1367" spans="1:14" ht="15">
      <c r="A1367" s="344">
        <v>60992</v>
      </c>
      <c r="B1367" s="345" t="s">
        <v>137</v>
      </c>
      <c r="C1367" s="344">
        <v>221142</v>
      </c>
      <c r="D1367" s="344" t="str">
        <f t="shared" si="63"/>
        <v>221142</v>
      </c>
      <c r="E1367" s="346" t="s">
        <v>147</v>
      </c>
      <c r="F1367" s="344" t="s">
        <v>141</v>
      </c>
      <c r="G1367" s="344" t="str">
        <f t="shared" si="64"/>
        <v>60992AXLE 2</v>
      </c>
      <c r="H1367" s="344">
        <v>14</v>
      </c>
      <c r="I1367" s="344">
        <v>7</v>
      </c>
      <c r="J1367" s="344">
        <v>2</v>
      </c>
      <c r="K1367" s="344">
        <v>7</v>
      </c>
      <c r="L1367" t="str">
        <f t="shared" si="65"/>
        <v>60992</v>
      </c>
      <c r="M1367" s="344" t="s">
        <v>141</v>
      </c>
      <c r="N1367" s="344">
        <v>221142</v>
      </c>
    </row>
    <row r="1368" spans="1:14" ht="15">
      <c r="A1368" s="344">
        <v>60992</v>
      </c>
      <c r="B1368" s="345" t="s">
        <v>137</v>
      </c>
      <c r="C1368" s="344">
        <v>221142</v>
      </c>
      <c r="D1368" s="344" t="str">
        <f t="shared" si="63"/>
        <v>221142</v>
      </c>
      <c r="E1368" s="346" t="s">
        <v>147</v>
      </c>
      <c r="F1368" s="344" t="s">
        <v>143</v>
      </c>
      <c r="G1368" s="344" t="str">
        <f t="shared" si="64"/>
        <v>60992AXLE 3</v>
      </c>
      <c r="H1368" s="344">
        <v>15</v>
      </c>
      <c r="I1368" s="344">
        <v>6</v>
      </c>
      <c r="J1368" s="344">
        <v>3</v>
      </c>
      <c r="K1368" s="344">
        <v>6</v>
      </c>
      <c r="L1368" t="str">
        <f t="shared" si="65"/>
        <v>60992</v>
      </c>
      <c r="M1368" s="344" t="s">
        <v>143</v>
      </c>
      <c r="N1368" s="344">
        <v>221142</v>
      </c>
    </row>
    <row r="1369" spans="1:14" ht="15">
      <c r="A1369" s="344">
        <v>60992</v>
      </c>
      <c r="B1369" s="345" t="s">
        <v>137</v>
      </c>
      <c r="C1369" s="344">
        <v>221142</v>
      </c>
      <c r="D1369" s="344" t="str">
        <f t="shared" si="63"/>
        <v>221142</v>
      </c>
      <c r="E1369" s="346" t="s">
        <v>146</v>
      </c>
      <c r="F1369" s="344" t="s">
        <v>145</v>
      </c>
      <c r="G1369" s="344" t="str">
        <f t="shared" si="64"/>
        <v>60992AXLE 4</v>
      </c>
      <c r="H1369" s="344">
        <v>16</v>
      </c>
      <c r="I1369" s="344">
        <v>5</v>
      </c>
      <c r="J1369" s="344">
        <v>4</v>
      </c>
      <c r="K1369" s="344">
        <v>5</v>
      </c>
      <c r="L1369" t="str">
        <f t="shared" si="65"/>
        <v>60992</v>
      </c>
      <c r="M1369" s="344" t="s">
        <v>145</v>
      </c>
      <c r="N1369" s="344">
        <v>221142</v>
      </c>
    </row>
    <row r="1370" spans="1:14" ht="15">
      <c r="A1370" s="344">
        <v>60994</v>
      </c>
      <c r="B1370" s="345" t="s">
        <v>137</v>
      </c>
      <c r="C1370" s="344">
        <v>221142</v>
      </c>
      <c r="D1370" s="344" t="str">
        <f t="shared" si="63"/>
        <v>221142</v>
      </c>
      <c r="E1370" s="346" t="s">
        <v>146</v>
      </c>
      <c r="F1370" s="344" t="s">
        <v>139</v>
      </c>
      <c r="G1370" s="344" t="str">
        <f t="shared" si="64"/>
        <v>60994AXLE 1</v>
      </c>
      <c r="H1370" s="344">
        <v>9</v>
      </c>
      <c r="I1370" s="344">
        <v>12</v>
      </c>
      <c r="J1370" s="344">
        <v>1</v>
      </c>
      <c r="K1370" s="344">
        <v>8</v>
      </c>
      <c r="L1370" t="str">
        <f t="shared" si="65"/>
        <v>60994</v>
      </c>
      <c r="M1370" s="344" t="s">
        <v>139</v>
      </c>
      <c r="N1370" s="344">
        <v>221142</v>
      </c>
    </row>
    <row r="1371" spans="1:14" ht="15">
      <c r="A1371" s="344">
        <v>60994</v>
      </c>
      <c r="B1371" s="345" t="s">
        <v>137</v>
      </c>
      <c r="C1371" s="344">
        <v>221142</v>
      </c>
      <c r="D1371" s="344" t="str">
        <f t="shared" si="63"/>
        <v>221142</v>
      </c>
      <c r="E1371" s="346" t="s">
        <v>147</v>
      </c>
      <c r="F1371" s="344" t="s">
        <v>141</v>
      </c>
      <c r="G1371" s="344" t="str">
        <f t="shared" si="64"/>
        <v>60994AXLE 2</v>
      </c>
      <c r="H1371" s="344">
        <v>10</v>
      </c>
      <c r="I1371" s="344">
        <v>11</v>
      </c>
      <c r="J1371" s="344">
        <v>2</v>
      </c>
      <c r="K1371" s="344">
        <v>7</v>
      </c>
      <c r="L1371" t="str">
        <f t="shared" si="65"/>
        <v>60994</v>
      </c>
      <c r="M1371" s="344" t="s">
        <v>141</v>
      </c>
      <c r="N1371" s="344">
        <v>221142</v>
      </c>
    </row>
    <row r="1372" spans="1:14" ht="15">
      <c r="A1372" s="344">
        <v>60994</v>
      </c>
      <c r="B1372" s="345" t="s">
        <v>137</v>
      </c>
      <c r="C1372" s="344">
        <v>221142</v>
      </c>
      <c r="D1372" s="344" t="str">
        <f t="shared" si="63"/>
        <v>221142</v>
      </c>
      <c r="E1372" s="346" t="s">
        <v>147</v>
      </c>
      <c r="F1372" s="344" t="s">
        <v>143</v>
      </c>
      <c r="G1372" s="344" t="str">
        <f t="shared" si="64"/>
        <v>60994AXLE 3</v>
      </c>
      <c r="H1372" s="344">
        <v>11</v>
      </c>
      <c r="I1372" s="344">
        <v>10</v>
      </c>
      <c r="J1372" s="344">
        <v>3</v>
      </c>
      <c r="K1372" s="344">
        <v>6</v>
      </c>
      <c r="L1372" t="str">
        <f t="shared" si="65"/>
        <v>60994</v>
      </c>
      <c r="M1372" s="344" t="s">
        <v>143</v>
      </c>
      <c r="N1372" s="344">
        <v>221142</v>
      </c>
    </row>
    <row r="1373" spans="1:14" ht="15">
      <c r="A1373" s="344">
        <v>60994</v>
      </c>
      <c r="B1373" s="345" t="s">
        <v>137</v>
      </c>
      <c r="C1373" s="344">
        <v>221142</v>
      </c>
      <c r="D1373" s="344" t="str">
        <f t="shared" si="63"/>
        <v>221142</v>
      </c>
      <c r="E1373" s="346" t="s">
        <v>146</v>
      </c>
      <c r="F1373" s="344" t="s">
        <v>145</v>
      </c>
      <c r="G1373" s="344" t="str">
        <f t="shared" si="64"/>
        <v>60994AXLE 4</v>
      </c>
      <c r="H1373" s="344">
        <v>12</v>
      </c>
      <c r="I1373" s="344">
        <v>9</v>
      </c>
      <c r="J1373" s="344">
        <v>4</v>
      </c>
      <c r="K1373" s="344">
        <v>5</v>
      </c>
      <c r="L1373" t="str">
        <f t="shared" si="65"/>
        <v>60994</v>
      </c>
      <c r="M1373" s="344" t="s">
        <v>145</v>
      </c>
      <c r="N1373" s="344">
        <v>221142</v>
      </c>
    </row>
    <row r="1374" spans="1:14" ht="15">
      <c r="A1374" s="344">
        <v>60792</v>
      </c>
      <c r="B1374" s="345" t="s">
        <v>137</v>
      </c>
      <c r="C1374" s="344">
        <v>221142</v>
      </c>
      <c r="D1374" s="344" t="str">
        <f t="shared" si="63"/>
        <v>221142</v>
      </c>
      <c r="E1374" s="346" t="s">
        <v>146</v>
      </c>
      <c r="F1374" s="344" t="s">
        <v>139</v>
      </c>
      <c r="G1374" s="344" t="str">
        <f t="shared" si="64"/>
        <v>60792AXLE 1</v>
      </c>
      <c r="H1374" s="344">
        <v>5</v>
      </c>
      <c r="I1374" s="344">
        <v>16</v>
      </c>
      <c r="J1374" s="344">
        <v>1</v>
      </c>
      <c r="K1374" s="344">
        <v>8</v>
      </c>
      <c r="L1374" t="str">
        <f t="shared" si="65"/>
        <v>60792</v>
      </c>
      <c r="M1374" s="344" t="s">
        <v>139</v>
      </c>
      <c r="N1374" s="344">
        <v>221142</v>
      </c>
    </row>
    <row r="1375" spans="1:14" ht="15">
      <c r="A1375" s="344">
        <v>60792</v>
      </c>
      <c r="B1375" s="345" t="s">
        <v>137</v>
      </c>
      <c r="C1375" s="344">
        <v>221142</v>
      </c>
      <c r="D1375" s="344" t="str">
        <f t="shared" si="63"/>
        <v>221142</v>
      </c>
      <c r="E1375" s="346" t="s">
        <v>147</v>
      </c>
      <c r="F1375" s="344" t="s">
        <v>141</v>
      </c>
      <c r="G1375" s="344" t="str">
        <f t="shared" si="64"/>
        <v>60792AXLE 2</v>
      </c>
      <c r="H1375" s="344">
        <v>6</v>
      </c>
      <c r="I1375" s="344">
        <v>15</v>
      </c>
      <c r="J1375" s="344">
        <v>2</v>
      </c>
      <c r="K1375" s="344">
        <v>7</v>
      </c>
      <c r="L1375" t="str">
        <f t="shared" si="65"/>
        <v>60792</v>
      </c>
      <c r="M1375" s="344" t="s">
        <v>141</v>
      </c>
      <c r="N1375" s="344">
        <v>221142</v>
      </c>
    </row>
    <row r="1376" spans="1:14" ht="15">
      <c r="A1376" s="344">
        <v>60792</v>
      </c>
      <c r="B1376" s="345" t="s">
        <v>137</v>
      </c>
      <c r="C1376" s="344">
        <v>221142</v>
      </c>
      <c r="D1376" s="344" t="str">
        <f t="shared" si="63"/>
        <v>221142</v>
      </c>
      <c r="E1376" s="346" t="s">
        <v>147</v>
      </c>
      <c r="F1376" s="344" t="s">
        <v>143</v>
      </c>
      <c r="G1376" s="344" t="str">
        <f t="shared" si="64"/>
        <v>60792AXLE 3</v>
      </c>
      <c r="H1376" s="344">
        <v>7</v>
      </c>
      <c r="I1376" s="344">
        <v>14</v>
      </c>
      <c r="J1376" s="344">
        <v>3</v>
      </c>
      <c r="K1376" s="344">
        <v>6</v>
      </c>
      <c r="L1376" t="str">
        <f t="shared" si="65"/>
        <v>60792</v>
      </c>
      <c r="M1376" s="344" t="s">
        <v>143</v>
      </c>
      <c r="N1376" s="344">
        <v>221142</v>
      </c>
    </row>
    <row r="1377" spans="1:14" ht="15">
      <c r="A1377" s="344">
        <v>60792</v>
      </c>
      <c r="B1377" s="345" t="s">
        <v>137</v>
      </c>
      <c r="C1377" s="344">
        <v>221142</v>
      </c>
      <c r="D1377" s="344" t="str">
        <f t="shared" si="63"/>
        <v>221142</v>
      </c>
      <c r="E1377" s="346" t="s">
        <v>146</v>
      </c>
      <c r="F1377" s="344" t="s">
        <v>145</v>
      </c>
      <c r="G1377" s="344" t="str">
        <f t="shared" si="64"/>
        <v>60792AXLE 4</v>
      </c>
      <c r="H1377" s="344">
        <v>8</v>
      </c>
      <c r="I1377" s="344">
        <v>13</v>
      </c>
      <c r="J1377" s="344">
        <v>4</v>
      </c>
      <c r="K1377" s="344">
        <v>5</v>
      </c>
      <c r="L1377" t="str">
        <f t="shared" si="65"/>
        <v>60792</v>
      </c>
      <c r="M1377" s="344" t="s">
        <v>145</v>
      </c>
      <c r="N1377" s="344">
        <v>221142</v>
      </c>
    </row>
    <row r="1378" spans="1:14" ht="15">
      <c r="A1378" s="344">
        <v>60492</v>
      </c>
      <c r="B1378" s="345" t="s">
        <v>137</v>
      </c>
      <c r="C1378" s="344">
        <v>221142</v>
      </c>
      <c r="D1378" s="344" t="str">
        <f t="shared" si="63"/>
        <v>221142</v>
      </c>
      <c r="E1378" s="346" t="s">
        <v>146</v>
      </c>
      <c r="F1378" s="344" t="s">
        <v>139</v>
      </c>
      <c r="G1378" s="344" t="str">
        <f t="shared" si="64"/>
        <v>60492AXLE 1</v>
      </c>
      <c r="H1378" s="344">
        <v>1</v>
      </c>
      <c r="I1378" s="344">
        <v>20</v>
      </c>
      <c r="J1378" s="344">
        <v>1</v>
      </c>
      <c r="K1378" s="344">
        <v>8</v>
      </c>
      <c r="L1378" t="str">
        <f t="shared" si="65"/>
        <v>60492</v>
      </c>
      <c r="M1378" s="344" t="s">
        <v>139</v>
      </c>
      <c r="N1378" s="344">
        <v>221142</v>
      </c>
    </row>
    <row r="1379" spans="1:14" ht="15">
      <c r="A1379" s="344">
        <v>60492</v>
      </c>
      <c r="B1379" s="345" t="s">
        <v>137</v>
      </c>
      <c r="C1379" s="344">
        <v>221142</v>
      </c>
      <c r="D1379" s="344" t="str">
        <f t="shared" si="63"/>
        <v>221142</v>
      </c>
      <c r="E1379" s="346" t="s">
        <v>147</v>
      </c>
      <c r="F1379" s="344" t="s">
        <v>141</v>
      </c>
      <c r="G1379" s="344" t="str">
        <f t="shared" si="64"/>
        <v>60492AXLE 2</v>
      </c>
      <c r="H1379" s="344">
        <v>2</v>
      </c>
      <c r="I1379" s="344">
        <v>19</v>
      </c>
      <c r="J1379" s="344">
        <v>2</v>
      </c>
      <c r="K1379" s="344">
        <v>7</v>
      </c>
      <c r="L1379" t="str">
        <f t="shared" si="65"/>
        <v>60492</v>
      </c>
      <c r="M1379" s="344" t="s">
        <v>141</v>
      </c>
      <c r="N1379" s="344">
        <v>221142</v>
      </c>
    </row>
    <row r="1380" spans="1:14" ht="15">
      <c r="A1380" s="344">
        <v>60492</v>
      </c>
      <c r="B1380" s="345" t="s">
        <v>137</v>
      </c>
      <c r="C1380" s="344">
        <v>221142</v>
      </c>
      <c r="D1380" s="344" t="str">
        <f t="shared" si="63"/>
        <v>221142</v>
      </c>
      <c r="E1380" s="346" t="s">
        <v>147</v>
      </c>
      <c r="F1380" s="344" t="s">
        <v>143</v>
      </c>
      <c r="G1380" s="344" t="str">
        <f t="shared" si="64"/>
        <v>60492AXLE 3</v>
      </c>
      <c r="H1380" s="344">
        <v>3</v>
      </c>
      <c r="I1380" s="344">
        <v>18</v>
      </c>
      <c r="J1380" s="344">
        <v>3</v>
      </c>
      <c r="K1380" s="344">
        <v>6</v>
      </c>
      <c r="L1380" t="str">
        <f t="shared" si="65"/>
        <v>60492</v>
      </c>
      <c r="M1380" s="344" t="s">
        <v>143</v>
      </c>
      <c r="N1380" s="344">
        <v>221142</v>
      </c>
    </row>
    <row r="1381" spans="1:14" ht="15">
      <c r="A1381" s="344">
        <v>60492</v>
      </c>
      <c r="B1381" s="345" t="s">
        <v>137</v>
      </c>
      <c r="C1381" s="344">
        <v>221142</v>
      </c>
      <c r="D1381" s="344" t="str">
        <f t="shared" si="63"/>
        <v>221142</v>
      </c>
      <c r="E1381" s="346" t="s">
        <v>146</v>
      </c>
      <c r="F1381" s="344" t="s">
        <v>145</v>
      </c>
      <c r="G1381" s="344" t="str">
        <f t="shared" si="64"/>
        <v>60492AXLE 4</v>
      </c>
      <c r="H1381" s="344">
        <v>4</v>
      </c>
      <c r="I1381" s="344">
        <v>17</v>
      </c>
      <c r="J1381" s="344">
        <v>4</v>
      </c>
      <c r="K1381" s="344">
        <v>5</v>
      </c>
      <c r="L1381" t="str">
        <f t="shared" si="65"/>
        <v>60492</v>
      </c>
      <c r="M1381" s="344" t="s">
        <v>145</v>
      </c>
      <c r="N1381" s="344">
        <v>221142</v>
      </c>
    </row>
    <row r="1382" spans="1:14" ht="15">
      <c r="A1382" s="344">
        <v>60393</v>
      </c>
      <c r="B1382" s="345" t="s">
        <v>137</v>
      </c>
      <c r="C1382" s="344">
        <v>221143</v>
      </c>
      <c r="D1382" s="344" t="str">
        <f t="shared" si="63"/>
        <v>221143</v>
      </c>
      <c r="E1382" s="346" t="s">
        <v>146</v>
      </c>
      <c r="F1382" s="344" t="s">
        <v>139</v>
      </c>
      <c r="G1382" s="344" t="str">
        <f t="shared" si="64"/>
        <v>60393AXLE 1</v>
      </c>
      <c r="H1382" s="344">
        <v>20</v>
      </c>
      <c r="I1382" s="344">
        <v>1</v>
      </c>
      <c r="J1382" s="344">
        <v>1</v>
      </c>
      <c r="K1382" s="344">
        <v>8</v>
      </c>
      <c r="L1382" t="str">
        <f t="shared" si="65"/>
        <v>60393</v>
      </c>
      <c r="M1382" s="344" t="s">
        <v>139</v>
      </c>
      <c r="N1382" s="344">
        <v>221143</v>
      </c>
    </row>
    <row r="1383" spans="1:14" ht="15">
      <c r="A1383" s="344">
        <v>60393</v>
      </c>
      <c r="B1383" s="345" t="s">
        <v>137</v>
      </c>
      <c r="C1383" s="344">
        <v>221143</v>
      </c>
      <c r="D1383" s="344" t="str">
        <f t="shared" si="63"/>
        <v>221143</v>
      </c>
      <c r="E1383" s="346" t="s">
        <v>146</v>
      </c>
      <c r="F1383" s="344" t="s">
        <v>141</v>
      </c>
      <c r="G1383" s="344" t="str">
        <f t="shared" si="64"/>
        <v>60393AXLE 2</v>
      </c>
      <c r="H1383" s="344">
        <v>19</v>
      </c>
      <c r="I1383" s="344">
        <v>2</v>
      </c>
      <c r="J1383" s="344">
        <v>2</v>
      </c>
      <c r="K1383" s="344">
        <v>7</v>
      </c>
      <c r="L1383" t="str">
        <f t="shared" si="65"/>
        <v>60393</v>
      </c>
      <c r="M1383" s="344" t="s">
        <v>141</v>
      </c>
      <c r="N1383" s="344">
        <v>221143</v>
      </c>
    </row>
    <row r="1384" spans="1:14" ht="15">
      <c r="A1384" s="344">
        <v>60393</v>
      </c>
      <c r="B1384" s="345" t="s">
        <v>137</v>
      </c>
      <c r="C1384" s="344">
        <v>221143</v>
      </c>
      <c r="D1384" s="344" t="str">
        <f t="shared" si="63"/>
        <v>221143</v>
      </c>
      <c r="E1384" s="346" t="s">
        <v>147</v>
      </c>
      <c r="F1384" s="344" t="s">
        <v>143</v>
      </c>
      <c r="G1384" s="344" t="str">
        <f t="shared" si="64"/>
        <v>60393AXLE 3</v>
      </c>
      <c r="H1384" s="344">
        <v>18</v>
      </c>
      <c r="I1384" s="344">
        <v>3</v>
      </c>
      <c r="J1384" s="344">
        <v>3</v>
      </c>
      <c r="K1384" s="344">
        <v>6</v>
      </c>
      <c r="L1384" t="str">
        <f t="shared" si="65"/>
        <v>60393</v>
      </c>
      <c r="M1384" s="344" t="s">
        <v>143</v>
      </c>
      <c r="N1384" s="344">
        <v>221143</v>
      </c>
    </row>
    <row r="1385" spans="1:14" ht="15">
      <c r="A1385" s="344">
        <v>60393</v>
      </c>
      <c r="B1385" s="345" t="s">
        <v>137</v>
      </c>
      <c r="C1385" s="344">
        <v>221143</v>
      </c>
      <c r="D1385" s="344" t="str">
        <f t="shared" si="63"/>
        <v>221143</v>
      </c>
      <c r="E1385" s="346" t="s">
        <v>147</v>
      </c>
      <c r="F1385" s="344" t="s">
        <v>145</v>
      </c>
      <c r="G1385" s="344" t="str">
        <f t="shared" si="64"/>
        <v>60393AXLE 4</v>
      </c>
      <c r="H1385" s="344">
        <v>17</v>
      </c>
      <c r="I1385" s="344">
        <v>4</v>
      </c>
      <c r="J1385" s="344">
        <v>4</v>
      </c>
      <c r="K1385" s="344">
        <v>5</v>
      </c>
      <c r="L1385" t="str">
        <f t="shared" si="65"/>
        <v>60393</v>
      </c>
      <c r="M1385" s="344" t="s">
        <v>145</v>
      </c>
      <c r="N1385" s="344">
        <v>221143</v>
      </c>
    </row>
    <row r="1386" spans="1:14" ht="15">
      <c r="A1386" s="344">
        <v>60993</v>
      </c>
      <c r="B1386" s="345" t="s">
        <v>137</v>
      </c>
      <c r="C1386" s="344">
        <v>221143</v>
      </c>
      <c r="D1386" s="344" t="str">
        <f t="shared" si="63"/>
        <v>221143</v>
      </c>
      <c r="E1386" s="346" t="s">
        <v>146</v>
      </c>
      <c r="F1386" s="344" t="s">
        <v>139</v>
      </c>
      <c r="G1386" s="344" t="str">
        <f t="shared" si="64"/>
        <v>60993AXLE 1</v>
      </c>
      <c r="H1386" s="344">
        <v>13</v>
      </c>
      <c r="I1386" s="344">
        <v>8</v>
      </c>
      <c r="J1386" s="344">
        <v>1</v>
      </c>
      <c r="K1386" s="344">
        <v>8</v>
      </c>
      <c r="L1386" t="str">
        <f t="shared" si="65"/>
        <v>60993</v>
      </c>
      <c r="M1386" s="344" t="s">
        <v>139</v>
      </c>
      <c r="N1386" s="344">
        <v>221143</v>
      </c>
    </row>
    <row r="1387" spans="1:14" ht="15">
      <c r="A1387" s="344">
        <v>60993</v>
      </c>
      <c r="B1387" s="345" t="s">
        <v>137</v>
      </c>
      <c r="C1387" s="344">
        <v>221143</v>
      </c>
      <c r="D1387" s="344" t="str">
        <f t="shared" si="63"/>
        <v>221143</v>
      </c>
      <c r="E1387" s="346" t="s">
        <v>147</v>
      </c>
      <c r="F1387" s="344" t="s">
        <v>141</v>
      </c>
      <c r="G1387" s="344" t="str">
        <f t="shared" si="64"/>
        <v>60993AXLE 2</v>
      </c>
      <c r="H1387" s="344">
        <v>14</v>
      </c>
      <c r="I1387" s="344">
        <v>7</v>
      </c>
      <c r="J1387" s="344">
        <v>2</v>
      </c>
      <c r="K1387" s="344">
        <v>7</v>
      </c>
      <c r="L1387" t="str">
        <f t="shared" si="65"/>
        <v>60993</v>
      </c>
      <c r="M1387" s="344" t="s">
        <v>141</v>
      </c>
      <c r="N1387" s="344">
        <v>221143</v>
      </c>
    </row>
    <row r="1388" spans="1:14" ht="15">
      <c r="A1388" s="344">
        <v>60993</v>
      </c>
      <c r="B1388" s="345" t="s">
        <v>137</v>
      </c>
      <c r="C1388" s="344">
        <v>221143</v>
      </c>
      <c r="D1388" s="344" t="str">
        <f t="shared" si="63"/>
        <v>221143</v>
      </c>
      <c r="E1388" s="346" t="s">
        <v>147</v>
      </c>
      <c r="F1388" s="344" t="s">
        <v>143</v>
      </c>
      <c r="G1388" s="344" t="str">
        <f t="shared" si="64"/>
        <v>60993AXLE 3</v>
      </c>
      <c r="H1388" s="344">
        <v>15</v>
      </c>
      <c r="I1388" s="344">
        <v>6</v>
      </c>
      <c r="J1388" s="344">
        <v>3</v>
      </c>
      <c r="K1388" s="344">
        <v>6</v>
      </c>
      <c r="L1388" t="str">
        <f t="shared" si="65"/>
        <v>60993</v>
      </c>
      <c r="M1388" s="344" t="s">
        <v>143</v>
      </c>
      <c r="N1388" s="344">
        <v>221143</v>
      </c>
    </row>
    <row r="1389" spans="1:14" ht="15">
      <c r="A1389" s="344">
        <v>60993</v>
      </c>
      <c r="B1389" s="345" t="s">
        <v>137</v>
      </c>
      <c r="C1389" s="344">
        <v>221143</v>
      </c>
      <c r="D1389" s="344" t="str">
        <f t="shared" si="63"/>
        <v>221143</v>
      </c>
      <c r="E1389" s="346" t="s">
        <v>146</v>
      </c>
      <c r="F1389" s="344" t="s">
        <v>145</v>
      </c>
      <c r="G1389" s="344" t="str">
        <f t="shared" si="64"/>
        <v>60993AXLE 4</v>
      </c>
      <c r="H1389" s="344">
        <v>16</v>
      </c>
      <c r="I1389" s="344">
        <v>5</v>
      </c>
      <c r="J1389" s="344">
        <v>4</v>
      </c>
      <c r="K1389" s="344">
        <v>5</v>
      </c>
      <c r="L1389" t="str">
        <f t="shared" si="65"/>
        <v>60993</v>
      </c>
      <c r="M1389" s="344" t="s">
        <v>145</v>
      </c>
      <c r="N1389" s="344">
        <v>221143</v>
      </c>
    </row>
    <row r="1390" spans="1:14" ht="15">
      <c r="A1390" s="344">
        <v>60794</v>
      </c>
      <c r="B1390" s="345" t="s">
        <v>137</v>
      </c>
      <c r="C1390" s="344">
        <v>221143</v>
      </c>
      <c r="D1390" s="344" t="str">
        <f t="shared" si="63"/>
        <v>221143</v>
      </c>
      <c r="E1390" s="346" t="s">
        <v>146</v>
      </c>
      <c r="F1390" s="344" t="s">
        <v>139</v>
      </c>
      <c r="G1390" s="344" t="str">
        <f t="shared" si="64"/>
        <v>60794AXLE 1</v>
      </c>
      <c r="H1390" s="344">
        <v>9</v>
      </c>
      <c r="I1390" s="344">
        <v>12</v>
      </c>
      <c r="J1390" s="344">
        <v>1</v>
      </c>
      <c r="K1390" s="344">
        <v>8</v>
      </c>
      <c r="L1390" t="str">
        <f t="shared" si="65"/>
        <v>60794</v>
      </c>
      <c r="M1390" s="344" t="s">
        <v>139</v>
      </c>
      <c r="N1390" s="344">
        <v>221143</v>
      </c>
    </row>
    <row r="1391" spans="1:14" ht="15">
      <c r="A1391" s="344">
        <v>60794</v>
      </c>
      <c r="B1391" s="345" t="s">
        <v>137</v>
      </c>
      <c r="C1391" s="344">
        <v>221143</v>
      </c>
      <c r="D1391" s="344" t="str">
        <f t="shared" si="63"/>
        <v>221143</v>
      </c>
      <c r="E1391" s="346" t="s">
        <v>147</v>
      </c>
      <c r="F1391" s="344" t="s">
        <v>141</v>
      </c>
      <c r="G1391" s="344" t="str">
        <f t="shared" si="64"/>
        <v>60794AXLE 2</v>
      </c>
      <c r="H1391" s="344">
        <v>10</v>
      </c>
      <c r="I1391" s="344">
        <v>11</v>
      </c>
      <c r="J1391" s="344">
        <v>2</v>
      </c>
      <c r="K1391" s="344">
        <v>7</v>
      </c>
      <c r="L1391" t="str">
        <f t="shared" si="65"/>
        <v>60794</v>
      </c>
      <c r="M1391" s="344" t="s">
        <v>141</v>
      </c>
      <c r="N1391" s="344">
        <v>221143</v>
      </c>
    </row>
    <row r="1392" spans="1:14" ht="15">
      <c r="A1392" s="344">
        <v>60794</v>
      </c>
      <c r="B1392" s="345" t="s">
        <v>137</v>
      </c>
      <c r="C1392" s="344">
        <v>221143</v>
      </c>
      <c r="D1392" s="344" t="str">
        <f t="shared" si="63"/>
        <v>221143</v>
      </c>
      <c r="E1392" s="346" t="s">
        <v>147</v>
      </c>
      <c r="F1392" s="344" t="s">
        <v>143</v>
      </c>
      <c r="G1392" s="344" t="str">
        <f t="shared" si="64"/>
        <v>60794AXLE 3</v>
      </c>
      <c r="H1392" s="344">
        <v>11</v>
      </c>
      <c r="I1392" s="344">
        <v>10</v>
      </c>
      <c r="J1392" s="344">
        <v>3</v>
      </c>
      <c r="K1392" s="344">
        <v>6</v>
      </c>
      <c r="L1392" t="str">
        <f t="shared" si="65"/>
        <v>60794</v>
      </c>
      <c r="M1392" s="344" t="s">
        <v>143</v>
      </c>
      <c r="N1392" s="344">
        <v>221143</v>
      </c>
    </row>
    <row r="1393" spans="1:14" ht="15">
      <c r="A1393" s="344">
        <v>60794</v>
      </c>
      <c r="B1393" s="345" t="s">
        <v>137</v>
      </c>
      <c r="C1393" s="344">
        <v>221143</v>
      </c>
      <c r="D1393" s="344" t="str">
        <f t="shared" si="63"/>
        <v>221143</v>
      </c>
      <c r="E1393" s="346" t="s">
        <v>146</v>
      </c>
      <c r="F1393" s="344" t="s">
        <v>145</v>
      </c>
      <c r="G1393" s="344" t="str">
        <f t="shared" si="64"/>
        <v>60794AXLE 4</v>
      </c>
      <c r="H1393" s="344">
        <v>12</v>
      </c>
      <c r="I1393" s="344">
        <v>9</v>
      </c>
      <c r="J1393" s="344">
        <v>4</v>
      </c>
      <c r="K1393" s="344">
        <v>5</v>
      </c>
      <c r="L1393" t="str">
        <f t="shared" si="65"/>
        <v>60794</v>
      </c>
      <c r="M1393" s="344" t="s">
        <v>145</v>
      </c>
      <c r="N1393" s="344">
        <v>221143</v>
      </c>
    </row>
    <row r="1394" spans="1:14" ht="15">
      <c r="A1394" s="344">
        <v>60793</v>
      </c>
      <c r="B1394" s="345" t="s">
        <v>137</v>
      </c>
      <c r="C1394" s="344">
        <v>221143</v>
      </c>
      <c r="D1394" s="344" t="str">
        <f t="shared" si="63"/>
        <v>221143</v>
      </c>
      <c r="E1394" s="346" t="s">
        <v>146</v>
      </c>
      <c r="F1394" s="344" t="s">
        <v>139</v>
      </c>
      <c r="G1394" s="344" t="str">
        <f t="shared" si="64"/>
        <v>60793AXLE 1</v>
      </c>
      <c r="H1394" s="344">
        <v>5</v>
      </c>
      <c r="I1394" s="344">
        <v>16</v>
      </c>
      <c r="J1394" s="344">
        <v>1</v>
      </c>
      <c r="K1394" s="344">
        <v>8</v>
      </c>
      <c r="L1394" t="str">
        <f t="shared" si="65"/>
        <v>60793</v>
      </c>
      <c r="M1394" s="344" t="s">
        <v>139</v>
      </c>
      <c r="N1394" s="344">
        <v>221143</v>
      </c>
    </row>
    <row r="1395" spans="1:14" ht="15">
      <c r="A1395" s="344">
        <v>60793</v>
      </c>
      <c r="B1395" s="345" t="s">
        <v>137</v>
      </c>
      <c r="C1395" s="344">
        <v>221143</v>
      </c>
      <c r="D1395" s="344" t="str">
        <f t="shared" si="63"/>
        <v>221143</v>
      </c>
      <c r="E1395" s="346" t="s">
        <v>147</v>
      </c>
      <c r="F1395" s="344" t="s">
        <v>141</v>
      </c>
      <c r="G1395" s="344" t="str">
        <f t="shared" si="64"/>
        <v>60793AXLE 2</v>
      </c>
      <c r="H1395" s="344">
        <v>6</v>
      </c>
      <c r="I1395" s="344">
        <v>15</v>
      </c>
      <c r="J1395" s="344">
        <v>2</v>
      </c>
      <c r="K1395" s="344">
        <v>7</v>
      </c>
      <c r="L1395" t="str">
        <f t="shared" si="65"/>
        <v>60793</v>
      </c>
      <c r="M1395" s="344" t="s">
        <v>141</v>
      </c>
      <c r="N1395" s="344">
        <v>221143</v>
      </c>
    </row>
    <row r="1396" spans="1:14" ht="15">
      <c r="A1396" s="344">
        <v>60793</v>
      </c>
      <c r="B1396" s="345" t="s">
        <v>137</v>
      </c>
      <c r="C1396" s="344">
        <v>221143</v>
      </c>
      <c r="D1396" s="344" t="str">
        <f t="shared" si="63"/>
        <v>221143</v>
      </c>
      <c r="E1396" s="346" t="s">
        <v>147</v>
      </c>
      <c r="F1396" s="344" t="s">
        <v>143</v>
      </c>
      <c r="G1396" s="344" t="str">
        <f t="shared" si="64"/>
        <v>60793AXLE 3</v>
      </c>
      <c r="H1396" s="344">
        <v>7</v>
      </c>
      <c r="I1396" s="344">
        <v>14</v>
      </c>
      <c r="J1396" s="344">
        <v>3</v>
      </c>
      <c r="K1396" s="344">
        <v>6</v>
      </c>
      <c r="L1396" t="str">
        <f t="shared" si="65"/>
        <v>60793</v>
      </c>
      <c r="M1396" s="344" t="s">
        <v>143</v>
      </c>
      <c r="N1396" s="344">
        <v>221143</v>
      </c>
    </row>
    <row r="1397" spans="1:14" ht="15">
      <c r="A1397" s="344">
        <v>60793</v>
      </c>
      <c r="B1397" s="345" t="s">
        <v>137</v>
      </c>
      <c r="C1397" s="344">
        <v>221143</v>
      </c>
      <c r="D1397" s="344" t="str">
        <f t="shared" si="63"/>
        <v>221143</v>
      </c>
      <c r="E1397" s="346" t="s">
        <v>146</v>
      </c>
      <c r="F1397" s="344" t="s">
        <v>145</v>
      </c>
      <c r="G1397" s="344" t="str">
        <f t="shared" si="64"/>
        <v>60793AXLE 4</v>
      </c>
      <c r="H1397" s="344">
        <v>8</v>
      </c>
      <c r="I1397" s="344">
        <v>13</v>
      </c>
      <c r="J1397" s="344">
        <v>4</v>
      </c>
      <c r="K1397" s="344">
        <v>5</v>
      </c>
      <c r="L1397" t="str">
        <f t="shared" si="65"/>
        <v>60793</v>
      </c>
      <c r="M1397" s="344" t="s">
        <v>145</v>
      </c>
      <c r="N1397" s="344">
        <v>221143</v>
      </c>
    </row>
    <row r="1398" spans="1:14" ht="15">
      <c r="A1398" s="344">
        <v>60493</v>
      </c>
      <c r="B1398" s="345" t="s">
        <v>137</v>
      </c>
      <c r="C1398" s="344">
        <v>221143</v>
      </c>
      <c r="D1398" s="344" t="str">
        <f t="shared" si="63"/>
        <v>221143</v>
      </c>
      <c r="E1398" s="346" t="s">
        <v>146</v>
      </c>
      <c r="F1398" s="344" t="s">
        <v>139</v>
      </c>
      <c r="G1398" s="344" t="str">
        <f t="shared" si="64"/>
        <v>60493AXLE 1</v>
      </c>
      <c r="H1398" s="344">
        <v>1</v>
      </c>
      <c r="I1398" s="344">
        <v>20</v>
      </c>
      <c r="J1398" s="344">
        <v>1</v>
      </c>
      <c r="K1398" s="344">
        <v>8</v>
      </c>
      <c r="L1398" t="str">
        <f t="shared" si="65"/>
        <v>60493</v>
      </c>
      <c r="M1398" s="344" t="s">
        <v>139</v>
      </c>
      <c r="N1398" s="344">
        <v>221143</v>
      </c>
    </row>
    <row r="1399" spans="1:14" ht="15">
      <c r="A1399" s="344">
        <v>60493</v>
      </c>
      <c r="B1399" s="345" t="s">
        <v>137</v>
      </c>
      <c r="C1399" s="344">
        <v>221143</v>
      </c>
      <c r="D1399" s="344" t="str">
        <f t="shared" si="63"/>
        <v>221143</v>
      </c>
      <c r="E1399" s="346" t="s">
        <v>147</v>
      </c>
      <c r="F1399" s="344" t="s">
        <v>141</v>
      </c>
      <c r="G1399" s="344" t="str">
        <f t="shared" si="64"/>
        <v>60493AXLE 2</v>
      </c>
      <c r="H1399" s="344">
        <v>2</v>
      </c>
      <c r="I1399" s="344">
        <v>19</v>
      </c>
      <c r="J1399" s="344">
        <v>2</v>
      </c>
      <c r="K1399" s="344">
        <v>7</v>
      </c>
      <c r="L1399" t="str">
        <f t="shared" si="65"/>
        <v>60493</v>
      </c>
      <c r="M1399" s="344" t="s">
        <v>141</v>
      </c>
      <c r="N1399" s="344">
        <v>221143</v>
      </c>
    </row>
    <row r="1400" spans="1:14" ht="15">
      <c r="A1400" s="344">
        <v>60493</v>
      </c>
      <c r="B1400" s="345" t="s">
        <v>137</v>
      </c>
      <c r="C1400" s="344">
        <v>221143</v>
      </c>
      <c r="D1400" s="344" t="str">
        <f t="shared" si="63"/>
        <v>221143</v>
      </c>
      <c r="E1400" s="346" t="s">
        <v>147</v>
      </c>
      <c r="F1400" s="344" t="s">
        <v>143</v>
      </c>
      <c r="G1400" s="344" t="str">
        <f t="shared" si="64"/>
        <v>60493AXLE 3</v>
      </c>
      <c r="H1400" s="344">
        <v>3</v>
      </c>
      <c r="I1400" s="344">
        <v>18</v>
      </c>
      <c r="J1400" s="344">
        <v>3</v>
      </c>
      <c r="K1400" s="344">
        <v>6</v>
      </c>
      <c r="L1400" t="str">
        <f t="shared" si="65"/>
        <v>60493</v>
      </c>
      <c r="M1400" s="344" t="s">
        <v>143</v>
      </c>
      <c r="N1400" s="344">
        <v>221143</v>
      </c>
    </row>
    <row r="1401" spans="1:14" ht="15">
      <c r="A1401" s="344">
        <v>60493</v>
      </c>
      <c r="B1401" s="345" t="s">
        <v>137</v>
      </c>
      <c r="C1401" s="344">
        <v>221143</v>
      </c>
      <c r="D1401" s="344" t="str">
        <f t="shared" si="63"/>
        <v>221143</v>
      </c>
      <c r="E1401" s="346" t="s">
        <v>146</v>
      </c>
      <c r="F1401" s="344" t="s">
        <v>145</v>
      </c>
      <c r="G1401" s="344" t="str">
        <f t="shared" si="64"/>
        <v>60493AXLE 4</v>
      </c>
      <c r="H1401" s="344">
        <v>4</v>
      </c>
      <c r="I1401" s="344">
        <v>17</v>
      </c>
      <c r="J1401" s="344">
        <v>4</v>
      </c>
      <c r="K1401" s="344">
        <v>5</v>
      </c>
      <c r="L1401" t="str">
        <f t="shared" si="65"/>
        <v>60493</v>
      </c>
      <c r="M1401" s="344" t="s">
        <v>145</v>
      </c>
      <c r="N1401" s="344">
        <v>221143</v>
      </c>
    </row>
    <row r="1402" spans="1:14" ht="15">
      <c r="A1402" s="344">
        <v>60394</v>
      </c>
      <c r="B1402" s="345" t="s">
        <v>137</v>
      </c>
      <c r="C1402" s="344">
        <v>221144</v>
      </c>
      <c r="D1402" s="344" t="str">
        <f t="shared" si="63"/>
        <v>221144</v>
      </c>
      <c r="E1402" s="346" t="s">
        <v>146</v>
      </c>
      <c r="F1402" s="344" t="s">
        <v>139</v>
      </c>
      <c r="G1402" s="344" t="str">
        <f t="shared" si="64"/>
        <v>60394AXLE 1</v>
      </c>
      <c r="H1402" s="344">
        <v>8</v>
      </c>
      <c r="I1402" s="344">
        <v>1</v>
      </c>
      <c r="J1402" s="344">
        <v>1</v>
      </c>
      <c r="K1402" s="344">
        <v>8</v>
      </c>
      <c r="L1402" t="str">
        <f t="shared" si="65"/>
        <v>60394</v>
      </c>
      <c r="M1402" s="344" t="s">
        <v>139</v>
      </c>
      <c r="N1402" s="344">
        <v>221144</v>
      </c>
    </row>
    <row r="1403" spans="1:14" ht="15">
      <c r="A1403" s="344">
        <v>60394</v>
      </c>
      <c r="B1403" s="345" t="s">
        <v>137</v>
      </c>
      <c r="C1403" s="344">
        <v>221144</v>
      </c>
      <c r="D1403" s="344" t="str">
        <f t="shared" si="63"/>
        <v>221144</v>
      </c>
      <c r="E1403" s="346" t="s">
        <v>147</v>
      </c>
      <c r="F1403" s="344" t="s">
        <v>141</v>
      </c>
      <c r="G1403" s="344" t="str">
        <f t="shared" si="64"/>
        <v>60394AXLE 2</v>
      </c>
      <c r="H1403" s="344">
        <v>7</v>
      </c>
      <c r="I1403" s="344">
        <v>2</v>
      </c>
      <c r="J1403" s="344">
        <v>2</v>
      </c>
      <c r="K1403" s="344">
        <v>7</v>
      </c>
      <c r="L1403" t="str">
        <f t="shared" si="65"/>
        <v>60394</v>
      </c>
      <c r="M1403" s="344" t="s">
        <v>141</v>
      </c>
      <c r="N1403" s="344">
        <v>221144</v>
      </c>
    </row>
    <row r="1404" spans="1:14" ht="15">
      <c r="A1404" s="344">
        <v>60394</v>
      </c>
      <c r="B1404" s="345" t="s">
        <v>137</v>
      </c>
      <c r="C1404" s="344">
        <v>221144</v>
      </c>
      <c r="D1404" s="344" t="str">
        <f t="shared" si="63"/>
        <v>221144</v>
      </c>
      <c r="E1404" s="346" t="s">
        <v>147</v>
      </c>
      <c r="F1404" s="344" t="s">
        <v>143</v>
      </c>
      <c r="G1404" s="344" t="str">
        <f t="shared" si="64"/>
        <v>60394AXLE 3</v>
      </c>
      <c r="H1404" s="344">
        <v>6</v>
      </c>
      <c r="I1404" s="344">
        <v>3</v>
      </c>
      <c r="J1404" s="344">
        <v>3</v>
      </c>
      <c r="K1404" s="344">
        <v>6</v>
      </c>
      <c r="L1404" t="str">
        <f t="shared" si="65"/>
        <v>60394</v>
      </c>
      <c r="M1404" s="344" t="s">
        <v>143</v>
      </c>
      <c r="N1404" s="344">
        <v>221144</v>
      </c>
    </row>
    <row r="1405" spans="1:14" ht="15">
      <c r="A1405" s="344">
        <v>60394</v>
      </c>
      <c r="B1405" s="345" t="s">
        <v>137</v>
      </c>
      <c r="C1405" s="344">
        <v>221144</v>
      </c>
      <c r="D1405" s="344" t="str">
        <f t="shared" si="63"/>
        <v>221144</v>
      </c>
      <c r="E1405" s="346" t="s">
        <v>146</v>
      </c>
      <c r="F1405" s="344" t="s">
        <v>145</v>
      </c>
      <c r="G1405" s="344" t="str">
        <f t="shared" si="64"/>
        <v>60394AXLE 4</v>
      </c>
      <c r="H1405" s="344">
        <v>5</v>
      </c>
      <c r="I1405" s="344">
        <v>4</v>
      </c>
      <c r="J1405" s="344">
        <v>4</v>
      </c>
      <c r="K1405" s="344">
        <v>5</v>
      </c>
      <c r="L1405" t="str">
        <f t="shared" si="65"/>
        <v>60394</v>
      </c>
      <c r="M1405" s="344" t="s">
        <v>145</v>
      </c>
      <c r="N1405" s="344">
        <v>221144</v>
      </c>
    </row>
    <row r="1406" spans="1:14" ht="15">
      <c r="A1406" s="344">
        <v>60494</v>
      </c>
      <c r="B1406" s="345" t="s">
        <v>137</v>
      </c>
      <c r="C1406" s="344">
        <v>221144</v>
      </c>
      <c r="D1406" s="344" t="str">
        <f t="shared" si="63"/>
        <v>221144</v>
      </c>
      <c r="E1406" s="346" t="s">
        <v>146</v>
      </c>
      <c r="F1406" s="344" t="s">
        <v>139</v>
      </c>
      <c r="G1406" s="344" t="str">
        <f t="shared" si="64"/>
        <v>60494AXLE 1</v>
      </c>
      <c r="H1406" s="344">
        <v>1</v>
      </c>
      <c r="I1406" s="344">
        <v>8</v>
      </c>
      <c r="J1406" s="344">
        <v>1</v>
      </c>
      <c r="K1406" s="344">
        <v>8</v>
      </c>
      <c r="L1406" t="str">
        <f t="shared" si="65"/>
        <v>60494</v>
      </c>
      <c r="M1406" s="344" t="s">
        <v>139</v>
      </c>
      <c r="N1406" s="344">
        <v>221144</v>
      </c>
    </row>
    <row r="1407" spans="1:14" ht="15">
      <c r="A1407" s="344">
        <v>60494</v>
      </c>
      <c r="B1407" s="345" t="s">
        <v>137</v>
      </c>
      <c r="C1407" s="344">
        <v>221144</v>
      </c>
      <c r="D1407" s="344" t="str">
        <f t="shared" si="63"/>
        <v>221144</v>
      </c>
      <c r="E1407" s="346" t="s">
        <v>147</v>
      </c>
      <c r="F1407" s="344" t="s">
        <v>141</v>
      </c>
      <c r="G1407" s="344" t="str">
        <f t="shared" si="64"/>
        <v>60494AXLE 2</v>
      </c>
      <c r="H1407" s="344">
        <v>2</v>
      </c>
      <c r="I1407" s="344">
        <v>7</v>
      </c>
      <c r="J1407" s="344">
        <v>2</v>
      </c>
      <c r="K1407" s="344">
        <v>7</v>
      </c>
      <c r="L1407" t="str">
        <f t="shared" si="65"/>
        <v>60494</v>
      </c>
      <c r="M1407" s="344" t="s">
        <v>141</v>
      </c>
      <c r="N1407" s="344">
        <v>221144</v>
      </c>
    </row>
    <row r="1408" spans="1:14" ht="15">
      <c r="A1408" s="344">
        <v>60494</v>
      </c>
      <c r="B1408" s="345" t="s">
        <v>137</v>
      </c>
      <c r="C1408" s="344">
        <v>221144</v>
      </c>
      <c r="D1408" s="344" t="str">
        <f t="shared" si="63"/>
        <v>221144</v>
      </c>
      <c r="E1408" s="346" t="s">
        <v>147</v>
      </c>
      <c r="F1408" s="344" t="s">
        <v>143</v>
      </c>
      <c r="G1408" s="344" t="str">
        <f t="shared" si="64"/>
        <v>60494AXLE 3</v>
      </c>
      <c r="H1408" s="344">
        <v>3</v>
      </c>
      <c r="I1408" s="344">
        <v>6</v>
      </c>
      <c r="J1408" s="344">
        <v>3</v>
      </c>
      <c r="K1408" s="344">
        <v>6</v>
      </c>
      <c r="L1408" t="str">
        <f t="shared" si="65"/>
        <v>60494</v>
      </c>
      <c r="M1408" s="344" t="s">
        <v>143</v>
      </c>
      <c r="N1408" s="344">
        <v>221144</v>
      </c>
    </row>
    <row r="1409" spans="1:14" ht="15">
      <c r="A1409" s="344">
        <v>60494</v>
      </c>
      <c r="B1409" s="345" t="s">
        <v>137</v>
      </c>
      <c r="C1409" s="344">
        <v>221144</v>
      </c>
      <c r="D1409" s="344" t="str">
        <f t="shared" si="63"/>
        <v>221144</v>
      </c>
      <c r="E1409" s="346" t="s">
        <v>146</v>
      </c>
      <c r="F1409" s="344" t="s">
        <v>145</v>
      </c>
      <c r="G1409" s="344" t="str">
        <f t="shared" si="64"/>
        <v>60494AXLE 4</v>
      </c>
      <c r="H1409" s="344">
        <v>4</v>
      </c>
      <c r="I1409" s="344">
        <v>5</v>
      </c>
      <c r="J1409" s="344">
        <v>4</v>
      </c>
      <c r="K1409" s="344">
        <v>5</v>
      </c>
      <c r="L1409" t="str">
        <f t="shared" si="65"/>
        <v>60494</v>
      </c>
      <c r="M1409" s="344" t="s">
        <v>145</v>
      </c>
      <c r="N1409" s="344">
        <v>221144</v>
      </c>
    </row>
  </sheetData>
  <phoneticPr fontId="96" type="noConversion"/>
  <pageMargins left="0.7" right="0.7" top="0.75" bottom="0.75" header="0.3" footer="0.3"/>
  <pageSetup paperSize="8"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Z124"/>
  <sheetViews>
    <sheetView topLeftCell="A4" zoomScale="110" zoomScaleNormal="110" workbookViewId="0">
      <selection activeCell="F10" sqref="F10"/>
    </sheetView>
  </sheetViews>
  <sheetFormatPr defaultRowHeight="12.75"/>
  <cols>
    <col min="3" max="3" width="0" hidden="1" customWidth="1"/>
    <col min="4" max="5" width="9.140625" hidden="1" customWidth="1"/>
    <col min="7" max="7" width="17.140625" bestFit="1" customWidth="1"/>
    <col min="8" max="10" width="9.140625" hidden="1" customWidth="1"/>
    <col min="11" max="11" width="13.28515625" hidden="1" customWidth="1"/>
    <col min="12" max="12" width="12" hidden="1" customWidth="1"/>
    <col min="13" max="15" width="9.140625" hidden="1" customWidth="1"/>
    <col min="17" max="17" width="38.85546875" customWidth="1"/>
    <col min="18" max="18" width="10.5703125" bestFit="1" customWidth="1"/>
    <col min="19" max="19" width="8" style="429" bestFit="1" customWidth="1"/>
    <col min="20" max="20" width="60.42578125" customWidth="1"/>
    <col min="21" max="21" width="28" hidden="1" customWidth="1"/>
    <col min="22" max="22" width="14.140625" hidden="1" customWidth="1"/>
    <col min="23" max="23" width="9.140625" hidden="1" customWidth="1"/>
    <col min="24" max="24" width="11.42578125" bestFit="1" customWidth="1"/>
    <col min="25" max="25" width="12.85546875" style="117" bestFit="1" customWidth="1"/>
    <col min="26" max="26" width="13.7109375" style="117" bestFit="1" customWidth="1"/>
  </cols>
  <sheetData>
    <row r="1" spans="1:26" ht="25.5">
      <c r="A1" s="384" t="s">
        <v>171</v>
      </c>
      <c r="B1" s="384" t="s">
        <v>172</v>
      </c>
      <c r="C1" s="384" t="s">
        <v>173</v>
      </c>
      <c r="D1" s="383" t="s">
        <v>0</v>
      </c>
      <c r="E1" s="384" t="s">
        <v>174</v>
      </c>
      <c r="F1" s="384" t="s">
        <v>175</v>
      </c>
      <c r="G1" s="384" t="s">
        <v>177</v>
      </c>
      <c r="H1" s="384" t="s">
        <v>178</v>
      </c>
      <c r="I1" s="384" t="s">
        <v>179</v>
      </c>
      <c r="J1" s="386" t="s">
        <v>180</v>
      </c>
      <c r="K1" s="387" t="s">
        <v>181</v>
      </c>
      <c r="L1" s="388" t="s">
        <v>182</v>
      </c>
      <c r="M1" s="388" t="s">
        <v>183</v>
      </c>
      <c r="N1" s="388" t="s">
        <v>184</v>
      </c>
      <c r="O1" s="388" t="s">
        <v>185</v>
      </c>
      <c r="P1" s="388" t="s">
        <v>205</v>
      </c>
      <c r="Q1" s="385" t="s">
        <v>176</v>
      </c>
      <c r="R1" s="388" t="s">
        <v>186</v>
      </c>
      <c r="S1" s="404" t="s">
        <v>1</v>
      </c>
      <c r="T1" s="388" t="s">
        <v>212</v>
      </c>
      <c r="U1" s="388"/>
      <c r="V1" s="388" t="s">
        <v>196</v>
      </c>
      <c r="W1" s="388" t="s">
        <v>198</v>
      </c>
      <c r="X1" s="388" t="s">
        <v>197</v>
      </c>
      <c r="Y1" s="404" t="s">
        <v>195</v>
      </c>
      <c r="Z1" s="404" t="s">
        <v>202</v>
      </c>
    </row>
    <row r="2" spans="1:26">
      <c r="A2" s="389" t="s">
        <v>266</v>
      </c>
      <c r="B2" s="389" t="s">
        <v>216</v>
      </c>
      <c r="C2" s="389"/>
      <c r="D2" s="390"/>
      <c r="E2" s="391"/>
      <c r="F2" s="425" t="s">
        <v>550</v>
      </c>
      <c r="G2" s="393">
        <v>42761.795138888891</v>
      </c>
      <c r="H2" s="391"/>
      <c r="I2" s="391">
        <v>1</v>
      </c>
      <c r="J2" s="391"/>
      <c r="K2" s="394"/>
      <c r="L2" s="393"/>
      <c r="M2" s="393"/>
      <c r="N2" s="391" t="s">
        <v>190</v>
      </c>
      <c r="O2" s="391" t="s">
        <v>192</v>
      </c>
      <c r="P2" s="391" t="s">
        <v>551</v>
      </c>
      <c r="Q2" s="391" t="s">
        <v>189</v>
      </c>
      <c r="R2" s="391" t="e">
        <f>VLOOKUP(P2,'Exam Workorders'!F:Q,12,FALSE)</f>
        <v>#N/A</v>
      </c>
      <c r="S2" s="545" t="e">
        <f t="shared" ref="S2:S42" si="0">RIGHT(R2,LEN(R2)-2)</f>
        <v>#N/A</v>
      </c>
      <c r="T2" s="544" t="e">
        <f>VLOOKUP(P2,'Exam Workorders'!F:Q,2,FALSE)</f>
        <v>#N/A</v>
      </c>
      <c r="U2" s="391" t="str">
        <f t="shared" ref="U2:U33" si="1">A2</f>
        <v>221143</v>
      </c>
      <c r="V2" s="403" t="s">
        <v>137</v>
      </c>
      <c r="W2" s="390" t="str">
        <f t="shared" ref="W2:W33" si="2">CONCATENATE(U2,V2)</f>
        <v>221143</v>
      </c>
      <c r="X2" s="390" t="str">
        <f t="shared" ref="X2:X33" si="3">CONCATENATE(V2,W2)</f>
        <v>221143</v>
      </c>
      <c r="Y2" s="402" t="str">
        <f t="shared" ref="Y2:Y33" si="4">IF(B2="APPR","CHECKED","TOPLAN")</f>
        <v>TOPLAN</v>
      </c>
      <c r="Z2" s="402" t="str">
        <f t="shared" ref="Z2:Z26" si="5">F2</f>
        <v>8722378</v>
      </c>
    </row>
    <row r="3" spans="1:26">
      <c r="A3" s="389" t="s">
        <v>266</v>
      </c>
      <c r="B3" s="389" t="s">
        <v>216</v>
      </c>
      <c r="C3" s="389"/>
      <c r="D3" s="390"/>
      <c r="E3" s="391"/>
      <c r="F3" s="425" t="s">
        <v>548</v>
      </c>
      <c r="G3" s="393">
        <v>42760.711331018516</v>
      </c>
      <c r="H3" s="391"/>
      <c r="I3" s="391">
        <v>1</v>
      </c>
      <c r="J3" s="391"/>
      <c r="K3" s="394"/>
      <c r="L3" s="393"/>
      <c r="M3" s="393"/>
      <c r="N3" s="391" t="s">
        <v>190</v>
      </c>
      <c r="O3" s="391" t="s">
        <v>192</v>
      </c>
      <c r="P3" s="425" t="s">
        <v>549</v>
      </c>
      <c r="Q3" s="425" t="s">
        <v>189</v>
      </c>
      <c r="R3" s="391" t="e">
        <f>VLOOKUP(P3,'Exam Workorders'!F:Q,12,FALSE)</f>
        <v>#N/A</v>
      </c>
      <c r="S3" s="545" t="e">
        <f t="shared" si="0"/>
        <v>#N/A</v>
      </c>
      <c r="T3" s="544" t="e">
        <f>VLOOKUP(P3,'Exam Workorders'!F:Q,2,FALSE)</f>
        <v>#N/A</v>
      </c>
      <c r="U3" s="391" t="str">
        <f t="shared" si="1"/>
        <v>221143</v>
      </c>
      <c r="V3" s="403" t="s">
        <v>137</v>
      </c>
      <c r="W3" s="390" t="str">
        <f t="shared" si="2"/>
        <v>221143</v>
      </c>
      <c r="X3" s="390" t="str">
        <f t="shared" si="3"/>
        <v>221143</v>
      </c>
      <c r="Y3" s="402" t="str">
        <f t="shared" si="4"/>
        <v>TOPLAN</v>
      </c>
      <c r="Z3" s="402" t="str">
        <f t="shared" si="5"/>
        <v>8718648</v>
      </c>
    </row>
    <row r="4" spans="1:26">
      <c r="A4" s="389" t="s">
        <v>325</v>
      </c>
      <c r="B4" s="389" t="s">
        <v>193</v>
      </c>
      <c r="C4" s="389"/>
      <c r="D4" s="390"/>
      <c r="E4" s="391"/>
      <c r="F4" s="425" t="s">
        <v>1027</v>
      </c>
      <c r="G4" s="393">
        <v>42931.800497685188</v>
      </c>
      <c r="H4" s="391"/>
      <c r="I4" s="391">
        <v>1</v>
      </c>
      <c r="J4" s="391"/>
      <c r="K4" s="394"/>
      <c r="L4" s="393"/>
      <c r="M4" s="393"/>
      <c r="N4" s="391" t="s">
        <v>190</v>
      </c>
      <c r="O4" s="391" t="s">
        <v>191</v>
      </c>
      <c r="P4" s="391" t="s">
        <v>1028</v>
      </c>
      <c r="Q4" s="391" t="s">
        <v>189</v>
      </c>
      <c r="R4" s="391" t="str">
        <f>VLOOKUP(P4,'Exam Workorders'!F:Q,12,FALSE)</f>
        <v>X1C2</v>
      </c>
      <c r="S4" s="545" t="str">
        <f t="shared" si="0"/>
        <v>C2</v>
      </c>
      <c r="T4" s="544" t="str">
        <f>VLOOKUP(P4,'Exam Workorders'!F:Q,2,FALSE)</f>
        <v>ARRIVA XC CLASS 221 CORE EXAM (NEW C1-C4)</v>
      </c>
      <c r="U4" s="391" t="str">
        <f t="shared" si="1"/>
        <v>221136</v>
      </c>
      <c r="V4" s="403" t="s">
        <v>137</v>
      </c>
      <c r="W4" s="390" t="str">
        <f t="shared" si="2"/>
        <v>221136</v>
      </c>
      <c r="X4" s="390" t="str">
        <f t="shared" si="3"/>
        <v>221136</v>
      </c>
      <c r="Y4" s="402" t="str">
        <f t="shared" si="4"/>
        <v>CHECKED</v>
      </c>
      <c r="Z4" s="402" t="str">
        <f t="shared" si="5"/>
        <v>9166462</v>
      </c>
    </row>
    <row r="5" spans="1:26">
      <c r="A5" s="389" t="s">
        <v>243</v>
      </c>
      <c r="B5" s="389" t="s">
        <v>216</v>
      </c>
      <c r="C5" s="389"/>
      <c r="D5" s="390"/>
      <c r="E5" s="391"/>
      <c r="F5" s="425" t="s">
        <v>955</v>
      </c>
      <c r="G5" s="393">
        <v>42928.937337962961</v>
      </c>
      <c r="H5" s="391" t="s">
        <v>243</v>
      </c>
      <c r="I5" s="391">
        <v>1</v>
      </c>
      <c r="J5" s="391"/>
      <c r="K5" s="394"/>
      <c r="L5" s="393" t="s">
        <v>243</v>
      </c>
      <c r="M5" s="393"/>
      <c r="N5" s="391" t="s">
        <v>190</v>
      </c>
      <c r="O5" s="391" t="s">
        <v>191</v>
      </c>
      <c r="P5" s="391" t="s">
        <v>956</v>
      </c>
      <c r="Q5" s="391" t="s">
        <v>189</v>
      </c>
      <c r="R5" s="391" t="str">
        <f>VLOOKUP(P5,'Exam Workorders'!F:Q,12,FALSE)</f>
        <v>X1MV5</v>
      </c>
      <c r="S5" s="545" t="str">
        <f t="shared" si="0"/>
        <v>MV5</v>
      </c>
      <c r="T5" s="544" t="str">
        <f>VLOOKUP(P5,'Exam Workorders'!F:Q,2,FALSE)</f>
        <v>ARRIVA XC CLASS 221 MAINTENANCE VISIT (MV1-MV8)</v>
      </c>
      <c r="U5" s="391" t="str">
        <f t="shared" si="1"/>
        <v>221134</v>
      </c>
      <c r="V5" s="403" t="s">
        <v>137</v>
      </c>
      <c r="W5" s="390" t="str">
        <f t="shared" si="2"/>
        <v>221134</v>
      </c>
      <c r="X5" s="390" t="str">
        <f t="shared" si="3"/>
        <v>221134</v>
      </c>
      <c r="Y5" s="402" t="str">
        <f t="shared" si="4"/>
        <v>TOPLAN</v>
      </c>
      <c r="Z5" s="402" t="str">
        <f t="shared" si="5"/>
        <v>9159567</v>
      </c>
    </row>
    <row r="6" spans="1:26">
      <c r="A6" s="389" t="s">
        <v>229</v>
      </c>
      <c r="B6" s="389" t="s">
        <v>193</v>
      </c>
      <c r="C6" s="389"/>
      <c r="D6" s="390"/>
      <c r="E6" s="391"/>
      <c r="F6" s="425" t="s">
        <v>868</v>
      </c>
      <c r="G6" s="393">
        <v>42921.29859953704</v>
      </c>
      <c r="H6" s="391" t="s">
        <v>229</v>
      </c>
      <c r="I6" s="391">
        <v>1</v>
      </c>
      <c r="J6" s="391"/>
      <c r="K6" s="394"/>
      <c r="L6" s="393" t="s">
        <v>229</v>
      </c>
      <c r="M6" s="393"/>
      <c r="N6" s="391" t="s">
        <v>190</v>
      </c>
      <c r="O6" s="391" t="s">
        <v>191</v>
      </c>
      <c r="P6" s="391" t="s">
        <v>869</v>
      </c>
      <c r="Q6" s="391" t="s">
        <v>189</v>
      </c>
      <c r="R6" s="391" t="str">
        <f>VLOOKUP(P6,'Exam Workorders'!F:Q,12,FALSE)</f>
        <v>X1MV6</v>
      </c>
      <c r="S6" s="545" t="str">
        <f t="shared" si="0"/>
        <v>MV6</v>
      </c>
      <c r="T6" s="544" t="str">
        <f>VLOOKUP(P6,'Exam Workorders'!F:Q,2,FALSE)</f>
        <v>ARRIVA XC CLASS 221 MAINTENANCE VISIT (MV1-MV8)</v>
      </c>
      <c r="U6" s="391" t="str">
        <f t="shared" si="1"/>
        <v>221131</v>
      </c>
      <c r="V6" s="403" t="s">
        <v>137</v>
      </c>
      <c r="W6" s="390" t="str">
        <f t="shared" si="2"/>
        <v>221131</v>
      </c>
      <c r="X6" s="390" t="str">
        <f t="shared" si="3"/>
        <v>221131</v>
      </c>
      <c r="Y6" s="402" t="str">
        <f t="shared" si="4"/>
        <v>CHECKED</v>
      </c>
      <c r="Z6" s="402" t="str">
        <f t="shared" si="5"/>
        <v>9140133</v>
      </c>
    </row>
    <row r="7" spans="1:26">
      <c r="A7" s="389" t="s">
        <v>263</v>
      </c>
      <c r="B7" s="389" t="s">
        <v>187</v>
      </c>
      <c r="C7" s="389"/>
      <c r="D7" s="390"/>
      <c r="E7" s="391"/>
      <c r="F7" s="425" t="s">
        <v>1057</v>
      </c>
      <c r="G7" s="393">
        <v>42933.181226851855</v>
      </c>
      <c r="H7" s="391"/>
      <c r="I7" s="391">
        <v>1</v>
      </c>
      <c r="J7" s="391"/>
      <c r="K7" s="394"/>
      <c r="L7" s="393"/>
      <c r="M7" s="393"/>
      <c r="N7" s="391" t="s">
        <v>190</v>
      </c>
      <c r="O7" s="391" t="s">
        <v>191</v>
      </c>
      <c r="P7" s="391" t="s">
        <v>1058</v>
      </c>
      <c r="Q7" s="391" t="s">
        <v>189</v>
      </c>
      <c r="R7" s="391" t="str">
        <f>VLOOKUP(P7,'Exam Workorders'!F:Q,12,FALSE)</f>
        <v>X1C4</v>
      </c>
      <c r="S7" s="545" t="str">
        <f t="shared" si="0"/>
        <v>C4</v>
      </c>
      <c r="T7" s="544" t="str">
        <f>VLOOKUP(P7,'Exam Workorders'!F:Q,2,FALSE)</f>
        <v>ARRIVA XC CLASS 221 CORE EXAM (NEW C1-C4)</v>
      </c>
      <c r="U7" s="391" t="str">
        <f t="shared" si="1"/>
        <v>221127</v>
      </c>
      <c r="V7" s="403" t="s">
        <v>137</v>
      </c>
      <c r="W7" s="390" t="str">
        <f t="shared" si="2"/>
        <v>221127</v>
      </c>
      <c r="X7" s="390" t="str">
        <f t="shared" si="3"/>
        <v>221127</v>
      </c>
      <c r="Y7" s="402" t="str">
        <f t="shared" si="4"/>
        <v>TOPLAN</v>
      </c>
      <c r="Z7" s="402" t="str">
        <f t="shared" si="5"/>
        <v>9168664</v>
      </c>
    </row>
    <row r="8" spans="1:26">
      <c r="A8" s="389" t="s">
        <v>265</v>
      </c>
      <c r="B8" s="389" t="s">
        <v>193</v>
      </c>
      <c r="C8" s="389"/>
      <c r="D8" s="390"/>
      <c r="E8" s="391"/>
      <c r="F8" s="425" t="s">
        <v>925</v>
      </c>
      <c r="G8" s="393">
        <v>42927.819131944445</v>
      </c>
      <c r="H8" s="391" t="s">
        <v>265</v>
      </c>
      <c r="I8" s="391">
        <v>1</v>
      </c>
      <c r="J8" s="391"/>
      <c r="K8" s="394"/>
      <c r="L8" s="393" t="s">
        <v>265</v>
      </c>
      <c r="M8" s="393"/>
      <c r="N8" s="391" t="s">
        <v>190</v>
      </c>
      <c r="O8" s="391" t="s">
        <v>191</v>
      </c>
      <c r="P8" s="391" t="s">
        <v>926</v>
      </c>
      <c r="Q8" s="391" t="s">
        <v>189</v>
      </c>
      <c r="R8" s="391" t="str">
        <f>VLOOKUP(P8,'Exam Workorders'!F:Q,12,FALSE)</f>
        <v>X1MV6</v>
      </c>
      <c r="S8" s="545" t="str">
        <f t="shared" si="0"/>
        <v>MV6</v>
      </c>
      <c r="T8" s="544" t="str">
        <f>VLOOKUP(P8,'Exam Workorders'!F:Q,2,FALSE)</f>
        <v>ARRIVA XC CLASS 221 MAINTENANCE VISIT (MV1-MV8)</v>
      </c>
      <c r="U8" s="391" t="str">
        <f t="shared" si="1"/>
        <v>221125</v>
      </c>
      <c r="V8" s="403" t="s">
        <v>137</v>
      </c>
      <c r="W8" s="390" t="str">
        <f t="shared" si="2"/>
        <v>221125</v>
      </c>
      <c r="X8" s="390" t="str">
        <f t="shared" si="3"/>
        <v>221125</v>
      </c>
      <c r="Y8" s="402" t="str">
        <f t="shared" si="4"/>
        <v>CHECKED</v>
      </c>
      <c r="Z8" s="402" t="str">
        <f t="shared" si="5"/>
        <v>9156420</v>
      </c>
    </row>
    <row r="9" spans="1:26">
      <c r="A9" s="389" t="s">
        <v>301</v>
      </c>
      <c r="B9" s="389" t="s">
        <v>216</v>
      </c>
      <c r="C9" s="389"/>
      <c r="D9" s="390"/>
      <c r="E9" s="391"/>
      <c r="F9" s="425" t="s">
        <v>543</v>
      </c>
      <c r="G9" s="393">
        <v>42756.12940972222</v>
      </c>
      <c r="H9" s="391"/>
      <c r="I9" s="391">
        <v>1</v>
      </c>
      <c r="J9" s="391"/>
      <c r="K9" s="394"/>
      <c r="L9" s="393"/>
      <c r="M9" s="393"/>
      <c r="N9" s="391" t="s">
        <v>190</v>
      </c>
      <c r="O9" s="391" t="s">
        <v>191</v>
      </c>
      <c r="P9" s="391" t="s">
        <v>544</v>
      </c>
      <c r="Q9" s="391" t="s">
        <v>189</v>
      </c>
      <c r="R9" s="391" t="e">
        <f>VLOOKUP(P9,'Exam Workorders'!F:Q,12,FALSE)</f>
        <v>#N/A</v>
      </c>
      <c r="S9" s="545" t="e">
        <f t="shared" si="0"/>
        <v>#N/A</v>
      </c>
      <c r="T9" s="544" t="e">
        <f>VLOOKUP(P9,'Exam Workorders'!F:Q,2,FALSE)</f>
        <v>#N/A</v>
      </c>
      <c r="U9" s="391" t="str">
        <f t="shared" si="1"/>
        <v>221121</v>
      </c>
      <c r="V9" s="403" t="s">
        <v>137</v>
      </c>
      <c r="W9" s="390" t="str">
        <f t="shared" si="2"/>
        <v>221121</v>
      </c>
      <c r="X9" s="390" t="str">
        <f t="shared" si="3"/>
        <v>221121</v>
      </c>
      <c r="Y9" s="402" t="str">
        <f t="shared" si="4"/>
        <v>TOPLAN</v>
      </c>
      <c r="Z9" s="402" t="str">
        <f t="shared" si="5"/>
        <v>8705342</v>
      </c>
    </row>
    <row r="10" spans="1:26" ht="25.5">
      <c r="A10" s="389" t="s">
        <v>297</v>
      </c>
      <c r="B10" s="389" t="s">
        <v>193</v>
      </c>
      <c r="C10" s="389"/>
      <c r="D10" s="390"/>
      <c r="E10" s="391"/>
      <c r="F10" s="425" t="s">
        <v>998</v>
      </c>
      <c r="G10" s="393">
        <v>42930.233483796299</v>
      </c>
      <c r="H10" s="391"/>
      <c r="I10" s="391">
        <v>1</v>
      </c>
      <c r="J10" s="391"/>
      <c r="K10" s="394"/>
      <c r="L10" s="393"/>
      <c r="M10" s="393"/>
      <c r="N10" s="391" t="s">
        <v>190</v>
      </c>
      <c r="O10" s="391" t="s">
        <v>191</v>
      </c>
      <c r="P10" s="425" t="s">
        <v>999</v>
      </c>
      <c r="Q10" s="425" t="s">
        <v>189</v>
      </c>
      <c r="R10" s="391" t="str">
        <f>VLOOKUP(P10,'Exam Workorders'!F:Q,12,FALSE)</f>
        <v>X1S4A</v>
      </c>
      <c r="S10" s="545" t="str">
        <f t="shared" si="0"/>
        <v>S4A</v>
      </c>
      <c r="T10" s="544" t="str">
        <f>VLOOKUP(P10,'Exam Workorders'!F:Q,2,FALSE)</f>
        <v>ARRIVA XC CLASS 221 SERVICE EXAM (NEW S1-S8) - Amended to include AIR FLOW MEASUREMENT POINT DATA (11/2016)</v>
      </c>
      <c r="U10" s="391" t="str">
        <f t="shared" si="1"/>
        <v>221119</v>
      </c>
      <c r="V10" s="403" t="s">
        <v>137</v>
      </c>
      <c r="W10" s="390" t="str">
        <f t="shared" si="2"/>
        <v>221119</v>
      </c>
      <c r="X10" s="390" t="str">
        <f t="shared" si="3"/>
        <v>221119</v>
      </c>
      <c r="Y10" s="402" t="str">
        <f t="shared" si="4"/>
        <v>CHECKED</v>
      </c>
      <c r="Z10" s="402" t="str">
        <f t="shared" si="5"/>
        <v>9161930</v>
      </c>
    </row>
    <row r="11" spans="1:26">
      <c r="A11" s="389" t="s">
        <v>293</v>
      </c>
      <c r="B11" s="389" t="s">
        <v>216</v>
      </c>
      <c r="C11" s="389"/>
      <c r="D11" s="390"/>
      <c r="E11" s="391"/>
      <c r="F11" s="425" t="s">
        <v>553</v>
      </c>
      <c r="G11" s="393">
        <v>42763.856550925928</v>
      </c>
      <c r="H11" s="391"/>
      <c r="I11" s="391">
        <v>1</v>
      </c>
      <c r="J11" s="391"/>
      <c r="K11" s="394"/>
      <c r="L11" s="393"/>
      <c r="M11" s="393"/>
      <c r="N11" s="391" t="s">
        <v>190</v>
      </c>
      <c r="O11" s="391" t="s">
        <v>192</v>
      </c>
      <c r="P11" s="391" t="s">
        <v>554</v>
      </c>
      <c r="Q11" s="391" t="s">
        <v>189</v>
      </c>
      <c r="R11" s="391" t="e">
        <f>VLOOKUP(P11,'Exam Workorders'!F:Q,12,FALSE)</f>
        <v>#N/A</v>
      </c>
      <c r="S11" s="545" t="e">
        <f t="shared" si="0"/>
        <v>#N/A</v>
      </c>
      <c r="T11" s="544" t="e">
        <f>VLOOKUP(P11,'Exam Workorders'!F:Q,2,FALSE)</f>
        <v>#N/A</v>
      </c>
      <c r="U11" s="391" t="str">
        <f t="shared" si="1"/>
        <v>221117</v>
      </c>
      <c r="V11" s="403" t="s">
        <v>137</v>
      </c>
      <c r="W11" s="390" t="str">
        <f t="shared" si="2"/>
        <v>221117</v>
      </c>
      <c r="X11" s="390" t="str">
        <f t="shared" si="3"/>
        <v>221117</v>
      </c>
      <c r="Y11" s="402" t="str">
        <f t="shared" si="4"/>
        <v>TOPLAN</v>
      </c>
      <c r="Z11" s="402" t="str">
        <f t="shared" si="5"/>
        <v>8728044</v>
      </c>
    </row>
    <row r="12" spans="1:26">
      <c r="A12" s="389" t="s">
        <v>292</v>
      </c>
      <c r="B12" s="389" t="s">
        <v>193</v>
      </c>
      <c r="C12" s="389"/>
      <c r="D12" s="390"/>
      <c r="E12" s="391"/>
      <c r="F12" s="425" t="s">
        <v>990</v>
      </c>
      <c r="G12" s="393">
        <v>42929.728194444448</v>
      </c>
      <c r="H12" s="391"/>
      <c r="I12" s="391">
        <v>1</v>
      </c>
      <c r="J12" s="391"/>
      <c r="K12" s="394"/>
      <c r="L12" s="393"/>
      <c r="M12" s="393"/>
      <c r="N12" s="391" t="s">
        <v>190</v>
      </c>
      <c r="O12" s="391" t="s">
        <v>192</v>
      </c>
      <c r="P12" s="391" t="s">
        <v>991</v>
      </c>
      <c r="Q12" s="391" t="s">
        <v>189</v>
      </c>
      <c r="R12" s="391" t="str">
        <f>VLOOKUP(P12,'Exam Workorders'!F:Q,12,FALSE)</f>
        <v>W1C1</v>
      </c>
      <c r="S12" s="545" t="str">
        <f t="shared" si="0"/>
        <v>C1</v>
      </c>
      <c r="T12" s="544" t="str">
        <f>VLOOKUP(P12,'Exam Workorders'!F:Q,2,FALSE)</f>
        <v>VIRGIN WC CLASS 221 CORE EXAM (NEW C1-C4)</v>
      </c>
      <c r="U12" s="391" t="str">
        <f t="shared" si="1"/>
        <v>221116</v>
      </c>
      <c r="V12" s="403" t="s">
        <v>137</v>
      </c>
      <c r="W12" s="390" t="str">
        <f t="shared" si="2"/>
        <v>221116</v>
      </c>
      <c r="X12" s="390" t="str">
        <f t="shared" si="3"/>
        <v>221116</v>
      </c>
      <c r="Y12" s="402" t="str">
        <f t="shared" si="4"/>
        <v>CHECKED</v>
      </c>
      <c r="Z12" s="402" t="str">
        <f t="shared" si="5"/>
        <v>9161060</v>
      </c>
    </row>
    <row r="13" spans="1:26" ht="25.5">
      <c r="A13" s="389" t="s">
        <v>232</v>
      </c>
      <c r="B13" s="389" t="s">
        <v>187</v>
      </c>
      <c r="C13" s="389"/>
      <c r="D13" s="390"/>
      <c r="E13" s="391"/>
      <c r="F13" s="425" t="s">
        <v>992</v>
      </c>
      <c r="G13" s="393">
        <v>42930.456597222219</v>
      </c>
      <c r="H13" s="391"/>
      <c r="I13" s="391">
        <v>1</v>
      </c>
      <c r="J13" s="391"/>
      <c r="K13" s="394"/>
      <c r="L13" s="393"/>
      <c r="M13" s="393"/>
      <c r="N13" s="391" t="s">
        <v>190</v>
      </c>
      <c r="O13" s="391" t="s">
        <v>192</v>
      </c>
      <c r="P13" s="391" t="s">
        <v>993</v>
      </c>
      <c r="Q13" s="391" t="s">
        <v>189</v>
      </c>
      <c r="R13" s="391" t="str">
        <f>VLOOKUP(P13,'Exam Workorders'!F:Q,12,FALSE)</f>
        <v>W1S8A</v>
      </c>
      <c r="S13" s="545" t="str">
        <f t="shared" si="0"/>
        <v>S8A</v>
      </c>
      <c r="T13" s="544" t="str">
        <f>VLOOKUP(P13,'Exam Workorders'!F:Q,2,FALSE)</f>
        <v>VIRGIN WC CLASS 221 SERVICE EXAM (NEW S1-S8) - Amended to include AIR FLOW MEASUREMENT POINT DATA (11/2016)</v>
      </c>
      <c r="U13" s="391" t="str">
        <f t="shared" si="1"/>
        <v>221114</v>
      </c>
      <c r="V13" s="403" t="s">
        <v>137</v>
      </c>
      <c r="W13" s="390" t="str">
        <f t="shared" si="2"/>
        <v>221114</v>
      </c>
      <c r="X13" s="390" t="str">
        <f t="shared" si="3"/>
        <v>221114</v>
      </c>
      <c r="Y13" s="402" t="str">
        <f t="shared" si="4"/>
        <v>TOPLAN</v>
      </c>
      <c r="Z13" s="402" t="str">
        <f t="shared" si="5"/>
        <v>9162774</v>
      </c>
    </row>
    <row r="14" spans="1:26">
      <c r="A14" s="389" t="s">
        <v>232</v>
      </c>
      <c r="B14" s="389" t="s">
        <v>216</v>
      </c>
      <c r="C14" s="389"/>
      <c r="D14" s="390"/>
      <c r="E14" s="391"/>
      <c r="F14" s="425" t="s">
        <v>994</v>
      </c>
      <c r="G14" s="393">
        <v>42930.456504629627</v>
      </c>
      <c r="H14" s="391" t="s">
        <v>232</v>
      </c>
      <c r="I14" s="391">
        <v>1</v>
      </c>
      <c r="J14" s="391"/>
      <c r="K14" s="394"/>
      <c r="L14" s="393" t="s">
        <v>232</v>
      </c>
      <c r="M14" s="393"/>
      <c r="N14" s="391" t="s">
        <v>190</v>
      </c>
      <c r="O14" s="391" t="s">
        <v>192</v>
      </c>
      <c r="P14" s="391" t="s">
        <v>995</v>
      </c>
      <c r="Q14" s="391" t="s">
        <v>189</v>
      </c>
      <c r="R14" s="391" t="str">
        <f>VLOOKUP(P14,'Exam Workorders'!F:Q,12,FALSE)</f>
        <v>W1MV1</v>
      </c>
      <c r="S14" s="545" t="str">
        <f t="shared" si="0"/>
        <v>MV1</v>
      </c>
      <c r="T14" s="544" t="str">
        <f>VLOOKUP(P14,'Exam Workorders'!F:Q,2,FALSE)</f>
        <v>VIRGIN WC CLASS 221 MAINTENANCE VISIT (MV1-MV8)</v>
      </c>
      <c r="U14" s="391" t="str">
        <f t="shared" si="1"/>
        <v>221114</v>
      </c>
      <c r="V14" s="403" t="s">
        <v>137</v>
      </c>
      <c r="W14" s="390" t="str">
        <f t="shared" si="2"/>
        <v>221114</v>
      </c>
      <c r="X14" s="390" t="str">
        <f t="shared" si="3"/>
        <v>221114</v>
      </c>
      <c r="Y14" s="402" t="str">
        <f t="shared" si="4"/>
        <v>TOPLAN</v>
      </c>
      <c r="Z14" s="402" t="str">
        <f t="shared" si="5"/>
        <v>9162734</v>
      </c>
    </row>
    <row r="15" spans="1:26">
      <c r="A15" s="389" t="s">
        <v>256</v>
      </c>
      <c r="B15" s="389" t="s">
        <v>187</v>
      </c>
      <c r="C15" s="389"/>
      <c r="D15" s="390"/>
      <c r="E15" s="391"/>
      <c r="F15" s="425" t="s">
        <v>1064</v>
      </c>
      <c r="G15" s="393">
        <v>42933.253310185188</v>
      </c>
      <c r="H15" s="391"/>
      <c r="I15" s="391">
        <v>1</v>
      </c>
      <c r="J15" s="391"/>
      <c r="K15" s="394"/>
      <c r="L15" s="393"/>
      <c r="M15" s="393"/>
      <c r="N15" s="391" t="s">
        <v>190</v>
      </c>
      <c r="O15" s="391" t="s">
        <v>192</v>
      </c>
      <c r="P15" s="391" t="s">
        <v>1065</v>
      </c>
      <c r="Q15" s="391" t="s">
        <v>189</v>
      </c>
      <c r="R15" s="391" t="str">
        <f>VLOOKUP(P15,'Exam Workorders'!F:Q,12,FALSE)</f>
        <v>W1C4</v>
      </c>
      <c r="S15" s="545" t="str">
        <f t="shared" si="0"/>
        <v>C4</v>
      </c>
      <c r="T15" s="544" t="str">
        <f>VLOOKUP(P15,'Exam Workorders'!F:Q,2,FALSE)</f>
        <v>VIRGIN WC CLASS 221 CORE EXAM (NEW C1-C4)</v>
      </c>
      <c r="U15" s="391" t="str">
        <f t="shared" si="1"/>
        <v>221111</v>
      </c>
      <c r="V15" s="403" t="s">
        <v>137</v>
      </c>
      <c r="W15" s="390" t="str">
        <f t="shared" si="2"/>
        <v>221111</v>
      </c>
      <c r="X15" s="390" t="str">
        <f t="shared" si="3"/>
        <v>221111</v>
      </c>
      <c r="Y15" s="402" t="str">
        <f t="shared" si="4"/>
        <v>TOPLAN</v>
      </c>
      <c r="Z15" s="402" t="str">
        <f t="shared" si="5"/>
        <v>9168833</v>
      </c>
    </row>
    <row r="16" spans="1:26">
      <c r="A16" s="389" t="s">
        <v>259</v>
      </c>
      <c r="B16" s="389" t="s">
        <v>187</v>
      </c>
      <c r="C16" s="389"/>
      <c r="D16" s="390"/>
      <c r="E16" s="391"/>
      <c r="F16" s="425" t="s">
        <v>1036</v>
      </c>
      <c r="G16" s="393">
        <v>42932.248761574076</v>
      </c>
      <c r="H16" s="391"/>
      <c r="I16" s="391">
        <v>1</v>
      </c>
      <c r="J16" s="391"/>
      <c r="K16" s="394"/>
      <c r="L16" s="393"/>
      <c r="M16" s="393"/>
      <c r="N16" s="391" t="s">
        <v>190</v>
      </c>
      <c r="O16" s="391" t="s">
        <v>192</v>
      </c>
      <c r="P16" s="391" t="s">
        <v>1037</v>
      </c>
      <c r="Q16" s="391" t="s">
        <v>189</v>
      </c>
      <c r="R16" s="391" t="str">
        <f>VLOOKUP(P16,'Exam Workorders'!F:Q,12,FALSE)</f>
        <v>W1C2</v>
      </c>
      <c r="S16" s="545" t="str">
        <f t="shared" si="0"/>
        <v>C2</v>
      </c>
      <c r="T16" s="544" t="str">
        <f>VLOOKUP(P16,'Exam Workorders'!F:Q,2,FALSE)</f>
        <v>VIRGIN WC CLASS 221 CORE EXAM (NEW C1-C4)</v>
      </c>
      <c r="U16" s="391" t="str">
        <f t="shared" si="1"/>
        <v>221107</v>
      </c>
      <c r="V16" s="403" t="s">
        <v>137</v>
      </c>
      <c r="W16" s="390" t="str">
        <f t="shared" si="2"/>
        <v>221107</v>
      </c>
      <c r="X16" s="390" t="str">
        <f t="shared" si="3"/>
        <v>221107</v>
      </c>
      <c r="Y16" s="402" t="str">
        <f t="shared" si="4"/>
        <v>TOPLAN</v>
      </c>
      <c r="Z16" s="402" t="str">
        <f t="shared" si="5"/>
        <v>9166972</v>
      </c>
    </row>
    <row r="17" spans="1:26">
      <c r="A17" s="389" t="s">
        <v>267</v>
      </c>
      <c r="B17" s="389" t="s">
        <v>428</v>
      </c>
      <c r="C17" s="389"/>
      <c r="D17" s="390"/>
      <c r="E17" s="391"/>
      <c r="F17" s="425" t="s">
        <v>866</v>
      </c>
      <c r="G17" s="393">
        <v>42921.388171296298</v>
      </c>
      <c r="H17" s="391" t="s">
        <v>267</v>
      </c>
      <c r="I17" s="391">
        <v>1</v>
      </c>
      <c r="J17" s="391"/>
      <c r="K17" s="394"/>
      <c r="L17" s="393" t="s">
        <v>267</v>
      </c>
      <c r="M17" s="393"/>
      <c r="N17" s="391" t="s">
        <v>190</v>
      </c>
      <c r="O17" s="391" t="s">
        <v>192</v>
      </c>
      <c r="P17" s="391" t="s">
        <v>867</v>
      </c>
      <c r="Q17" s="391" t="s">
        <v>189</v>
      </c>
      <c r="R17" s="391" t="str">
        <f>VLOOKUP(P17,'Exam Workorders'!F:Q,12,FALSE)</f>
        <v>W1MV8</v>
      </c>
      <c r="S17" s="545" t="str">
        <f t="shared" si="0"/>
        <v>MV8</v>
      </c>
      <c r="T17" s="544" t="str">
        <f>VLOOKUP(P17,'Exam Workorders'!F:Q,2,FALSE)</f>
        <v>VIRGIN WC CLASS 221 MAINTENANCE VISIT (MV1-MV8)</v>
      </c>
      <c r="U17" s="391" t="str">
        <f t="shared" si="1"/>
        <v>221106</v>
      </c>
      <c r="V17" s="403" t="s">
        <v>137</v>
      </c>
      <c r="W17" s="390" t="str">
        <f t="shared" si="2"/>
        <v>221106</v>
      </c>
      <c r="X17" s="390" t="str">
        <f t="shared" si="3"/>
        <v>221106</v>
      </c>
      <c r="Y17" s="402" t="str">
        <f t="shared" si="4"/>
        <v>TOPLAN</v>
      </c>
      <c r="Z17" s="402" t="str">
        <f t="shared" si="5"/>
        <v>9140348</v>
      </c>
    </row>
    <row r="18" spans="1:26">
      <c r="A18" s="389" t="s">
        <v>230</v>
      </c>
      <c r="B18" s="389" t="s">
        <v>193</v>
      </c>
      <c r="C18" s="389"/>
      <c r="D18" s="390"/>
      <c r="E18" s="391"/>
      <c r="F18" s="425" t="s">
        <v>835</v>
      </c>
      <c r="G18" s="393">
        <v>42919.961192129631</v>
      </c>
      <c r="H18" s="391" t="s">
        <v>230</v>
      </c>
      <c r="I18" s="391">
        <v>1</v>
      </c>
      <c r="J18" s="391"/>
      <c r="K18" s="394"/>
      <c r="L18" s="393" t="s">
        <v>230</v>
      </c>
      <c r="M18" s="393"/>
      <c r="N18" s="391" t="s">
        <v>190</v>
      </c>
      <c r="O18" s="391" t="s">
        <v>192</v>
      </c>
      <c r="P18" s="391" t="s">
        <v>836</v>
      </c>
      <c r="Q18" s="391" t="s">
        <v>189</v>
      </c>
      <c r="R18" s="391" t="str">
        <f>VLOOKUP(P18,'Exam Workorders'!F:Q,12,FALSE)</f>
        <v>W1MV8</v>
      </c>
      <c r="S18" s="545" t="str">
        <f t="shared" si="0"/>
        <v>MV8</v>
      </c>
      <c r="T18" s="544" t="str">
        <f>VLOOKUP(P18,'Exam Workorders'!F:Q,2,FALSE)</f>
        <v>VIRGIN WC CLASS 221 MAINTENANCE VISIT (MV1-MV8)</v>
      </c>
      <c r="U18" s="391" t="str">
        <f t="shared" si="1"/>
        <v>221104</v>
      </c>
      <c r="V18" s="403" t="s">
        <v>137</v>
      </c>
      <c r="W18" s="390" t="str">
        <f t="shared" si="2"/>
        <v>221104</v>
      </c>
      <c r="X18" s="390" t="str">
        <f t="shared" si="3"/>
        <v>221104</v>
      </c>
      <c r="Y18" s="402" t="str">
        <f t="shared" si="4"/>
        <v>CHECKED</v>
      </c>
      <c r="Z18" s="402" t="str">
        <f t="shared" si="5"/>
        <v>9136268</v>
      </c>
    </row>
    <row r="19" spans="1:26">
      <c r="A19" s="389" t="s">
        <v>211</v>
      </c>
      <c r="B19" s="389" t="s">
        <v>187</v>
      </c>
      <c r="C19" s="389"/>
      <c r="D19" s="390"/>
      <c r="E19" s="391"/>
      <c r="F19" s="425" t="s">
        <v>1018</v>
      </c>
      <c r="G19" s="393">
        <v>42931.087638888886</v>
      </c>
      <c r="H19" s="391"/>
      <c r="I19" s="391">
        <v>1</v>
      </c>
      <c r="J19" s="391"/>
      <c r="K19" s="394"/>
      <c r="L19" s="393"/>
      <c r="M19" s="393"/>
      <c r="N19" s="391" t="s">
        <v>190</v>
      </c>
      <c r="O19" s="391" t="s">
        <v>194</v>
      </c>
      <c r="P19" s="391" t="s">
        <v>1019</v>
      </c>
      <c r="Q19" s="391" t="s">
        <v>189</v>
      </c>
      <c r="R19" s="391" t="str">
        <f>VLOOKUP(P19,'Exam Workorders'!F:Q,12,FALSE)</f>
        <v>X0C4</v>
      </c>
      <c r="S19" s="545" t="str">
        <f t="shared" si="0"/>
        <v>C4</v>
      </c>
      <c r="T19" s="544" t="str">
        <f>VLOOKUP(P19,'Exam Workorders'!F:Q,2,FALSE)</f>
        <v>ARRIVA XC CLASS 220 CORE EXAM (NEW C1-C4)</v>
      </c>
      <c r="U19" s="391" t="str">
        <f t="shared" si="1"/>
        <v>220031</v>
      </c>
      <c r="V19" s="403" t="s">
        <v>137</v>
      </c>
      <c r="W19" s="390" t="str">
        <f t="shared" si="2"/>
        <v>220031</v>
      </c>
      <c r="X19" s="390" t="str">
        <f t="shared" si="3"/>
        <v>220031</v>
      </c>
      <c r="Y19" s="402" t="str">
        <f t="shared" si="4"/>
        <v>TOPLAN</v>
      </c>
      <c r="Z19" s="402" t="str">
        <f t="shared" si="5"/>
        <v>9164616</v>
      </c>
    </row>
    <row r="20" spans="1:26">
      <c r="A20" s="389" t="s">
        <v>211</v>
      </c>
      <c r="B20" s="389" t="s">
        <v>216</v>
      </c>
      <c r="C20" s="389"/>
      <c r="D20" s="390"/>
      <c r="E20" s="391"/>
      <c r="F20" s="391" t="s">
        <v>911</v>
      </c>
      <c r="G20" s="393">
        <v>42927.400011574071</v>
      </c>
      <c r="H20" s="391" t="s">
        <v>211</v>
      </c>
      <c r="I20" s="391">
        <v>1</v>
      </c>
      <c r="J20" s="391"/>
      <c r="K20" s="394"/>
      <c r="L20" s="393" t="s">
        <v>211</v>
      </c>
      <c r="M20" s="393"/>
      <c r="N20" s="391" t="s">
        <v>190</v>
      </c>
      <c r="O20" s="391" t="s">
        <v>194</v>
      </c>
      <c r="P20" s="391" t="s">
        <v>912</v>
      </c>
      <c r="Q20" s="391" t="s">
        <v>189</v>
      </c>
      <c r="R20" s="391" t="str">
        <f>VLOOKUP(P20,'Exam Workorders'!F:Q,12,FALSE)</f>
        <v>X0MV1</v>
      </c>
      <c r="S20" s="545" t="str">
        <f t="shared" si="0"/>
        <v>MV1</v>
      </c>
      <c r="T20" s="544" t="str">
        <f>VLOOKUP(P20,'Exam Workorders'!F:Q,2,FALSE)</f>
        <v>ARRIVA XC CLASS 220 MAINTENANCE VISIT (MV1-MV8)</v>
      </c>
      <c r="U20" s="391" t="str">
        <f t="shared" si="1"/>
        <v>220031</v>
      </c>
      <c r="V20" s="403" t="s">
        <v>137</v>
      </c>
      <c r="W20" s="390" t="str">
        <f t="shared" si="2"/>
        <v>220031</v>
      </c>
      <c r="X20" s="390" t="str">
        <f t="shared" si="3"/>
        <v>220031</v>
      </c>
      <c r="Y20" s="402" t="str">
        <f t="shared" si="4"/>
        <v>TOPLAN</v>
      </c>
      <c r="Z20" s="402" t="str">
        <f t="shared" si="5"/>
        <v>9154781</v>
      </c>
    </row>
    <row r="21" spans="1:26">
      <c r="A21" s="389" t="s">
        <v>284</v>
      </c>
      <c r="B21" s="389" t="s">
        <v>216</v>
      </c>
      <c r="C21" s="389"/>
      <c r="D21" s="390"/>
      <c r="E21" s="391"/>
      <c r="F21" s="391" t="s">
        <v>1055</v>
      </c>
      <c r="G21" s="393">
        <v>42933.195960648147</v>
      </c>
      <c r="H21" s="391" t="s">
        <v>284</v>
      </c>
      <c r="I21" s="391">
        <v>1</v>
      </c>
      <c r="J21" s="391"/>
      <c r="K21" s="394"/>
      <c r="L21" s="393" t="s">
        <v>284</v>
      </c>
      <c r="M21" s="393"/>
      <c r="N21" s="391" t="s">
        <v>190</v>
      </c>
      <c r="O21" s="391" t="s">
        <v>194</v>
      </c>
      <c r="P21" s="391" t="s">
        <v>1056</v>
      </c>
      <c r="Q21" s="391" t="s">
        <v>189</v>
      </c>
      <c r="R21" s="391" t="str">
        <f>VLOOKUP(P21,'Exam Workorders'!F:Q,12,FALSE)</f>
        <v>X0MV1</v>
      </c>
      <c r="S21" s="545" t="str">
        <f t="shared" si="0"/>
        <v>MV1</v>
      </c>
      <c r="T21" s="544" t="str">
        <f>VLOOKUP(P21,'Exam Workorders'!F:Q,2,FALSE)</f>
        <v>ARRIVA XC CLASS 220 MAINTENANCE VISIT (MV1-MV8)</v>
      </c>
      <c r="U21" s="391" t="str">
        <f t="shared" si="1"/>
        <v>220029</v>
      </c>
      <c r="V21" s="403" t="s">
        <v>137</v>
      </c>
      <c r="W21" s="390" t="str">
        <f t="shared" si="2"/>
        <v>220029</v>
      </c>
      <c r="X21" s="390" t="str">
        <f t="shared" si="3"/>
        <v>220029</v>
      </c>
      <c r="Y21" s="402" t="str">
        <f t="shared" si="4"/>
        <v>TOPLAN</v>
      </c>
      <c r="Z21" s="402" t="str">
        <f t="shared" si="5"/>
        <v>9168749</v>
      </c>
    </row>
    <row r="22" spans="1:26">
      <c r="A22" s="389" t="s">
        <v>283</v>
      </c>
      <c r="B22" s="389" t="s">
        <v>193</v>
      </c>
      <c r="C22" s="389"/>
      <c r="D22" s="390"/>
      <c r="E22" s="391"/>
      <c r="F22" s="391" t="s">
        <v>1025</v>
      </c>
      <c r="G22" s="393">
        <v>42931.720416666663</v>
      </c>
      <c r="H22" s="391"/>
      <c r="I22" s="391">
        <v>1</v>
      </c>
      <c r="J22" s="391"/>
      <c r="K22" s="394"/>
      <c r="L22" s="393"/>
      <c r="M22" s="393"/>
      <c r="N22" s="391" t="s">
        <v>190</v>
      </c>
      <c r="O22" s="391" t="s">
        <v>194</v>
      </c>
      <c r="P22" s="391" t="s">
        <v>1026</v>
      </c>
      <c r="Q22" s="391" t="s">
        <v>189</v>
      </c>
      <c r="R22" s="391" t="str">
        <f>VLOOKUP(P22,'Exam Workorders'!F:Q,12,FALSE)</f>
        <v>X0C1</v>
      </c>
      <c r="S22" s="545" t="str">
        <f t="shared" si="0"/>
        <v>C1</v>
      </c>
      <c r="T22" s="544" t="str">
        <f>VLOOKUP(P22,'Exam Workorders'!F:Q,2,FALSE)</f>
        <v>ARRIVA XC CLASS 220 CORE EXAM (NEW C1-C4)</v>
      </c>
      <c r="U22" s="391" t="str">
        <f t="shared" si="1"/>
        <v>220028</v>
      </c>
      <c r="V22" s="403" t="s">
        <v>137</v>
      </c>
      <c r="W22" s="390" t="str">
        <f t="shared" si="2"/>
        <v>220028</v>
      </c>
      <c r="X22" s="390" t="str">
        <f t="shared" si="3"/>
        <v>220028</v>
      </c>
      <c r="Y22" s="402" t="str">
        <f t="shared" si="4"/>
        <v>CHECKED</v>
      </c>
      <c r="Z22" s="402" t="str">
        <f t="shared" si="5"/>
        <v>9165973</v>
      </c>
    </row>
    <row r="23" spans="1:26">
      <c r="A23" s="389" t="s">
        <v>280</v>
      </c>
      <c r="B23" s="389" t="s">
        <v>216</v>
      </c>
      <c r="C23" s="389"/>
      <c r="D23" s="390"/>
      <c r="E23" s="391"/>
      <c r="F23" s="391" t="s">
        <v>545</v>
      </c>
      <c r="G23" s="393">
        <v>42756.968819444446</v>
      </c>
      <c r="H23" s="391"/>
      <c r="I23" s="391">
        <v>1</v>
      </c>
      <c r="J23" s="391"/>
      <c r="K23" s="394"/>
      <c r="L23" s="393"/>
      <c r="M23" s="393"/>
      <c r="N23" s="391" t="s">
        <v>190</v>
      </c>
      <c r="O23" s="391" t="s">
        <v>194</v>
      </c>
      <c r="P23" s="391" t="s">
        <v>546</v>
      </c>
      <c r="Q23" s="391" t="s">
        <v>189</v>
      </c>
      <c r="R23" s="391" t="e">
        <f>VLOOKUP(P23,'Exam Workorders'!F:Q,12,FALSE)</f>
        <v>#N/A</v>
      </c>
      <c r="S23" s="545" t="e">
        <f t="shared" si="0"/>
        <v>#N/A</v>
      </c>
      <c r="T23" s="544" t="e">
        <f>VLOOKUP(P23,'Exam Workorders'!F:Q,2,FALSE)</f>
        <v>#N/A</v>
      </c>
      <c r="U23" s="391" t="str">
        <f t="shared" si="1"/>
        <v>220024</v>
      </c>
      <c r="V23" s="403" t="s">
        <v>137</v>
      </c>
      <c r="W23" s="390" t="str">
        <f t="shared" si="2"/>
        <v>220024</v>
      </c>
      <c r="X23" s="390" t="str">
        <f t="shared" si="3"/>
        <v>220024</v>
      </c>
      <c r="Y23" s="402" t="str">
        <f t="shared" si="4"/>
        <v>TOPLAN</v>
      </c>
      <c r="Z23" s="402" t="str">
        <f t="shared" si="5"/>
        <v>8707741</v>
      </c>
    </row>
    <row r="24" spans="1:26">
      <c r="A24" s="389" t="s">
        <v>279</v>
      </c>
      <c r="B24" s="389" t="s">
        <v>216</v>
      </c>
      <c r="C24" s="389"/>
      <c r="D24" s="390"/>
      <c r="E24" s="391"/>
      <c r="F24" s="425" t="s">
        <v>878</v>
      </c>
      <c r="G24" s="393">
        <v>42922.077835648146</v>
      </c>
      <c r="H24" s="391" t="s">
        <v>279</v>
      </c>
      <c r="I24" s="391">
        <v>1</v>
      </c>
      <c r="J24" s="391"/>
      <c r="K24" s="394"/>
      <c r="L24" s="393" t="s">
        <v>279</v>
      </c>
      <c r="M24" s="393"/>
      <c r="N24" s="391" t="s">
        <v>190</v>
      </c>
      <c r="O24" s="391" t="s">
        <v>194</v>
      </c>
      <c r="P24" s="391" t="s">
        <v>879</v>
      </c>
      <c r="Q24" s="391" t="s">
        <v>189</v>
      </c>
      <c r="R24" s="391" t="str">
        <f>VLOOKUP(P24,'Exam Workorders'!F:Q,12,FALSE)</f>
        <v>X0MV2</v>
      </c>
      <c r="S24" s="545" t="str">
        <f t="shared" si="0"/>
        <v>MV2</v>
      </c>
      <c r="T24" s="544" t="str">
        <f>VLOOKUP(P24,'Exam Workorders'!F:Q,2,FALSE)</f>
        <v>ARRIVA XC CLASS 220 MAINTENANCE VISIT (MV1-MV8)</v>
      </c>
      <c r="U24" s="391" t="str">
        <f t="shared" si="1"/>
        <v>220021</v>
      </c>
      <c r="V24" s="403" t="s">
        <v>137</v>
      </c>
      <c r="W24" s="390" t="str">
        <f t="shared" si="2"/>
        <v>220021</v>
      </c>
      <c r="X24" s="390" t="str">
        <f t="shared" si="3"/>
        <v>220021</v>
      </c>
      <c r="Y24" s="402" t="str">
        <f t="shared" si="4"/>
        <v>TOPLAN</v>
      </c>
      <c r="Z24" s="402" t="str">
        <f t="shared" si="5"/>
        <v>9142104</v>
      </c>
    </row>
    <row r="25" spans="1:26" ht="25.5">
      <c r="A25" s="389" t="s">
        <v>268</v>
      </c>
      <c r="B25" s="389" t="s">
        <v>193</v>
      </c>
      <c r="C25" s="389"/>
      <c r="D25" s="390"/>
      <c r="E25" s="391"/>
      <c r="F25" s="425" t="s">
        <v>996</v>
      </c>
      <c r="G25" s="393">
        <v>42930.878935185188</v>
      </c>
      <c r="H25" s="391"/>
      <c r="I25" s="391">
        <v>1</v>
      </c>
      <c r="J25" s="391"/>
      <c r="K25" s="394"/>
      <c r="L25" s="393"/>
      <c r="M25" s="393"/>
      <c r="N25" s="391" t="s">
        <v>190</v>
      </c>
      <c r="O25" s="391" t="s">
        <v>194</v>
      </c>
      <c r="P25" s="391" t="s">
        <v>997</v>
      </c>
      <c r="Q25" s="391" t="s">
        <v>189</v>
      </c>
      <c r="R25" s="391" t="str">
        <f>VLOOKUP(P25,'Exam Workorders'!F:Q,12,FALSE)</f>
        <v>X0S2A</v>
      </c>
      <c r="S25" s="545" t="str">
        <f t="shared" si="0"/>
        <v>S2A</v>
      </c>
      <c r="T25" s="544" t="str">
        <f>VLOOKUP(P25,'Exam Workorders'!F:Q,2,FALSE)</f>
        <v>ARRIVA XC CLASS 220 SERVICE EXAM (NEW S1-S8) - Amended to include AIR FLOW MEASUREMENT POINT DATA (11/2016)</v>
      </c>
      <c r="U25" s="391" t="str">
        <f t="shared" si="1"/>
        <v>220020</v>
      </c>
      <c r="V25" s="403" t="s">
        <v>137</v>
      </c>
      <c r="W25" s="390" t="str">
        <f t="shared" si="2"/>
        <v>220020</v>
      </c>
      <c r="X25" s="390" t="str">
        <f t="shared" si="3"/>
        <v>220020</v>
      </c>
      <c r="Y25" s="402" t="str">
        <f t="shared" si="4"/>
        <v>CHECKED</v>
      </c>
      <c r="Z25" s="402" t="str">
        <f t="shared" si="5"/>
        <v>9164324</v>
      </c>
    </row>
    <row r="26" spans="1:26">
      <c r="A26" s="389" t="s">
        <v>268</v>
      </c>
      <c r="B26" s="389" t="s">
        <v>428</v>
      </c>
      <c r="C26" s="389"/>
      <c r="D26" s="390"/>
      <c r="E26" s="391"/>
      <c r="F26" s="425" t="s">
        <v>941</v>
      </c>
      <c r="G26" s="393">
        <v>42928.796990740739</v>
      </c>
      <c r="H26" s="391"/>
      <c r="I26" s="391">
        <v>1</v>
      </c>
      <c r="J26" s="391"/>
      <c r="K26" s="394"/>
      <c r="L26" s="393"/>
      <c r="M26" s="393"/>
      <c r="N26" s="393" t="s">
        <v>190</v>
      </c>
      <c r="O26" s="391" t="s">
        <v>194</v>
      </c>
      <c r="P26" s="391" t="s">
        <v>942</v>
      </c>
      <c r="Q26" s="391" t="s">
        <v>189</v>
      </c>
      <c r="R26" s="391" t="str">
        <f>VLOOKUP(P26,'Exam Workorders'!F:Q,12,FALSE)</f>
        <v>X0C1</v>
      </c>
      <c r="S26" s="545" t="str">
        <f t="shared" si="0"/>
        <v>C1</v>
      </c>
      <c r="T26" s="544" t="str">
        <f>VLOOKUP(P26,'Exam Workorders'!F:Q,2,FALSE)</f>
        <v>ARRIVA XC CLASS 220 CORE EXAM (NEW C1-C4)</v>
      </c>
      <c r="U26" s="391" t="str">
        <f t="shared" si="1"/>
        <v>220020</v>
      </c>
      <c r="V26" s="403" t="s">
        <v>137</v>
      </c>
      <c r="W26" s="390" t="str">
        <f t="shared" si="2"/>
        <v>220020</v>
      </c>
      <c r="X26" s="390" t="str">
        <f t="shared" si="3"/>
        <v>220020</v>
      </c>
      <c r="Y26" s="402" t="str">
        <f t="shared" si="4"/>
        <v>TOPLAN</v>
      </c>
      <c r="Z26" s="402" t="str">
        <f t="shared" si="5"/>
        <v>9158918</v>
      </c>
    </row>
    <row r="27" spans="1:26">
      <c r="A27" s="389" t="s">
        <v>278</v>
      </c>
      <c r="B27" s="389" t="s">
        <v>193</v>
      </c>
      <c r="C27" s="389"/>
      <c r="D27" s="390"/>
      <c r="E27" s="391"/>
      <c r="F27" s="425" t="s">
        <v>909</v>
      </c>
      <c r="G27" s="393">
        <v>42927.095289351855</v>
      </c>
      <c r="H27" s="391"/>
      <c r="I27" s="391">
        <v>1</v>
      </c>
      <c r="J27" s="391"/>
      <c r="K27" s="394"/>
      <c r="L27" s="393"/>
      <c r="M27" s="393"/>
      <c r="N27" s="391" t="s">
        <v>190</v>
      </c>
      <c r="O27" s="391" t="s">
        <v>194</v>
      </c>
      <c r="P27" s="391" t="s">
        <v>910</v>
      </c>
      <c r="Q27" s="391" t="s">
        <v>189</v>
      </c>
      <c r="R27" s="391" t="str">
        <f>VLOOKUP(P27,'Exam Workorders'!F:Q,12,FALSE)</f>
        <v>X0C4</v>
      </c>
      <c r="S27" s="545" t="str">
        <f t="shared" si="0"/>
        <v>C4</v>
      </c>
      <c r="T27" s="544" t="str">
        <f>VLOOKUP(P27,'Exam Workorders'!F:Q,2,FALSE)</f>
        <v>ARRIVA XC CLASS 220 CORE EXAM (NEW C1-C4)</v>
      </c>
      <c r="U27" s="391" t="str">
        <f t="shared" si="1"/>
        <v>220019</v>
      </c>
      <c r="V27" s="403" t="s">
        <v>137</v>
      </c>
      <c r="W27" s="390" t="str">
        <f t="shared" si="2"/>
        <v>220019</v>
      </c>
      <c r="X27" s="390" t="str">
        <f t="shared" si="3"/>
        <v>220019</v>
      </c>
      <c r="Y27" s="402" t="str">
        <f t="shared" si="4"/>
        <v>CHECKED</v>
      </c>
      <c r="Z27" s="416"/>
    </row>
    <row r="28" spans="1:26">
      <c r="A28" s="416" t="s">
        <v>274</v>
      </c>
      <c r="B28" s="416" t="s">
        <v>216</v>
      </c>
      <c r="C28" s="416"/>
      <c r="D28" s="664"/>
      <c r="E28" s="416"/>
      <c r="F28" s="416" t="s">
        <v>555</v>
      </c>
      <c r="G28" s="665">
        <v>42764.195439814815</v>
      </c>
      <c r="H28" s="416"/>
      <c r="I28" s="416">
        <v>1</v>
      </c>
      <c r="J28" s="416"/>
      <c r="K28" s="666"/>
      <c r="L28" s="665"/>
      <c r="M28" s="665"/>
      <c r="N28" s="665" t="s">
        <v>190</v>
      </c>
      <c r="O28" s="416" t="s">
        <v>194</v>
      </c>
      <c r="P28" s="416" t="s">
        <v>556</v>
      </c>
      <c r="Q28" s="416" t="s">
        <v>189</v>
      </c>
      <c r="R28" s="391" t="e">
        <f>VLOOKUP(P28,'Exam Workorders'!F:Q,12,FALSE)</f>
        <v>#N/A</v>
      </c>
      <c r="S28" s="545" t="e">
        <f t="shared" si="0"/>
        <v>#N/A</v>
      </c>
      <c r="T28" s="544" t="e">
        <f>VLOOKUP(P28,'Exam Workorders'!F:Q,2,FALSE)</f>
        <v>#N/A</v>
      </c>
      <c r="U28" s="391" t="str">
        <f t="shared" si="1"/>
        <v>220014</v>
      </c>
      <c r="V28" s="403" t="s">
        <v>137</v>
      </c>
      <c r="W28" s="390" t="str">
        <f t="shared" si="2"/>
        <v>220014</v>
      </c>
      <c r="X28" s="390" t="str">
        <f t="shared" si="3"/>
        <v>220014</v>
      </c>
      <c r="Y28" s="402" t="str">
        <f t="shared" si="4"/>
        <v>TOPLAN</v>
      </c>
      <c r="Z28" s="402" t="str">
        <f t="shared" ref="Z28:Z59" si="6">F28</f>
        <v>8728965</v>
      </c>
    </row>
    <row r="29" spans="1:26">
      <c r="A29" s="389" t="s">
        <v>274</v>
      </c>
      <c r="B29" s="389" t="s">
        <v>187</v>
      </c>
      <c r="C29" s="389"/>
      <c r="D29" s="390"/>
      <c r="E29" s="391"/>
      <c r="F29" s="425" t="s">
        <v>1021</v>
      </c>
      <c r="G29" s="393">
        <v>42931.957175925927</v>
      </c>
      <c r="H29" s="391"/>
      <c r="I29" s="391">
        <v>1</v>
      </c>
      <c r="J29" s="391"/>
      <c r="K29" s="394"/>
      <c r="L29" s="393"/>
      <c r="M29" s="393"/>
      <c r="N29" s="391" t="s">
        <v>190</v>
      </c>
      <c r="O29" s="391" t="s">
        <v>194</v>
      </c>
      <c r="P29" s="391" t="s">
        <v>1022</v>
      </c>
      <c r="Q29" s="391" t="s">
        <v>189</v>
      </c>
      <c r="R29" s="391" t="str">
        <f>VLOOKUP(P29,'Exam Workorders'!F:Q,12,FALSE)</f>
        <v>X0C2</v>
      </c>
      <c r="S29" s="545" t="str">
        <f t="shared" si="0"/>
        <v>C2</v>
      </c>
      <c r="T29" s="544" t="str">
        <f>VLOOKUP(P29,'Exam Workorders'!F:Q,2,FALSE)</f>
        <v>ARRIVA XC CLASS 220 CORE EXAM (NEW C1-C4)</v>
      </c>
      <c r="U29" s="391" t="str">
        <f t="shared" si="1"/>
        <v>220014</v>
      </c>
      <c r="V29" s="403" t="s">
        <v>137</v>
      </c>
      <c r="W29" s="390" t="str">
        <f t="shared" si="2"/>
        <v>220014</v>
      </c>
      <c r="X29" s="390" t="str">
        <f t="shared" si="3"/>
        <v>220014</v>
      </c>
      <c r="Y29" s="402" t="str">
        <f t="shared" si="4"/>
        <v>TOPLAN</v>
      </c>
      <c r="Z29" s="402" t="str">
        <f t="shared" si="6"/>
        <v>9166699</v>
      </c>
    </row>
    <row r="30" spans="1:26" ht="25.5">
      <c r="A30" s="389" t="s">
        <v>264</v>
      </c>
      <c r="B30" s="389" t="s">
        <v>193</v>
      </c>
      <c r="C30" s="389"/>
      <c r="D30" s="390"/>
      <c r="E30" s="391"/>
      <c r="F30" s="425" t="s">
        <v>1023</v>
      </c>
      <c r="G30" s="393">
        <v>42931.719849537039</v>
      </c>
      <c r="H30" s="391"/>
      <c r="I30" s="391">
        <v>1</v>
      </c>
      <c r="J30" s="391"/>
      <c r="K30" s="394"/>
      <c r="L30" s="393"/>
      <c r="M30" s="393"/>
      <c r="N30" s="391" t="s">
        <v>190</v>
      </c>
      <c r="O30" s="391" t="s">
        <v>194</v>
      </c>
      <c r="P30" s="391" t="s">
        <v>1024</v>
      </c>
      <c r="Q30" s="391" t="s">
        <v>189</v>
      </c>
      <c r="R30" s="391" t="str">
        <f>VLOOKUP(P30,'Exam Workorders'!F:Q,12,FALSE)</f>
        <v>X0S1A</v>
      </c>
      <c r="S30" s="545" t="str">
        <f t="shared" si="0"/>
        <v>S1A</v>
      </c>
      <c r="T30" s="544" t="str">
        <f>VLOOKUP(P30,'Exam Workorders'!F:Q,2,FALSE)</f>
        <v>ARRIVA XC CLASS 220 SERVICE EXAM (NEW S1-S8) - Amended to include AIR FLOW MEASUREMENT POINT DATA (11/2016)</v>
      </c>
      <c r="U30" s="391" t="str">
        <f t="shared" si="1"/>
        <v>220008</v>
      </c>
      <c r="V30" s="403" t="s">
        <v>137</v>
      </c>
      <c r="W30" s="390" t="str">
        <f t="shared" si="2"/>
        <v>220008</v>
      </c>
      <c r="X30" s="390" t="str">
        <f t="shared" si="3"/>
        <v>220008</v>
      </c>
      <c r="Y30" s="402" t="str">
        <f t="shared" si="4"/>
        <v>CHECKED</v>
      </c>
      <c r="Z30" s="402" t="str">
        <f t="shared" si="6"/>
        <v>9165904</v>
      </c>
    </row>
    <row r="31" spans="1:26">
      <c r="A31" s="389" t="s">
        <v>257</v>
      </c>
      <c r="B31" s="389" t="s">
        <v>193</v>
      </c>
      <c r="C31" s="389"/>
      <c r="D31" s="390"/>
      <c r="E31" s="391"/>
      <c r="F31" s="425" t="s">
        <v>643</v>
      </c>
      <c r="G31" s="393">
        <v>42872.324097222219</v>
      </c>
      <c r="H31" s="391" t="s">
        <v>257</v>
      </c>
      <c r="I31" s="391">
        <v>1</v>
      </c>
      <c r="J31" s="391"/>
      <c r="K31" s="394"/>
      <c r="L31" s="393" t="s">
        <v>257</v>
      </c>
      <c r="M31" s="393"/>
      <c r="N31" s="391" t="s">
        <v>190</v>
      </c>
      <c r="O31" s="391" t="s">
        <v>194</v>
      </c>
      <c r="P31" s="391" t="s">
        <v>644</v>
      </c>
      <c r="Q31" s="391" t="s">
        <v>802</v>
      </c>
      <c r="R31" s="391" t="str">
        <f>VLOOKUP(P31,'Exam Workorders'!F:Q,12,FALSE)</f>
        <v>X0MV2</v>
      </c>
      <c r="S31" s="545" t="str">
        <f t="shared" si="0"/>
        <v>MV2</v>
      </c>
      <c r="T31" s="544" t="str">
        <f>VLOOKUP(P31,'Exam Workorders'!F:Q,2,FALSE)</f>
        <v>ARRIVA XC CLASS 220 MAINTENANCE VISIT (MV1-MV8)</v>
      </c>
      <c r="U31" s="391" t="str">
        <f t="shared" si="1"/>
        <v>220007</v>
      </c>
      <c r="V31" s="403" t="s">
        <v>137</v>
      </c>
      <c r="W31" s="390" t="str">
        <f t="shared" si="2"/>
        <v>220007</v>
      </c>
      <c r="X31" s="390" t="str">
        <f t="shared" si="3"/>
        <v>220007</v>
      </c>
      <c r="Y31" s="402" t="str">
        <f t="shared" si="4"/>
        <v>CHECKED</v>
      </c>
      <c r="Z31" s="667" t="str">
        <f t="shared" si="6"/>
        <v>9015052</v>
      </c>
    </row>
    <row r="32" spans="1:26">
      <c r="A32" s="389"/>
      <c r="B32" s="389"/>
      <c r="C32" s="389"/>
      <c r="D32" s="390"/>
      <c r="E32" s="391"/>
      <c r="F32" s="425"/>
      <c r="G32" s="393"/>
      <c r="H32" s="391"/>
      <c r="I32" s="391"/>
      <c r="J32" s="391"/>
      <c r="K32" s="394"/>
      <c r="L32" s="393"/>
      <c r="M32" s="393"/>
      <c r="N32" s="391"/>
      <c r="O32" s="391"/>
      <c r="P32" s="391"/>
      <c r="Q32" s="391"/>
      <c r="R32" s="391" t="e">
        <f>VLOOKUP(P32,'Exam Workorders'!F:Q,12,FALSE)</f>
        <v>#N/A</v>
      </c>
      <c r="S32" s="545" t="e">
        <f t="shared" si="0"/>
        <v>#N/A</v>
      </c>
      <c r="T32" s="544" t="e">
        <f>VLOOKUP(P32,'Exam Workorders'!F:Q,2,FALSE)</f>
        <v>#N/A</v>
      </c>
      <c r="U32" s="391">
        <f t="shared" si="1"/>
        <v>0</v>
      </c>
      <c r="V32" s="403" t="s">
        <v>137</v>
      </c>
      <c r="W32" s="390" t="str">
        <f t="shared" si="2"/>
        <v>0</v>
      </c>
      <c r="X32" s="390" t="str">
        <f t="shared" si="3"/>
        <v>0</v>
      </c>
      <c r="Y32" s="402" t="str">
        <f t="shared" si="4"/>
        <v>TOPLAN</v>
      </c>
      <c r="Z32" s="402">
        <f t="shared" si="6"/>
        <v>0</v>
      </c>
    </row>
    <row r="33" spans="1:26">
      <c r="A33" s="389"/>
      <c r="B33" s="389"/>
      <c r="C33" s="389"/>
      <c r="D33" s="390"/>
      <c r="E33" s="391"/>
      <c r="F33" s="425"/>
      <c r="G33" s="393"/>
      <c r="H33" s="391"/>
      <c r="I33" s="391"/>
      <c r="J33" s="391"/>
      <c r="K33" s="394"/>
      <c r="L33" s="393"/>
      <c r="M33" s="393"/>
      <c r="N33" s="391"/>
      <c r="O33" s="391"/>
      <c r="P33" s="391"/>
      <c r="Q33" s="391"/>
      <c r="R33" s="391" t="e">
        <f>VLOOKUP(P33,'Exam Workorders'!F:Q,12,FALSE)</f>
        <v>#N/A</v>
      </c>
      <c r="S33" s="545" t="e">
        <f t="shared" si="0"/>
        <v>#N/A</v>
      </c>
      <c r="T33" s="544" t="e">
        <f>VLOOKUP(P33,'Exam Workorders'!F:Q,2,FALSE)</f>
        <v>#N/A</v>
      </c>
      <c r="U33" s="391">
        <f t="shared" si="1"/>
        <v>0</v>
      </c>
      <c r="V33" s="403" t="s">
        <v>137</v>
      </c>
      <c r="W33" s="390" t="str">
        <f t="shared" si="2"/>
        <v>0</v>
      </c>
      <c r="X33" s="390" t="str">
        <f t="shared" si="3"/>
        <v>0</v>
      </c>
      <c r="Y33" s="402" t="str">
        <f t="shared" si="4"/>
        <v>TOPLAN</v>
      </c>
      <c r="Z33" s="402">
        <f t="shared" si="6"/>
        <v>0</v>
      </c>
    </row>
    <row r="34" spans="1:26">
      <c r="A34" s="389"/>
      <c r="B34" s="389"/>
      <c r="C34" s="389"/>
      <c r="D34" s="390"/>
      <c r="E34" s="391"/>
      <c r="F34" s="425"/>
      <c r="G34" s="393"/>
      <c r="H34" s="391"/>
      <c r="I34" s="391"/>
      <c r="J34" s="391"/>
      <c r="K34" s="394"/>
      <c r="L34" s="393"/>
      <c r="M34" s="393"/>
      <c r="N34" s="393"/>
      <c r="O34" s="391"/>
      <c r="P34" s="391"/>
      <c r="Q34" s="391"/>
      <c r="R34" s="391" t="e">
        <f>VLOOKUP(P34,'Exam Workorders'!F:Q,12,FALSE)</f>
        <v>#N/A</v>
      </c>
      <c r="S34" s="545" t="e">
        <f t="shared" si="0"/>
        <v>#N/A</v>
      </c>
      <c r="T34" s="544" t="e">
        <f>VLOOKUP(P34,'Exam Workorders'!F:Q,2,FALSE)</f>
        <v>#N/A</v>
      </c>
      <c r="U34" s="391">
        <f t="shared" ref="U34:U65" si="7">A34</f>
        <v>0</v>
      </c>
      <c r="V34" s="403" t="s">
        <v>137</v>
      </c>
      <c r="W34" s="390" t="str">
        <f t="shared" ref="W34:W65" si="8">CONCATENATE(U34,V34)</f>
        <v>0</v>
      </c>
      <c r="X34" s="390" t="str">
        <f t="shared" ref="X34:X65" si="9">CONCATENATE(V34,W34)</f>
        <v>0</v>
      </c>
      <c r="Y34" s="402" t="str">
        <f t="shared" ref="Y34:Y65" si="10">IF(B34="APPR","CHECKED","TOPLAN")</f>
        <v>TOPLAN</v>
      </c>
      <c r="Z34" s="402">
        <f t="shared" si="6"/>
        <v>0</v>
      </c>
    </row>
    <row r="35" spans="1:26">
      <c r="A35" s="389"/>
      <c r="B35" s="389"/>
      <c r="C35" s="389"/>
      <c r="D35" s="390"/>
      <c r="E35" s="391"/>
      <c r="F35" s="425"/>
      <c r="G35" s="393"/>
      <c r="H35" s="391"/>
      <c r="I35" s="391"/>
      <c r="J35" s="391"/>
      <c r="K35" s="394"/>
      <c r="L35" s="393"/>
      <c r="M35" s="393"/>
      <c r="N35" s="393"/>
      <c r="O35" s="391"/>
      <c r="P35" s="391"/>
      <c r="Q35" s="391"/>
      <c r="R35" s="391" t="e">
        <f>VLOOKUP(P35,'Exam Workorders'!F:Q,12,FALSE)</f>
        <v>#N/A</v>
      </c>
      <c r="S35" s="545" t="e">
        <f t="shared" si="0"/>
        <v>#N/A</v>
      </c>
      <c r="T35" s="544" t="e">
        <f>VLOOKUP(P35,'Exam Workorders'!F:Q,2,FALSE)</f>
        <v>#N/A</v>
      </c>
      <c r="U35" s="391">
        <f t="shared" si="7"/>
        <v>0</v>
      </c>
      <c r="V35" s="403" t="s">
        <v>137</v>
      </c>
      <c r="W35" s="390" t="str">
        <f t="shared" si="8"/>
        <v>0</v>
      </c>
      <c r="X35" s="390" t="str">
        <f t="shared" si="9"/>
        <v>0</v>
      </c>
      <c r="Y35" s="402" t="str">
        <f t="shared" si="10"/>
        <v>TOPLAN</v>
      </c>
      <c r="Z35" s="402">
        <f t="shared" si="6"/>
        <v>0</v>
      </c>
    </row>
    <row r="36" spans="1:26">
      <c r="A36" s="389"/>
      <c r="B36" s="389"/>
      <c r="C36" s="389"/>
      <c r="D36" s="390"/>
      <c r="E36" s="391"/>
      <c r="F36" s="425"/>
      <c r="G36" s="393"/>
      <c r="H36" s="391"/>
      <c r="I36" s="391"/>
      <c r="J36" s="391"/>
      <c r="K36" s="394"/>
      <c r="L36" s="393"/>
      <c r="M36" s="393"/>
      <c r="N36" s="393"/>
      <c r="O36" s="391"/>
      <c r="P36" s="391"/>
      <c r="Q36" s="391"/>
      <c r="R36" s="391" t="e">
        <f>VLOOKUP(P36,'Exam Workorders'!F:Q,12,FALSE)</f>
        <v>#N/A</v>
      </c>
      <c r="S36" s="545" t="e">
        <f t="shared" si="0"/>
        <v>#N/A</v>
      </c>
      <c r="T36" s="544" t="e">
        <f>VLOOKUP(P36,'Exam Workorders'!F:Q,2,FALSE)</f>
        <v>#N/A</v>
      </c>
      <c r="U36" s="391">
        <f t="shared" si="7"/>
        <v>0</v>
      </c>
      <c r="V36" s="403" t="s">
        <v>137</v>
      </c>
      <c r="W36" s="390" t="str">
        <f t="shared" si="8"/>
        <v>0</v>
      </c>
      <c r="X36" s="390" t="str">
        <f t="shared" si="9"/>
        <v>0</v>
      </c>
      <c r="Y36" s="402" t="str">
        <f t="shared" si="10"/>
        <v>TOPLAN</v>
      </c>
      <c r="Z36" s="402">
        <f t="shared" si="6"/>
        <v>0</v>
      </c>
    </row>
    <row r="37" spans="1:26">
      <c r="A37" s="389"/>
      <c r="B37" s="389"/>
      <c r="C37" s="389"/>
      <c r="D37" s="390"/>
      <c r="E37" s="391"/>
      <c r="F37" s="425"/>
      <c r="G37" s="393"/>
      <c r="H37" s="391"/>
      <c r="I37" s="391"/>
      <c r="J37" s="391"/>
      <c r="K37" s="394"/>
      <c r="L37" s="393"/>
      <c r="M37" s="393"/>
      <c r="N37" s="393"/>
      <c r="O37" s="391"/>
      <c r="P37" s="391"/>
      <c r="Q37" s="391"/>
      <c r="R37" s="391" t="e">
        <f>VLOOKUP(P37,'Exam Workorders'!F:Q,12,FALSE)</f>
        <v>#N/A</v>
      </c>
      <c r="S37" s="545" t="e">
        <f t="shared" si="0"/>
        <v>#N/A</v>
      </c>
      <c r="T37" s="544" t="e">
        <f>VLOOKUP(P37,'Exam Workorders'!F:Q,2,FALSE)</f>
        <v>#N/A</v>
      </c>
      <c r="U37" s="391">
        <f t="shared" si="7"/>
        <v>0</v>
      </c>
      <c r="V37" s="403" t="s">
        <v>137</v>
      </c>
      <c r="W37" s="390" t="str">
        <f t="shared" si="8"/>
        <v>0</v>
      </c>
      <c r="X37" s="390" t="str">
        <f t="shared" si="9"/>
        <v>0</v>
      </c>
      <c r="Y37" s="402" t="str">
        <f t="shared" si="10"/>
        <v>TOPLAN</v>
      </c>
      <c r="Z37" s="402">
        <f t="shared" si="6"/>
        <v>0</v>
      </c>
    </row>
    <row r="38" spans="1:26">
      <c r="A38" s="389"/>
      <c r="B38" s="389"/>
      <c r="C38" s="389"/>
      <c r="D38" s="390"/>
      <c r="E38" s="391"/>
      <c r="F38" s="425"/>
      <c r="G38" s="393"/>
      <c r="H38" s="391"/>
      <c r="I38" s="391"/>
      <c r="J38" s="391"/>
      <c r="K38" s="394"/>
      <c r="L38" s="393"/>
      <c r="M38" s="393"/>
      <c r="N38" s="393"/>
      <c r="O38" s="391"/>
      <c r="P38" s="391"/>
      <c r="Q38" s="391"/>
      <c r="R38" s="391" t="e">
        <f>VLOOKUP(P38,'Exam Workorders'!F:Q,12,FALSE)</f>
        <v>#N/A</v>
      </c>
      <c r="S38" s="545" t="e">
        <f t="shared" si="0"/>
        <v>#N/A</v>
      </c>
      <c r="T38" s="544" t="e">
        <f>VLOOKUP(P38,'Exam Workorders'!F:Q,2,FALSE)</f>
        <v>#N/A</v>
      </c>
      <c r="U38" s="391">
        <f t="shared" si="7"/>
        <v>0</v>
      </c>
      <c r="V38" s="403" t="s">
        <v>137</v>
      </c>
      <c r="W38" s="390" t="str">
        <f t="shared" si="8"/>
        <v>0</v>
      </c>
      <c r="X38" s="390" t="str">
        <f t="shared" si="9"/>
        <v>0</v>
      </c>
      <c r="Y38" s="402" t="str">
        <f t="shared" si="10"/>
        <v>TOPLAN</v>
      </c>
      <c r="Z38" s="402">
        <f t="shared" si="6"/>
        <v>0</v>
      </c>
    </row>
    <row r="39" spans="1:26">
      <c r="A39" s="389"/>
      <c r="B39" s="389"/>
      <c r="C39" s="389"/>
      <c r="D39" s="390"/>
      <c r="E39" s="391"/>
      <c r="F39" s="425"/>
      <c r="G39" s="393"/>
      <c r="H39" s="391"/>
      <c r="I39" s="391"/>
      <c r="J39" s="391"/>
      <c r="K39" s="394"/>
      <c r="L39" s="393"/>
      <c r="M39" s="393"/>
      <c r="N39" s="393"/>
      <c r="O39" s="391"/>
      <c r="P39" s="391"/>
      <c r="Q39" s="391"/>
      <c r="R39" s="391" t="e">
        <f>VLOOKUP(P39,'Exam Workorders'!F:Q,12,FALSE)</f>
        <v>#N/A</v>
      </c>
      <c r="S39" s="545" t="e">
        <f t="shared" si="0"/>
        <v>#N/A</v>
      </c>
      <c r="T39" s="544" t="e">
        <f>VLOOKUP(P39,'Exam Workorders'!F:Q,2,FALSE)</f>
        <v>#N/A</v>
      </c>
      <c r="U39" s="391">
        <f t="shared" si="7"/>
        <v>0</v>
      </c>
      <c r="V39" s="403" t="s">
        <v>137</v>
      </c>
      <c r="W39" s="390" t="str">
        <f t="shared" si="8"/>
        <v>0</v>
      </c>
      <c r="X39" s="390" t="str">
        <f t="shared" si="9"/>
        <v>0</v>
      </c>
      <c r="Y39" s="402" t="str">
        <f t="shared" si="10"/>
        <v>TOPLAN</v>
      </c>
      <c r="Z39" s="402">
        <f t="shared" si="6"/>
        <v>0</v>
      </c>
    </row>
    <row r="40" spans="1:26">
      <c r="A40" s="389"/>
      <c r="B40" s="389"/>
      <c r="C40" s="389"/>
      <c r="D40" s="390"/>
      <c r="E40" s="391"/>
      <c r="F40" s="425"/>
      <c r="G40" s="393"/>
      <c r="H40" s="391"/>
      <c r="I40" s="391"/>
      <c r="J40" s="391"/>
      <c r="K40" s="394"/>
      <c r="L40" s="393"/>
      <c r="M40" s="393"/>
      <c r="N40" s="393"/>
      <c r="O40" s="391"/>
      <c r="P40" s="391"/>
      <c r="Q40" s="391"/>
      <c r="R40" s="391" t="e">
        <f>VLOOKUP(P40,'Exam Workorders'!F:Q,12,FALSE)</f>
        <v>#N/A</v>
      </c>
      <c r="S40" s="545" t="e">
        <f t="shared" si="0"/>
        <v>#N/A</v>
      </c>
      <c r="T40" s="544" t="e">
        <f>VLOOKUP(P40,'Exam Workorders'!F:Q,2,FALSE)</f>
        <v>#N/A</v>
      </c>
      <c r="U40" s="391">
        <f t="shared" si="7"/>
        <v>0</v>
      </c>
      <c r="V40" s="403" t="s">
        <v>137</v>
      </c>
      <c r="W40" s="390" t="str">
        <f t="shared" si="8"/>
        <v>0</v>
      </c>
      <c r="X40" s="390" t="str">
        <f t="shared" si="9"/>
        <v>0</v>
      </c>
      <c r="Y40" s="402" t="str">
        <f t="shared" si="10"/>
        <v>TOPLAN</v>
      </c>
      <c r="Z40" s="402">
        <f t="shared" si="6"/>
        <v>0</v>
      </c>
    </row>
    <row r="41" spans="1:26">
      <c r="A41" s="389"/>
      <c r="B41" s="389"/>
      <c r="C41" s="389"/>
      <c r="D41" s="390"/>
      <c r="E41" s="391"/>
      <c r="F41" s="425"/>
      <c r="G41" s="393"/>
      <c r="H41" s="391"/>
      <c r="I41" s="391"/>
      <c r="J41" s="391"/>
      <c r="K41" s="394"/>
      <c r="L41" s="393"/>
      <c r="M41" s="393"/>
      <c r="N41" s="393"/>
      <c r="O41" s="391"/>
      <c r="P41" s="391"/>
      <c r="Q41" s="391"/>
      <c r="R41" s="391" t="e">
        <f>VLOOKUP(P41,'Exam Workorders'!F:Q,12,FALSE)</f>
        <v>#N/A</v>
      </c>
      <c r="S41" s="545" t="e">
        <f t="shared" si="0"/>
        <v>#N/A</v>
      </c>
      <c r="T41" s="544" t="e">
        <f>VLOOKUP(P41,'Exam Workorders'!F:Q,2,FALSE)</f>
        <v>#N/A</v>
      </c>
      <c r="U41" s="391">
        <f t="shared" si="7"/>
        <v>0</v>
      </c>
      <c r="V41" s="403" t="s">
        <v>137</v>
      </c>
      <c r="W41" s="390" t="str">
        <f t="shared" si="8"/>
        <v>0</v>
      </c>
      <c r="X41" s="390" t="str">
        <f t="shared" si="9"/>
        <v>0</v>
      </c>
      <c r="Y41" s="402" t="str">
        <f t="shared" si="10"/>
        <v>TOPLAN</v>
      </c>
      <c r="Z41" s="402">
        <f t="shared" si="6"/>
        <v>0</v>
      </c>
    </row>
    <row r="42" spans="1:26">
      <c r="A42" s="389"/>
      <c r="B42" s="389"/>
      <c r="C42" s="389"/>
      <c r="D42" s="390"/>
      <c r="E42" s="391"/>
      <c r="F42" s="425"/>
      <c r="G42" s="393"/>
      <c r="H42" s="391"/>
      <c r="I42" s="391"/>
      <c r="J42" s="391"/>
      <c r="K42" s="394"/>
      <c r="L42" s="393"/>
      <c r="M42" s="393"/>
      <c r="N42" s="393"/>
      <c r="O42" s="391"/>
      <c r="P42" s="391"/>
      <c r="Q42" s="391"/>
      <c r="R42" s="391" t="e">
        <f>VLOOKUP(P42,'Exam Workorders'!F:Q,12,FALSE)</f>
        <v>#N/A</v>
      </c>
      <c r="S42" s="545" t="e">
        <f t="shared" si="0"/>
        <v>#N/A</v>
      </c>
      <c r="T42" s="544" t="e">
        <f>VLOOKUP(P42,'Exam Workorders'!F:Q,2,FALSE)</f>
        <v>#N/A</v>
      </c>
      <c r="U42" s="391">
        <f t="shared" si="7"/>
        <v>0</v>
      </c>
      <c r="V42" s="403" t="s">
        <v>137</v>
      </c>
      <c r="W42" s="390" t="str">
        <f t="shared" si="8"/>
        <v>0</v>
      </c>
      <c r="X42" s="390" t="str">
        <f t="shared" si="9"/>
        <v>0</v>
      </c>
      <c r="Y42" s="402" t="str">
        <f t="shared" si="10"/>
        <v>TOPLAN</v>
      </c>
      <c r="Z42" s="402">
        <f t="shared" si="6"/>
        <v>0</v>
      </c>
    </row>
    <row r="43" spans="1:26">
      <c r="A43" s="389"/>
      <c r="B43" s="389"/>
      <c r="C43" s="389"/>
      <c r="D43" s="390"/>
      <c r="E43" s="391"/>
      <c r="F43" s="425"/>
      <c r="G43" s="393"/>
      <c r="H43" s="391"/>
      <c r="I43" s="391"/>
      <c r="J43" s="391"/>
      <c r="K43" s="394"/>
      <c r="L43" s="393"/>
      <c r="M43" s="393"/>
      <c r="N43" s="393"/>
      <c r="O43" s="391"/>
      <c r="P43" s="391"/>
      <c r="Q43" s="391"/>
      <c r="R43" s="391"/>
      <c r="S43" s="545" t="e">
        <f>VLOOKUP(R43,'Exam Workorders'!F:Q,12,FALSE)</f>
        <v>#N/A</v>
      </c>
      <c r="T43" s="544" t="e">
        <f t="shared" ref="T43:T74" si="11">RIGHT(S43,LEN(S43)-2)</f>
        <v>#N/A</v>
      </c>
      <c r="U43" s="391">
        <f t="shared" si="7"/>
        <v>0</v>
      </c>
      <c r="V43" s="403" t="s">
        <v>137</v>
      </c>
      <c r="W43" s="390" t="str">
        <f t="shared" si="8"/>
        <v>0</v>
      </c>
      <c r="X43" s="390" t="str">
        <f t="shared" si="9"/>
        <v>0</v>
      </c>
      <c r="Y43" s="402" t="str">
        <f t="shared" si="10"/>
        <v>TOPLAN</v>
      </c>
      <c r="Z43" s="402">
        <f t="shared" si="6"/>
        <v>0</v>
      </c>
    </row>
    <row r="44" spans="1:26">
      <c r="A44" s="389"/>
      <c r="B44" s="389"/>
      <c r="C44" s="389"/>
      <c r="D44" s="390"/>
      <c r="E44" s="391"/>
      <c r="F44" s="425"/>
      <c r="G44" s="393"/>
      <c r="H44" s="391"/>
      <c r="I44" s="391"/>
      <c r="J44" s="391"/>
      <c r="K44" s="394"/>
      <c r="L44" s="393"/>
      <c r="M44" s="393"/>
      <c r="N44" s="393"/>
      <c r="O44" s="391"/>
      <c r="P44" s="391"/>
      <c r="Q44" s="391"/>
      <c r="R44" s="391"/>
      <c r="S44" s="545" t="e">
        <f>VLOOKUP(R44,'Exam Workorders'!F:Q,12,FALSE)</f>
        <v>#N/A</v>
      </c>
      <c r="T44" s="544" t="e">
        <f t="shared" si="11"/>
        <v>#N/A</v>
      </c>
      <c r="U44" s="391">
        <f t="shared" si="7"/>
        <v>0</v>
      </c>
      <c r="V44" s="403" t="s">
        <v>137</v>
      </c>
      <c r="W44" s="390" t="str">
        <f t="shared" si="8"/>
        <v>0</v>
      </c>
      <c r="X44" s="390" t="str">
        <f t="shared" si="9"/>
        <v>0</v>
      </c>
      <c r="Y44" s="402" t="str">
        <f t="shared" si="10"/>
        <v>TOPLAN</v>
      </c>
      <c r="Z44" s="402">
        <f t="shared" si="6"/>
        <v>0</v>
      </c>
    </row>
    <row r="45" spans="1:26">
      <c r="A45" s="389"/>
      <c r="B45" s="389"/>
      <c r="C45" s="389"/>
      <c r="D45" s="390"/>
      <c r="E45" s="391"/>
      <c r="F45" s="425"/>
      <c r="G45" s="392"/>
      <c r="H45" s="391"/>
      <c r="I45" s="391"/>
      <c r="J45" s="391"/>
      <c r="K45" s="391"/>
      <c r="L45" s="394"/>
      <c r="M45" s="393"/>
      <c r="N45" s="393"/>
      <c r="O45" s="391"/>
      <c r="P45" s="391"/>
      <c r="Q45" s="391"/>
      <c r="R45" s="391"/>
      <c r="S45" s="545" t="e">
        <f>VLOOKUP(R45,'Exam Workorders'!F:Q,12,FALSE)</f>
        <v>#N/A</v>
      </c>
      <c r="T45" s="544" t="e">
        <f t="shared" si="11"/>
        <v>#N/A</v>
      </c>
      <c r="U45" s="391">
        <f t="shared" si="7"/>
        <v>0</v>
      </c>
      <c r="V45" s="403" t="s">
        <v>137</v>
      </c>
      <c r="W45" s="390" t="str">
        <f t="shared" si="8"/>
        <v>0</v>
      </c>
      <c r="X45" s="390" t="str">
        <f t="shared" si="9"/>
        <v>0</v>
      </c>
      <c r="Y45" s="402" t="str">
        <f t="shared" si="10"/>
        <v>TOPLAN</v>
      </c>
      <c r="Z45" s="402">
        <f t="shared" si="6"/>
        <v>0</v>
      </c>
    </row>
    <row r="46" spans="1:26">
      <c r="A46" s="389"/>
      <c r="B46" s="389"/>
      <c r="C46" s="389"/>
      <c r="D46" s="390"/>
      <c r="E46" s="391"/>
      <c r="F46" s="425"/>
      <c r="G46" s="392"/>
      <c r="H46" s="391"/>
      <c r="I46" s="391"/>
      <c r="J46" s="391"/>
      <c r="K46" s="391"/>
      <c r="L46" s="394"/>
      <c r="M46" s="393"/>
      <c r="N46" s="393"/>
      <c r="O46" s="391"/>
      <c r="P46" s="391"/>
      <c r="Q46" s="391"/>
      <c r="R46" s="391"/>
      <c r="S46" s="545" t="e">
        <f>VLOOKUP(R46,'Exam Workorders'!F:Q,12,FALSE)</f>
        <v>#N/A</v>
      </c>
      <c r="T46" s="544" t="e">
        <f t="shared" si="11"/>
        <v>#N/A</v>
      </c>
      <c r="U46" s="391">
        <f t="shared" si="7"/>
        <v>0</v>
      </c>
      <c r="V46" s="403" t="s">
        <v>137</v>
      </c>
      <c r="W46" s="390" t="str">
        <f t="shared" si="8"/>
        <v>0</v>
      </c>
      <c r="X46" s="390" t="str">
        <f t="shared" si="9"/>
        <v>0</v>
      </c>
      <c r="Y46" s="402" t="str">
        <f t="shared" si="10"/>
        <v>TOPLAN</v>
      </c>
      <c r="Z46" s="402">
        <f t="shared" si="6"/>
        <v>0</v>
      </c>
    </row>
    <row r="47" spans="1:26">
      <c r="A47" s="389"/>
      <c r="B47" s="389"/>
      <c r="C47" s="389"/>
      <c r="D47" s="390"/>
      <c r="E47" s="391"/>
      <c r="F47" s="425"/>
      <c r="G47" s="392"/>
      <c r="H47" s="391"/>
      <c r="I47" s="391"/>
      <c r="J47" s="391"/>
      <c r="K47" s="391"/>
      <c r="L47" s="394"/>
      <c r="M47" s="393"/>
      <c r="N47" s="393"/>
      <c r="O47" s="391"/>
      <c r="P47" s="391"/>
      <c r="Q47" s="391"/>
      <c r="R47" s="391"/>
      <c r="S47" s="545" t="e">
        <f>VLOOKUP(R47,'Exam Workorders'!F:Q,12,FALSE)</f>
        <v>#N/A</v>
      </c>
      <c r="T47" s="544" t="e">
        <f t="shared" si="11"/>
        <v>#N/A</v>
      </c>
      <c r="U47" s="391">
        <f t="shared" si="7"/>
        <v>0</v>
      </c>
      <c r="V47" s="403" t="s">
        <v>137</v>
      </c>
      <c r="W47" s="390" t="str">
        <f t="shared" si="8"/>
        <v>0</v>
      </c>
      <c r="X47" s="390" t="str">
        <f t="shared" si="9"/>
        <v>0</v>
      </c>
      <c r="Y47" s="402" t="str">
        <f t="shared" si="10"/>
        <v>TOPLAN</v>
      </c>
      <c r="Z47" s="402">
        <f t="shared" si="6"/>
        <v>0</v>
      </c>
    </row>
    <row r="48" spans="1:26">
      <c r="A48" s="389"/>
      <c r="B48" s="389"/>
      <c r="C48" s="389"/>
      <c r="D48" s="390"/>
      <c r="E48" s="391"/>
      <c r="F48" s="391"/>
      <c r="G48" s="392"/>
      <c r="H48" s="391"/>
      <c r="I48" s="391"/>
      <c r="J48" s="391"/>
      <c r="K48" s="391"/>
      <c r="L48" s="394"/>
      <c r="M48" s="393"/>
      <c r="N48" s="393"/>
      <c r="O48" s="391"/>
      <c r="P48" s="391"/>
      <c r="Q48" s="391"/>
      <c r="R48" s="391"/>
      <c r="S48" s="545" t="e">
        <f>VLOOKUP(R48,'Exam Workorders'!F:Q,12,FALSE)</f>
        <v>#N/A</v>
      </c>
      <c r="T48" s="544" t="e">
        <f t="shared" si="11"/>
        <v>#N/A</v>
      </c>
      <c r="U48" s="391">
        <f t="shared" si="7"/>
        <v>0</v>
      </c>
      <c r="V48" s="403" t="s">
        <v>137</v>
      </c>
      <c r="W48" s="390" t="str">
        <f t="shared" si="8"/>
        <v>0</v>
      </c>
      <c r="X48" s="390" t="str">
        <f t="shared" si="9"/>
        <v>0</v>
      </c>
      <c r="Y48" s="402" t="str">
        <f t="shared" si="10"/>
        <v>TOPLAN</v>
      </c>
      <c r="Z48" s="402">
        <f t="shared" si="6"/>
        <v>0</v>
      </c>
    </row>
    <row r="49" spans="1:26">
      <c r="A49" s="389"/>
      <c r="B49" s="389"/>
      <c r="C49" s="389"/>
      <c r="D49" s="390"/>
      <c r="E49" s="391"/>
      <c r="F49" s="391"/>
      <c r="G49" s="392"/>
      <c r="H49" s="391"/>
      <c r="I49" s="391"/>
      <c r="J49" s="391"/>
      <c r="K49" s="391"/>
      <c r="L49" s="394"/>
      <c r="M49" s="393"/>
      <c r="N49" s="393"/>
      <c r="O49" s="391"/>
      <c r="P49" s="391"/>
      <c r="Q49" s="391"/>
      <c r="R49" s="391"/>
      <c r="S49" s="545" t="e">
        <f>VLOOKUP(R49,'Exam Workorders'!F:Q,12,FALSE)</f>
        <v>#N/A</v>
      </c>
      <c r="T49" s="544" t="e">
        <f t="shared" si="11"/>
        <v>#N/A</v>
      </c>
      <c r="U49" s="391">
        <f t="shared" si="7"/>
        <v>0</v>
      </c>
      <c r="V49" s="403" t="s">
        <v>137</v>
      </c>
      <c r="W49" s="390" t="str">
        <f t="shared" si="8"/>
        <v>0</v>
      </c>
      <c r="X49" s="390" t="str">
        <f t="shared" si="9"/>
        <v>0</v>
      </c>
      <c r="Y49" s="402" t="str">
        <f t="shared" si="10"/>
        <v>TOPLAN</v>
      </c>
      <c r="Z49" s="402">
        <f t="shared" si="6"/>
        <v>0</v>
      </c>
    </row>
    <row r="50" spans="1:26">
      <c r="A50" s="389"/>
      <c r="B50" s="389"/>
      <c r="C50" s="389"/>
      <c r="D50" s="390"/>
      <c r="E50" s="391"/>
      <c r="F50" s="391"/>
      <c r="G50" s="392"/>
      <c r="H50" s="391"/>
      <c r="I50" s="391"/>
      <c r="J50" s="391"/>
      <c r="K50" s="391"/>
      <c r="L50" s="394"/>
      <c r="M50" s="393"/>
      <c r="N50" s="393"/>
      <c r="O50" s="391"/>
      <c r="P50" s="391"/>
      <c r="Q50" s="391"/>
      <c r="R50" s="391"/>
      <c r="S50" s="545" t="e">
        <f>VLOOKUP(R50,'Exam Workorders'!F:Q,12,FALSE)</f>
        <v>#N/A</v>
      </c>
      <c r="T50" s="544" t="e">
        <f t="shared" si="11"/>
        <v>#N/A</v>
      </c>
      <c r="U50" s="391">
        <f t="shared" si="7"/>
        <v>0</v>
      </c>
      <c r="V50" s="403" t="s">
        <v>137</v>
      </c>
      <c r="W50" s="390" t="str">
        <f t="shared" si="8"/>
        <v>0</v>
      </c>
      <c r="X50" s="390" t="str">
        <f t="shared" si="9"/>
        <v>0</v>
      </c>
      <c r="Y50" s="402" t="str">
        <f t="shared" si="10"/>
        <v>TOPLAN</v>
      </c>
      <c r="Z50" s="402">
        <f t="shared" si="6"/>
        <v>0</v>
      </c>
    </row>
    <row r="51" spans="1:26">
      <c r="A51" s="389"/>
      <c r="B51" s="389"/>
      <c r="C51" s="389"/>
      <c r="D51" s="390"/>
      <c r="E51" s="391"/>
      <c r="F51" s="391"/>
      <c r="G51" s="392"/>
      <c r="H51" s="391"/>
      <c r="I51" s="391"/>
      <c r="J51" s="391"/>
      <c r="K51" s="391"/>
      <c r="L51" s="394"/>
      <c r="M51" s="393"/>
      <c r="N51" s="393"/>
      <c r="O51" s="391"/>
      <c r="P51" s="391"/>
      <c r="Q51" s="391"/>
      <c r="R51" s="391"/>
      <c r="S51" s="545" t="e">
        <f>VLOOKUP(R51,'Exam Workorders'!F:Q,12,FALSE)</f>
        <v>#N/A</v>
      </c>
      <c r="T51" s="391" t="e">
        <f t="shared" si="11"/>
        <v>#N/A</v>
      </c>
      <c r="U51" s="391">
        <f t="shared" si="7"/>
        <v>0</v>
      </c>
      <c r="V51" s="403" t="s">
        <v>137</v>
      </c>
      <c r="W51" s="390" t="str">
        <f t="shared" si="8"/>
        <v>0</v>
      </c>
      <c r="X51" s="390" t="str">
        <f t="shared" si="9"/>
        <v>0</v>
      </c>
      <c r="Y51" s="402" t="str">
        <f t="shared" si="10"/>
        <v>TOPLAN</v>
      </c>
      <c r="Z51" s="402">
        <f t="shared" si="6"/>
        <v>0</v>
      </c>
    </row>
    <row r="52" spans="1:26">
      <c r="A52" s="389"/>
      <c r="B52" s="389"/>
      <c r="C52" s="389"/>
      <c r="D52" s="390"/>
      <c r="E52" s="391"/>
      <c r="F52" s="391"/>
      <c r="G52" s="392"/>
      <c r="H52" s="391"/>
      <c r="I52" s="391"/>
      <c r="J52" s="391"/>
      <c r="K52" s="391"/>
      <c r="L52" s="394"/>
      <c r="M52" s="393"/>
      <c r="N52" s="393"/>
      <c r="O52" s="391"/>
      <c r="P52" s="391"/>
      <c r="Q52" s="391"/>
      <c r="R52" s="391"/>
      <c r="S52" s="545" t="e">
        <f>VLOOKUP(R52,'Exam Workorders'!F:Q,12,FALSE)</f>
        <v>#N/A</v>
      </c>
      <c r="T52" s="391" t="e">
        <f t="shared" si="11"/>
        <v>#N/A</v>
      </c>
      <c r="U52" s="391">
        <f t="shared" si="7"/>
        <v>0</v>
      </c>
      <c r="V52" s="403" t="s">
        <v>137</v>
      </c>
      <c r="W52" s="390" t="str">
        <f t="shared" si="8"/>
        <v>0</v>
      </c>
      <c r="X52" s="390" t="str">
        <f t="shared" si="9"/>
        <v>0</v>
      </c>
      <c r="Y52" s="402" t="str">
        <f t="shared" si="10"/>
        <v>TOPLAN</v>
      </c>
      <c r="Z52" s="402">
        <f t="shared" si="6"/>
        <v>0</v>
      </c>
    </row>
    <row r="53" spans="1:26">
      <c r="A53" s="389"/>
      <c r="B53" s="389"/>
      <c r="C53" s="389"/>
      <c r="D53" s="390"/>
      <c r="E53" s="391"/>
      <c r="F53" s="391"/>
      <c r="G53" s="392"/>
      <c r="H53" s="391"/>
      <c r="I53" s="391"/>
      <c r="J53" s="391"/>
      <c r="K53" s="391"/>
      <c r="L53" s="394"/>
      <c r="M53" s="393"/>
      <c r="N53" s="393"/>
      <c r="O53" s="391"/>
      <c r="P53" s="391"/>
      <c r="Q53" s="391"/>
      <c r="R53" s="391"/>
      <c r="S53" s="545" t="e">
        <f>VLOOKUP(R53,'Exam Workorders'!F:Q,12,FALSE)</f>
        <v>#N/A</v>
      </c>
      <c r="T53" s="391" t="e">
        <f t="shared" si="11"/>
        <v>#N/A</v>
      </c>
      <c r="U53" s="391">
        <f t="shared" si="7"/>
        <v>0</v>
      </c>
      <c r="V53" s="403" t="s">
        <v>137</v>
      </c>
      <c r="W53" s="390" t="str">
        <f t="shared" si="8"/>
        <v>0</v>
      </c>
      <c r="X53" s="390" t="str">
        <f t="shared" si="9"/>
        <v>0</v>
      </c>
      <c r="Y53" s="402" t="str">
        <f t="shared" si="10"/>
        <v>TOPLAN</v>
      </c>
      <c r="Z53" s="402">
        <f t="shared" si="6"/>
        <v>0</v>
      </c>
    </row>
    <row r="54" spans="1:26">
      <c r="A54" s="389"/>
      <c r="B54" s="389"/>
      <c r="C54" s="389"/>
      <c r="D54" s="390"/>
      <c r="E54" s="391"/>
      <c r="F54" s="391"/>
      <c r="G54" s="392"/>
      <c r="H54" s="391"/>
      <c r="I54" s="391"/>
      <c r="J54" s="391"/>
      <c r="K54" s="391"/>
      <c r="L54" s="394"/>
      <c r="M54" s="393"/>
      <c r="N54" s="393"/>
      <c r="O54" s="391"/>
      <c r="P54" s="391"/>
      <c r="Q54" s="391"/>
      <c r="R54" s="391"/>
      <c r="S54" s="545" t="e">
        <f>VLOOKUP(R54,'Exam Workorders'!F:Q,12,FALSE)</f>
        <v>#N/A</v>
      </c>
      <c r="T54" s="391" t="e">
        <f t="shared" si="11"/>
        <v>#N/A</v>
      </c>
      <c r="U54" s="391">
        <f t="shared" si="7"/>
        <v>0</v>
      </c>
      <c r="V54" s="403" t="s">
        <v>137</v>
      </c>
      <c r="W54" s="390" t="str">
        <f t="shared" si="8"/>
        <v>0</v>
      </c>
      <c r="X54" s="390" t="str">
        <f t="shared" si="9"/>
        <v>0</v>
      </c>
      <c r="Y54" s="402" t="str">
        <f t="shared" si="10"/>
        <v>TOPLAN</v>
      </c>
      <c r="Z54" s="402">
        <f t="shared" si="6"/>
        <v>0</v>
      </c>
    </row>
    <row r="55" spans="1:26">
      <c r="A55" s="389"/>
      <c r="B55" s="389"/>
      <c r="C55" s="389"/>
      <c r="D55" s="390"/>
      <c r="E55" s="391"/>
      <c r="F55" s="391"/>
      <c r="G55" s="392"/>
      <c r="H55" s="391"/>
      <c r="I55" s="391"/>
      <c r="J55" s="391"/>
      <c r="K55" s="391"/>
      <c r="L55" s="394"/>
      <c r="M55" s="393"/>
      <c r="N55" s="393"/>
      <c r="O55" s="391"/>
      <c r="P55" s="391"/>
      <c r="Q55" s="391"/>
      <c r="R55" s="391"/>
      <c r="S55" s="545" t="e">
        <f>VLOOKUP(R55,'Exam Workorders'!F:Q,12,FALSE)</f>
        <v>#N/A</v>
      </c>
      <c r="T55" s="391" t="e">
        <f t="shared" si="11"/>
        <v>#N/A</v>
      </c>
      <c r="U55" s="391">
        <f t="shared" si="7"/>
        <v>0</v>
      </c>
      <c r="V55" s="403" t="s">
        <v>137</v>
      </c>
      <c r="W55" s="390" t="str">
        <f t="shared" si="8"/>
        <v>0</v>
      </c>
      <c r="X55" s="390" t="str">
        <f t="shared" si="9"/>
        <v>0</v>
      </c>
      <c r="Y55" s="402" t="str">
        <f t="shared" si="10"/>
        <v>TOPLAN</v>
      </c>
      <c r="Z55" s="402">
        <f t="shared" si="6"/>
        <v>0</v>
      </c>
    </row>
    <row r="56" spans="1:26">
      <c r="A56" s="389"/>
      <c r="B56" s="389"/>
      <c r="C56" s="389"/>
      <c r="D56" s="390"/>
      <c r="E56" s="391"/>
      <c r="F56" s="391"/>
      <c r="G56" s="392"/>
      <c r="H56" s="391"/>
      <c r="I56" s="391"/>
      <c r="J56" s="391"/>
      <c r="K56" s="391"/>
      <c r="L56" s="394"/>
      <c r="M56" s="393"/>
      <c r="N56" s="393"/>
      <c r="O56" s="391"/>
      <c r="P56" s="391"/>
      <c r="Q56" s="391"/>
      <c r="R56" s="391"/>
      <c r="S56" s="545" t="e">
        <f>VLOOKUP(R56,'Exam Workorders'!F:Q,12,FALSE)</f>
        <v>#N/A</v>
      </c>
      <c r="T56" s="391" t="e">
        <f t="shared" si="11"/>
        <v>#N/A</v>
      </c>
      <c r="U56" s="391">
        <f t="shared" si="7"/>
        <v>0</v>
      </c>
      <c r="V56" s="403" t="s">
        <v>137</v>
      </c>
      <c r="W56" s="390" t="str">
        <f t="shared" si="8"/>
        <v>0</v>
      </c>
      <c r="X56" s="390" t="str">
        <f t="shared" si="9"/>
        <v>0</v>
      </c>
      <c r="Y56" s="402" t="str">
        <f t="shared" si="10"/>
        <v>TOPLAN</v>
      </c>
      <c r="Z56" s="402">
        <f t="shared" si="6"/>
        <v>0</v>
      </c>
    </row>
    <row r="57" spans="1:26">
      <c r="A57" s="389"/>
      <c r="B57" s="389"/>
      <c r="C57" s="389"/>
      <c r="D57" s="390"/>
      <c r="E57" s="391"/>
      <c r="F57" s="391"/>
      <c r="G57" s="392"/>
      <c r="H57" s="391"/>
      <c r="I57" s="391"/>
      <c r="J57" s="391"/>
      <c r="K57" s="391"/>
      <c r="L57" s="394"/>
      <c r="M57" s="393"/>
      <c r="N57" s="393"/>
      <c r="O57" s="391"/>
      <c r="P57" s="391"/>
      <c r="Q57" s="391"/>
      <c r="R57" s="391"/>
      <c r="S57" s="545" t="e">
        <f>VLOOKUP(R57,'Exam Workorders'!F:Q,12,FALSE)</f>
        <v>#N/A</v>
      </c>
      <c r="T57" s="391" t="e">
        <f t="shared" si="11"/>
        <v>#N/A</v>
      </c>
      <c r="U57" s="391">
        <f t="shared" si="7"/>
        <v>0</v>
      </c>
      <c r="V57" s="403" t="s">
        <v>137</v>
      </c>
      <c r="W57" s="390" t="str">
        <f t="shared" si="8"/>
        <v>0</v>
      </c>
      <c r="X57" s="390" t="str">
        <f t="shared" si="9"/>
        <v>0</v>
      </c>
      <c r="Y57" s="402" t="str">
        <f t="shared" si="10"/>
        <v>TOPLAN</v>
      </c>
      <c r="Z57" s="402">
        <f t="shared" si="6"/>
        <v>0</v>
      </c>
    </row>
    <row r="58" spans="1:26">
      <c r="A58" s="389"/>
      <c r="B58" s="389"/>
      <c r="C58" s="389"/>
      <c r="D58" s="390"/>
      <c r="E58" s="391"/>
      <c r="F58" s="391"/>
      <c r="G58" s="392"/>
      <c r="H58" s="391"/>
      <c r="I58" s="391"/>
      <c r="J58" s="391"/>
      <c r="K58" s="391"/>
      <c r="L58" s="394"/>
      <c r="M58" s="393"/>
      <c r="N58" s="393"/>
      <c r="O58" s="391"/>
      <c r="P58" s="391"/>
      <c r="Q58" s="391"/>
      <c r="R58" s="391"/>
      <c r="S58" s="545" t="e">
        <f>VLOOKUP(R58,'Exam Workorders'!F:Q,12,FALSE)</f>
        <v>#N/A</v>
      </c>
      <c r="T58" s="391" t="e">
        <f t="shared" si="11"/>
        <v>#N/A</v>
      </c>
      <c r="U58" s="391">
        <f t="shared" si="7"/>
        <v>0</v>
      </c>
      <c r="V58" s="403" t="s">
        <v>137</v>
      </c>
      <c r="W58" s="390" t="str">
        <f t="shared" si="8"/>
        <v>0</v>
      </c>
      <c r="X58" s="390" t="str">
        <f t="shared" si="9"/>
        <v>0</v>
      </c>
      <c r="Y58" s="402" t="str">
        <f t="shared" si="10"/>
        <v>TOPLAN</v>
      </c>
      <c r="Z58" s="402">
        <f t="shared" si="6"/>
        <v>0</v>
      </c>
    </row>
    <row r="59" spans="1:26">
      <c r="A59" s="389"/>
      <c r="B59" s="389"/>
      <c r="C59" s="389"/>
      <c r="D59" s="390"/>
      <c r="E59" s="391"/>
      <c r="F59" s="391"/>
      <c r="G59" s="392"/>
      <c r="H59" s="391"/>
      <c r="I59" s="391"/>
      <c r="J59" s="391"/>
      <c r="K59" s="391"/>
      <c r="L59" s="394"/>
      <c r="M59" s="393"/>
      <c r="N59" s="393"/>
      <c r="O59" s="391"/>
      <c r="P59" s="391"/>
      <c r="Q59" s="391"/>
      <c r="R59" s="391"/>
      <c r="S59" s="545" t="e">
        <f>VLOOKUP(R59,'Exam Workorders'!F:Q,12,FALSE)</f>
        <v>#N/A</v>
      </c>
      <c r="T59" s="391" t="e">
        <f t="shared" si="11"/>
        <v>#N/A</v>
      </c>
      <c r="U59" s="391">
        <f t="shared" si="7"/>
        <v>0</v>
      </c>
      <c r="V59" s="403" t="s">
        <v>137</v>
      </c>
      <c r="W59" s="390" t="str">
        <f t="shared" si="8"/>
        <v>0</v>
      </c>
      <c r="X59" s="390" t="str">
        <f t="shared" si="9"/>
        <v>0</v>
      </c>
      <c r="Y59" s="402" t="str">
        <f t="shared" si="10"/>
        <v>TOPLAN</v>
      </c>
      <c r="Z59" s="402">
        <f t="shared" si="6"/>
        <v>0</v>
      </c>
    </row>
    <row r="60" spans="1:26">
      <c r="A60" s="416"/>
      <c r="B60" s="416"/>
      <c r="C60" s="416"/>
      <c r="D60" s="416"/>
      <c r="E60" s="416"/>
      <c r="F60" s="416"/>
      <c r="G60" s="416"/>
      <c r="H60" s="416"/>
      <c r="I60" s="416"/>
      <c r="J60" s="416"/>
      <c r="K60" s="416"/>
      <c r="L60" s="416"/>
      <c r="M60" s="416"/>
      <c r="N60" s="416"/>
      <c r="O60" s="416"/>
      <c r="P60" s="416"/>
      <c r="Q60" s="416"/>
      <c r="R60" s="416"/>
      <c r="S60" s="545" t="e">
        <f>VLOOKUP(R60,'Exam Workorders'!F:Q,12,FALSE)</f>
        <v>#N/A</v>
      </c>
      <c r="T60" s="391" t="e">
        <f t="shared" si="11"/>
        <v>#N/A</v>
      </c>
      <c r="U60" s="391">
        <f t="shared" si="7"/>
        <v>0</v>
      </c>
      <c r="V60" s="403" t="s">
        <v>137</v>
      </c>
      <c r="W60" s="390" t="str">
        <f t="shared" si="8"/>
        <v>0</v>
      </c>
      <c r="X60" s="390" t="str">
        <f t="shared" si="9"/>
        <v>0</v>
      </c>
      <c r="Y60" s="402" t="str">
        <f t="shared" si="10"/>
        <v>TOPLAN</v>
      </c>
      <c r="Z60" s="402">
        <f t="shared" ref="Z60:Z91" si="12">F60</f>
        <v>0</v>
      </c>
    </row>
    <row r="61" spans="1:26">
      <c r="A61" s="416"/>
      <c r="B61" s="416"/>
      <c r="C61" s="416"/>
      <c r="D61" s="416"/>
      <c r="E61" s="416"/>
      <c r="F61" s="416"/>
      <c r="G61" s="416"/>
      <c r="H61" s="416"/>
      <c r="I61" s="416"/>
      <c r="J61" s="416"/>
      <c r="K61" s="416"/>
      <c r="L61" s="416"/>
      <c r="M61" s="416"/>
      <c r="N61" s="416"/>
      <c r="O61" s="416"/>
      <c r="P61" s="416"/>
      <c r="Q61" s="416"/>
      <c r="R61" s="416"/>
      <c r="S61" s="545" t="e">
        <f>VLOOKUP(R61,'Exam Workorders'!F:Q,12,FALSE)</f>
        <v>#N/A</v>
      </c>
      <c r="T61" s="391" t="e">
        <f t="shared" si="11"/>
        <v>#N/A</v>
      </c>
      <c r="U61" s="391">
        <f t="shared" si="7"/>
        <v>0</v>
      </c>
      <c r="V61" s="403" t="s">
        <v>137</v>
      </c>
      <c r="W61" s="390" t="str">
        <f t="shared" si="8"/>
        <v>0</v>
      </c>
      <c r="X61" s="390" t="str">
        <f t="shared" si="9"/>
        <v>0</v>
      </c>
      <c r="Y61" s="402" t="str">
        <f t="shared" si="10"/>
        <v>TOPLAN</v>
      </c>
      <c r="Z61" s="402">
        <f t="shared" si="12"/>
        <v>0</v>
      </c>
    </row>
    <row r="62" spans="1:26">
      <c r="A62" s="416"/>
      <c r="B62" s="416"/>
      <c r="C62" s="416"/>
      <c r="D62" s="416"/>
      <c r="E62" s="416"/>
      <c r="F62" s="416"/>
      <c r="G62" s="416"/>
      <c r="H62" s="416"/>
      <c r="I62" s="416"/>
      <c r="J62" s="416"/>
      <c r="K62" s="416"/>
      <c r="L62" s="416"/>
      <c r="M62" s="416"/>
      <c r="N62" s="416"/>
      <c r="O62" s="416"/>
      <c r="P62" s="416"/>
      <c r="Q62" s="416"/>
      <c r="R62" s="416"/>
      <c r="S62" s="545" t="e">
        <f>VLOOKUP(R62,'Exam Workorders'!F:Q,12,FALSE)</f>
        <v>#N/A</v>
      </c>
      <c r="T62" s="391" t="e">
        <f t="shared" si="11"/>
        <v>#N/A</v>
      </c>
      <c r="U62" s="391">
        <f t="shared" si="7"/>
        <v>0</v>
      </c>
      <c r="V62" s="403" t="s">
        <v>137</v>
      </c>
      <c r="W62" s="390" t="str">
        <f t="shared" si="8"/>
        <v>0</v>
      </c>
      <c r="X62" s="390" t="str">
        <f t="shared" si="9"/>
        <v>0</v>
      </c>
      <c r="Y62" s="402" t="str">
        <f t="shared" si="10"/>
        <v>TOPLAN</v>
      </c>
      <c r="Z62" s="402">
        <f t="shared" si="12"/>
        <v>0</v>
      </c>
    </row>
    <row r="63" spans="1:26">
      <c r="A63" s="416"/>
      <c r="B63" s="416"/>
      <c r="C63" s="416"/>
      <c r="D63" s="416"/>
      <c r="E63" s="416"/>
      <c r="F63" s="416"/>
      <c r="G63" s="416"/>
      <c r="H63" s="416"/>
      <c r="I63" s="416"/>
      <c r="J63" s="416"/>
      <c r="K63" s="416"/>
      <c r="L63" s="416"/>
      <c r="M63" s="416"/>
      <c r="N63" s="416"/>
      <c r="O63" s="416"/>
      <c r="P63" s="416"/>
      <c r="Q63" s="416"/>
      <c r="R63" s="416"/>
      <c r="S63" s="545" t="e">
        <f>VLOOKUP(R63,'Exam Workorders'!F:Q,12,FALSE)</f>
        <v>#N/A</v>
      </c>
      <c r="T63" s="391" t="e">
        <f t="shared" si="11"/>
        <v>#N/A</v>
      </c>
      <c r="U63" s="391">
        <f t="shared" si="7"/>
        <v>0</v>
      </c>
      <c r="V63" s="403" t="s">
        <v>137</v>
      </c>
      <c r="W63" s="390" t="str">
        <f t="shared" si="8"/>
        <v>0</v>
      </c>
      <c r="X63" s="390" t="str">
        <f t="shared" si="9"/>
        <v>0</v>
      </c>
      <c r="Y63" s="402" t="str">
        <f t="shared" si="10"/>
        <v>TOPLAN</v>
      </c>
      <c r="Z63" s="402">
        <f t="shared" si="12"/>
        <v>0</v>
      </c>
    </row>
    <row r="64" spans="1:26">
      <c r="A64" s="416"/>
      <c r="B64" s="416"/>
      <c r="C64" s="416"/>
      <c r="D64" s="416"/>
      <c r="E64" s="416"/>
      <c r="F64" s="416"/>
      <c r="G64" s="416"/>
      <c r="H64" s="416"/>
      <c r="I64" s="416"/>
      <c r="J64" s="416"/>
      <c r="K64" s="416"/>
      <c r="L64" s="416"/>
      <c r="M64" s="416"/>
      <c r="N64" s="416"/>
      <c r="O64" s="416"/>
      <c r="P64" s="416"/>
      <c r="Q64" s="416"/>
      <c r="R64" s="416"/>
      <c r="S64" s="545" t="e">
        <f>VLOOKUP(R64,'Exam Workorders'!F:Q,12,FALSE)</f>
        <v>#N/A</v>
      </c>
      <c r="T64" s="391" t="e">
        <f t="shared" si="11"/>
        <v>#N/A</v>
      </c>
      <c r="U64" s="391">
        <f t="shared" si="7"/>
        <v>0</v>
      </c>
      <c r="V64" s="403" t="s">
        <v>137</v>
      </c>
      <c r="W64" s="390" t="str">
        <f t="shared" si="8"/>
        <v>0</v>
      </c>
      <c r="X64" s="390" t="str">
        <f t="shared" si="9"/>
        <v>0</v>
      </c>
      <c r="Y64" s="402" t="str">
        <f t="shared" si="10"/>
        <v>TOPLAN</v>
      </c>
      <c r="Z64" s="402">
        <f t="shared" si="12"/>
        <v>0</v>
      </c>
    </row>
    <row r="65" spans="1:26">
      <c r="A65" s="416"/>
      <c r="B65" s="416"/>
      <c r="C65" s="416"/>
      <c r="D65" s="416"/>
      <c r="E65" s="416"/>
      <c r="F65" s="416"/>
      <c r="G65" s="416"/>
      <c r="H65" s="416"/>
      <c r="I65" s="416"/>
      <c r="J65" s="416"/>
      <c r="K65" s="416"/>
      <c r="L65" s="416"/>
      <c r="M65" s="416"/>
      <c r="N65" s="416"/>
      <c r="O65" s="416"/>
      <c r="P65" s="416"/>
      <c r="Q65" s="416"/>
      <c r="R65" s="416"/>
      <c r="S65" s="545" t="e">
        <f>VLOOKUP(R65,'Exam Workorders'!F:Q,12,FALSE)</f>
        <v>#N/A</v>
      </c>
      <c r="T65" s="391" t="e">
        <f t="shared" si="11"/>
        <v>#N/A</v>
      </c>
      <c r="U65" s="391">
        <f t="shared" si="7"/>
        <v>0</v>
      </c>
      <c r="V65" s="403" t="s">
        <v>137</v>
      </c>
      <c r="W65" s="390" t="str">
        <f t="shared" si="8"/>
        <v>0</v>
      </c>
      <c r="X65" s="390" t="str">
        <f t="shared" si="9"/>
        <v>0</v>
      </c>
      <c r="Y65" s="402" t="str">
        <f t="shared" si="10"/>
        <v>TOPLAN</v>
      </c>
      <c r="Z65" s="402">
        <f t="shared" si="12"/>
        <v>0</v>
      </c>
    </row>
    <row r="66" spans="1:26">
      <c r="A66" s="416"/>
      <c r="B66" s="416"/>
      <c r="C66" s="416"/>
      <c r="D66" s="416"/>
      <c r="E66" s="416"/>
      <c r="F66" s="416"/>
      <c r="G66" s="416"/>
      <c r="H66" s="416"/>
      <c r="I66" s="416"/>
      <c r="J66" s="416"/>
      <c r="K66" s="416"/>
      <c r="L66" s="416"/>
      <c r="M66" s="416"/>
      <c r="N66" s="416"/>
      <c r="O66" s="416"/>
      <c r="P66" s="416"/>
      <c r="Q66" s="416"/>
      <c r="R66" s="416"/>
      <c r="S66" s="545" t="e">
        <f>VLOOKUP(R66,'Exam Workorders'!F:Q,12,FALSE)</f>
        <v>#N/A</v>
      </c>
      <c r="T66" s="391" t="e">
        <f t="shared" si="11"/>
        <v>#N/A</v>
      </c>
      <c r="U66" s="391">
        <f t="shared" ref="U66:U97" si="13">A66</f>
        <v>0</v>
      </c>
      <c r="V66" s="403" t="s">
        <v>137</v>
      </c>
      <c r="W66" s="390" t="str">
        <f t="shared" ref="W66:W97" si="14">CONCATENATE(U66,V66)</f>
        <v>0</v>
      </c>
      <c r="X66" s="390" t="str">
        <f t="shared" ref="X66:X97" si="15">CONCATENATE(V66,W66)</f>
        <v>0</v>
      </c>
      <c r="Y66" s="402" t="str">
        <f t="shared" ref="Y66:Y97" si="16">IF(B66="APPR","CHECKED","TOPLAN")</f>
        <v>TOPLAN</v>
      </c>
      <c r="Z66" s="402">
        <f t="shared" si="12"/>
        <v>0</v>
      </c>
    </row>
    <row r="67" spans="1:26">
      <c r="A67" s="416"/>
      <c r="B67" s="416"/>
      <c r="C67" s="416"/>
      <c r="D67" s="416"/>
      <c r="E67" s="416"/>
      <c r="F67" s="416"/>
      <c r="G67" s="416"/>
      <c r="H67" s="416"/>
      <c r="I67" s="416"/>
      <c r="J67" s="416"/>
      <c r="K67" s="416"/>
      <c r="L67" s="416"/>
      <c r="M67" s="416"/>
      <c r="N67" s="416"/>
      <c r="O67" s="416"/>
      <c r="P67" s="416"/>
      <c r="Q67" s="416"/>
      <c r="R67" s="416"/>
      <c r="S67" s="545" t="e">
        <f>VLOOKUP(R67,'Exam Workorders'!F:Q,12,FALSE)</f>
        <v>#N/A</v>
      </c>
      <c r="T67" s="391" t="e">
        <f t="shared" si="11"/>
        <v>#N/A</v>
      </c>
      <c r="U67" s="391">
        <f t="shared" si="13"/>
        <v>0</v>
      </c>
      <c r="V67" s="403" t="s">
        <v>137</v>
      </c>
      <c r="W67" s="390" t="str">
        <f t="shared" si="14"/>
        <v>0</v>
      </c>
      <c r="X67" s="390" t="str">
        <f t="shared" si="15"/>
        <v>0</v>
      </c>
      <c r="Y67" s="402" t="str">
        <f t="shared" si="16"/>
        <v>TOPLAN</v>
      </c>
      <c r="Z67" s="402">
        <f t="shared" si="12"/>
        <v>0</v>
      </c>
    </row>
    <row r="68" spans="1:26">
      <c r="A68" s="416"/>
      <c r="B68" s="416"/>
      <c r="C68" s="416"/>
      <c r="D68" s="416"/>
      <c r="E68" s="416"/>
      <c r="F68" s="416"/>
      <c r="G68" s="416"/>
      <c r="H68" s="416"/>
      <c r="I68" s="416"/>
      <c r="J68" s="416"/>
      <c r="K68" s="416"/>
      <c r="L68" s="416"/>
      <c r="M68" s="416"/>
      <c r="N68" s="416"/>
      <c r="O68" s="416"/>
      <c r="P68" s="416"/>
      <c r="Q68" s="416"/>
      <c r="R68" s="416"/>
      <c r="S68" s="545" t="e">
        <f>VLOOKUP(R68,'Exam Workorders'!F:Q,12,FALSE)</f>
        <v>#N/A</v>
      </c>
      <c r="T68" s="391" t="e">
        <f t="shared" si="11"/>
        <v>#N/A</v>
      </c>
      <c r="U68" s="391">
        <f t="shared" si="13"/>
        <v>0</v>
      </c>
      <c r="V68" s="403" t="s">
        <v>137</v>
      </c>
      <c r="W68" s="390" t="str">
        <f t="shared" si="14"/>
        <v>0</v>
      </c>
      <c r="X68" s="390" t="str">
        <f t="shared" si="15"/>
        <v>0</v>
      </c>
      <c r="Y68" s="402" t="str">
        <f t="shared" si="16"/>
        <v>TOPLAN</v>
      </c>
      <c r="Z68" s="402">
        <f t="shared" si="12"/>
        <v>0</v>
      </c>
    </row>
    <row r="69" spans="1:26">
      <c r="A69" s="416"/>
      <c r="B69" s="416"/>
      <c r="C69" s="416"/>
      <c r="D69" s="416"/>
      <c r="E69" s="416"/>
      <c r="F69" s="416"/>
      <c r="G69" s="416"/>
      <c r="H69" s="416"/>
      <c r="I69" s="416"/>
      <c r="J69" s="416"/>
      <c r="K69" s="416"/>
      <c r="L69" s="416"/>
      <c r="M69" s="416"/>
      <c r="N69" s="416"/>
      <c r="O69" s="416"/>
      <c r="P69" s="416"/>
      <c r="Q69" s="416"/>
      <c r="R69" s="416"/>
      <c r="S69" s="545" t="e">
        <f>VLOOKUP(R69,'Exam Workorders'!F:Q,12,FALSE)</f>
        <v>#N/A</v>
      </c>
      <c r="T69" s="391" t="e">
        <f t="shared" si="11"/>
        <v>#N/A</v>
      </c>
      <c r="U69" s="391">
        <f t="shared" si="13"/>
        <v>0</v>
      </c>
      <c r="V69" s="403" t="s">
        <v>137</v>
      </c>
      <c r="W69" s="390" t="str">
        <f t="shared" si="14"/>
        <v>0</v>
      </c>
      <c r="X69" s="390" t="str">
        <f t="shared" si="15"/>
        <v>0</v>
      </c>
      <c r="Y69" s="402" t="str">
        <f t="shared" si="16"/>
        <v>TOPLAN</v>
      </c>
      <c r="Z69" s="402">
        <f t="shared" si="12"/>
        <v>0</v>
      </c>
    </row>
    <row r="70" spans="1:26">
      <c r="A70" s="416"/>
      <c r="B70" s="416"/>
      <c r="C70" s="416"/>
      <c r="D70" s="416"/>
      <c r="E70" s="416"/>
      <c r="F70" s="416"/>
      <c r="G70" s="416"/>
      <c r="H70" s="416"/>
      <c r="I70" s="416"/>
      <c r="J70" s="416"/>
      <c r="K70" s="416"/>
      <c r="L70" s="416"/>
      <c r="M70" s="416"/>
      <c r="N70" s="416"/>
      <c r="O70" s="416"/>
      <c r="P70" s="416"/>
      <c r="Q70" s="416"/>
      <c r="R70" s="416"/>
      <c r="S70" s="545" t="e">
        <f>VLOOKUP(R70,'Exam Workorders'!F:Q,12,FALSE)</f>
        <v>#N/A</v>
      </c>
      <c r="T70" s="391" t="e">
        <f t="shared" si="11"/>
        <v>#N/A</v>
      </c>
      <c r="U70" s="391">
        <f t="shared" si="13"/>
        <v>0</v>
      </c>
      <c r="V70" s="403" t="s">
        <v>137</v>
      </c>
      <c r="W70" s="390" t="str">
        <f t="shared" si="14"/>
        <v>0</v>
      </c>
      <c r="X70" s="390" t="str">
        <f t="shared" si="15"/>
        <v>0</v>
      </c>
      <c r="Y70" s="402" t="str">
        <f t="shared" si="16"/>
        <v>TOPLAN</v>
      </c>
      <c r="Z70" s="402">
        <f t="shared" si="12"/>
        <v>0</v>
      </c>
    </row>
    <row r="71" spans="1:26">
      <c r="A71" s="416"/>
      <c r="B71" s="416"/>
      <c r="C71" s="416"/>
      <c r="D71" s="416"/>
      <c r="E71" s="416"/>
      <c r="F71" s="416"/>
      <c r="G71" s="416"/>
      <c r="H71" s="416"/>
      <c r="I71" s="416"/>
      <c r="J71" s="416"/>
      <c r="K71" s="416"/>
      <c r="L71" s="416"/>
      <c r="M71" s="416"/>
      <c r="N71" s="416"/>
      <c r="O71" s="416"/>
      <c r="P71" s="416"/>
      <c r="Q71" s="416"/>
      <c r="R71" s="416"/>
      <c r="S71" s="545" t="e">
        <f>VLOOKUP(R71,'Exam Workorders'!F:Q,12,FALSE)</f>
        <v>#N/A</v>
      </c>
      <c r="T71" s="391" t="e">
        <f t="shared" si="11"/>
        <v>#N/A</v>
      </c>
      <c r="U71" s="391">
        <f t="shared" si="13"/>
        <v>0</v>
      </c>
      <c r="V71" s="403" t="s">
        <v>137</v>
      </c>
      <c r="W71" s="390" t="str">
        <f t="shared" si="14"/>
        <v>0</v>
      </c>
      <c r="X71" s="390" t="str">
        <f t="shared" si="15"/>
        <v>0</v>
      </c>
      <c r="Y71" s="402" t="str">
        <f t="shared" si="16"/>
        <v>TOPLAN</v>
      </c>
      <c r="Z71" s="402">
        <f t="shared" si="12"/>
        <v>0</v>
      </c>
    </row>
    <row r="72" spans="1:26">
      <c r="A72" s="416"/>
      <c r="B72" s="416"/>
      <c r="C72" s="416"/>
      <c r="D72" s="416"/>
      <c r="E72" s="416"/>
      <c r="F72" s="416"/>
      <c r="G72" s="416"/>
      <c r="H72" s="416"/>
      <c r="I72" s="416"/>
      <c r="J72" s="416"/>
      <c r="K72" s="416"/>
      <c r="L72" s="416"/>
      <c r="M72" s="416"/>
      <c r="N72" s="416"/>
      <c r="O72" s="416"/>
      <c r="P72" s="416"/>
      <c r="Q72" s="416"/>
      <c r="R72" s="416"/>
      <c r="S72" s="545" t="e">
        <f>VLOOKUP(R72,'Exam Workorders'!F:Q,12,FALSE)</f>
        <v>#N/A</v>
      </c>
      <c r="T72" s="391" t="e">
        <f t="shared" si="11"/>
        <v>#N/A</v>
      </c>
      <c r="U72" s="391">
        <f t="shared" si="13"/>
        <v>0</v>
      </c>
      <c r="V72" s="403" t="s">
        <v>137</v>
      </c>
      <c r="W72" s="390" t="str">
        <f t="shared" si="14"/>
        <v>0</v>
      </c>
      <c r="X72" s="390" t="str">
        <f t="shared" si="15"/>
        <v>0</v>
      </c>
      <c r="Y72" s="402" t="str">
        <f t="shared" si="16"/>
        <v>TOPLAN</v>
      </c>
      <c r="Z72" s="402">
        <f t="shared" si="12"/>
        <v>0</v>
      </c>
    </row>
    <row r="73" spans="1:26">
      <c r="A73" s="416"/>
      <c r="B73" s="416"/>
      <c r="C73" s="416"/>
      <c r="D73" s="416"/>
      <c r="E73" s="416"/>
      <c r="F73" s="416"/>
      <c r="G73" s="416"/>
      <c r="H73" s="416"/>
      <c r="I73" s="416"/>
      <c r="J73" s="416"/>
      <c r="K73" s="416"/>
      <c r="L73" s="416"/>
      <c r="M73" s="416"/>
      <c r="N73" s="416"/>
      <c r="O73" s="416"/>
      <c r="P73" s="416"/>
      <c r="Q73" s="416"/>
      <c r="R73" s="416"/>
      <c r="S73" s="545" t="e">
        <f>VLOOKUP(R73,'Exam Workorders'!F:Q,12,FALSE)</f>
        <v>#N/A</v>
      </c>
      <c r="T73" s="391" t="e">
        <f t="shared" si="11"/>
        <v>#N/A</v>
      </c>
      <c r="U73" s="391">
        <f t="shared" si="13"/>
        <v>0</v>
      </c>
      <c r="V73" s="403" t="s">
        <v>137</v>
      </c>
      <c r="W73" s="390" t="str">
        <f t="shared" si="14"/>
        <v>0</v>
      </c>
      <c r="X73" s="390" t="str">
        <f t="shared" si="15"/>
        <v>0</v>
      </c>
      <c r="Y73" s="402" t="str">
        <f t="shared" si="16"/>
        <v>TOPLAN</v>
      </c>
      <c r="Z73" s="402">
        <f t="shared" si="12"/>
        <v>0</v>
      </c>
    </row>
    <row r="74" spans="1:26">
      <c r="A74" s="416"/>
      <c r="B74" s="416"/>
      <c r="C74" s="416"/>
      <c r="D74" s="416"/>
      <c r="E74" s="416"/>
      <c r="F74" s="416"/>
      <c r="G74" s="416"/>
      <c r="H74" s="416"/>
      <c r="I74" s="416"/>
      <c r="J74" s="416"/>
      <c r="K74" s="416"/>
      <c r="L74" s="416"/>
      <c r="M74" s="416"/>
      <c r="N74" s="416"/>
      <c r="O74" s="416"/>
      <c r="P74" s="416"/>
      <c r="Q74" s="416"/>
      <c r="R74" s="416"/>
      <c r="S74" s="545" t="e">
        <f>VLOOKUP(R74,'Exam Workorders'!F:Q,12,FALSE)</f>
        <v>#N/A</v>
      </c>
      <c r="T74" s="391" t="e">
        <f t="shared" si="11"/>
        <v>#N/A</v>
      </c>
      <c r="U74" s="391">
        <f t="shared" si="13"/>
        <v>0</v>
      </c>
      <c r="V74" s="403" t="s">
        <v>137</v>
      </c>
      <c r="W74" s="390" t="str">
        <f t="shared" si="14"/>
        <v>0</v>
      </c>
      <c r="X74" s="390" t="str">
        <f t="shared" si="15"/>
        <v>0</v>
      </c>
      <c r="Y74" s="402" t="str">
        <f t="shared" si="16"/>
        <v>TOPLAN</v>
      </c>
      <c r="Z74" s="402">
        <f t="shared" si="12"/>
        <v>0</v>
      </c>
    </row>
    <row r="75" spans="1:26">
      <c r="A75" s="416"/>
      <c r="B75" s="416"/>
      <c r="C75" s="416"/>
      <c r="D75" s="416"/>
      <c r="E75" s="416"/>
      <c r="F75" s="416"/>
      <c r="G75" s="416"/>
      <c r="H75" s="416"/>
      <c r="I75" s="416"/>
      <c r="J75" s="416"/>
      <c r="K75" s="416"/>
      <c r="L75" s="416"/>
      <c r="M75" s="416"/>
      <c r="N75" s="416"/>
      <c r="O75" s="416"/>
      <c r="P75" s="416"/>
      <c r="Q75" s="416"/>
      <c r="R75" s="416"/>
      <c r="S75" s="545" t="e">
        <f>VLOOKUP(R75,'Exam Workorders'!F:Q,12,FALSE)</f>
        <v>#N/A</v>
      </c>
      <c r="T75" s="391" t="e">
        <f t="shared" ref="T75:T106" si="17">RIGHT(S75,LEN(S75)-2)</f>
        <v>#N/A</v>
      </c>
      <c r="U75" s="391">
        <f t="shared" si="13"/>
        <v>0</v>
      </c>
      <c r="V75" s="403" t="s">
        <v>137</v>
      </c>
      <c r="W75" s="390" t="str">
        <f t="shared" si="14"/>
        <v>0</v>
      </c>
      <c r="X75" s="390" t="str">
        <f t="shared" si="15"/>
        <v>0</v>
      </c>
      <c r="Y75" s="402" t="str">
        <f t="shared" si="16"/>
        <v>TOPLAN</v>
      </c>
      <c r="Z75" s="402">
        <f t="shared" si="12"/>
        <v>0</v>
      </c>
    </row>
    <row r="76" spans="1:26">
      <c r="A76" s="416"/>
      <c r="B76" s="416"/>
      <c r="C76" s="416"/>
      <c r="D76" s="416"/>
      <c r="E76" s="416"/>
      <c r="F76" s="416"/>
      <c r="G76" s="416"/>
      <c r="H76" s="416"/>
      <c r="I76" s="416"/>
      <c r="J76" s="416"/>
      <c r="K76" s="416"/>
      <c r="L76" s="416"/>
      <c r="M76" s="416"/>
      <c r="N76" s="416"/>
      <c r="O76" s="416"/>
      <c r="P76" s="416"/>
      <c r="Q76" s="416"/>
      <c r="R76" s="416"/>
      <c r="S76" s="545" t="e">
        <f>VLOOKUP(R76,'Exam Workorders'!F:Q,12,FALSE)</f>
        <v>#N/A</v>
      </c>
      <c r="T76" s="391" t="e">
        <f t="shared" si="17"/>
        <v>#N/A</v>
      </c>
      <c r="U76" s="391">
        <f t="shared" si="13"/>
        <v>0</v>
      </c>
      <c r="V76" s="403" t="s">
        <v>137</v>
      </c>
      <c r="W76" s="390" t="str">
        <f t="shared" si="14"/>
        <v>0</v>
      </c>
      <c r="X76" s="390" t="str">
        <f t="shared" si="15"/>
        <v>0</v>
      </c>
      <c r="Y76" s="402" t="str">
        <f t="shared" si="16"/>
        <v>TOPLAN</v>
      </c>
      <c r="Z76" s="402">
        <f t="shared" si="12"/>
        <v>0</v>
      </c>
    </row>
    <row r="77" spans="1:26">
      <c r="A77" s="416"/>
      <c r="B77" s="416"/>
      <c r="C77" s="416"/>
      <c r="D77" s="416"/>
      <c r="E77" s="416"/>
      <c r="F77" s="416"/>
      <c r="G77" s="416"/>
      <c r="H77" s="416"/>
      <c r="I77" s="416"/>
      <c r="J77" s="416"/>
      <c r="K77" s="416"/>
      <c r="L77" s="416"/>
      <c r="M77" s="416"/>
      <c r="N77" s="416"/>
      <c r="O77" s="416"/>
      <c r="P77" s="416"/>
      <c r="Q77" s="416"/>
      <c r="R77" s="416"/>
      <c r="S77" s="545" t="e">
        <f>VLOOKUP(R77,'Exam Workorders'!F:Q,12,FALSE)</f>
        <v>#N/A</v>
      </c>
      <c r="T77" s="391" t="e">
        <f t="shared" si="17"/>
        <v>#N/A</v>
      </c>
      <c r="U77" s="391">
        <f t="shared" si="13"/>
        <v>0</v>
      </c>
      <c r="V77" s="403" t="s">
        <v>137</v>
      </c>
      <c r="W77" s="390" t="str">
        <f t="shared" si="14"/>
        <v>0</v>
      </c>
      <c r="X77" s="390" t="str">
        <f t="shared" si="15"/>
        <v>0</v>
      </c>
      <c r="Y77" s="402" t="str">
        <f t="shared" si="16"/>
        <v>TOPLAN</v>
      </c>
      <c r="Z77" s="402">
        <f t="shared" si="12"/>
        <v>0</v>
      </c>
    </row>
    <row r="78" spans="1:26">
      <c r="A78" s="416"/>
      <c r="B78" s="416"/>
      <c r="C78" s="416"/>
      <c r="D78" s="416"/>
      <c r="E78" s="416"/>
      <c r="F78" s="416"/>
      <c r="G78" s="416"/>
      <c r="H78" s="416"/>
      <c r="I78" s="416"/>
      <c r="J78" s="416"/>
      <c r="K78" s="416"/>
      <c r="L78" s="416"/>
      <c r="M78" s="416"/>
      <c r="N78" s="416"/>
      <c r="O78" s="416"/>
      <c r="P78" s="416"/>
      <c r="Q78" s="416"/>
      <c r="R78" s="416"/>
      <c r="S78" s="545" t="e">
        <f>VLOOKUP(R78,'Exam Workorders'!F:Q,12,FALSE)</f>
        <v>#N/A</v>
      </c>
      <c r="T78" s="391" t="e">
        <f t="shared" si="17"/>
        <v>#N/A</v>
      </c>
      <c r="U78" s="391">
        <f t="shared" si="13"/>
        <v>0</v>
      </c>
      <c r="V78" s="403" t="s">
        <v>137</v>
      </c>
      <c r="W78" s="390" t="str">
        <f t="shared" si="14"/>
        <v>0</v>
      </c>
      <c r="X78" s="390" t="str">
        <f t="shared" si="15"/>
        <v>0</v>
      </c>
      <c r="Y78" s="402" t="str">
        <f t="shared" si="16"/>
        <v>TOPLAN</v>
      </c>
      <c r="Z78" s="402">
        <f t="shared" si="12"/>
        <v>0</v>
      </c>
    </row>
    <row r="79" spans="1:26">
      <c r="A79" s="416"/>
      <c r="B79" s="416"/>
      <c r="C79" s="416"/>
      <c r="D79" s="416"/>
      <c r="E79" s="416"/>
      <c r="F79" s="416"/>
      <c r="G79" s="416"/>
      <c r="H79" s="416"/>
      <c r="I79" s="416"/>
      <c r="J79" s="416"/>
      <c r="K79" s="416"/>
      <c r="L79" s="416"/>
      <c r="M79" s="416"/>
      <c r="N79" s="416"/>
      <c r="O79" s="416"/>
      <c r="P79" s="416"/>
      <c r="Q79" s="416"/>
      <c r="R79" s="416"/>
      <c r="S79" s="545" t="e">
        <f>VLOOKUP(R79,'Exam Workorders'!F:Q,12,FALSE)</f>
        <v>#N/A</v>
      </c>
      <c r="T79" s="391" t="e">
        <f t="shared" si="17"/>
        <v>#N/A</v>
      </c>
      <c r="U79" s="391">
        <f t="shared" si="13"/>
        <v>0</v>
      </c>
      <c r="V79" s="403" t="s">
        <v>137</v>
      </c>
      <c r="W79" s="390" t="str">
        <f t="shared" si="14"/>
        <v>0</v>
      </c>
      <c r="X79" s="390" t="str">
        <f t="shared" si="15"/>
        <v>0</v>
      </c>
      <c r="Y79" s="402" t="str">
        <f t="shared" si="16"/>
        <v>TOPLAN</v>
      </c>
      <c r="Z79" s="402">
        <f t="shared" si="12"/>
        <v>0</v>
      </c>
    </row>
    <row r="80" spans="1:26">
      <c r="A80" s="416"/>
      <c r="B80" s="416"/>
      <c r="C80" s="416"/>
      <c r="D80" s="416"/>
      <c r="E80" s="416"/>
      <c r="F80" s="416"/>
      <c r="G80" s="416"/>
      <c r="H80" s="416"/>
      <c r="I80" s="416"/>
      <c r="J80" s="416"/>
      <c r="K80" s="416"/>
      <c r="L80" s="416"/>
      <c r="M80" s="416"/>
      <c r="N80" s="416"/>
      <c r="O80" s="416"/>
      <c r="P80" s="416"/>
      <c r="Q80" s="416"/>
      <c r="R80" s="416"/>
      <c r="S80" s="545" t="e">
        <f>VLOOKUP(R80,'Exam Workorders'!F:Q,12,FALSE)</f>
        <v>#N/A</v>
      </c>
      <c r="T80" s="391" t="e">
        <f t="shared" si="17"/>
        <v>#N/A</v>
      </c>
      <c r="U80" s="391">
        <f t="shared" si="13"/>
        <v>0</v>
      </c>
      <c r="V80" s="403" t="s">
        <v>137</v>
      </c>
      <c r="W80" s="390" t="str">
        <f t="shared" si="14"/>
        <v>0</v>
      </c>
      <c r="X80" s="390" t="str">
        <f t="shared" si="15"/>
        <v>0</v>
      </c>
      <c r="Y80" s="402" t="str">
        <f t="shared" si="16"/>
        <v>TOPLAN</v>
      </c>
      <c r="Z80" s="402">
        <f t="shared" si="12"/>
        <v>0</v>
      </c>
    </row>
    <row r="81" spans="1:26">
      <c r="A81" s="416"/>
      <c r="B81" s="416"/>
      <c r="C81" s="416"/>
      <c r="D81" s="416"/>
      <c r="E81" s="416"/>
      <c r="F81" s="416"/>
      <c r="G81" s="416"/>
      <c r="H81" s="416"/>
      <c r="I81" s="416"/>
      <c r="J81" s="416"/>
      <c r="K81" s="416"/>
      <c r="L81" s="416"/>
      <c r="M81" s="416"/>
      <c r="N81" s="416"/>
      <c r="O81" s="416"/>
      <c r="P81" s="416"/>
      <c r="Q81" s="416"/>
      <c r="R81" s="416"/>
      <c r="S81" s="545" t="e">
        <f>VLOOKUP(R81,'Exam Workorders'!F:Q,12,FALSE)</f>
        <v>#N/A</v>
      </c>
      <c r="T81" s="391" t="e">
        <f t="shared" si="17"/>
        <v>#N/A</v>
      </c>
      <c r="U81" s="391">
        <f t="shared" si="13"/>
        <v>0</v>
      </c>
      <c r="V81" s="403" t="s">
        <v>137</v>
      </c>
      <c r="W81" s="390" t="str">
        <f t="shared" si="14"/>
        <v>0</v>
      </c>
      <c r="X81" s="390" t="str">
        <f t="shared" si="15"/>
        <v>0</v>
      </c>
      <c r="Y81" s="402" t="str">
        <f t="shared" si="16"/>
        <v>TOPLAN</v>
      </c>
      <c r="Z81" s="402">
        <f t="shared" si="12"/>
        <v>0</v>
      </c>
    </row>
    <row r="82" spans="1:26">
      <c r="A82" s="416"/>
      <c r="B82" s="416"/>
      <c r="C82" s="416"/>
      <c r="D82" s="416"/>
      <c r="E82" s="416"/>
      <c r="F82" s="416"/>
      <c r="G82" s="416"/>
      <c r="H82" s="416"/>
      <c r="I82" s="416"/>
      <c r="J82" s="416"/>
      <c r="K82" s="416"/>
      <c r="L82" s="416"/>
      <c r="M82" s="416"/>
      <c r="N82" s="416"/>
      <c r="O82" s="416"/>
      <c r="P82" s="416"/>
      <c r="Q82" s="416"/>
      <c r="R82" s="416"/>
      <c r="S82" s="545" t="e">
        <f>VLOOKUP(R82,'Exam Workorders'!F:Q,12,FALSE)</f>
        <v>#N/A</v>
      </c>
      <c r="T82" s="391" t="e">
        <f t="shared" si="17"/>
        <v>#N/A</v>
      </c>
      <c r="U82" s="391">
        <f t="shared" si="13"/>
        <v>0</v>
      </c>
      <c r="V82" s="403" t="s">
        <v>137</v>
      </c>
      <c r="W82" s="390" t="str">
        <f t="shared" si="14"/>
        <v>0</v>
      </c>
      <c r="X82" s="390" t="str">
        <f t="shared" si="15"/>
        <v>0</v>
      </c>
      <c r="Y82" s="402" t="str">
        <f t="shared" si="16"/>
        <v>TOPLAN</v>
      </c>
      <c r="Z82" s="402">
        <f t="shared" si="12"/>
        <v>0</v>
      </c>
    </row>
    <row r="83" spans="1:26">
      <c r="A83" s="416"/>
      <c r="B83" s="416"/>
      <c r="C83" s="416"/>
      <c r="D83" s="416"/>
      <c r="E83" s="416"/>
      <c r="F83" s="416"/>
      <c r="G83" s="416"/>
      <c r="H83" s="416"/>
      <c r="I83" s="416"/>
      <c r="J83" s="416"/>
      <c r="K83" s="416"/>
      <c r="L83" s="416"/>
      <c r="M83" s="416"/>
      <c r="N83" s="416"/>
      <c r="O83" s="416"/>
      <c r="P83" s="416"/>
      <c r="Q83" s="416"/>
      <c r="R83" s="416"/>
      <c r="S83" s="545" t="e">
        <f>VLOOKUP(R83,'Exam Workorders'!F:Q,12,FALSE)</f>
        <v>#N/A</v>
      </c>
      <c r="T83" s="391" t="e">
        <f t="shared" si="17"/>
        <v>#N/A</v>
      </c>
      <c r="U83" s="391">
        <f t="shared" si="13"/>
        <v>0</v>
      </c>
      <c r="V83" s="403" t="s">
        <v>137</v>
      </c>
      <c r="W83" s="390" t="str">
        <f t="shared" si="14"/>
        <v>0</v>
      </c>
      <c r="X83" s="390" t="str">
        <f t="shared" si="15"/>
        <v>0</v>
      </c>
      <c r="Y83" s="402" t="str">
        <f t="shared" si="16"/>
        <v>TOPLAN</v>
      </c>
      <c r="Z83" s="402">
        <f t="shared" si="12"/>
        <v>0</v>
      </c>
    </row>
    <row r="84" spans="1:26">
      <c r="A84" s="416"/>
      <c r="B84" s="416"/>
      <c r="C84" s="416"/>
      <c r="D84" s="416"/>
      <c r="E84" s="416"/>
      <c r="F84" s="416"/>
      <c r="G84" s="416"/>
      <c r="H84" s="416"/>
      <c r="I84" s="416"/>
      <c r="J84" s="416"/>
      <c r="K84" s="416"/>
      <c r="L84" s="416"/>
      <c r="M84" s="416"/>
      <c r="N84" s="416"/>
      <c r="O84" s="416"/>
      <c r="P84" s="416"/>
      <c r="Q84" s="416"/>
      <c r="R84" s="416"/>
      <c r="S84" s="545" t="e">
        <f>VLOOKUP(R84,'Exam Workorders'!F:Q,12,FALSE)</f>
        <v>#N/A</v>
      </c>
      <c r="T84" s="391" t="e">
        <f t="shared" si="17"/>
        <v>#N/A</v>
      </c>
      <c r="U84" s="391">
        <f t="shared" si="13"/>
        <v>0</v>
      </c>
      <c r="V84" s="403" t="s">
        <v>137</v>
      </c>
      <c r="W84" s="390" t="str">
        <f t="shared" si="14"/>
        <v>0</v>
      </c>
      <c r="X84" s="390" t="str">
        <f t="shared" si="15"/>
        <v>0</v>
      </c>
      <c r="Y84" s="402" t="str">
        <f t="shared" si="16"/>
        <v>TOPLAN</v>
      </c>
      <c r="Z84" s="402">
        <f t="shared" si="12"/>
        <v>0</v>
      </c>
    </row>
    <row r="85" spans="1:26">
      <c r="A85" s="416"/>
      <c r="B85" s="416"/>
      <c r="C85" s="416"/>
      <c r="D85" s="416"/>
      <c r="E85" s="416"/>
      <c r="F85" s="416"/>
      <c r="G85" s="416"/>
      <c r="H85" s="416"/>
      <c r="I85" s="416"/>
      <c r="J85" s="416"/>
      <c r="K85" s="416"/>
      <c r="L85" s="416"/>
      <c r="M85" s="416"/>
      <c r="N85" s="416"/>
      <c r="O85" s="416"/>
      <c r="P85" s="416"/>
      <c r="Q85" s="416"/>
      <c r="R85" s="416"/>
      <c r="S85" s="545" t="e">
        <f>VLOOKUP(R85,'Exam Workorders'!F:Q,12,FALSE)</f>
        <v>#N/A</v>
      </c>
      <c r="T85" s="391" t="e">
        <f t="shared" si="17"/>
        <v>#N/A</v>
      </c>
      <c r="U85" s="391">
        <f t="shared" si="13"/>
        <v>0</v>
      </c>
      <c r="V85" s="403" t="s">
        <v>137</v>
      </c>
      <c r="W85" s="390" t="str">
        <f t="shared" si="14"/>
        <v>0</v>
      </c>
      <c r="X85" s="390" t="str">
        <f t="shared" si="15"/>
        <v>0</v>
      </c>
      <c r="Y85" s="402" t="str">
        <f t="shared" si="16"/>
        <v>TOPLAN</v>
      </c>
      <c r="Z85" s="402">
        <f t="shared" si="12"/>
        <v>0</v>
      </c>
    </row>
    <row r="86" spans="1:26">
      <c r="A86" s="416"/>
      <c r="B86" s="416"/>
      <c r="C86" s="416"/>
      <c r="D86" s="416"/>
      <c r="E86" s="416"/>
      <c r="F86" s="416"/>
      <c r="G86" s="416"/>
      <c r="H86" s="416"/>
      <c r="I86" s="416"/>
      <c r="J86" s="416"/>
      <c r="K86" s="416"/>
      <c r="L86" s="416"/>
      <c r="M86" s="416"/>
      <c r="N86" s="416"/>
      <c r="O86" s="416"/>
      <c r="P86" s="416"/>
      <c r="Q86" s="416"/>
      <c r="R86" s="416"/>
      <c r="S86" s="545" t="e">
        <f>VLOOKUP(R86,'Exam Workorders'!F:Q,12,FALSE)</f>
        <v>#N/A</v>
      </c>
      <c r="T86" s="391" t="e">
        <f t="shared" si="17"/>
        <v>#N/A</v>
      </c>
      <c r="U86" s="391">
        <f t="shared" si="13"/>
        <v>0</v>
      </c>
      <c r="V86" s="403" t="s">
        <v>137</v>
      </c>
      <c r="W86" s="390" t="str">
        <f t="shared" si="14"/>
        <v>0</v>
      </c>
      <c r="X86" s="390" t="str">
        <f t="shared" si="15"/>
        <v>0</v>
      </c>
      <c r="Y86" s="402" t="str">
        <f t="shared" si="16"/>
        <v>TOPLAN</v>
      </c>
      <c r="Z86" s="402">
        <f t="shared" si="12"/>
        <v>0</v>
      </c>
    </row>
    <row r="87" spans="1:26">
      <c r="A87" s="416"/>
      <c r="B87" s="416"/>
      <c r="C87" s="416"/>
      <c r="D87" s="416"/>
      <c r="E87" s="416"/>
      <c r="F87" s="416"/>
      <c r="G87" s="416"/>
      <c r="H87" s="416"/>
      <c r="I87" s="416"/>
      <c r="J87" s="416"/>
      <c r="K87" s="416"/>
      <c r="L87" s="416"/>
      <c r="M87" s="416"/>
      <c r="N87" s="416"/>
      <c r="O87" s="416"/>
      <c r="P87" s="416"/>
      <c r="Q87" s="416"/>
      <c r="R87" s="416"/>
      <c r="S87" s="545" t="e">
        <f>VLOOKUP(R87,'Exam Workorders'!F:Q,12,FALSE)</f>
        <v>#N/A</v>
      </c>
      <c r="T87" s="391" t="e">
        <f t="shared" si="17"/>
        <v>#N/A</v>
      </c>
      <c r="U87" s="391">
        <f t="shared" si="13"/>
        <v>0</v>
      </c>
      <c r="V87" s="403" t="s">
        <v>137</v>
      </c>
      <c r="W87" s="390" t="str">
        <f t="shared" si="14"/>
        <v>0</v>
      </c>
      <c r="X87" s="390" t="str">
        <f t="shared" si="15"/>
        <v>0</v>
      </c>
      <c r="Y87" s="402" t="str">
        <f t="shared" si="16"/>
        <v>TOPLAN</v>
      </c>
      <c r="Z87" s="402">
        <f t="shared" si="12"/>
        <v>0</v>
      </c>
    </row>
    <row r="88" spans="1:26">
      <c r="A88" s="416"/>
      <c r="B88" s="416"/>
      <c r="C88" s="416"/>
      <c r="D88" s="416"/>
      <c r="E88" s="416"/>
      <c r="F88" s="416"/>
      <c r="G88" s="416"/>
      <c r="H88" s="416"/>
      <c r="I88" s="416"/>
      <c r="J88" s="416"/>
      <c r="K88" s="416"/>
      <c r="L88" s="416"/>
      <c r="M88" s="416"/>
      <c r="N88" s="416"/>
      <c r="O88" s="416"/>
      <c r="P88" s="416"/>
      <c r="Q88" s="416"/>
      <c r="R88" s="416"/>
      <c r="S88" s="545" t="e">
        <f>VLOOKUP(R88,'Exam Workorders'!F:Q,12,FALSE)</f>
        <v>#N/A</v>
      </c>
      <c r="T88" s="391" t="e">
        <f t="shared" si="17"/>
        <v>#N/A</v>
      </c>
      <c r="U88" s="391">
        <f t="shared" si="13"/>
        <v>0</v>
      </c>
      <c r="V88" s="403" t="s">
        <v>137</v>
      </c>
      <c r="W88" s="390" t="str">
        <f t="shared" si="14"/>
        <v>0</v>
      </c>
      <c r="X88" s="390" t="str">
        <f t="shared" si="15"/>
        <v>0</v>
      </c>
      <c r="Y88" s="402" t="str">
        <f t="shared" si="16"/>
        <v>TOPLAN</v>
      </c>
      <c r="Z88" s="402">
        <f t="shared" si="12"/>
        <v>0</v>
      </c>
    </row>
    <row r="89" spans="1:26">
      <c r="A89" s="416"/>
      <c r="B89" s="416"/>
      <c r="C89" s="416"/>
      <c r="D89" s="416"/>
      <c r="E89" s="416"/>
      <c r="F89" s="416"/>
      <c r="G89" s="416"/>
      <c r="H89" s="416"/>
      <c r="I89" s="416"/>
      <c r="J89" s="416"/>
      <c r="K89" s="416"/>
      <c r="L89" s="416"/>
      <c r="M89" s="416"/>
      <c r="N89" s="416"/>
      <c r="O89" s="416"/>
      <c r="P89" s="416"/>
      <c r="Q89" s="416"/>
      <c r="R89" s="416"/>
      <c r="S89" s="545" t="e">
        <f>VLOOKUP(R89,'Exam Workorders'!F:Q,12,FALSE)</f>
        <v>#N/A</v>
      </c>
      <c r="T89" s="391" t="e">
        <f t="shared" si="17"/>
        <v>#N/A</v>
      </c>
      <c r="U89" s="391">
        <f t="shared" si="13"/>
        <v>0</v>
      </c>
      <c r="V89" s="403" t="s">
        <v>137</v>
      </c>
      <c r="W89" s="390" t="str">
        <f t="shared" si="14"/>
        <v>0</v>
      </c>
      <c r="X89" s="390" t="str">
        <f t="shared" si="15"/>
        <v>0</v>
      </c>
      <c r="Y89" s="402" t="str">
        <f t="shared" si="16"/>
        <v>TOPLAN</v>
      </c>
      <c r="Z89" s="402">
        <f t="shared" si="12"/>
        <v>0</v>
      </c>
    </row>
    <row r="90" spans="1:26">
      <c r="A90" s="416"/>
      <c r="B90" s="416"/>
      <c r="C90" s="416"/>
      <c r="D90" s="416"/>
      <c r="E90" s="416"/>
      <c r="F90" s="416"/>
      <c r="G90" s="416"/>
      <c r="H90" s="416"/>
      <c r="I90" s="416"/>
      <c r="J90" s="416"/>
      <c r="K90" s="416"/>
      <c r="L90" s="416"/>
      <c r="M90" s="416"/>
      <c r="N90" s="416"/>
      <c r="O90" s="416"/>
      <c r="P90" s="416"/>
      <c r="Q90" s="416"/>
      <c r="R90" s="416"/>
      <c r="S90" s="545" t="e">
        <f>VLOOKUP(R90,'Exam Workorders'!F:Q,12,FALSE)</f>
        <v>#N/A</v>
      </c>
      <c r="T90" s="391" t="e">
        <f t="shared" si="17"/>
        <v>#N/A</v>
      </c>
      <c r="U90" s="391">
        <f t="shared" si="13"/>
        <v>0</v>
      </c>
      <c r="V90" s="403" t="s">
        <v>137</v>
      </c>
      <c r="W90" s="390" t="str">
        <f t="shared" si="14"/>
        <v>0</v>
      </c>
      <c r="X90" s="390" t="str">
        <f t="shared" si="15"/>
        <v>0</v>
      </c>
      <c r="Y90" s="402" t="str">
        <f t="shared" si="16"/>
        <v>TOPLAN</v>
      </c>
      <c r="Z90" s="402">
        <f t="shared" si="12"/>
        <v>0</v>
      </c>
    </row>
    <row r="91" spans="1:26">
      <c r="A91" s="416"/>
      <c r="B91" s="416"/>
      <c r="C91" s="416"/>
      <c r="D91" s="416"/>
      <c r="E91" s="416"/>
      <c r="F91" s="416"/>
      <c r="G91" s="416"/>
      <c r="H91" s="416"/>
      <c r="I91" s="416"/>
      <c r="J91" s="416"/>
      <c r="K91" s="416"/>
      <c r="L91" s="416"/>
      <c r="M91" s="416"/>
      <c r="N91" s="416"/>
      <c r="O91" s="416"/>
      <c r="P91" s="416"/>
      <c r="Q91" s="416"/>
      <c r="R91" s="416"/>
      <c r="S91" s="545" t="e">
        <f>VLOOKUP(R91,'Exam Workorders'!F:Q,12,FALSE)</f>
        <v>#N/A</v>
      </c>
      <c r="T91" s="391" t="e">
        <f t="shared" si="17"/>
        <v>#N/A</v>
      </c>
      <c r="U91" s="391">
        <f t="shared" si="13"/>
        <v>0</v>
      </c>
      <c r="V91" s="403" t="s">
        <v>137</v>
      </c>
      <c r="W91" s="390" t="str">
        <f t="shared" si="14"/>
        <v>0</v>
      </c>
      <c r="X91" s="390" t="str">
        <f t="shared" si="15"/>
        <v>0</v>
      </c>
      <c r="Y91" s="402" t="str">
        <f t="shared" si="16"/>
        <v>TOPLAN</v>
      </c>
      <c r="Z91" s="402">
        <f t="shared" si="12"/>
        <v>0</v>
      </c>
    </row>
    <row r="92" spans="1:26">
      <c r="A92" s="416"/>
      <c r="B92" s="416"/>
      <c r="C92" s="416"/>
      <c r="D92" s="416"/>
      <c r="E92" s="416"/>
      <c r="F92" s="416"/>
      <c r="G92" s="416"/>
      <c r="H92" s="416"/>
      <c r="I92" s="416"/>
      <c r="J92" s="416"/>
      <c r="K92" s="416"/>
      <c r="L92" s="416"/>
      <c r="M92" s="416"/>
      <c r="N92" s="416"/>
      <c r="O92" s="416"/>
      <c r="P92" s="416"/>
      <c r="Q92" s="416"/>
      <c r="R92" s="416"/>
      <c r="S92" s="545" t="e">
        <f>VLOOKUP(R92,'Exam Workorders'!F:Q,12,FALSE)</f>
        <v>#N/A</v>
      </c>
      <c r="T92" s="391" t="e">
        <f t="shared" si="17"/>
        <v>#N/A</v>
      </c>
      <c r="U92" s="391">
        <f t="shared" si="13"/>
        <v>0</v>
      </c>
      <c r="V92" s="403" t="s">
        <v>137</v>
      </c>
      <c r="W92" s="390" t="str">
        <f t="shared" si="14"/>
        <v>0</v>
      </c>
      <c r="X92" s="390" t="str">
        <f t="shared" si="15"/>
        <v>0</v>
      </c>
      <c r="Y92" s="402" t="str">
        <f t="shared" si="16"/>
        <v>TOPLAN</v>
      </c>
      <c r="Z92" s="402">
        <f t="shared" ref="Z92:Z124" si="18">F92</f>
        <v>0</v>
      </c>
    </row>
    <row r="93" spans="1:26">
      <c r="A93" s="416"/>
      <c r="B93" s="416"/>
      <c r="C93" s="416"/>
      <c r="D93" s="416"/>
      <c r="E93" s="416"/>
      <c r="F93" s="416"/>
      <c r="G93" s="416"/>
      <c r="H93" s="416"/>
      <c r="I93" s="416"/>
      <c r="J93" s="416"/>
      <c r="K93" s="416"/>
      <c r="L93" s="416"/>
      <c r="M93" s="416"/>
      <c r="N93" s="416"/>
      <c r="O93" s="416"/>
      <c r="P93" s="416"/>
      <c r="Q93" s="416"/>
      <c r="R93" s="416"/>
      <c r="S93" s="545" t="e">
        <f>VLOOKUP(R93,'Exam Workorders'!F:Q,12,FALSE)</f>
        <v>#N/A</v>
      </c>
      <c r="T93" s="391" t="e">
        <f t="shared" si="17"/>
        <v>#N/A</v>
      </c>
      <c r="U93" s="391">
        <f t="shared" si="13"/>
        <v>0</v>
      </c>
      <c r="V93" s="403" t="s">
        <v>137</v>
      </c>
      <c r="W93" s="390" t="str">
        <f t="shared" si="14"/>
        <v>0</v>
      </c>
      <c r="X93" s="390" t="str">
        <f t="shared" si="15"/>
        <v>0</v>
      </c>
      <c r="Y93" s="402" t="str">
        <f t="shared" si="16"/>
        <v>TOPLAN</v>
      </c>
      <c r="Z93" s="402">
        <f t="shared" si="18"/>
        <v>0</v>
      </c>
    </row>
    <row r="94" spans="1:26">
      <c r="A94" s="416"/>
      <c r="B94" s="416"/>
      <c r="C94" s="416"/>
      <c r="D94" s="416"/>
      <c r="E94" s="416"/>
      <c r="F94" s="416"/>
      <c r="G94" s="416"/>
      <c r="H94" s="416"/>
      <c r="I94" s="416"/>
      <c r="J94" s="416"/>
      <c r="K94" s="416"/>
      <c r="L94" s="416"/>
      <c r="M94" s="416"/>
      <c r="N94" s="416"/>
      <c r="O94" s="416"/>
      <c r="P94" s="416"/>
      <c r="Q94" s="416"/>
      <c r="R94" s="416"/>
      <c r="S94" s="545" t="e">
        <f>VLOOKUP(R94,'Exam Workorders'!F:Q,12,FALSE)</f>
        <v>#N/A</v>
      </c>
      <c r="T94" s="391" t="e">
        <f t="shared" si="17"/>
        <v>#N/A</v>
      </c>
      <c r="U94" s="391">
        <f t="shared" si="13"/>
        <v>0</v>
      </c>
      <c r="V94" s="403" t="s">
        <v>137</v>
      </c>
      <c r="W94" s="390" t="str">
        <f t="shared" si="14"/>
        <v>0</v>
      </c>
      <c r="X94" s="390" t="str">
        <f t="shared" si="15"/>
        <v>0</v>
      </c>
      <c r="Y94" s="402" t="str">
        <f t="shared" si="16"/>
        <v>TOPLAN</v>
      </c>
      <c r="Z94" s="402">
        <f t="shared" si="18"/>
        <v>0</v>
      </c>
    </row>
    <row r="95" spans="1:26">
      <c r="A95" s="416"/>
      <c r="B95" s="416"/>
      <c r="C95" s="416"/>
      <c r="D95" s="416"/>
      <c r="E95" s="416"/>
      <c r="F95" s="416"/>
      <c r="G95" s="416"/>
      <c r="H95" s="416"/>
      <c r="I95" s="416"/>
      <c r="J95" s="416"/>
      <c r="K95" s="416"/>
      <c r="L95" s="416"/>
      <c r="M95" s="416"/>
      <c r="N95" s="416"/>
      <c r="O95" s="416"/>
      <c r="P95" s="416"/>
      <c r="Q95" s="416"/>
      <c r="R95" s="416"/>
      <c r="S95" s="545" t="e">
        <f>VLOOKUP(R95,'Exam Workorders'!F:Q,12,FALSE)</f>
        <v>#N/A</v>
      </c>
      <c r="T95" s="391" t="e">
        <f t="shared" si="17"/>
        <v>#N/A</v>
      </c>
      <c r="U95" s="391">
        <f t="shared" si="13"/>
        <v>0</v>
      </c>
      <c r="V95" s="403" t="s">
        <v>137</v>
      </c>
      <c r="W95" s="390" t="str">
        <f t="shared" si="14"/>
        <v>0</v>
      </c>
      <c r="X95" s="390" t="str">
        <f t="shared" si="15"/>
        <v>0</v>
      </c>
      <c r="Y95" s="402" t="str">
        <f t="shared" si="16"/>
        <v>TOPLAN</v>
      </c>
      <c r="Z95" s="402">
        <f t="shared" si="18"/>
        <v>0</v>
      </c>
    </row>
    <row r="96" spans="1:26">
      <c r="A96" s="416"/>
      <c r="B96" s="416"/>
      <c r="C96" s="416"/>
      <c r="D96" s="416"/>
      <c r="E96" s="416"/>
      <c r="F96" s="416"/>
      <c r="G96" s="416"/>
      <c r="H96" s="416"/>
      <c r="I96" s="416"/>
      <c r="J96" s="416"/>
      <c r="K96" s="416"/>
      <c r="L96" s="416"/>
      <c r="M96" s="416"/>
      <c r="N96" s="416"/>
      <c r="O96" s="416"/>
      <c r="P96" s="416"/>
      <c r="Q96" s="416"/>
      <c r="R96" s="416"/>
      <c r="S96" s="545" t="e">
        <f>VLOOKUP(R96,'Exam Workorders'!F:Q,12,FALSE)</f>
        <v>#N/A</v>
      </c>
      <c r="T96" s="391" t="e">
        <f t="shared" si="17"/>
        <v>#N/A</v>
      </c>
      <c r="U96" s="391">
        <f t="shared" si="13"/>
        <v>0</v>
      </c>
      <c r="V96" s="403" t="s">
        <v>137</v>
      </c>
      <c r="W96" s="390" t="str">
        <f t="shared" si="14"/>
        <v>0</v>
      </c>
      <c r="X96" s="390" t="str">
        <f t="shared" si="15"/>
        <v>0</v>
      </c>
      <c r="Y96" s="402" t="str">
        <f t="shared" si="16"/>
        <v>TOPLAN</v>
      </c>
      <c r="Z96" s="402">
        <f t="shared" si="18"/>
        <v>0</v>
      </c>
    </row>
    <row r="97" spans="1:26">
      <c r="A97" s="416"/>
      <c r="B97" s="416"/>
      <c r="C97" s="416"/>
      <c r="D97" s="416"/>
      <c r="E97" s="416"/>
      <c r="F97" s="416"/>
      <c r="G97" s="416"/>
      <c r="H97" s="416"/>
      <c r="I97" s="416"/>
      <c r="J97" s="416"/>
      <c r="K97" s="416"/>
      <c r="L97" s="416"/>
      <c r="M97" s="416"/>
      <c r="N97" s="416"/>
      <c r="O97" s="416"/>
      <c r="P97" s="416"/>
      <c r="Q97" s="416"/>
      <c r="R97" s="416"/>
      <c r="S97" s="545" t="e">
        <f>VLOOKUP(R97,'Exam Workorders'!F:Q,12,FALSE)</f>
        <v>#N/A</v>
      </c>
      <c r="T97" s="391" t="e">
        <f t="shared" si="17"/>
        <v>#N/A</v>
      </c>
      <c r="U97" s="391">
        <f t="shared" si="13"/>
        <v>0</v>
      </c>
      <c r="V97" s="403" t="s">
        <v>137</v>
      </c>
      <c r="W97" s="390" t="str">
        <f t="shared" si="14"/>
        <v>0</v>
      </c>
      <c r="X97" s="390" t="str">
        <f t="shared" si="15"/>
        <v>0</v>
      </c>
      <c r="Y97" s="402" t="str">
        <f t="shared" si="16"/>
        <v>TOPLAN</v>
      </c>
      <c r="Z97" s="402">
        <f t="shared" si="18"/>
        <v>0</v>
      </c>
    </row>
    <row r="98" spans="1:26">
      <c r="A98" s="416"/>
      <c r="B98" s="416"/>
      <c r="C98" s="416"/>
      <c r="D98" s="416"/>
      <c r="E98" s="416"/>
      <c r="F98" s="416"/>
      <c r="G98" s="416"/>
      <c r="H98" s="416"/>
      <c r="I98" s="416"/>
      <c r="J98" s="416"/>
      <c r="K98" s="416"/>
      <c r="L98" s="416"/>
      <c r="M98" s="416"/>
      <c r="N98" s="416"/>
      <c r="O98" s="416"/>
      <c r="P98" s="416"/>
      <c r="Q98" s="416"/>
      <c r="R98" s="416"/>
      <c r="S98" s="545" t="e">
        <f>VLOOKUP(R98,'Exam Workorders'!F:Q,12,FALSE)</f>
        <v>#N/A</v>
      </c>
      <c r="T98" s="391" t="e">
        <f t="shared" si="17"/>
        <v>#N/A</v>
      </c>
      <c r="U98" s="391">
        <f t="shared" ref="U98:U124" si="19">A98</f>
        <v>0</v>
      </c>
      <c r="V98" s="403" t="s">
        <v>137</v>
      </c>
      <c r="W98" s="390" t="str">
        <f t="shared" ref="W98:W124" si="20">CONCATENATE(U98,V98)</f>
        <v>0</v>
      </c>
      <c r="X98" s="390" t="str">
        <f t="shared" ref="X98:X124" si="21">CONCATENATE(V98,W98)</f>
        <v>0</v>
      </c>
      <c r="Y98" s="402" t="str">
        <f t="shared" ref="Y98:Y124" si="22">IF(B98="APPR","CHECKED","TOPLAN")</f>
        <v>TOPLAN</v>
      </c>
      <c r="Z98" s="402">
        <f t="shared" si="18"/>
        <v>0</v>
      </c>
    </row>
    <row r="99" spans="1:26">
      <c r="A99" s="416"/>
      <c r="B99" s="416"/>
      <c r="C99" s="416"/>
      <c r="D99" s="416"/>
      <c r="E99" s="416"/>
      <c r="F99" s="416"/>
      <c r="G99" s="416"/>
      <c r="H99" s="416"/>
      <c r="I99" s="416"/>
      <c r="J99" s="416"/>
      <c r="K99" s="416"/>
      <c r="L99" s="416"/>
      <c r="M99" s="416"/>
      <c r="N99" s="416"/>
      <c r="O99" s="416"/>
      <c r="P99" s="416"/>
      <c r="Q99" s="416"/>
      <c r="R99" s="416"/>
      <c r="S99" s="545" t="e">
        <f>VLOOKUP(R99,'Exam Workorders'!F:Q,12,FALSE)</f>
        <v>#N/A</v>
      </c>
      <c r="T99" s="391" t="e">
        <f t="shared" si="17"/>
        <v>#N/A</v>
      </c>
      <c r="U99" s="391">
        <f t="shared" si="19"/>
        <v>0</v>
      </c>
      <c r="V99" s="403" t="s">
        <v>137</v>
      </c>
      <c r="W99" s="390" t="str">
        <f t="shared" si="20"/>
        <v>0</v>
      </c>
      <c r="X99" s="390" t="str">
        <f t="shared" si="21"/>
        <v>0</v>
      </c>
      <c r="Y99" s="402" t="str">
        <f t="shared" si="22"/>
        <v>TOPLAN</v>
      </c>
      <c r="Z99" s="402">
        <f t="shared" si="18"/>
        <v>0</v>
      </c>
    </row>
    <row r="100" spans="1:26">
      <c r="A100" s="416"/>
      <c r="B100" s="416"/>
      <c r="C100" s="416"/>
      <c r="D100" s="416"/>
      <c r="E100" s="416"/>
      <c r="F100" s="416"/>
      <c r="G100" s="416"/>
      <c r="H100" s="416"/>
      <c r="I100" s="416"/>
      <c r="J100" s="416"/>
      <c r="K100" s="416"/>
      <c r="L100" s="416"/>
      <c r="M100" s="416"/>
      <c r="N100" s="416"/>
      <c r="O100" s="416"/>
      <c r="P100" s="416"/>
      <c r="Q100" s="416"/>
      <c r="R100" s="416"/>
      <c r="S100" s="545" t="e">
        <f>VLOOKUP(R100,'Exam Workorders'!F:Q,12,FALSE)</f>
        <v>#N/A</v>
      </c>
      <c r="T100" s="391" t="e">
        <f t="shared" si="17"/>
        <v>#N/A</v>
      </c>
      <c r="U100" s="391">
        <f t="shared" si="19"/>
        <v>0</v>
      </c>
      <c r="V100" s="403" t="s">
        <v>137</v>
      </c>
      <c r="W100" s="390" t="str">
        <f t="shared" si="20"/>
        <v>0</v>
      </c>
      <c r="X100" s="390" t="str">
        <f t="shared" si="21"/>
        <v>0</v>
      </c>
      <c r="Y100" s="402" t="str">
        <f t="shared" si="22"/>
        <v>TOPLAN</v>
      </c>
      <c r="Z100" s="402">
        <f t="shared" si="18"/>
        <v>0</v>
      </c>
    </row>
    <row r="101" spans="1:26">
      <c r="A101" s="416"/>
      <c r="B101" s="416"/>
      <c r="C101" s="416"/>
      <c r="D101" s="416"/>
      <c r="E101" s="416"/>
      <c r="F101" s="416"/>
      <c r="G101" s="416"/>
      <c r="H101" s="416"/>
      <c r="I101" s="416"/>
      <c r="J101" s="416"/>
      <c r="K101" s="416"/>
      <c r="L101" s="416"/>
      <c r="M101" s="416"/>
      <c r="N101" s="416"/>
      <c r="O101" s="416"/>
      <c r="P101" s="416"/>
      <c r="Q101" s="416"/>
      <c r="R101" s="416"/>
      <c r="S101" s="545" t="e">
        <f>VLOOKUP(R101,'Exam Workorders'!F:Q,12,FALSE)</f>
        <v>#N/A</v>
      </c>
      <c r="T101" s="391" t="e">
        <f t="shared" si="17"/>
        <v>#N/A</v>
      </c>
      <c r="U101" s="391">
        <f t="shared" si="19"/>
        <v>0</v>
      </c>
      <c r="V101" s="403" t="s">
        <v>137</v>
      </c>
      <c r="W101" s="390" t="str">
        <f t="shared" si="20"/>
        <v>0</v>
      </c>
      <c r="X101" s="390" t="str">
        <f t="shared" si="21"/>
        <v>0</v>
      </c>
      <c r="Y101" s="402" t="str">
        <f t="shared" si="22"/>
        <v>TOPLAN</v>
      </c>
      <c r="Z101" s="402">
        <f t="shared" si="18"/>
        <v>0</v>
      </c>
    </row>
    <row r="102" spans="1:26">
      <c r="A102" s="416"/>
      <c r="B102" s="416"/>
      <c r="C102" s="416"/>
      <c r="D102" s="416"/>
      <c r="E102" s="416"/>
      <c r="F102" s="416"/>
      <c r="G102" s="416"/>
      <c r="H102" s="416"/>
      <c r="I102" s="416"/>
      <c r="J102" s="416"/>
      <c r="K102" s="416"/>
      <c r="L102" s="416"/>
      <c r="M102" s="416"/>
      <c r="N102" s="416"/>
      <c r="O102" s="416"/>
      <c r="P102" s="416"/>
      <c r="Q102" s="416"/>
      <c r="R102" s="416"/>
      <c r="S102" s="545" t="e">
        <f>VLOOKUP(R102,'Exam Workorders'!F:Q,12,FALSE)</f>
        <v>#N/A</v>
      </c>
      <c r="T102" s="391" t="e">
        <f t="shared" si="17"/>
        <v>#N/A</v>
      </c>
      <c r="U102" s="391">
        <f t="shared" si="19"/>
        <v>0</v>
      </c>
      <c r="V102" s="403" t="s">
        <v>137</v>
      </c>
      <c r="W102" s="390" t="str">
        <f t="shared" si="20"/>
        <v>0</v>
      </c>
      <c r="X102" s="390" t="str">
        <f t="shared" si="21"/>
        <v>0</v>
      </c>
      <c r="Y102" s="402" t="str">
        <f t="shared" si="22"/>
        <v>TOPLAN</v>
      </c>
      <c r="Z102" s="402">
        <f t="shared" si="18"/>
        <v>0</v>
      </c>
    </row>
    <row r="103" spans="1:26">
      <c r="A103" s="416"/>
      <c r="B103" s="416"/>
      <c r="C103" s="416"/>
      <c r="D103" s="416"/>
      <c r="E103" s="416"/>
      <c r="F103" s="416"/>
      <c r="G103" s="416"/>
      <c r="H103" s="416"/>
      <c r="I103" s="416"/>
      <c r="J103" s="416"/>
      <c r="K103" s="416"/>
      <c r="L103" s="416"/>
      <c r="M103" s="416"/>
      <c r="N103" s="416"/>
      <c r="O103" s="416"/>
      <c r="P103" s="416"/>
      <c r="Q103" s="416"/>
      <c r="R103" s="416"/>
      <c r="S103" s="545" t="e">
        <f>VLOOKUP(R103,'Exam Workorders'!F:Q,12,FALSE)</f>
        <v>#N/A</v>
      </c>
      <c r="T103" s="391" t="e">
        <f t="shared" si="17"/>
        <v>#N/A</v>
      </c>
      <c r="U103" s="391">
        <f t="shared" si="19"/>
        <v>0</v>
      </c>
      <c r="V103" s="403" t="s">
        <v>137</v>
      </c>
      <c r="W103" s="390" t="str">
        <f t="shared" si="20"/>
        <v>0</v>
      </c>
      <c r="X103" s="390" t="str">
        <f t="shared" si="21"/>
        <v>0</v>
      </c>
      <c r="Y103" s="402" t="str">
        <f t="shared" si="22"/>
        <v>TOPLAN</v>
      </c>
      <c r="Z103" s="402">
        <f t="shared" si="18"/>
        <v>0</v>
      </c>
    </row>
    <row r="104" spans="1:26">
      <c r="A104" s="416"/>
      <c r="B104" s="416"/>
      <c r="C104" s="416"/>
      <c r="D104" s="416"/>
      <c r="E104" s="416"/>
      <c r="F104" s="416"/>
      <c r="G104" s="416"/>
      <c r="H104" s="416"/>
      <c r="I104" s="416"/>
      <c r="J104" s="416"/>
      <c r="K104" s="416"/>
      <c r="L104" s="416"/>
      <c r="M104" s="416"/>
      <c r="N104" s="416"/>
      <c r="O104" s="416"/>
      <c r="P104" s="416"/>
      <c r="Q104" s="416"/>
      <c r="R104" s="416"/>
      <c r="S104" s="545" t="e">
        <f>VLOOKUP(R104,'Exam Workorders'!F:Q,12,FALSE)</f>
        <v>#N/A</v>
      </c>
      <c r="T104" s="391" t="e">
        <f t="shared" si="17"/>
        <v>#N/A</v>
      </c>
      <c r="U104" s="391">
        <f t="shared" si="19"/>
        <v>0</v>
      </c>
      <c r="V104" s="403" t="s">
        <v>137</v>
      </c>
      <c r="W104" s="390" t="str">
        <f t="shared" si="20"/>
        <v>0</v>
      </c>
      <c r="X104" s="390" t="str">
        <f t="shared" si="21"/>
        <v>0</v>
      </c>
      <c r="Y104" s="402" t="str">
        <f t="shared" si="22"/>
        <v>TOPLAN</v>
      </c>
      <c r="Z104" s="402">
        <f t="shared" si="18"/>
        <v>0</v>
      </c>
    </row>
    <row r="105" spans="1:26">
      <c r="A105" s="416"/>
      <c r="B105" s="416"/>
      <c r="C105" s="416"/>
      <c r="D105" s="416"/>
      <c r="E105" s="416"/>
      <c r="F105" s="416"/>
      <c r="G105" s="416"/>
      <c r="H105" s="416"/>
      <c r="I105" s="416"/>
      <c r="J105" s="416"/>
      <c r="K105" s="416"/>
      <c r="L105" s="416"/>
      <c r="M105" s="416"/>
      <c r="N105" s="416"/>
      <c r="O105" s="416"/>
      <c r="P105" s="416"/>
      <c r="Q105" s="416"/>
      <c r="R105" s="416"/>
      <c r="S105" s="545" t="e">
        <f>VLOOKUP(R105,'Exam Workorders'!F:Q,12,FALSE)</f>
        <v>#N/A</v>
      </c>
      <c r="T105" s="391" t="e">
        <f t="shared" si="17"/>
        <v>#N/A</v>
      </c>
      <c r="U105" s="391">
        <f t="shared" si="19"/>
        <v>0</v>
      </c>
      <c r="V105" s="403" t="s">
        <v>137</v>
      </c>
      <c r="W105" s="390" t="str">
        <f t="shared" si="20"/>
        <v>0</v>
      </c>
      <c r="X105" s="390" t="str">
        <f t="shared" si="21"/>
        <v>0</v>
      </c>
      <c r="Y105" s="402" t="str">
        <f t="shared" si="22"/>
        <v>TOPLAN</v>
      </c>
      <c r="Z105" s="402">
        <f t="shared" si="18"/>
        <v>0</v>
      </c>
    </row>
    <row r="106" spans="1:26">
      <c r="A106" s="416"/>
      <c r="B106" s="416"/>
      <c r="C106" s="416"/>
      <c r="D106" s="416"/>
      <c r="E106" s="416"/>
      <c r="F106" s="416"/>
      <c r="G106" s="416"/>
      <c r="H106" s="416"/>
      <c r="I106" s="416"/>
      <c r="J106" s="416"/>
      <c r="K106" s="416"/>
      <c r="L106" s="416"/>
      <c r="M106" s="416"/>
      <c r="N106" s="416"/>
      <c r="O106" s="416"/>
      <c r="P106" s="416"/>
      <c r="Q106" s="416"/>
      <c r="R106" s="416"/>
      <c r="S106" s="545" t="e">
        <f>VLOOKUP(R106,'Exam Workorders'!F:Q,12,FALSE)</f>
        <v>#N/A</v>
      </c>
      <c r="T106" s="391" t="e">
        <f t="shared" si="17"/>
        <v>#N/A</v>
      </c>
      <c r="U106" s="391">
        <f t="shared" si="19"/>
        <v>0</v>
      </c>
      <c r="V106" s="403" t="s">
        <v>137</v>
      </c>
      <c r="W106" s="390" t="str">
        <f t="shared" si="20"/>
        <v>0</v>
      </c>
      <c r="X106" s="390" t="str">
        <f t="shared" si="21"/>
        <v>0</v>
      </c>
      <c r="Y106" s="402" t="str">
        <f t="shared" si="22"/>
        <v>TOPLAN</v>
      </c>
      <c r="Z106" s="402">
        <f t="shared" si="18"/>
        <v>0</v>
      </c>
    </row>
    <row r="107" spans="1:26">
      <c r="A107" s="416"/>
      <c r="B107" s="416"/>
      <c r="C107" s="416"/>
      <c r="D107" s="416"/>
      <c r="E107" s="416"/>
      <c r="F107" s="416"/>
      <c r="G107" s="416"/>
      <c r="H107" s="416"/>
      <c r="I107" s="416"/>
      <c r="J107" s="416"/>
      <c r="K107" s="416"/>
      <c r="L107" s="416"/>
      <c r="M107" s="416"/>
      <c r="N107" s="416"/>
      <c r="O107" s="416"/>
      <c r="P107" s="416"/>
      <c r="Q107" s="416"/>
      <c r="R107" s="416"/>
      <c r="S107" s="545" t="e">
        <f>VLOOKUP(R107,'Exam Workorders'!F:Q,12,FALSE)</f>
        <v>#N/A</v>
      </c>
      <c r="T107" s="391" t="e">
        <f t="shared" ref="T107:T124" si="23">RIGHT(S107,LEN(S107)-2)</f>
        <v>#N/A</v>
      </c>
      <c r="U107" s="391">
        <f t="shared" si="19"/>
        <v>0</v>
      </c>
      <c r="V107" s="403" t="s">
        <v>137</v>
      </c>
      <c r="W107" s="390" t="str">
        <f t="shared" si="20"/>
        <v>0</v>
      </c>
      <c r="X107" s="390" t="str">
        <f t="shared" si="21"/>
        <v>0</v>
      </c>
      <c r="Y107" s="402" t="str">
        <f t="shared" si="22"/>
        <v>TOPLAN</v>
      </c>
      <c r="Z107" s="402">
        <f t="shared" si="18"/>
        <v>0</v>
      </c>
    </row>
    <row r="108" spans="1:26">
      <c r="A108" s="416"/>
      <c r="B108" s="416"/>
      <c r="C108" s="416"/>
      <c r="D108" s="416"/>
      <c r="E108" s="416"/>
      <c r="F108" s="416"/>
      <c r="G108" s="416"/>
      <c r="H108" s="416"/>
      <c r="I108" s="416"/>
      <c r="J108" s="416"/>
      <c r="K108" s="416"/>
      <c r="L108" s="416"/>
      <c r="M108" s="416"/>
      <c r="N108" s="416"/>
      <c r="O108" s="416"/>
      <c r="P108" s="416"/>
      <c r="Q108" s="416"/>
      <c r="R108" s="416"/>
      <c r="S108" s="545" t="e">
        <f>VLOOKUP(R108,'Exam Workorders'!F:Q,12,FALSE)</f>
        <v>#N/A</v>
      </c>
      <c r="T108" s="391" t="e">
        <f t="shared" si="23"/>
        <v>#N/A</v>
      </c>
      <c r="U108" s="391">
        <f t="shared" si="19"/>
        <v>0</v>
      </c>
      <c r="V108" s="403" t="s">
        <v>137</v>
      </c>
      <c r="W108" s="390" t="str">
        <f t="shared" si="20"/>
        <v>0</v>
      </c>
      <c r="X108" s="390" t="str">
        <f t="shared" si="21"/>
        <v>0</v>
      </c>
      <c r="Y108" s="402" t="str">
        <f t="shared" si="22"/>
        <v>TOPLAN</v>
      </c>
      <c r="Z108" s="402">
        <f t="shared" si="18"/>
        <v>0</v>
      </c>
    </row>
    <row r="109" spans="1:26">
      <c r="A109" s="416"/>
      <c r="B109" s="416"/>
      <c r="C109" s="416"/>
      <c r="D109" s="416"/>
      <c r="E109" s="416"/>
      <c r="F109" s="416"/>
      <c r="G109" s="416"/>
      <c r="H109" s="416"/>
      <c r="I109" s="416"/>
      <c r="J109" s="416"/>
      <c r="K109" s="416"/>
      <c r="L109" s="416"/>
      <c r="M109" s="416"/>
      <c r="N109" s="416"/>
      <c r="O109" s="416"/>
      <c r="P109" s="416"/>
      <c r="Q109" s="416"/>
      <c r="R109" s="416"/>
      <c r="S109" s="545" t="e">
        <f>VLOOKUP(R109,'Exam Workorders'!F:Q,12,FALSE)</f>
        <v>#N/A</v>
      </c>
      <c r="T109" s="391" t="e">
        <f t="shared" si="23"/>
        <v>#N/A</v>
      </c>
      <c r="U109" s="391">
        <f t="shared" si="19"/>
        <v>0</v>
      </c>
      <c r="V109" s="403" t="s">
        <v>137</v>
      </c>
      <c r="W109" s="390" t="str">
        <f t="shared" si="20"/>
        <v>0</v>
      </c>
      <c r="X109" s="390" t="str">
        <f t="shared" si="21"/>
        <v>0</v>
      </c>
      <c r="Y109" s="402" t="str">
        <f t="shared" si="22"/>
        <v>TOPLAN</v>
      </c>
      <c r="Z109" s="402">
        <f t="shared" si="18"/>
        <v>0</v>
      </c>
    </row>
    <row r="110" spans="1:26">
      <c r="A110" s="416"/>
      <c r="B110" s="416"/>
      <c r="C110" s="416"/>
      <c r="D110" s="416"/>
      <c r="E110" s="416"/>
      <c r="F110" s="416"/>
      <c r="G110" s="416"/>
      <c r="H110" s="416"/>
      <c r="I110" s="416"/>
      <c r="J110" s="416"/>
      <c r="K110" s="416"/>
      <c r="L110" s="416"/>
      <c r="M110" s="416"/>
      <c r="N110" s="416"/>
      <c r="O110" s="416"/>
      <c r="P110" s="416"/>
      <c r="Q110" s="416"/>
      <c r="R110" s="416"/>
      <c r="S110" s="545" t="e">
        <f>VLOOKUP(R110,'Exam Workorders'!F:Q,12,FALSE)</f>
        <v>#N/A</v>
      </c>
      <c r="T110" s="391" t="e">
        <f t="shared" si="23"/>
        <v>#N/A</v>
      </c>
      <c r="U110" s="391">
        <f t="shared" si="19"/>
        <v>0</v>
      </c>
      <c r="V110" s="403" t="s">
        <v>137</v>
      </c>
      <c r="W110" s="390" t="str">
        <f t="shared" si="20"/>
        <v>0</v>
      </c>
      <c r="X110" s="390" t="str">
        <f t="shared" si="21"/>
        <v>0</v>
      </c>
      <c r="Y110" s="402" t="str">
        <f t="shared" si="22"/>
        <v>TOPLAN</v>
      </c>
      <c r="Z110" s="402">
        <f t="shared" si="18"/>
        <v>0</v>
      </c>
    </row>
    <row r="111" spans="1:26">
      <c r="A111" s="416"/>
      <c r="B111" s="416"/>
      <c r="C111" s="416"/>
      <c r="D111" s="416"/>
      <c r="E111" s="416"/>
      <c r="F111" s="416"/>
      <c r="G111" s="416"/>
      <c r="H111" s="416"/>
      <c r="I111" s="416"/>
      <c r="J111" s="416"/>
      <c r="K111" s="416"/>
      <c r="L111" s="416"/>
      <c r="M111" s="416"/>
      <c r="N111" s="416"/>
      <c r="O111" s="416"/>
      <c r="P111" s="416"/>
      <c r="Q111" s="416"/>
      <c r="R111" s="416"/>
      <c r="S111" s="545" t="e">
        <f>VLOOKUP(R111,'Exam Workorders'!F:Q,12,FALSE)</f>
        <v>#N/A</v>
      </c>
      <c r="T111" s="391" t="e">
        <f t="shared" si="23"/>
        <v>#N/A</v>
      </c>
      <c r="U111" s="391">
        <f t="shared" si="19"/>
        <v>0</v>
      </c>
      <c r="V111" s="403" t="s">
        <v>137</v>
      </c>
      <c r="W111" s="390" t="str">
        <f t="shared" si="20"/>
        <v>0</v>
      </c>
      <c r="X111" s="390" t="str">
        <f t="shared" si="21"/>
        <v>0</v>
      </c>
      <c r="Y111" s="402" t="str">
        <f t="shared" si="22"/>
        <v>TOPLAN</v>
      </c>
      <c r="Z111" s="402">
        <f t="shared" si="18"/>
        <v>0</v>
      </c>
    </row>
    <row r="112" spans="1:26">
      <c r="A112" s="416"/>
      <c r="B112" s="416"/>
      <c r="C112" s="416"/>
      <c r="D112" s="416"/>
      <c r="E112" s="416"/>
      <c r="F112" s="416"/>
      <c r="G112" s="416"/>
      <c r="H112" s="416"/>
      <c r="I112" s="416"/>
      <c r="J112" s="416"/>
      <c r="K112" s="416"/>
      <c r="L112" s="416"/>
      <c r="M112" s="416"/>
      <c r="N112" s="416"/>
      <c r="O112" s="416"/>
      <c r="P112" s="416"/>
      <c r="Q112" s="416"/>
      <c r="R112" s="416"/>
      <c r="S112" s="545" t="e">
        <f>VLOOKUP(R112,'Exam Workorders'!F:Q,12,FALSE)</f>
        <v>#N/A</v>
      </c>
      <c r="T112" s="391" t="e">
        <f t="shared" si="23"/>
        <v>#N/A</v>
      </c>
      <c r="U112" s="391">
        <f t="shared" si="19"/>
        <v>0</v>
      </c>
      <c r="V112" s="403" t="s">
        <v>137</v>
      </c>
      <c r="W112" s="390" t="str">
        <f t="shared" si="20"/>
        <v>0</v>
      </c>
      <c r="X112" s="390" t="str">
        <f t="shared" si="21"/>
        <v>0</v>
      </c>
      <c r="Y112" s="402" t="str">
        <f t="shared" si="22"/>
        <v>TOPLAN</v>
      </c>
      <c r="Z112" s="402">
        <f t="shared" si="18"/>
        <v>0</v>
      </c>
    </row>
    <row r="113" spans="1:26">
      <c r="A113" s="416"/>
      <c r="B113" s="416"/>
      <c r="C113" s="416"/>
      <c r="D113" s="416"/>
      <c r="E113" s="416"/>
      <c r="F113" s="416"/>
      <c r="G113" s="416"/>
      <c r="H113" s="416"/>
      <c r="I113" s="416"/>
      <c r="J113" s="416"/>
      <c r="K113" s="416"/>
      <c r="L113" s="416"/>
      <c r="M113" s="416"/>
      <c r="N113" s="416"/>
      <c r="O113" s="416"/>
      <c r="P113" s="416"/>
      <c r="Q113" s="416"/>
      <c r="R113" s="416"/>
      <c r="S113" s="545" t="e">
        <f>VLOOKUP(R113,'Exam Workorders'!F:Q,12,FALSE)</f>
        <v>#N/A</v>
      </c>
      <c r="T113" s="391" t="e">
        <f t="shared" si="23"/>
        <v>#N/A</v>
      </c>
      <c r="U113" s="391">
        <f t="shared" si="19"/>
        <v>0</v>
      </c>
      <c r="V113" s="403" t="s">
        <v>137</v>
      </c>
      <c r="W113" s="390" t="str">
        <f t="shared" si="20"/>
        <v>0</v>
      </c>
      <c r="X113" s="390" t="str">
        <f t="shared" si="21"/>
        <v>0</v>
      </c>
      <c r="Y113" s="402" t="str">
        <f t="shared" si="22"/>
        <v>TOPLAN</v>
      </c>
      <c r="Z113" s="402">
        <f t="shared" si="18"/>
        <v>0</v>
      </c>
    </row>
    <row r="114" spans="1:26">
      <c r="A114" s="416"/>
      <c r="B114" s="416"/>
      <c r="C114" s="416"/>
      <c r="D114" s="416"/>
      <c r="E114" s="416"/>
      <c r="F114" s="416"/>
      <c r="G114" s="416"/>
      <c r="H114" s="416"/>
      <c r="I114" s="416"/>
      <c r="J114" s="416"/>
      <c r="K114" s="416"/>
      <c r="L114" s="416"/>
      <c r="M114" s="416"/>
      <c r="N114" s="416"/>
      <c r="O114" s="416"/>
      <c r="P114" s="416"/>
      <c r="Q114" s="416"/>
      <c r="R114" s="416"/>
      <c r="S114" s="545" t="e">
        <f>VLOOKUP(R114,'Exam Workorders'!F:Q,12,FALSE)</f>
        <v>#N/A</v>
      </c>
      <c r="T114" s="391" t="e">
        <f t="shared" si="23"/>
        <v>#N/A</v>
      </c>
      <c r="U114" s="391">
        <f t="shared" si="19"/>
        <v>0</v>
      </c>
      <c r="V114" s="403" t="s">
        <v>137</v>
      </c>
      <c r="W114" s="390" t="str">
        <f t="shared" si="20"/>
        <v>0</v>
      </c>
      <c r="X114" s="390" t="str">
        <f t="shared" si="21"/>
        <v>0</v>
      </c>
      <c r="Y114" s="402" t="str">
        <f t="shared" si="22"/>
        <v>TOPLAN</v>
      </c>
      <c r="Z114" s="402">
        <f t="shared" si="18"/>
        <v>0</v>
      </c>
    </row>
    <row r="115" spans="1:26">
      <c r="A115" s="416"/>
      <c r="B115" s="416"/>
      <c r="C115" s="416"/>
      <c r="D115" s="416"/>
      <c r="E115" s="416"/>
      <c r="F115" s="416"/>
      <c r="G115" s="416"/>
      <c r="H115" s="416"/>
      <c r="I115" s="416"/>
      <c r="J115" s="416"/>
      <c r="K115" s="416"/>
      <c r="L115" s="416"/>
      <c r="M115" s="416"/>
      <c r="N115" s="416"/>
      <c r="O115" s="416"/>
      <c r="P115" s="416"/>
      <c r="Q115" s="416"/>
      <c r="R115" s="416"/>
      <c r="S115" s="545" t="e">
        <f>VLOOKUP(R115,'Exam Workorders'!F:Q,12,FALSE)</f>
        <v>#N/A</v>
      </c>
      <c r="T115" s="391" t="e">
        <f t="shared" si="23"/>
        <v>#N/A</v>
      </c>
      <c r="U115" s="391">
        <f t="shared" si="19"/>
        <v>0</v>
      </c>
      <c r="V115" s="403" t="s">
        <v>137</v>
      </c>
      <c r="W115" s="390" t="str">
        <f t="shared" si="20"/>
        <v>0</v>
      </c>
      <c r="X115" s="390" t="str">
        <f t="shared" si="21"/>
        <v>0</v>
      </c>
      <c r="Y115" s="402" t="str">
        <f t="shared" si="22"/>
        <v>TOPLAN</v>
      </c>
      <c r="Z115" s="402">
        <f t="shared" si="18"/>
        <v>0</v>
      </c>
    </row>
    <row r="116" spans="1:26">
      <c r="A116" s="416"/>
      <c r="B116" s="416"/>
      <c r="C116" s="416"/>
      <c r="D116" s="416"/>
      <c r="E116" s="416"/>
      <c r="F116" s="416"/>
      <c r="G116" s="416"/>
      <c r="H116" s="416"/>
      <c r="I116" s="416"/>
      <c r="J116" s="416"/>
      <c r="K116" s="416"/>
      <c r="L116" s="416"/>
      <c r="M116" s="416"/>
      <c r="N116" s="416"/>
      <c r="O116" s="416"/>
      <c r="P116" s="416"/>
      <c r="Q116" s="416"/>
      <c r="R116" s="416"/>
      <c r="S116" s="545" t="e">
        <f>VLOOKUP(R116,'Exam Workorders'!F:Q,12,FALSE)</f>
        <v>#N/A</v>
      </c>
      <c r="T116" s="391" t="e">
        <f t="shared" si="23"/>
        <v>#N/A</v>
      </c>
      <c r="U116" s="391">
        <f t="shared" si="19"/>
        <v>0</v>
      </c>
      <c r="V116" s="403" t="s">
        <v>137</v>
      </c>
      <c r="W116" s="390" t="str">
        <f t="shared" si="20"/>
        <v>0</v>
      </c>
      <c r="X116" s="390" t="str">
        <f t="shared" si="21"/>
        <v>0</v>
      </c>
      <c r="Y116" s="402" t="str">
        <f t="shared" si="22"/>
        <v>TOPLAN</v>
      </c>
      <c r="Z116" s="402">
        <f t="shared" si="18"/>
        <v>0</v>
      </c>
    </row>
    <row r="117" spans="1:26">
      <c r="A117" s="416"/>
      <c r="B117" s="416"/>
      <c r="C117" s="416"/>
      <c r="D117" s="416"/>
      <c r="E117" s="416"/>
      <c r="F117" s="416"/>
      <c r="G117" s="416"/>
      <c r="H117" s="416"/>
      <c r="I117" s="416"/>
      <c r="J117" s="416"/>
      <c r="K117" s="416"/>
      <c r="L117" s="416"/>
      <c r="M117" s="416"/>
      <c r="N117" s="416"/>
      <c r="O117" s="416"/>
      <c r="P117" s="416"/>
      <c r="Q117" s="416"/>
      <c r="R117" s="416"/>
      <c r="S117" s="545" t="e">
        <f>VLOOKUP(R117,'Exam Workorders'!F:Q,12,FALSE)</f>
        <v>#N/A</v>
      </c>
      <c r="T117" s="391" t="e">
        <f t="shared" si="23"/>
        <v>#N/A</v>
      </c>
      <c r="U117" s="391">
        <f t="shared" si="19"/>
        <v>0</v>
      </c>
      <c r="V117" s="403" t="s">
        <v>137</v>
      </c>
      <c r="W117" s="390" t="str">
        <f t="shared" si="20"/>
        <v>0</v>
      </c>
      <c r="X117" s="390" t="str">
        <f t="shared" si="21"/>
        <v>0</v>
      </c>
      <c r="Y117" s="402" t="str">
        <f t="shared" si="22"/>
        <v>TOPLAN</v>
      </c>
      <c r="Z117" s="402">
        <f t="shared" si="18"/>
        <v>0</v>
      </c>
    </row>
    <row r="118" spans="1:26">
      <c r="A118" s="416"/>
      <c r="B118" s="416"/>
      <c r="C118" s="416"/>
      <c r="D118" s="416"/>
      <c r="E118" s="416"/>
      <c r="F118" s="416"/>
      <c r="G118" s="416"/>
      <c r="H118" s="416"/>
      <c r="I118" s="416"/>
      <c r="J118" s="416"/>
      <c r="K118" s="416"/>
      <c r="L118" s="416"/>
      <c r="M118" s="416"/>
      <c r="N118" s="416"/>
      <c r="O118" s="416"/>
      <c r="P118" s="416"/>
      <c r="Q118" s="416"/>
      <c r="R118" s="416"/>
      <c r="S118" s="545" t="e">
        <f>VLOOKUP(R118,'Exam Workorders'!F:Q,12,FALSE)</f>
        <v>#N/A</v>
      </c>
      <c r="T118" s="391" t="e">
        <f t="shared" si="23"/>
        <v>#N/A</v>
      </c>
      <c r="U118" s="391">
        <f t="shared" si="19"/>
        <v>0</v>
      </c>
      <c r="V118" s="403" t="s">
        <v>137</v>
      </c>
      <c r="W118" s="390" t="str">
        <f t="shared" si="20"/>
        <v>0</v>
      </c>
      <c r="X118" s="390" t="str">
        <f t="shared" si="21"/>
        <v>0</v>
      </c>
      <c r="Y118" s="402" t="str">
        <f t="shared" si="22"/>
        <v>TOPLAN</v>
      </c>
      <c r="Z118" s="402">
        <f t="shared" si="18"/>
        <v>0</v>
      </c>
    </row>
    <row r="119" spans="1:26">
      <c r="S119" s="546" t="e">
        <f>VLOOKUP(R119,'Exam Workorders'!F:Q,12,FALSE)</f>
        <v>#N/A</v>
      </c>
      <c r="T119" s="415" t="e">
        <f t="shared" si="23"/>
        <v>#N/A</v>
      </c>
      <c r="U119" s="391">
        <f t="shared" si="19"/>
        <v>0</v>
      </c>
      <c r="V119" s="403" t="s">
        <v>137</v>
      </c>
      <c r="W119" s="390" t="str">
        <f t="shared" si="20"/>
        <v>0</v>
      </c>
      <c r="X119" s="410" t="str">
        <f t="shared" si="21"/>
        <v>0</v>
      </c>
      <c r="Y119" s="402" t="str">
        <f t="shared" si="22"/>
        <v>TOPLAN</v>
      </c>
      <c r="Z119" s="117">
        <f t="shared" si="18"/>
        <v>0</v>
      </c>
    </row>
    <row r="120" spans="1:26">
      <c r="S120" s="546" t="e">
        <f>VLOOKUP(R120,'Exam Workorders'!F:Q,12,FALSE)</f>
        <v>#N/A</v>
      </c>
      <c r="T120" s="391" t="e">
        <f t="shared" si="23"/>
        <v>#N/A</v>
      </c>
      <c r="U120" s="391">
        <f t="shared" si="19"/>
        <v>0</v>
      </c>
      <c r="V120" s="403" t="s">
        <v>137</v>
      </c>
      <c r="W120" s="390" t="str">
        <f t="shared" si="20"/>
        <v>0</v>
      </c>
      <c r="X120" s="410" t="str">
        <f t="shared" si="21"/>
        <v>0</v>
      </c>
      <c r="Y120" s="402" t="str">
        <f t="shared" si="22"/>
        <v>TOPLAN</v>
      </c>
      <c r="Z120" s="117">
        <f t="shared" si="18"/>
        <v>0</v>
      </c>
    </row>
    <row r="121" spans="1:26">
      <c r="S121" s="546" t="e">
        <f>VLOOKUP(R121,'Exam Workorders'!F:Q,12,FALSE)</f>
        <v>#N/A</v>
      </c>
      <c r="T121" s="391" t="e">
        <f t="shared" si="23"/>
        <v>#N/A</v>
      </c>
      <c r="U121" s="391">
        <f t="shared" si="19"/>
        <v>0</v>
      </c>
      <c r="V121" s="403" t="s">
        <v>137</v>
      </c>
      <c r="W121" s="390" t="str">
        <f t="shared" si="20"/>
        <v>0</v>
      </c>
      <c r="X121" s="410" t="str">
        <f t="shared" si="21"/>
        <v>0</v>
      </c>
      <c r="Y121" s="402" t="str">
        <f t="shared" si="22"/>
        <v>TOPLAN</v>
      </c>
      <c r="Z121" s="117">
        <f t="shared" si="18"/>
        <v>0</v>
      </c>
    </row>
    <row r="122" spans="1:26">
      <c r="S122" s="546" t="e">
        <f>VLOOKUP(R122,'Exam Workorders'!F:Q,12,FALSE)</f>
        <v>#N/A</v>
      </c>
      <c r="T122" s="391" t="e">
        <f t="shared" si="23"/>
        <v>#N/A</v>
      </c>
      <c r="U122" s="391">
        <f t="shared" si="19"/>
        <v>0</v>
      </c>
      <c r="V122" s="403" t="s">
        <v>137</v>
      </c>
      <c r="W122" s="390" t="str">
        <f t="shared" si="20"/>
        <v>0</v>
      </c>
      <c r="X122" s="410" t="str">
        <f t="shared" si="21"/>
        <v>0</v>
      </c>
      <c r="Y122" s="402" t="str">
        <f t="shared" si="22"/>
        <v>TOPLAN</v>
      </c>
      <c r="Z122" s="117">
        <f t="shared" si="18"/>
        <v>0</v>
      </c>
    </row>
    <row r="123" spans="1:26">
      <c r="S123" s="546" t="e">
        <f>VLOOKUP(R123,'Exam Workorders'!F:Q,12,FALSE)</f>
        <v>#N/A</v>
      </c>
      <c r="T123" s="391" t="e">
        <f t="shared" si="23"/>
        <v>#N/A</v>
      </c>
      <c r="U123" s="391">
        <f t="shared" si="19"/>
        <v>0</v>
      </c>
      <c r="V123" s="403" t="s">
        <v>137</v>
      </c>
      <c r="W123" s="390" t="str">
        <f t="shared" si="20"/>
        <v>0</v>
      </c>
      <c r="X123" s="410" t="str">
        <f t="shared" si="21"/>
        <v>0</v>
      </c>
      <c r="Y123" s="402" t="str">
        <f t="shared" si="22"/>
        <v>TOPLAN</v>
      </c>
      <c r="Z123" s="117">
        <f t="shared" si="18"/>
        <v>0</v>
      </c>
    </row>
    <row r="124" spans="1:26">
      <c r="S124" s="546" t="e">
        <f>VLOOKUP(R124,'Exam Workorders'!F:Q,12,FALSE)</f>
        <v>#N/A</v>
      </c>
      <c r="T124" s="391" t="e">
        <f t="shared" si="23"/>
        <v>#N/A</v>
      </c>
      <c r="U124" s="391">
        <f t="shared" si="19"/>
        <v>0</v>
      </c>
      <c r="V124" s="403" t="s">
        <v>137</v>
      </c>
      <c r="W124" s="390" t="str">
        <f t="shared" si="20"/>
        <v>0</v>
      </c>
      <c r="X124" s="410" t="str">
        <f t="shared" si="21"/>
        <v>0</v>
      </c>
      <c r="Y124" s="402" t="str">
        <f t="shared" si="22"/>
        <v>TOPLAN</v>
      </c>
      <c r="Z124" s="117">
        <f t="shared" si="18"/>
        <v>0</v>
      </c>
    </row>
  </sheetData>
  <autoFilter ref="A1:Z124">
    <sortState ref="A2:Z124">
      <sortCondition ref="A1:A124"/>
    </sortState>
  </autoFilter>
  <phoneticPr fontId="96" type="noConversion"/>
  <conditionalFormatting sqref="J1 J32:J59 I2:I44">
    <cfRule type="cellIs" dxfId="3" priority="20" operator="equal">
      <formula>1</formula>
    </cfRule>
  </conditionalFormatting>
  <conditionalFormatting sqref="A1:A1048576">
    <cfRule type="duplicateValues" dxfId="2" priority="1" stopIfTrue="1"/>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Q409"/>
  <sheetViews>
    <sheetView workbookViewId="0">
      <pane ySplit="1" topLeftCell="A104" activePane="bottomLeft" state="frozen"/>
      <selection pane="bottomLeft" activeCell="G144" sqref="G144"/>
    </sheetView>
  </sheetViews>
  <sheetFormatPr defaultRowHeight="12.75"/>
  <cols>
    <col min="4" max="4" width="9.42578125" bestFit="1" customWidth="1"/>
    <col min="7" max="7" width="88.7109375" customWidth="1"/>
    <col min="8" max="8" width="17.140625" bestFit="1" customWidth="1"/>
    <col min="9" max="9" width="8.42578125" bestFit="1" customWidth="1"/>
    <col min="10" max="10" width="11.85546875" bestFit="1" customWidth="1"/>
    <col min="12" max="12" width="25.5703125" bestFit="1" customWidth="1"/>
    <col min="13" max="13" width="14.28515625" bestFit="1" customWidth="1"/>
    <col min="14" max="14" width="12" bestFit="1" customWidth="1"/>
    <col min="16" max="16" width="16.28515625" customWidth="1"/>
    <col min="17" max="17" width="21.42578125" customWidth="1"/>
  </cols>
  <sheetData>
    <row r="1" spans="1:17" ht="25.5">
      <c r="A1" s="382" t="s">
        <v>171</v>
      </c>
      <c r="B1" s="382" t="s">
        <v>172</v>
      </c>
      <c r="C1" s="382" t="s">
        <v>173</v>
      </c>
      <c r="D1" s="383" t="s">
        <v>0</v>
      </c>
      <c r="E1" s="384" t="s">
        <v>174</v>
      </c>
      <c r="F1" s="384" t="s">
        <v>175</v>
      </c>
      <c r="G1" s="385" t="s">
        <v>176</v>
      </c>
      <c r="H1" s="384" t="s">
        <v>177</v>
      </c>
      <c r="I1" s="384" t="s">
        <v>178</v>
      </c>
      <c r="J1" s="384" t="s">
        <v>179</v>
      </c>
      <c r="K1" s="386" t="s">
        <v>180</v>
      </c>
      <c r="L1" s="387" t="s">
        <v>181</v>
      </c>
      <c r="M1" s="388" t="s">
        <v>182</v>
      </c>
      <c r="N1" s="388" t="s">
        <v>183</v>
      </c>
      <c r="O1" s="388" t="s">
        <v>184</v>
      </c>
      <c r="P1" s="388" t="s">
        <v>185</v>
      </c>
      <c r="Q1" s="388" t="s">
        <v>186</v>
      </c>
    </row>
    <row r="2" spans="1:17">
      <c r="A2" s="389" t="s">
        <v>767</v>
      </c>
      <c r="B2" s="389" t="s">
        <v>193</v>
      </c>
      <c r="C2" s="389" t="s">
        <v>188</v>
      </c>
      <c r="D2" s="390" t="s">
        <v>265</v>
      </c>
      <c r="E2" s="391" t="s">
        <v>207</v>
      </c>
      <c r="F2" s="391" t="s">
        <v>768</v>
      </c>
      <c r="G2" s="391" t="s">
        <v>760</v>
      </c>
      <c r="H2" s="393">
        <v>42906.480127314811</v>
      </c>
      <c r="I2" s="391" t="s">
        <v>793</v>
      </c>
      <c r="J2" s="391" t="s">
        <v>769</v>
      </c>
      <c r="K2" s="391">
        <v>2</v>
      </c>
      <c r="L2" s="391" t="s">
        <v>794</v>
      </c>
      <c r="M2" s="394"/>
      <c r="N2" s="393" t="s">
        <v>769</v>
      </c>
      <c r="O2" s="393" t="s">
        <v>763</v>
      </c>
      <c r="P2" s="391" t="s">
        <v>206</v>
      </c>
      <c r="Q2" s="391" t="s">
        <v>761</v>
      </c>
    </row>
    <row r="3" spans="1:17">
      <c r="A3" s="389" t="s">
        <v>616</v>
      </c>
      <c r="B3" s="389" t="s">
        <v>428</v>
      </c>
      <c r="C3" s="389" t="s">
        <v>61</v>
      </c>
      <c r="D3" s="390" t="s">
        <v>213</v>
      </c>
      <c r="E3" s="391" t="s">
        <v>207</v>
      </c>
      <c r="F3" s="391" t="s">
        <v>617</v>
      </c>
      <c r="G3" s="391" t="s">
        <v>618</v>
      </c>
      <c r="H3" s="393">
        <v>42860.48159722222</v>
      </c>
      <c r="I3" s="391"/>
      <c r="J3" s="391" t="s">
        <v>619</v>
      </c>
      <c r="K3" s="391">
        <v>2</v>
      </c>
      <c r="L3" s="391"/>
      <c r="M3" s="394"/>
      <c r="N3" s="393" t="s">
        <v>619</v>
      </c>
      <c r="O3" s="393" t="s">
        <v>620</v>
      </c>
      <c r="P3" s="391" t="s">
        <v>206</v>
      </c>
      <c r="Q3" s="391" t="s">
        <v>615</v>
      </c>
    </row>
    <row r="4" spans="1:17">
      <c r="A4" s="389" t="s">
        <v>764</v>
      </c>
      <c r="B4" s="389" t="s">
        <v>193</v>
      </c>
      <c r="C4" s="389" t="s">
        <v>188</v>
      </c>
      <c r="D4" s="390" t="s">
        <v>284</v>
      </c>
      <c r="E4" s="391" t="s">
        <v>207</v>
      </c>
      <c r="F4" s="391" t="s">
        <v>765</v>
      </c>
      <c r="G4" s="391" t="s">
        <v>760</v>
      </c>
      <c r="H4" s="393">
        <v>42906.477835648147</v>
      </c>
      <c r="I4" s="391" t="s">
        <v>793</v>
      </c>
      <c r="J4" s="391" t="s">
        <v>766</v>
      </c>
      <c r="K4" s="391">
        <v>2</v>
      </c>
      <c r="L4" s="391" t="s">
        <v>794</v>
      </c>
      <c r="M4" s="394"/>
      <c r="N4" s="393" t="s">
        <v>766</v>
      </c>
      <c r="O4" s="393" t="s">
        <v>762</v>
      </c>
      <c r="P4" s="391" t="s">
        <v>206</v>
      </c>
      <c r="Q4" s="391" t="s">
        <v>761</v>
      </c>
    </row>
    <row r="5" spans="1:17">
      <c r="A5" s="389" t="s">
        <v>610</v>
      </c>
      <c r="B5" s="389" t="s">
        <v>428</v>
      </c>
      <c r="C5" s="389" t="s">
        <v>61</v>
      </c>
      <c r="D5" s="390" t="s">
        <v>213</v>
      </c>
      <c r="E5" s="391" t="s">
        <v>207</v>
      </c>
      <c r="F5" s="391" t="s">
        <v>611</v>
      </c>
      <c r="G5" s="391" t="s">
        <v>612</v>
      </c>
      <c r="H5" s="393">
        <v>42860.480358796296</v>
      </c>
      <c r="I5" s="391"/>
      <c r="J5" s="391" t="s">
        <v>613</v>
      </c>
      <c r="K5" s="391">
        <v>2</v>
      </c>
      <c r="L5" s="391"/>
      <c r="M5" s="394"/>
      <c r="N5" s="393" t="s">
        <v>613</v>
      </c>
      <c r="O5" s="393" t="s">
        <v>614</v>
      </c>
      <c r="P5" s="391" t="s">
        <v>206</v>
      </c>
      <c r="Q5" s="391" t="s">
        <v>615</v>
      </c>
    </row>
    <row r="6" spans="1:17">
      <c r="A6" s="389" t="s">
        <v>213</v>
      </c>
      <c r="B6" s="389" t="s">
        <v>347</v>
      </c>
      <c r="C6" s="389" t="s">
        <v>61</v>
      </c>
      <c r="D6" s="390" t="s">
        <v>213</v>
      </c>
      <c r="E6" s="391" t="s">
        <v>207</v>
      </c>
      <c r="F6" s="391" t="s">
        <v>296</v>
      </c>
      <c r="G6" s="391" t="s">
        <v>238</v>
      </c>
      <c r="H6" s="393">
        <v>42226.597037037034</v>
      </c>
      <c r="I6" s="391"/>
      <c r="J6" s="391" t="s">
        <v>213</v>
      </c>
      <c r="K6" s="391">
        <v>1</v>
      </c>
      <c r="L6" s="391"/>
      <c r="M6" s="394"/>
      <c r="N6" s="393" t="s">
        <v>213</v>
      </c>
      <c r="O6" s="393"/>
      <c r="P6" s="391" t="s">
        <v>206</v>
      </c>
      <c r="Q6" s="391" t="s">
        <v>239</v>
      </c>
    </row>
    <row r="7" spans="1:17">
      <c r="A7" s="389" t="s">
        <v>266</v>
      </c>
      <c r="B7" s="389" t="s">
        <v>216</v>
      </c>
      <c r="C7" s="389" t="s">
        <v>61</v>
      </c>
      <c r="D7" s="390" t="s">
        <v>266</v>
      </c>
      <c r="E7" s="391" t="s">
        <v>537</v>
      </c>
      <c r="F7" s="391" t="s">
        <v>443</v>
      </c>
      <c r="G7" s="391" t="s">
        <v>421</v>
      </c>
      <c r="H7" s="393">
        <v>42577.406458333331</v>
      </c>
      <c r="I7" s="391"/>
      <c r="J7" s="391" t="s">
        <v>266</v>
      </c>
      <c r="K7" s="391">
        <v>2</v>
      </c>
      <c r="L7" s="391"/>
      <c r="M7" s="394"/>
      <c r="N7" s="393" t="s">
        <v>266</v>
      </c>
      <c r="O7" s="393"/>
      <c r="P7" s="391" t="s">
        <v>206</v>
      </c>
      <c r="Q7" s="391" t="s">
        <v>422</v>
      </c>
    </row>
    <row r="8" spans="1:17">
      <c r="A8" s="389" t="s">
        <v>266</v>
      </c>
      <c r="B8" s="389" t="s">
        <v>193</v>
      </c>
      <c r="C8" s="389" t="s">
        <v>61</v>
      </c>
      <c r="D8" s="390" t="s">
        <v>266</v>
      </c>
      <c r="E8" s="391" t="s">
        <v>537</v>
      </c>
      <c r="F8" s="391" t="s">
        <v>420</v>
      </c>
      <c r="G8" s="391" t="s">
        <v>349</v>
      </c>
      <c r="H8" s="393">
        <v>42471.635312500002</v>
      </c>
      <c r="I8" s="391"/>
      <c r="J8" s="391" t="s">
        <v>266</v>
      </c>
      <c r="K8" s="391">
        <v>4</v>
      </c>
      <c r="L8" s="391"/>
      <c r="M8" s="394"/>
      <c r="N8" s="393" t="s">
        <v>266</v>
      </c>
      <c r="O8" s="393"/>
      <c r="P8" s="391" t="s">
        <v>206</v>
      </c>
      <c r="Q8" s="391" t="s">
        <v>350</v>
      </c>
    </row>
    <row r="9" spans="1:17">
      <c r="A9" s="389" t="s">
        <v>266</v>
      </c>
      <c r="B9" s="389" t="s">
        <v>187</v>
      </c>
      <c r="C9" s="389" t="s">
        <v>61</v>
      </c>
      <c r="D9" s="390" t="s">
        <v>266</v>
      </c>
      <c r="E9" s="391" t="s">
        <v>537</v>
      </c>
      <c r="F9" s="391" t="s">
        <v>927</v>
      </c>
      <c r="G9" s="391" t="s">
        <v>441</v>
      </c>
      <c r="H9" s="393">
        <v>42927.68509259259</v>
      </c>
      <c r="I9" s="391"/>
      <c r="J9" s="391" t="s">
        <v>266</v>
      </c>
      <c r="K9" s="391">
        <v>1</v>
      </c>
      <c r="L9" s="391"/>
      <c r="M9" s="394"/>
      <c r="N9" s="393" t="s">
        <v>266</v>
      </c>
      <c r="O9" s="393"/>
      <c r="P9" s="391" t="s">
        <v>206</v>
      </c>
      <c r="Q9" s="391" t="s">
        <v>442</v>
      </c>
    </row>
    <row r="10" spans="1:17">
      <c r="A10" s="389" t="s">
        <v>295</v>
      </c>
      <c r="B10" s="389" t="s">
        <v>187</v>
      </c>
      <c r="C10" s="389" t="s">
        <v>61</v>
      </c>
      <c r="D10" s="390" t="s">
        <v>295</v>
      </c>
      <c r="E10" s="391" t="s">
        <v>207</v>
      </c>
      <c r="F10" s="391" t="s">
        <v>475</v>
      </c>
      <c r="G10" s="391" t="s">
        <v>421</v>
      </c>
      <c r="H10" s="393">
        <v>42646.924618055556</v>
      </c>
      <c r="I10" s="391"/>
      <c r="J10" s="391" t="s">
        <v>295</v>
      </c>
      <c r="K10" s="391">
        <v>2</v>
      </c>
      <c r="L10" s="391"/>
      <c r="M10" s="394"/>
      <c r="N10" s="393" t="s">
        <v>295</v>
      </c>
      <c r="O10" s="393"/>
      <c r="P10" s="391" t="s">
        <v>206</v>
      </c>
      <c r="Q10" s="391" t="s">
        <v>422</v>
      </c>
    </row>
    <row r="11" spans="1:17">
      <c r="A11" s="389" t="s">
        <v>295</v>
      </c>
      <c r="B11" s="389" t="s">
        <v>193</v>
      </c>
      <c r="C11" s="389" t="s">
        <v>61</v>
      </c>
      <c r="D11" s="390" t="s">
        <v>295</v>
      </c>
      <c r="E11" s="391" t="s">
        <v>207</v>
      </c>
      <c r="F11" s="391" t="s">
        <v>352</v>
      </c>
      <c r="G11" s="391" t="s">
        <v>349</v>
      </c>
      <c r="H11" s="393">
        <v>42471.635300925926</v>
      </c>
      <c r="I11" s="391"/>
      <c r="J11" s="391" t="s">
        <v>295</v>
      </c>
      <c r="K11" s="391">
        <v>4</v>
      </c>
      <c r="L11" s="391"/>
      <c r="M11" s="394"/>
      <c r="N11" s="393" t="s">
        <v>295</v>
      </c>
      <c r="O11" s="393"/>
      <c r="P11" s="391" t="s">
        <v>206</v>
      </c>
      <c r="Q11" s="391" t="s">
        <v>350</v>
      </c>
    </row>
    <row r="12" spans="1:17">
      <c r="A12" s="389" t="s">
        <v>236</v>
      </c>
      <c r="B12" s="389" t="s">
        <v>187</v>
      </c>
      <c r="C12" s="389" t="s">
        <v>188</v>
      </c>
      <c r="D12" s="390" t="s">
        <v>236</v>
      </c>
      <c r="E12" s="391" t="s">
        <v>231</v>
      </c>
      <c r="F12" s="391" t="s">
        <v>521</v>
      </c>
      <c r="G12" s="391" t="s">
        <v>421</v>
      </c>
      <c r="H12" s="393">
        <v>42679.589270833334</v>
      </c>
      <c r="I12" s="391"/>
      <c r="J12" s="391" t="s">
        <v>236</v>
      </c>
      <c r="K12" s="391">
        <v>2</v>
      </c>
      <c r="L12" s="391"/>
      <c r="M12" s="394"/>
      <c r="N12" s="393" t="s">
        <v>236</v>
      </c>
      <c r="O12" s="393"/>
      <c r="P12" s="391" t="s">
        <v>206</v>
      </c>
      <c r="Q12" s="391" t="s">
        <v>422</v>
      </c>
    </row>
    <row r="13" spans="1:17">
      <c r="A13" s="389" t="s">
        <v>236</v>
      </c>
      <c r="B13" s="389" t="s">
        <v>187</v>
      </c>
      <c r="C13" s="389" t="s">
        <v>188</v>
      </c>
      <c r="D13" s="390" t="s">
        <v>236</v>
      </c>
      <c r="E13" s="391" t="s">
        <v>231</v>
      </c>
      <c r="F13" s="391" t="s">
        <v>333</v>
      </c>
      <c r="G13" s="391" t="s">
        <v>238</v>
      </c>
      <c r="H13" s="393">
        <v>42226.60460648148</v>
      </c>
      <c r="I13" s="391"/>
      <c r="J13" s="391" t="s">
        <v>236</v>
      </c>
      <c r="K13" s="391">
        <v>1</v>
      </c>
      <c r="L13" s="391"/>
      <c r="M13" s="394"/>
      <c r="N13" s="393" t="s">
        <v>236</v>
      </c>
      <c r="O13" s="393"/>
      <c r="P13" s="391" t="s">
        <v>206</v>
      </c>
      <c r="Q13" s="391" t="s">
        <v>239</v>
      </c>
    </row>
    <row r="14" spans="1:17">
      <c r="A14" s="389" t="s">
        <v>236</v>
      </c>
      <c r="B14" s="389" t="s">
        <v>193</v>
      </c>
      <c r="C14" s="389" t="s">
        <v>188</v>
      </c>
      <c r="D14" s="390" t="s">
        <v>236</v>
      </c>
      <c r="E14" s="391" t="s">
        <v>231</v>
      </c>
      <c r="F14" s="391" t="s">
        <v>386</v>
      </c>
      <c r="G14" s="391" t="s">
        <v>349</v>
      </c>
      <c r="H14" s="393">
        <v>42471.63449074074</v>
      </c>
      <c r="I14" s="391"/>
      <c r="J14" s="391" t="s">
        <v>236</v>
      </c>
      <c r="K14" s="391">
        <v>4</v>
      </c>
      <c r="L14" s="391"/>
      <c r="M14" s="394"/>
      <c r="N14" s="393" t="s">
        <v>236</v>
      </c>
      <c r="O14" s="393"/>
      <c r="P14" s="391" t="s">
        <v>206</v>
      </c>
      <c r="Q14" s="391" t="s">
        <v>350</v>
      </c>
    </row>
    <row r="15" spans="1:17">
      <c r="A15" s="389" t="s">
        <v>234</v>
      </c>
      <c r="B15" s="389" t="s">
        <v>187</v>
      </c>
      <c r="C15" s="389" t="s">
        <v>188</v>
      </c>
      <c r="D15" s="390" t="s">
        <v>234</v>
      </c>
      <c r="E15" s="391" t="s">
        <v>254</v>
      </c>
      <c r="F15" s="391" t="s">
        <v>430</v>
      </c>
      <c r="G15" s="391" t="s">
        <v>421</v>
      </c>
      <c r="H15" s="393">
        <v>42515.772986111115</v>
      </c>
      <c r="I15" s="391"/>
      <c r="J15" s="391" t="s">
        <v>234</v>
      </c>
      <c r="K15" s="391">
        <v>2</v>
      </c>
      <c r="L15" s="391"/>
      <c r="M15" s="394"/>
      <c r="N15" s="393" t="s">
        <v>234</v>
      </c>
      <c r="O15" s="393"/>
      <c r="P15" s="391" t="s">
        <v>206</v>
      </c>
      <c r="Q15" s="391" t="s">
        <v>422</v>
      </c>
    </row>
    <row r="16" spans="1:17">
      <c r="A16" s="389" t="s">
        <v>234</v>
      </c>
      <c r="B16" s="389" t="s">
        <v>187</v>
      </c>
      <c r="C16" s="389" t="s">
        <v>188</v>
      </c>
      <c r="D16" s="390" t="s">
        <v>234</v>
      </c>
      <c r="E16" s="391" t="s">
        <v>254</v>
      </c>
      <c r="F16" s="391" t="s">
        <v>332</v>
      </c>
      <c r="G16" s="391" t="s">
        <v>238</v>
      </c>
      <c r="H16" s="393">
        <v>42226.60428240741</v>
      </c>
      <c r="I16" s="391"/>
      <c r="J16" s="391" t="s">
        <v>234</v>
      </c>
      <c r="K16" s="391">
        <v>1</v>
      </c>
      <c r="L16" s="391"/>
      <c r="M16" s="394"/>
      <c r="N16" s="393" t="s">
        <v>234</v>
      </c>
      <c r="O16" s="393"/>
      <c r="P16" s="391" t="s">
        <v>206</v>
      </c>
      <c r="Q16" s="391" t="s">
        <v>239</v>
      </c>
    </row>
    <row r="17" spans="1:17">
      <c r="A17" s="389" t="s">
        <v>234</v>
      </c>
      <c r="B17" s="389" t="s">
        <v>193</v>
      </c>
      <c r="C17" s="389" t="s">
        <v>188</v>
      </c>
      <c r="D17" s="390" t="s">
        <v>234</v>
      </c>
      <c r="E17" s="391" t="s">
        <v>254</v>
      </c>
      <c r="F17" s="391" t="s">
        <v>417</v>
      </c>
      <c r="G17" s="391" t="s">
        <v>349</v>
      </c>
      <c r="H17" s="393">
        <v>42471.634479166663</v>
      </c>
      <c r="I17" s="391"/>
      <c r="J17" s="391" t="s">
        <v>234</v>
      </c>
      <c r="K17" s="391">
        <v>4</v>
      </c>
      <c r="L17" s="391"/>
      <c r="M17" s="394"/>
      <c r="N17" s="393" t="s">
        <v>234</v>
      </c>
      <c r="O17" s="393"/>
      <c r="P17" s="391" t="s">
        <v>206</v>
      </c>
      <c r="Q17" s="391" t="s">
        <v>350</v>
      </c>
    </row>
    <row r="18" spans="1:17">
      <c r="A18" s="389" t="s">
        <v>330</v>
      </c>
      <c r="B18" s="389" t="s">
        <v>187</v>
      </c>
      <c r="C18" s="389" t="s">
        <v>188</v>
      </c>
      <c r="D18" s="390" t="s">
        <v>330</v>
      </c>
      <c r="E18" s="391" t="s">
        <v>262</v>
      </c>
      <c r="F18" s="391" t="s">
        <v>434</v>
      </c>
      <c r="G18" s="391" t="s">
        <v>421</v>
      </c>
      <c r="H18" s="393">
        <v>42536.189166666663</v>
      </c>
      <c r="I18" s="391"/>
      <c r="J18" s="391" t="s">
        <v>330</v>
      </c>
      <c r="K18" s="391">
        <v>2</v>
      </c>
      <c r="L18" s="391"/>
      <c r="M18" s="394"/>
      <c r="N18" s="393" t="s">
        <v>330</v>
      </c>
      <c r="O18" s="393"/>
      <c r="P18" s="391" t="s">
        <v>206</v>
      </c>
      <c r="Q18" s="391" t="s">
        <v>422</v>
      </c>
    </row>
    <row r="19" spans="1:17">
      <c r="A19" s="389" t="s">
        <v>330</v>
      </c>
      <c r="B19" s="389" t="s">
        <v>187</v>
      </c>
      <c r="C19" s="389" t="s">
        <v>188</v>
      </c>
      <c r="D19" s="390" t="s">
        <v>330</v>
      </c>
      <c r="E19" s="391" t="s">
        <v>262</v>
      </c>
      <c r="F19" s="391" t="s">
        <v>331</v>
      </c>
      <c r="G19" s="391" t="s">
        <v>238</v>
      </c>
      <c r="H19" s="393">
        <v>42226.603981481479</v>
      </c>
      <c r="I19" s="391"/>
      <c r="J19" s="391" t="s">
        <v>330</v>
      </c>
      <c r="K19" s="391">
        <v>1</v>
      </c>
      <c r="L19" s="391"/>
      <c r="M19" s="394"/>
      <c r="N19" s="393" t="s">
        <v>330</v>
      </c>
      <c r="O19" s="393"/>
      <c r="P19" s="391" t="s">
        <v>206</v>
      </c>
      <c r="Q19" s="391" t="s">
        <v>239</v>
      </c>
    </row>
    <row r="20" spans="1:17">
      <c r="A20" s="389" t="s">
        <v>330</v>
      </c>
      <c r="B20" s="389" t="s">
        <v>193</v>
      </c>
      <c r="C20" s="389" t="s">
        <v>188</v>
      </c>
      <c r="D20" s="390" t="s">
        <v>330</v>
      </c>
      <c r="E20" s="391" t="s">
        <v>262</v>
      </c>
      <c r="F20" s="391" t="s">
        <v>374</v>
      </c>
      <c r="G20" s="391" t="s">
        <v>349</v>
      </c>
      <c r="H20" s="393">
        <v>42471.634467592594</v>
      </c>
      <c r="I20" s="391"/>
      <c r="J20" s="391" t="s">
        <v>330</v>
      </c>
      <c r="K20" s="391">
        <v>4</v>
      </c>
      <c r="L20" s="391"/>
      <c r="M20" s="394"/>
      <c r="N20" s="393" t="s">
        <v>330</v>
      </c>
      <c r="O20" s="393"/>
      <c r="P20" s="391" t="s">
        <v>206</v>
      </c>
      <c r="Q20" s="391" t="s">
        <v>350</v>
      </c>
    </row>
    <row r="21" spans="1:17">
      <c r="A21" s="389" t="s">
        <v>242</v>
      </c>
      <c r="B21" s="389" t="s">
        <v>187</v>
      </c>
      <c r="C21" s="389" t="s">
        <v>188</v>
      </c>
      <c r="D21" s="390" t="s">
        <v>242</v>
      </c>
      <c r="E21" s="391" t="s">
        <v>258</v>
      </c>
      <c r="F21" s="391" t="s">
        <v>329</v>
      </c>
      <c r="G21" s="391" t="s">
        <v>238</v>
      </c>
      <c r="H21" s="393">
        <v>42226.603680555556</v>
      </c>
      <c r="I21" s="391"/>
      <c r="J21" s="391" t="s">
        <v>242</v>
      </c>
      <c r="K21" s="391">
        <v>1</v>
      </c>
      <c r="L21" s="391"/>
      <c r="M21" s="394"/>
      <c r="N21" s="393" t="s">
        <v>242</v>
      </c>
      <c r="O21" s="393"/>
      <c r="P21" s="391" t="s">
        <v>206</v>
      </c>
      <c r="Q21" s="391" t="s">
        <v>239</v>
      </c>
    </row>
    <row r="22" spans="1:17">
      <c r="A22" s="389" t="s">
        <v>242</v>
      </c>
      <c r="B22" s="389" t="s">
        <v>193</v>
      </c>
      <c r="C22" s="389" t="s">
        <v>188</v>
      </c>
      <c r="D22" s="390" t="s">
        <v>242</v>
      </c>
      <c r="E22" s="391" t="s">
        <v>258</v>
      </c>
      <c r="F22" s="391" t="s">
        <v>382</v>
      </c>
      <c r="G22" s="391" t="s">
        <v>349</v>
      </c>
      <c r="H22" s="393">
        <v>42471.634444444448</v>
      </c>
      <c r="I22" s="391"/>
      <c r="J22" s="391" t="s">
        <v>242</v>
      </c>
      <c r="K22" s="391">
        <v>4</v>
      </c>
      <c r="L22" s="391"/>
      <c r="M22" s="394"/>
      <c r="N22" s="393" t="s">
        <v>242</v>
      </c>
      <c r="O22" s="393"/>
      <c r="P22" s="391" t="s">
        <v>206</v>
      </c>
      <c r="Q22" s="391" t="s">
        <v>350</v>
      </c>
    </row>
    <row r="23" spans="1:17">
      <c r="A23" s="389" t="s">
        <v>242</v>
      </c>
      <c r="B23" s="389" t="s">
        <v>187</v>
      </c>
      <c r="C23" s="389" t="s">
        <v>188</v>
      </c>
      <c r="D23" s="390" t="s">
        <v>242</v>
      </c>
      <c r="E23" s="391" t="s">
        <v>258</v>
      </c>
      <c r="F23" s="391" t="s">
        <v>489</v>
      </c>
      <c r="G23" s="391" t="s">
        <v>421</v>
      </c>
      <c r="H23" s="393">
        <v>42656.649537037039</v>
      </c>
      <c r="I23" s="391"/>
      <c r="J23" s="391" t="s">
        <v>242</v>
      </c>
      <c r="K23" s="391">
        <v>2</v>
      </c>
      <c r="L23" s="391"/>
      <c r="M23" s="394"/>
      <c r="N23" s="393" t="s">
        <v>242</v>
      </c>
      <c r="O23" s="393"/>
      <c r="P23" s="391" t="s">
        <v>206</v>
      </c>
      <c r="Q23" s="391" t="s">
        <v>422</v>
      </c>
    </row>
    <row r="24" spans="1:17">
      <c r="A24" s="389" t="s">
        <v>327</v>
      </c>
      <c r="B24" s="389" t="s">
        <v>187</v>
      </c>
      <c r="C24" s="389" t="s">
        <v>188</v>
      </c>
      <c r="D24" s="390" t="s">
        <v>327</v>
      </c>
      <c r="E24" s="391" t="s">
        <v>526</v>
      </c>
      <c r="F24" s="391" t="s">
        <v>591</v>
      </c>
      <c r="G24" s="391" t="s">
        <v>421</v>
      </c>
      <c r="H24" s="393">
        <v>42850.528784722221</v>
      </c>
      <c r="I24" s="391"/>
      <c r="J24" s="391" t="s">
        <v>327</v>
      </c>
      <c r="K24" s="391">
        <v>2</v>
      </c>
      <c r="L24" s="391"/>
      <c r="M24" s="394"/>
      <c r="N24" s="393" t="s">
        <v>327</v>
      </c>
      <c r="O24" s="393"/>
      <c r="P24" s="391" t="s">
        <v>206</v>
      </c>
      <c r="Q24" s="391" t="s">
        <v>422</v>
      </c>
    </row>
    <row r="25" spans="1:17">
      <c r="A25" s="389" t="s">
        <v>327</v>
      </c>
      <c r="B25" s="389" t="s">
        <v>187</v>
      </c>
      <c r="C25" s="389" t="s">
        <v>188</v>
      </c>
      <c r="D25" s="390" t="s">
        <v>327</v>
      </c>
      <c r="E25" s="391" t="s">
        <v>526</v>
      </c>
      <c r="F25" s="391" t="s">
        <v>328</v>
      </c>
      <c r="G25" s="391" t="s">
        <v>238</v>
      </c>
      <c r="H25" s="393">
        <v>42226.603356481479</v>
      </c>
      <c r="I25" s="391"/>
      <c r="J25" s="391" t="s">
        <v>327</v>
      </c>
      <c r="K25" s="391">
        <v>1</v>
      </c>
      <c r="L25" s="391"/>
      <c r="M25" s="394"/>
      <c r="N25" s="393" t="s">
        <v>327</v>
      </c>
      <c r="O25" s="393"/>
      <c r="P25" s="391" t="s">
        <v>206</v>
      </c>
      <c r="Q25" s="391" t="s">
        <v>239</v>
      </c>
    </row>
    <row r="26" spans="1:17">
      <c r="A26" s="389" t="s">
        <v>327</v>
      </c>
      <c r="B26" s="389" t="s">
        <v>216</v>
      </c>
      <c r="C26" s="389" t="s">
        <v>188</v>
      </c>
      <c r="D26" s="390" t="s">
        <v>327</v>
      </c>
      <c r="E26" s="391" t="s">
        <v>526</v>
      </c>
      <c r="F26" s="391" t="s">
        <v>344</v>
      </c>
      <c r="G26" s="391" t="s">
        <v>345</v>
      </c>
      <c r="H26" s="393">
        <v>42390.409837962965</v>
      </c>
      <c r="I26" s="391"/>
      <c r="J26" s="391" t="s">
        <v>327</v>
      </c>
      <c r="K26" s="391">
        <v>2</v>
      </c>
      <c r="L26" s="391"/>
      <c r="M26" s="394"/>
      <c r="N26" s="393" t="s">
        <v>327</v>
      </c>
      <c r="O26" s="393"/>
      <c r="P26" s="391" t="s">
        <v>206</v>
      </c>
      <c r="Q26" s="391" t="s">
        <v>215</v>
      </c>
    </row>
    <row r="27" spans="1:17">
      <c r="A27" s="389" t="s">
        <v>327</v>
      </c>
      <c r="B27" s="389" t="s">
        <v>193</v>
      </c>
      <c r="C27" s="389" t="s">
        <v>188</v>
      </c>
      <c r="D27" s="390" t="s">
        <v>327</v>
      </c>
      <c r="E27" s="391" t="s">
        <v>526</v>
      </c>
      <c r="F27" s="391" t="s">
        <v>381</v>
      </c>
      <c r="G27" s="391" t="s">
        <v>349</v>
      </c>
      <c r="H27" s="393">
        <v>42471.634432870371</v>
      </c>
      <c r="I27" s="391"/>
      <c r="J27" s="391" t="s">
        <v>327</v>
      </c>
      <c r="K27" s="391">
        <v>4</v>
      </c>
      <c r="L27" s="391"/>
      <c r="M27" s="394"/>
      <c r="N27" s="393" t="s">
        <v>327</v>
      </c>
      <c r="O27" s="393"/>
      <c r="P27" s="391" t="s">
        <v>206</v>
      </c>
      <c r="Q27" s="391" t="s">
        <v>350</v>
      </c>
    </row>
    <row r="28" spans="1:17">
      <c r="A28" s="389" t="s">
        <v>325</v>
      </c>
      <c r="B28" s="389" t="s">
        <v>187</v>
      </c>
      <c r="C28" s="389" t="s">
        <v>188</v>
      </c>
      <c r="D28" s="390" t="s">
        <v>325</v>
      </c>
      <c r="E28" s="391" t="s">
        <v>231</v>
      </c>
      <c r="F28" s="391" t="s">
        <v>458</v>
      </c>
      <c r="G28" s="391" t="s">
        <v>421</v>
      </c>
      <c r="H28" s="393">
        <v>42620.206550925926</v>
      </c>
      <c r="I28" s="391"/>
      <c r="J28" s="391" t="s">
        <v>325</v>
      </c>
      <c r="K28" s="391">
        <v>2</v>
      </c>
      <c r="L28" s="391"/>
      <c r="M28" s="394"/>
      <c r="N28" s="393" t="s">
        <v>325</v>
      </c>
      <c r="O28" s="393"/>
      <c r="P28" s="391" t="s">
        <v>206</v>
      </c>
      <c r="Q28" s="391" t="s">
        <v>422</v>
      </c>
    </row>
    <row r="29" spans="1:17">
      <c r="A29" s="389" t="s">
        <v>325</v>
      </c>
      <c r="B29" s="389" t="s">
        <v>187</v>
      </c>
      <c r="C29" s="389" t="s">
        <v>188</v>
      </c>
      <c r="D29" s="390" t="s">
        <v>325</v>
      </c>
      <c r="E29" s="391" t="s">
        <v>231</v>
      </c>
      <c r="F29" s="391" t="s">
        <v>326</v>
      </c>
      <c r="G29" s="391" t="s">
        <v>238</v>
      </c>
      <c r="H29" s="393">
        <v>42226.603067129632</v>
      </c>
      <c r="I29" s="391"/>
      <c r="J29" s="391" t="s">
        <v>325</v>
      </c>
      <c r="K29" s="391">
        <v>1</v>
      </c>
      <c r="L29" s="391"/>
      <c r="M29" s="394"/>
      <c r="N29" s="393" t="s">
        <v>325</v>
      </c>
      <c r="O29" s="393"/>
      <c r="P29" s="391" t="s">
        <v>206</v>
      </c>
      <c r="Q29" s="391" t="s">
        <v>239</v>
      </c>
    </row>
    <row r="30" spans="1:17">
      <c r="A30" s="389" t="s">
        <v>325</v>
      </c>
      <c r="B30" s="389" t="s">
        <v>193</v>
      </c>
      <c r="C30" s="389" t="s">
        <v>188</v>
      </c>
      <c r="D30" s="390" t="s">
        <v>325</v>
      </c>
      <c r="E30" s="391" t="s">
        <v>231</v>
      </c>
      <c r="F30" s="391" t="s">
        <v>416</v>
      </c>
      <c r="G30" s="391" t="s">
        <v>349</v>
      </c>
      <c r="H30" s="393">
        <v>42471.634421296294</v>
      </c>
      <c r="I30" s="391"/>
      <c r="J30" s="391" t="s">
        <v>325</v>
      </c>
      <c r="K30" s="391">
        <v>4</v>
      </c>
      <c r="L30" s="391"/>
      <c r="M30" s="394"/>
      <c r="N30" s="393" t="s">
        <v>325</v>
      </c>
      <c r="O30" s="393"/>
      <c r="P30" s="391" t="s">
        <v>206</v>
      </c>
      <c r="Q30" s="391" t="s">
        <v>350</v>
      </c>
    </row>
    <row r="31" spans="1:17">
      <c r="A31" s="389" t="s">
        <v>325</v>
      </c>
      <c r="B31" s="389" t="s">
        <v>193</v>
      </c>
      <c r="C31" s="389" t="s">
        <v>188</v>
      </c>
      <c r="D31" s="390" t="s">
        <v>325</v>
      </c>
      <c r="E31" s="391" t="s">
        <v>231</v>
      </c>
      <c r="F31" s="391" t="s">
        <v>1028</v>
      </c>
      <c r="G31" s="391" t="s">
        <v>1031</v>
      </c>
      <c r="H31" s="393">
        <v>42931.800428240742</v>
      </c>
      <c r="I31" s="391"/>
      <c r="J31" s="391" t="s">
        <v>325</v>
      </c>
      <c r="K31" s="391">
        <v>1</v>
      </c>
      <c r="L31" s="391"/>
      <c r="M31" s="394"/>
      <c r="N31" s="393" t="s">
        <v>325</v>
      </c>
      <c r="O31" s="393"/>
      <c r="P31" s="391" t="s">
        <v>206</v>
      </c>
      <c r="Q31" s="391" t="s">
        <v>1032</v>
      </c>
    </row>
    <row r="32" spans="1:17">
      <c r="A32" s="389" t="s">
        <v>228</v>
      </c>
      <c r="B32" s="389" t="s">
        <v>187</v>
      </c>
      <c r="C32" s="389" t="s">
        <v>188</v>
      </c>
      <c r="D32" s="390" t="s">
        <v>228</v>
      </c>
      <c r="E32" s="391" t="s">
        <v>254</v>
      </c>
      <c r="F32" s="391" t="s">
        <v>467</v>
      </c>
      <c r="G32" s="391" t="s">
        <v>421</v>
      </c>
      <c r="H32" s="393">
        <v>42637.21738425926</v>
      </c>
      <c r="I32" s="391"/>
      <c r="J32" s="391" t="s">
        <v>228</v>
      </c>
      <c r="K32" s="391">
        <v>2</v>
      </c>
      <c r="L32" s="391"/>
      <c r="M32" s="394"/>
      <c r="N32" s="393" t="s">
        <v>228</v>
      </c>
      <c r="O32" s="393"/>
      <c r="P32" s="391" t="s">
        <v>206</v>
      </c>
      <c r="Q32" s="391" t="s">
        <v>422</v>
      </c>
    </row>
    <row r="33" spans="1:17">
      <c r="A33" s="389" t="s">
        <v>228</v>
      </c>
      <c r="B33" s="389" t="s">
        <v>187</v>
      </c>
      <c r="C33" s="389" t="s">
        <v>188</v>
      </c>
      <c r="D33" s="390" t="s">
        <v>228</v>
      </c>
      <c r="E33" s="391" t="s">
        <v>254</v>
      </c>
      <c r="F33" s="391" t="s">
        <v>324</v>
      </c>
      <c r="G33" s="391" t="s">
        <v>238</v>
      </c>
      <c r="H33" s="393">
        <v>42226.602743055555</v>
      </c>
      <c r="I33" s="391"/>
      <c r="J33" s="391" t="s">
        <v>228</v>
      </c>
      <c r="K33" s="391">
        <v>1</v>
      </c>
      <c r="L33" s="391"/>
      <c r="M33" s="394"/>
      <c r="N33" s="393" t="s">
        <v>228</v>
      </c>
      <c r="O33" s="393"/>
      <c r="P33" s="391" t="s">
        <v>206</v>
      </c>
      <c r="Q33" s="391" t="s">
        <v>239</v>
      </c>
    </row>
    <row r="34" spans="1:17">
      <c r="A34" s="389" t="s">
        <v>228</v>
      </c>
      <c r="B34" s="389" t="s">
        <v>193</v>
      </c>
      <c r="C34" s="389" t="s">
        <v>188</v>
      </c>
      <c r="D34" s="390" t="s">
        <v>228</v>
      </c>
      <c r="E34" s="391" t="s">
        <v>254</v>
      </c>
      <c r="F34" s="391" t="s">
        <v>380</v>
      </c>
      <c r="G34" s="391" t="s">
        <v>349</v>
      </c>
      <c r="H34" s="393">
        <v>42471.634409722225</v>
      </c>
      <c r="I34" s="391"/>
      <c r="J34" s="391" t="s">
        <v>228</v>
      </c>
      <c r="K34" s="391">
        <v>4</v>
      </c>
      <c r="L34" s="391"/>
      <c r="M34" s="394"/>
      <c r="N34" s="393" t="s">
        <v>228</v>
      </c>
      <c r="O34" s="393"/>
      <c r="P34" s="391" t="s">
        <v>206</v>
      </c>
      <c r="Q34" s="391" t="s">
        <v>350</v>
      </c>
    </row>
    <row r="35" spans="1:17">
      <c r="A35" s="389" t="s">
        <v>243</v>
      </c>
      <c r="B35" s="389" t="s">
        <v>187</v>
      </c>
      <c r="C35" s="389" t="s">
        <v>188</v>
      </c>
      <c r="D35" s="390" t="s">
        <v>243</v>
      </c>
      <c r="E35" s="391" t="s">
        <v>258</v>
      </c>
      <c r="F35" s="391" t="s">
        <v>323</v>
      </c>
      <c r="G35" s="391" t="s">
        <v>238</v>
      </c>
      <c r="H35" s="393">
        <v>42226.602430555555</v>
      </c>
      <c r="I35" s="391"/>
      <c r="J35" s="391" t="s">
        <v>243</v>
      </c>
      <c r="K35" s="391">
        <v>1</v>
      </c>
      <c r="L35" s="391"/>
      <c r="M35" s="394"/>
      <c r="N35" s="393" t="s">
        <v>243</v>
      </c>
      <c r="O35" s="393"/>
      <c r="P35" s="391" t="s">
        <v>206</v>
      </c>
      <c r="Q35" s="391" t="s">
        <v>239</v>
      </c>
    </row>
    <row r="36" spans="1:17">
      <c r="A36" s="389" t="s">
        <v>243</v>
      </c>
      <c r="B36" s="389" t="s">
        <v>216</v>
      </c>
      <c r="C36" s="389"/>
      <c r="D36" s="390"/>
      <c r="E36" s="391"/>
      <c r="F36" s="391" t="s">
        <v>957</v>
      </c>
      <c r="G36" s="391" t="s">
        <v>958</v>
      </c>
      <c r="H36" s="393">
        <v>42928.937256944446</v>
      </c>
      <c r="I36" s="391"/>
      <c r="J36" s="391" t="s">
        <v>243</v>
      </c>
      <c r="K36" s="391">
        <v>1</v>
      </c>
      <c r="L36" s="391"/>
      <c r="M36" s="394"/>
      <c r="N36" s="393" t="s">
        <v>243</v>
      </c>
      <c r="O36" s="393"/>
      <c r="P36" s="391" t="s">
        <v>206</v>
      </c>
      <c r="Q36" s="391" t="s">
        <v>959</v>
      </c>
    </row>
    <row r="37" spans="1:17">
      <c r="A37" s="389" t="s">
        <v>243</v>
      </c>
      <c r="B37" s="389" t="s">
        <v>216</v>
      </c>
      <c r="C37" s="389"/>
      <c r="D37" s="390"/>
      <c r="E37" s="391"/>
      <c r="F37" s="391" t="s">
        <v>960</v>
      </c>
      <c r="G37" s="391" t="s">
        <v>961</v>
      </c>
      <c r="H37" s="393">
        <v>42928.937199074076</v>
      </c>
      <c r="I37" s="391"/>
      <c r="J37" s="391" t="s">
        <v>243</v>
      </c>
      <c r="K37" s="391">
        <v>1</v>
      </c>
      <c r="L37" s="391"/>
      <c r="M37" s="394"/>
      <c r="N37" s="393" t="s">
        <v>243</v>
      </c>
      <c r="O37" s="393"/>
      <c r="P37" s="391" t="s">
        <v>206</v>
      </c>
      <c r="Q37" s="391" t="s">
        <v>962</v>
      </c>
    </row>
    <row r="38" spans="1:17">
      <c r="A38" s="389" t="s">
        <v>243</v>
      </c>
      <c r="B38" s="389" t="s">
        <v>187</v>
      </c>
      <c r="C38" s="389" t="s">
        <v>188</v>
      </c>
      <c r="D38" s="390" t="s">
        <v>243</v>
      </c>
      <c r="E38" s="391" t="s">
        <v>258</v>
      </c>
      <c r="F38" s="391" t="s">
        <v>956</v>
      </c>
      <c r="G38" s="391" t="s">
        <v>645</v>
      </c>
      <c r="H38" s="393">
        <v>42928.9371875</v>
      </c>
      <c r="I38" s="391"/>
      <c r="J38" s="391" t="s">
        <v>243</v>
      </c>
      <c r="K38" s="391">
        <v>1</v>
      </c>
      <c r="L38" s="391"/>
      <c r="M38" s="394"/>
      <c r="N38" s="393" t="s">
        <v>243</v>
      </c>
      <c r="O38" s="393"/>
      <c r="P38" s="391" t="s">
        <v>206</v>
      </c>
      <c r="Q38" s="391" t="s">
        <v>963</v>
      </c>
    </row>
    <row r="39" spans="1:17">
      <c r="A39" s="389" t="s">
        <v>243</v>
      </c>
      <c r="B39" s="389" t="s">
        <v>216</v>
      </c>
      <c r="C39" s="389"/>
      <c r="D39" s="390"/>
      <c r="E39" s="391"/>
      <c r="F39" s="391" t="s">
        <v>964</v>
      </c>
      <c r="G39" s="391" t="s">
        <v>965</v>
      </c>
      <c r="H39" s="393">
        <v>42928.9372337963</v>
      </c>
      <c r="I39" s="391"/>
      <c r="J39" s="391" t="s">
        <v>243</v>
      </c>
      <c r="K39" s="391">
        <v>1</v>
      </c>
      <c r="L39" s="391"/>
      <c r="M39" s="394"/>
      <c r="N39" s="393" t="s">
        <v>243</v>
      </c>
      <c r="O39" s="393"/>
      <c r="P39" s="391" t="s">
        <v>206</v>
      </c>
      <c r="Q39" s="391" t="s">
        <v>966</v>
      </c>
    </row>
    <row r="40" spans="1:17">
      <c r="A40" s="389" t="s">
        <v>243</v>
      </c>
      <c r="B40" s="389" t="s">
        <v>187</v>
      </c>
      <c r="C40" s="389" t="s">
        <v>188</v>
      </c>
      <c r="D40" s="390" t="s">
        <v>243</v>
      </c>
      <c r="E40" s="391" t="s">
        <v>258</v>
      </c>
      <c r="F40" s="391" t="s">
        <v>903</v>
      </c>
      <c r="G40" s="391" t="s">
        <v>421</v>
      </c>
      <c r="H40" s="393">
        <v>42924.552384259259</v>
      </c>
      <c r="I40" s="391"/>
      <c r="J40" s="391" t="s">
        <v>243</v>
      </c>
      <c r="K40" s="391">
        <v>2</v>
      </c>
      <c r="L40" s="391"/>
      <c r="M40" s="394"/>
      <c r="N40" s="393" t="s">
        <v>243</v>
      </c>
      <c r="O40" s="393"/>
      <c r="P40" s="391" t="s">
        <v>206</v>
      </c>
      <c r="Q40" s="391" t="s">
        <v>422</v>
      </c>
    </row>
    <row r="41" spans="1:17">
      <c r="A41" s="389" t="s">
        <v>321</v>
      </c>
      <c r="B41" s="389" t="s">
        <v>187</v>
      </c>
      <c r="C41" s="389" t="s">
        <v>188</v>
      </c>
      <c r="D41" s="390" t="s">
        <v>321</v>
      </c>
      <c r="E41" s="391" t="s">
        <v>207</v>
      </c>
      <c r="F41" s="391" t="s">
        <v>453</v>
      </c>
      <c r="G41" s="391" t="s">
        <v>421</v>
      </c>
      <c r="H41" s="393">
        <v>42607.943055555559</v>
      </c>
      <c r="I41" s="391"/>
      <c r="J41" s="391" t="s">
        <v>321</v>
      </c>
      <c r="K41" s="391">
        <v>2</v>
      </c>
      <c r="L41" s="391"/>
      <c r="M41" s="394"/>
      <c r="N41" s="393" t="s">
        <v>321</v>
      </c>
      <c r="O41" s="393"/>
      <c r="P41" s="391" t="s">
        <v>206</v>
      </c>
      <c r="Q41" s="391" t="s">
        <v>422</v>
      </c>
    </row>
    <row r="42" spans="1:17">
      <c r="A42" s="389" t="s">
        <v>321</v>
      </c>
      <c r="B42" s="389" t="s">
        <v>187</v>
      </c>
      <c r="C42" s="389" t="s">
        <v>188</v>
      </c>
      <c r="D42" s="390" t="s">
        <v>321</v>
      </c>
      <c r="E42" s="391" t="s">
        <v>207</v>
      </c>
      <c r="F42" s="391" t="s">
        <v>322</v>
      </c>
      <c r="G42" s="391" t="s">
        <v>238</v>
      </c>
      <c r="H42" s="393">
        <v>42226.602118055554</v>
      </c>
      <c r="I42" s="391"/>
      <c r="J42" s="391" t="s">
        <v>321</v>
      </c>
      <c r="K42" s="391">
        <v>1</v>
      </c>
      <c r="L42" s="391"/>
      <c r="M42" s="394"/>
      <c r="N42" s="393" t="s">
        <v>321</v>
      </c>
      <c r="O42" s="393"/>
      <c r="P42" s="391" t="s">
        <v>206</v>
      </c>
      <c r="Q42" s="391" t="s">
        <v>239</v>
      </c>
    </row>
    <row r="43" spans="1:17">
      <c r="A43" s="389" t="s">
        <v>321</v>
      </c>
      <c r="B43" s="389" t="s">
        <v>193</v>
      </c>
      <c r="C43" s="389" t="s">
        <v>188</v>
      </c>
      <c r="D43" s="390" t="s">
        <v>321</v>
      </c>
      <c r="E43" s="391" t="s">
        <v>207</v>
      </c>
      <c r="F43" s="391" t="s">
        <v>415</v>
      </c>
      <c r="G43" s="391" t="s">
        <v>349</v>
      </c>
      <c r="H43" s="393">
        <v>42471.634386574071</v>
      </c>
      <c r="I43" s="391"/>
      <c r="J43" s="391" t="s">
        <v>321</v>
      </c>
      <c r="K43" s="391">
        <v>4</v>
      </c>
      <c r="L43" s="391"/>
      <c r="M43" s="394"/>
      <c r="N43" s="393" t="s">
        <v>321</v>
      </c>
      <c r="O43" s="393"/>
      <c r="P43" s="391" t="s">
        <v>206</v>
      </c>
      <c r="Q43" s="391" t="s">
        <v>350</v>
      </c>
    </row>
    <row r="44" spans="1:17">
      <c r="A44" s="389" t="s">
        <v>319</v>
      </c>
      <c r="B44" s="389" t="s">
        <v>187</v>
      </c>
      <c r="C44" s="389" t="s">
        <v>188</v>
      </c>
      <c r="D44" s="390" t="s">
        <v>319</v>
      </c>
      <c r="E44" s="391" t="s">
        <v>207</v>
      </c>
      <c r="F44" s="391" t="s">
        <v>472</v>
      </c>
      <c r="G44" s="391" t="s">
        <v>421</v>
      </c>
      <c r="H44" s="393">
        <v>42639.316400462965</v>
      </c>
      <c r="I44" s="391"/>
      <c r="J44" s="391" t="s">
        <v>319</v>
      </c>
      <c r="K44" s="391">
        <v>2</v>
      </c>
      <c r="L44" s="391"/>
      <c r="M44" s="394"/>
      <c r="N44" s="393" t="s">
        <v>319</v>
      </c>
      <c r="O44" s="393"/>
      <c r="P44" s="391" t="s">
        <v>206</v>
      </c>
      <c r="Q44" s="391" t="s">
        <v>422</v>
      </c>
    </row>
    <row r="45" spans="1:17">
      <c r="A45" s="389" t="s">
        <v>319</v>
      </c>
      <c r="B45" s="389" t="s">
        <v>187</v>
      </c>
      <c r="C45" s="389" t="s">
        <v>188</v>
      </c>
      <c r="D45" s="390" t="s">
        <v>319</v>
      </c>
      <c r="E45" s="391" t="s">
        <v>207</v>
      </c>
      <c r="F45" s="391" t="s">
        <v>320</v>
      </c>
      <c r="G45" s="391" t="s">
        <v>238</v>
      </c>
      <c r="H45" s="393">
        <v>42226.601805555554</v>
      </c>
      <c r="I45" s="391"/>
      <c r="J45" s="391" t="s">
        <v>319</v>
      </c>
      <c r="K45" s="391">
        <v>1</v>
      </c>
      <c r="L45" s="391"/>
      <c r="M45" s="394"/>
      <c r="N45" s="393" t="s">
        <v>319</v>
      </c>
      <c r="O45" s="393"/>
      <c r="P45" s="391" t="s">
        <v>206</v>
      </c>
      <c r="Q45" s="391" t="s">
        <v>239</v>
      </c>
    </row>
    <row r="46" spans="1:17">
      <c r="A46" s="389" t="s">
        <v>319</v>
      </c>
      <c r="B46" s="389" t="s">
        <v>193</v>
      </c>
      <c r="C46" s="389" t="s">
        <v>188</v>
      </c>
      <c r="D46" s="390" t="s">
        <v>319</v>
      </c>
      <c r="E46" s="391" t="s">
        <v>207</v>
      </c>
      <c r="F46" s="391" t="s">
        <v>379</v>
      </c>
      <c r="G46" s="391" t="s">
        <v>349</v>
      </c>
      <c r="H46" s="393">
        <v>42471.634363425925</v>
      </c>
      <c r="I46" s="391"/>
      <c r="J46" s="391" t="s">
        <v>319</v>
      </c>
      <c r="K46" s="391">
        <v>4</v>
      </c>
      <c r="L46" s="391"/>
      <c r="M46" s="394"/>
      <c r="N46" s="393" t="s">
        <v>319</v>
      </c>
      <c r="O46" s="393"/>
      <c r="P46" s="391" t="s">
        <v>206</v>
      </c>
      <c r="Q46" s="391" t="s">
        <v>350</v>
      </c>
    </row>
    <row r="47" spans="1:17">
      <c r="A47" s="389" t="s">
        <v>229</v>
      </c>
      <c r="B47" s="389" t="s">
        <v>216</v>
      </c>
      <c r="C47" s="389" t="s">
        <v>188</v>
      </c>
      <c r="D47" s="390" t="s">
        <v>229</v>
      </c>
      <c r="E47" s="391" t="s">
        <v>207</v>
      </c>
      <c r="F47" s="391" t="s">
        <v>426</v>
      </c>
      <c r="G47" s="391" t="s">
        <v>448</v>
      </c>
      <c r="H47" s="393">
        <v>42488.466643518521</v>
      </c>
      <c r="I47" s="391"/>
      <c r="J47" s="391" t="s">
        <v>229</v>
      </c>
      <c r="K47" s="391">
        <v>2</v>
      </c>
      <c r="L47" s="391"/>
      <c r="M47" s="394"/>
      <c r="N47" s="393" t="s">
        <v>229</v>
      </c>
      <c r="O47" s="393"/>
      <c r="P47" s="391" t="s">
        <v>206</v>
      </c>
      <c r="Q47" s="391" t="s">
        <v>422</v>
      </c>
    </row>
    <row r="48" spans="1:17">
      <c r="A48" s="389" t="s">
        <v>229</v>
      </c>
      <c r="B48" s="389" t="s">
        <v>193</v>
      </c>
      <c r="C48" s="389" t="s">
        <v>188</v>
      </c>
      <c r="D48" s="390" t="s">
        <v>229</v>
      </c>
      <c r="E48" s="391" t="s">
        <v>207</v>
      </c>
      <c r="F48" s="391" t="s">
        <v>444</v>
      </c>
      <c r="G48" s="391" t="s">
        <v>432</v>
      </c>
      <c r="H48" s="393">
        <v>42587.550393518519</v>
      </c>
      <c r="I48" s="391" t="s">
        <v>451</v>
      </c>
      <c r="J48" s="391" t="s">
        <v>229</v>
      </c>
      <c r="K48" s="391">
        <v>2</v>
      </c>
      <c r="L48" s="391" t="s">
        <v>452</v>
      </c>
      <c r="M48" s="394"/>
      <c r="N48" s="393" t="s">
        <v>229</v>
      </c>
      <c r="O48" s="393"/>
      <c r="P48" s="391" t="s">
        <v>206</v>
      </c>
      <c r="Q48" s="391" t="s">
        <v>422</v>
      </c>
    </row>
    <row r="49" spans="1:17">
      <c r="A49" s="389" t="s">
        <v>229</v>
      </c>
      <c r="B49" s="389" t="s">
        <v>187</v>
      </c>
      <c r="C49" s="389" t="s">
        <v>188</v>
      </c>
      <c r="D49" s="390" t="s">
        <v>229</v>
      </c>
      <c r="E49" s="391" t="s">
        <v>207</v>
      </c>
      <c r="F49" s="391" t="s">
        <v>592</v>
      </c>
      <c r="G49" s="391" t="s">
        <v>441</v>
      </c>
      <c r="H49" s="393">
        <v>42850.993263888886</v>
      </c>
      <c r="I49" s="391"/>
      <c r="J49" s="391" t="s">
        <v>229</v>
      </c>
      <c r="K49" s="391">
        <v>1</v>
      </c>
      <c r="L49" s="391"/>
      <c r="M49" s="394"/>
      <c r="N49" s="393" t="s">
        <v>229</v>
      </c>
      <c r="O49" s="393"/>
      <c r="P49" s="391" t="s">
        <v>206</v>
      </c>
      <c r="Q49" s="391" t="s">
        <v>442</v>
      </c>
    </row>
    <row r="50" spans="1:17">
      <c r="A50" s="389" t="s">
        <v>229</v>
      </c>
      <c r="B50" s="389" t="s">
        <v>187</v>
      </c>
      <c r="C50" s="389" t="s">
        <v>188</v>
      </c>
      <c r="D50" s="390" t="s">
        <v>229</v>
      </c>
      <c r="E50" s="391" t="s">
        <v>207</v>
      </c>
      <c r="F50" s="391" t="s">
        <v>318</v>
      </c>
      <c r="G50" s="391" t="s">
        <v>238</v>
      </c>
      <c r="H50" s="393">
        <v>42226.601504629631</v>
      </c>
      <c r="I50" s="391"/>
      <c r="J50" s="391" t="s">
        <v>229</v>
      </c>
      <c r="K50" s="391">
        <v>1</v>
      </c>
      <c r="L50" s="391"/>
      <c r="M50" s="394"/>
      <c r="N50" s="393" t="s">
        <v>229</v>
      </c>
      <c r="O50" s="393"/>
      <c r="P50" s="391" t="s">
        <v>206</v>
      </c>
      <c r="Q50" s="391" t="s">
        <v>239</v>
      </c>
    </row>
    <row r="51" spans="1:17">
      <c r="A51" s="389" t="s">
        <v>229</v>
      </c>
      <c r="B51" s="389" t="s">
        <v>193</v>
      </c>
      <c r="C51" s="389" t="s">
        <v>188</v>
      </c>
      <c r="D51" s="390" t="s">
        <v>229</v>
      </c>
      <c r="E51" s="391" t="s">
        <v>207</v>
      </c>
      <c r="F51" s="391" t="s">
        <v>373</v>
      </c>
      <c r="G51" s="391" t="s">
        <v>349</v>
      </c>
      <c r="H51" s="393">
        <v>42471.634351851855</v>
      </c>
      <c r="I51" s="391"/>
      <c r="J51" s="391" t="s">
        <v>229</v>
      </c>
      <c r="K51" s="391">
        <v>4</v>
      </c>
      <c r="L51" s="391"/>
      <c r="M51" s="394"/>
      <c r="N51" s="393" t="s">
        <v>229</v>
      </c>
      <c r="O51" s="393"/>
      <c r="P51" s="391" t="s">
        <v>206</v>
      </c>
      <c r="Q51" s="391" t="s">
        <v>350</v>
      </c>
    </row>
    <row r="52" spans="1:17">
      <c r="A52" s="389" t="s">
        <v>229</v>
      </c>
      <c r="B52" s="389" t="s">
        <v>216</v>
      </c>
      <c r="C52" s="389" t="s">
        <v>188</v>
      </c>
      <c r="D52" s="390" t="s">
        <v>229</v>
      </c>
      <c r="E52" s="391" t="s">
        <v>207</v>
      </c>
      <c r="F52" s="391" t="s">
        <v>870</v>
      </c>
      <c r="G52" s="391" t="s">
        <v>670</v>
      </c>
      <c r="H52" s="393">
        <v>42921.29828703704</v>
      </c>
      <c r="I52" s="391"/>
      <c r="J52" s="391" t="s">
        <v>229</v>
      </c>
      <c r="K52" s="391">
        <v>1</v>
      </c>
      <c r="L52" s="391"/>
      <c r="M52" s="394"/>
      <c r="N52" s="393" t="s">
        <v>229</v>
      </c>
      <c r="O52" s="393"/>
      <c r="P52" s="391" t="s">
        <v>206</v>
      </c>
      <c r="Q52" s="391" t="s">
        <v>671</v>
      </c>
    </row>
    <row r="53" spans="1:17">
      <c r="A53" s="389" t="s">
        <v>229</v>
      </c>
      <c r="B53" s="389" t="s">
        <v>193</v>
      </c>
      <c r="C53" s="389" t="s">
        <v>188</v>
      </c>
      <c r="D53" s="390" t="s">
        <v>229</v>
      </c>
      <c r="E53" s="391" t="s">
        <v>207</v>
      </c>
      <c r="F53" s="391" t="s">
        <v>869</v>
      </c>
      <c r="G53" s="391" t="s">
        <v>645</v>
      </c>
      <c r="H53" s="393">
        <v>42921.298275462963</v>
      </c>
      <c r="I53" s="391"/>
      <c r="J53" s="391" t="s">
        <v>229</v>
      </c>
      <c r="K53" s="391">
        <v>1</v>
      </c>
      <c r="L53" s="391"/>
      <c r="M53" s="394"/>
      <c r="N53" s="393" t="s">
        <v>229</v>
      </c>
      <c r="O53" s="393"/>
      <c r="P53" s="391" t="s">
        <v>206</v>
      </c>
      <c r="Q53" s="391" t="s">
        <v>676</v>
      </c>
    </row>
    <row r="54" spans="1:17">
      <c r="A54" s="389" t="s">
        <v>229</v>
      </c>
      <c r="B54" s="389" t="s">
        <v>216</v>
      </c>
      <c r="C54" s="389"/>
      <c r="D54" s="390"/>
      <c r="E54" s="391"/>
      <c r="F54" s="391" t="s">
        <v>871</v>
      </c>
      <c r="G54" s="391" t="s">
        <v>565</v>
      </c>
      <c r="H54" s="393">
        <v>42921.298576388886</v>
      </c>
      <c r="I54" s="391"/>
      <c r="J54" s="391" t="s">
        <v>229</v>
      </c>
      <c r="K54" s="391">
        <v>1</v>
      </c>
      <c r="L54" s="391"/>
      <c r="M54" s="394"/>
      <c r="N54" s="393" t="s">
        <v>229</v>
      </c>
      <c r="O54" s="393"/>
      <c r="P54" s="391" t="s">
        <v>206</v>
      </c>
      <c r="Q54" s="391" t="s">
        <v>541</v>
      </c>
    </row>
    <row r="55" spans="1:17">
      <c r="A55" s="389" t="s">
        <v>229</v>
      </c>
      <c r="B55" s="389" t="s">
        <v>216</v>
      </c>
      <c r="C55" s="389"/>
      <c r="D55" s="390"/>
      <c r="E55" s="391"/>
      <c r="F55" s="391" t="s">
        <v>874</v>
      </c>
      <c r="G55" s="391" t="s">
        <v>674</v>
      </c>
      <c r="H55" s="393">
        <v>42921.298425925925</v>
      </c>
      <c r="I55" s="391"/>
      <c r="J55" s="391" t="s">
        <v>229</v>
      </c>
      <c r="K55" s="391">
        <v>1</v>
      </c>
      <c r="L55" s="391"/>
      <c r="M55" s="394"/>
      <c r="N55" s="393" t="s">
        <v>229</v>
      </c>
      <c r="O55" s="393"/>
      <c r="P55" s="391" t="s">
        <v>206</v>
      </c>
      <c r="Q55" s="391" t="s">
        <v>675</v>
      </c>
    </row>
    <row r="56" spans="1:17">
      <c r="A56" s="389" t="s">
        <v>229</v>
      </c>
      <c r="B56" s="389" t="s">
        <v>216</v>
      </c>
      <c r="C56" s="389"/>
      <c r="D56" s="390"/>
      <c r="E56" s="391"/>
      <c r="F56" s="391" t="s">
        <v>877</v>
      </c>
      <c r="G56" s="391" t="s">
        <v>672</v>
      </c>
      <c r="H56" s="393">
        <v>42921.298368055555</v>
      </c>
      <c r="I56" s="391"/>
      <c r="J56" s="391" t="s">
        <v>229</v>
      </c>
      <c r="K56" s="391">
        <v>1</v>
      </c>
      <c r="L56" s="391"/>
      <c r="M56" s="394"/>
      <c r="N56" s="393" t="s">
        <v>229</v>
      </c>
      <c r="O56" s="393"/>
      <c r="P56" s="391" t="s">
        <v>206</v>
      </c>
      <c r="Q56" s="391" t="s">
        <v>673</v>
      </c>
    </row>
    <row r="57" spans="1:17">
      <c r="A57" s="389" t="s">
        <v>316</v>
      </c>
      <c r="B57" s="389" t="s">
        <v>187</v>
      </c>
      <c r="C57" s="389" t="s">
        <v>188</v>
      </c>
      <c r="D57" s="390" t="s">
        <v>316</v>
      </c>
      <c r="E57" s="391" t="s">
        <v>207</v>
      </c>
      <c r="F57" s="391" t="s">
        <v>317</v>
      </c>
      <c r="G57" s="391" t="s">
        <v>238</v>
      </c>
      <c r="H57" s="393">
        <v>42226.601122685184</v>
      </c>
      <c r="I57" s="391"/>
      <c r="J57" s="391" t="s">
        <v>316</v>
      </c>
      <c r="K57" s="391">
        <v>1</v>
      </c>
      <c r="L57" s="391"/>
      <c r="M57" s="394"/>
      <c r="N57" s="393" t="s">
        <v>316</v>
      </c>
      <c r="O57" s="393"/>
      <c r="P57" s="391" t="s">
        <v>206</v>
      </c>
      <c r="Q57" s="391" t="s">
        <v>239</v>
      </c>
    </row>
    <row r="58" spans="1:17">
      <c r="A58" s="389" t="s">
        <v>316</v>
      </c>
      <c r="B58" s="389" t="s">
        <v>193</v>
      </c>
      <c r="C58" s="389" t="s">
        <v>188</v>
      </c>
      <c r="D58" s="390" t="s">
        <v>316</v>
      </c>
      <c r="E58" s="391" t="s">
        <v>207</v>
      </c>
      <c r="F58" s="391" t="s">
        <v>402</v>
      </c>
      <c r="G58" s="391" t="s">
        <v>349</v>
      </c>
      <c r="H58" s="393">
        <v>42471.634340277778</v>
      </c>
      <c r="I58" s="391"/>
      <c r="J58" s="391" t="s">
        <v>316</v>
      </c>
      <c r="K58" s="391">
        <v>4</v>
      </c>
      <c r="L58" s="391"/>
      <c r="M58" s="394"/>
      <c r="N58" s="393" t="s">
        <v>316</v>
      </c>
      <c r="O58" s="393"/>
      <c r="P58" s="391" t="s">
        <v>206</v>
      </c>
      <c r="Q58" s="391" t="s">
        <v>350</v>
      </c>
    </row>
    <row r="59" spans="1:17">
      <c r="A59" s="389" t="s">
        <v>316</v>
      </c>
      <c r="B59" s="389" t="s">
        <v>187</v>
      </c>
      <c r="C59" s="389" t="s">
        <v>188</v>
      </c>
      <c r="D59" s="390" t="s">
        <v>316</v>
      </c>
      <c r="E59" s="391" t="s">
        <v>207</v>
      </c>
      <c r="F59" s="391" t="s">
        <v>518</v>
      </c>
      <c r="G59" s="391" t="s">
        <v>421</v>
      </c>
      <c r="H59" s="393">
        <v>42677.887002314812</v>
      </c>
      <c r="I59" s="391"/>
      <c r="J59" s="391" t="s">
        <v>316</v>
      </c>
      <c r="K59" s="391">
        <v>2</v>
      </c>
      <c r="L59" s="391"/>
      <c r="M59" s="394"/>
      <c r="N59" s="393" t="s">
        <v>316</v>
      </c>
      <c r="O59" s="393"/>
      <c r="P59" s="391" t="s">
        <v>206</v>
      </c>
      <c r="Q59" s="391" t="s">
        <v>422</v>
      </c>
    </row>
    <row r="60" spans="1:17">
      <c r="A60" s="389" t="s">
        <v>316</v>
      </c>
      <c r="B60" s="389" t="s">
        <v>193</v>
      </c>
      <c r="C60" s="389" t="s">
        <v>188</v>
      </c>
      <c r="D60" s="390" t="s">
        <v>316</v>
      </c>
      <c r="E60" s="391" t="s">
        <v>207</v>
      </c>
      <c r="F60" s="391" t="s">
        <v>779</v>
      </c>
      <c r="G60" s="391" t="s">
        <v>435</v>
      </c>
      <c r="H60" s="393">
        <v>42909.299791666665</v>
      </c>
      <c r="I60" s="391"/>
      <c r="J60" s="391" t="s">
        <v>316</v>
      </c>
      <c r="K60" s="391">
        <v>2</v>
      </c>
      <c r="L60" s="391"/>
      <c r="M60" s="394"/>
      <c r="N60" s="393" t="s">
        <v>316</v>
      </c>
      <c r="O60" s="393"/>
      <c r="P60" s="391" t="s">
        <v>206</v>
      </c>
      <c r="Q60" s="391" t="s">
        <v>436</v>
      </c>
    </row>
    <row r="61" spans="1:17">
      <c r="A61" s="389" t="s">
        <v>253</v>
      </c>
      <c r="B61" s="389" t="s">
        <v>187</v>
      </c>
      <c r="C61" s="389" t="s">
        <v>188</v>
      </c>
      <c r="D61" s="390" t="s">
        <v>253</v>
      </c>
      <c r="E61" s="391" t="s">
        <v>207</v>
      </c>
      <c r="F61" s="391" t="s">
        <v>642</v>
      </c>
      <c r="G61" s="391" t="s">
        <v>421</v>
      </c>
      <c r="H61" s="393">
        <v>42871.452453703707</v>
      </c>
      <c r="I61" s="391"/>
      <c r="J61" s="391" t="s">
        <v>253</v>
      </c>
      <c r="K61" s="391">
        <v>2</v>
      </c>
      <c r="L61" s="391"/>
      <c r="M61" s="394"/>
      <c r="N61" s="393" t="s">
        <v>253</v>
      </c>
      <c r="O61" s="393"/>
      <c r="P61" s="391" t="s">
        <v>206</v>
      </c>
      <c r="Q61" s="391" t="s">
        <v>422</v>
      </c>
    </row>
    <row r="62" spans="1:17">
      <c r="A62" s="389" t="s">
        <v>253</v>
      </c>
      <c r="B62" s="389" t="s">
        <v>187</v>
      </c>
      <c r="C62" s="389" t="s">
        <v>188</v>
      </c>
      <c r="D62" s="390" t="s">
        <v>253</v>
      </c>
      <c r="E62" s="391" t="s">
        <v>207</v>
      </c>
      <c r="F62" s="391" t="s">
        <v>315</v>
      </c>
      <c r="G62" s="391" t="s">
        <v>238</v>
      </c>
      <c r="H62" s="393">
        <v>42226.600798611114</v>
      </c>
      <c r="I62" s="391"/>
      <c r="J62" s="391" t="s">
        <v>253</v>
      </c>
      <c r="K62" s="391">
        <v>1</v>
      </c>
      <c r="L62" s="391"/>
      <c r="M62" s="394"/>
      <c r="N62" s="393" t="s">
        <v>253</v>
      </c>
      <c r="O62" s="393"/>
      <c r="P62" s="391" t="s">
        <v>206</v>
      </c>
      <c r="Q62" s="391" t="s">
        <v>239</v>
      </c>
    </row>
    <row r="63" spans="1:17">
      <c r="A63" s="389" t="s">
        <v>253</v>
      </c>
      <c r="B63" s="389" t="s">
        <v>193</v>
      </c>
      <c r="C63" s="389" t="s">
        <v>188</v>
      </c>
      <c r="D63" s="390" t="s">
        <v>253</v>
      </c>
      <c r="E63" s="391" t="s">
        <v>207</v>
      </c>
      <c r="F63" s="391" t="s">
        <v>360</v>
      </c>
      <c r="G63" s="391" t="s">
        <v>349</v>
      </c>
      <c r="H63" s="393">
        <v>42471.634317129632</v>
      </c>
      <c r="I63" s="391"/>
      <c r="J63" s="391" t="s">
        <v>253</v>
      </c>
      <c r="K63" s="391">
        <v>4</v>
      </c>
      <c r="L63" s="391"/>
      <c r="M63" s="394"/>
      <c r="N63" s="393" t="s">
        <v>253</v>
      </c>
      <c r="O63" s="393"/>
      <c r="P63" s="391" t="s">
        <v>206</v>
      </c>
      <c r="Q63" s="391" t="s">
        <v>350</v>
      </c>
    </row>
    <row r="64" spans="1:17">
      <c r="A64" s="389" t="s">
        <v>313</v>
      </c>
      <c r="B64" s="389" t="s">
        <v>187</v>
      </c>
      <c r="C64" s="389" t="s">
        <v>188</v>
      </c>
      <c r="D64" s="390" t="s">
        <v>313</v>
      </c>
      <c r="E64" s="391" t="s">
        <v>233</v>
      </c>
      <c r="F64" s="391" t="s">
        <v>753</v>
      </c>
      <c r="G64" s="391" t="s">
        <v>421</v>
      </c>
      <c r="H64" s="393">
        <v>42905.056550925925</v>
      </c>
      <c r="I64" s="391"/>
      <c r="J64" s="391" t="s">
        <v>313</v>
      </c>
      <c r="K64" s="391">
        <v>2</v>
      </c>
      <c r="L64" s="391"/>
      <c r="M64" s="394"/>
      <c r="N64" s="393" t="s">
        <v>313</v>
      </c>
      <c r="O64" s="393"/>
      <c r="P64" s="391" t="s">
        <v>206</v>
      </c>
      <c r="Q64" s="391" t="s">
        <v>422</v>
      </c>
    </row>
    <row r="65" spans="1:17">
      <c r="A65" s="389" t="s">
        <v>313</v>
      </c>
      <c r="B65" s="389" t="s">
        <v>187</v>
      </c>
      <c r="C65" s="389" t="s">
        <v>188</v>
      </c>
      <c r="D65" s="390" t="s">
        <v>313</v>
      </c>
      <c r="E65" s="391" t="s">
        <v>233</v>
      </c>
      <c r="F65" s="391" t="s">
        <v>314</v>
      </c>
      <c r="G65" s="391" t="s">
        <v>238</v>
      </c>
      <c r="H65" s="393">
        <v>42226.600486111114</v>
      </c>
      <c r="I65" s="391"/>
      <c r="J65" s="391" t="s">
        <v>313</v>
      </c>
      <c r="K65" s="391">
        <v>1</v>
      </c>
      <c r="L65" s="391"/>
      <c r="M65" s="394"/>
      <c r="N65" s="393" t="s">
        <v>313</v>
      </c>
      <c r="O65" s="393"/>
      <c r="P65" s="391" t="s">
        <v>206</v>
      </c>
      <c r="Q65" s="391" t="s">
        <v>239</v>
      </c>
    </row>
    <row r="66" spans="1:17">
      <c r="A66" s="389" t="s">
        <v>313</v>
      </c>
      <c r="B66" s="389" t="s">
        <v>193</v>
      </c>
      <c r="C66" s="389" t="s">
        <v>188</v>
      </c>
      <c r="D66" s="390" t="s">
        <v>313</v>
      </c>
      <c r="E66" s="391" t="s">
        <v>233</v>
      </c>
      <c r="F66" s="391" t="s">
        <v>372</v>
      </c>
      <c r="G66" s="391" t="s">
        <v>349</v>
      </c>
      <c r="H66" s="393">
        <v>42471.634305555555</v>
      </c>
      <c r="I66" s="391"/>
      <c r="J66" s="391" t="s">
        <v>313</v>
      </c>
      <c r="K66" s="391">
        <v>4</v>
      </c>
      <c r="L66" s="391"/>
      <c r="M66" s="394"/>
      <c r="N66" s="393" t="s">
        <v>313</v>
      </c>
      <c r="O66" s="393"/>
      <c r="P66" s="391" t="s">
        <v>206</v>
      </c>
      <c r="Q66" s="391" t="s">
        <v>350</v>
      </c>
    </row>
    <row r="67" spans="1:17">
      <c r="A67" s="389" t="s">
        <v>263</v>
      </c>
      <c r="B67" s="389" t="s">
        <v>216</v>
      </c>
      <c r="C67" s="389" t="s">
        <v>188</v>
      </c>
      <c r="D67" s="390" t="s">
        <v>263</v>
      </c>
      <c r="E67" s="391" t="s">
        <v>335</v>
      </c>
      <c r="F67" s="391" t="s">
        <v>466</v>
      </c>
      <c r="G67" s="391" t="s">
        <v>421</v>
      </c>
      <c r="H67" s="393">
        <v>42636.286678240744</v>
      </c>
      <c r="I67" s="391"/>
      <c r="J67" s="391" t="s">
        <v>263</v>
      </c>
      <c r="K67" s="391">
        <v>2</v>
      </c>
      <c r="L67" s="391"/>
      <c r="M67" s="394"/>
      <c r="N67" s="393" t="s">
        <v>263</v>
      </c>
      <c r="O67" s="393"/>
      <c r="P67" s="391" t="s">
        <v>206</v>
      </c>
      <c r="Q67" s="391" t="s">
        <v>422</v>
      </c>
    </row>
    <row r="68" spans="1:17">
      <c r="A68" s="389" t="s">
        <v>263</v>
      </c>
      <c r="B68" s="389" t="s">
        <v>187</v>
      </c>
      <c r="C68" s="389" t="s">
        <v>188</v>
      </c>
      <c r="D68" s="390" t="s">
        <v>263</v>
      </c>
      <c r="E68" s="391" t="s">
        <v>335</v>
      </c>
      <c r="F68" s="391" t="s">
        <v>312</v>
      </c>
      <c r="G68" s="391" t="s">
        <v>238</v>
      </c>
      <c r="H68" s="393">
        <v>42226.600208333337</v>
      </c>
      <c r="I68" s="391"/>
      <c r="J68" s="391" t="s">
        <v>263</v>
      </c>
      <c r="K68" s="391">
        <v>1</v>
      </c>
      <c r="L68" s="391"/>
      <c r="M68" s="394"/>
      <c r="N68" s="393" t="s">
        <v>263</v>
      </c>
      <c r="O68" s="393"/>
      <c r="P68" s="391" t="s">
        <v>206</v>
      </c>
      <c r="Q68" s="391" t="s">
        <v>239</v>
      </c>
    </row>
    <row r="69" spans="1:17">
      <c r="A69" s="389" t="s">
        <v>263</v>
      </c>
      <c r="B69" s="389" t="s">
        <v>193</v>
      </c>
      <c r="C69" s="389" t="s">
        <v>188</v>
      </c>
      <c r="D69" s="390" t="s">
        <v>263</v>
      </c>
      <c r="E69" s="391" t="s">
        <v>335</v>
      </c>
      <c r="F69" s="391" t="s">
        <v>371</v>
      </c>
      <c r="G69" s="391" t="s">
        <v>349</v>
      </c>
      <c r="H69" s="393">
        <v>42471.634282407409</v>
      </c>
      <c r="I69" s="391"/>
      <c r="J69" s="391" t="s">
        <v>263</v>
      </c>
      <c r="K69" s="391">
        <v>4</v>
      </c>
      <c r="L69" s="391"/>
      <c r="M69" s="394"/>
      <c r="N69" s="393" t="s">
        <v>263</v>
      </c>
      <c r="O69" s="393"/>
      <c r="P69" s="391" t="s">
        <v>206</v>
      </c>
      <c r="Q69" s="391" t="s">
        <v>350</v>
      </c>
    </row>
    <row r="70" spans="1:17">
      <c r="A70" s="389" t="s">
        <v>263</v>
      </c>
      <c r="B70" s="389" t="s">
        <v>187</v>
      </c>
      <c r="C70" s="389" t="s">
        <v>188</v>
      </c>
      <c r="D70" s="390" t="s">
        <v>263</v>
      </c>
      <c r="E70" s="391" t="s">
        <v>335</v>
      </c>
      <c r="F70" s="391" t="s">
        <v>1058</v>
      </c>
      <c r="G70" s="391" t="s">
        <v>1031</v>
      </c>
      <c r="H70" s="393">
        <v>42933.181168981479</v>
      </c>
      <c r="I70" s="391"/>
      <c r="J70" s="391" t="s">
        <v>263</v>
      </c>
      <c r="K70" s="391">
        <v>1</v>
      </c>
      <c r="L70" s="391"/>
      <c r="M70" s="394"/>
      <c r="N70" s="393" t="s">
        <v>263</v>
      </c>
      <c r="O70" s="393"/>
      <c r="P70" s="391" t="s">
        <v>206</v>
      </c>
      <c r="Q70" s="391" t="s">
        <v>1059</v>
      </c>
    </row>
    <row r="71" spans="1:17">
      <c r="A71" s="389" t="s">
        <v>263</v>
      </c>
      <c r="B71" s="389" t="s">
        <v>193</v>
      </c>
      <c r="C71" s="389" t="s">
        <v>188</v>
      </c>
      <c r="D71" s="390" t="s">
        <v>263</v>
      </c>
      <c r="E71" s="391" t="s">
        <v>335</v>
      </c>
      <c r="F71" s="391" t="s">
        <v>791</v>
      </c>
      <c r="G71" s="391" t="s">
        <v>435</v>
      </c>
      <c r="H71" s="393">
        <v>42912.017743055556</v>
      </c>
      <c r="I71" s="391"/>
      <c r="J71" s="391" t="s">
        <v>263</v>
      </c>
      <c r="K71" s="391">
        <v>2</v>
      </c>
      <c r="L71" s="391"/>
      <c r="M71" s="394"/>
      <c r="N71" s="393" t="s">
        <v>263</v>
      </c>
      <c r="O71" s="393"/>
      <c r="P71" s="391" t="s">
        <v>206</v>
      </c>
      <c r="Q71" s="391" t="s">
        <v>436</v>
      </c>
    </row>
    <row r="72" spans="1:17">
      <c r="A72" s="389" t="s">
        <v>310</v>
      </c>
      <c r="B72" s="389" t="s">
        <v>187</v>
      </c>
      <c r="C72" s="389" t="s">
        <v>188</v>
      </c>
      <c r="D72" s="390" t="s">
        <v>310</v>
      </c>
      <c r="E72" s="391" t="s">
        <v>207</v>
      </c>
      <c r="F72" s="391" t="s">
        <v>516</v>
      </c>
      <c r="G72" s="391" t="s">
        <v>421</v>
      </c>
      <c r="H72" s="393">
        <v>42673.119305555556</v>
      </c>
      <c r="I72" s="391"/>
      <c r="J72" s="391" t="s">
        <v>310</v>
      </c>
      <c r="K72" s="391">
        <v>2</v>
      </c>
      <c r="L72" s="391"/>
      <c r="M72" s="394"/>
      <c r="N72" s="393" t="s">
        <v>310</v>
      </c>
      <c r="O72" s="393"/>
      <c r="P72" s="391" t="s">
        <v>206</v>
      </c>
      <c r="Q72" s="391" t="s">
        <v>422</v>
      </c>
    </row>
    <row r="73" spans="1:17">
      <c r="A73" s="389" t="s">
        <v>310</v>
      </c>
      <c r="B73" s="389" t="s">
        <v>187</v>
      </c>
      <c r="C73" s="389" t="s">
        <v>188</v>
      </c>
      <c r="D73" s="390" t="s">
        <v>310</v>
      </c>
      <c r="E73" s="391" t="s">
        <v>207</v>
      </c>
      <c r="F73" s="391" t="s">
        <v>311</v>
      </c>
      <c r="G73" s="391" t="s">
        <v>238</v>
      </c>
      <c r="H73" s="393">
        <v>42226.599942129629</v>
      </c>
      <c r="I73" s="391"/>
      <c r="J73" s="391" t="s">
        <v>310</v>
      </c>
      <c r="K73" s="391">
        <v>1</v>
      </c>
      <c r="L73" s="391"/>
      <c r="M73" s="394"/>
      <c r="N73" s="393" t="s">
        <v>310</v>
      </c>
      <c r="O73" s="393"/>
      <c r="P73" s="391" t="s">
        <v>206</v>
      </c>
      <c r="Q73" s="391" t="s">
        <v>239</v>
      </c>
    </row>
    <row r="74" spans="1:17">
      <c r="A74" s="389" t="s">
        <v>310</v>
      </c>
      <c r="B74" s="389" t="s">
        <v>817</v>
      </c>
      <c r="C74" s="389" t="s">
        <v>188</v>
      </c>
      <c r="D74" s="390" t="s">
        <v>310</v>
      </c>
      <c r="E74" s="391" t="s">
        <v>207</v>
      </c>
      <c r="F74" s="391" t="s">
        <v>859</v>
      </c>
      <c r="G74" s="391" t="s">
        <v>645</v>
      </c>
      <c r="H74" s="393">
        <v>42920.549375000002</v>
      </c>
      <c r="I74" s="391"/>
      <c r="J74" s="391" t="s">
        <v>310</v>
      </c>
      <c r="K74" s="391">
        <v>1</v>
      </c>
      <c r="L74" s="391"/>
      <c r="M74" s="394"/>
      <c r="N74" s="393" t="s">
        <v>310</v>
      </c>
      <c r="O74" s="393"/>
      <c r="P74" s="391" t="s">
        <v>206</v>
      </c>
      <c r="Q74" s="391" t="s">
        <v>803</v>
      </c>
    </row>
    <row r="75" spans="1:17">
      <c r="A75" s="389" t="s">
        <v>265</v>
      </c>
      <c r="B75" s="389" t="s">
        <v>187</v>
      </c>
      <c r="C75" s="389" t="s">
        <v>188</v>
      </c>
      <c r="D75" s="390" t="s">
        <v>265</v>
      </c>
      <c r="E75" s="391" t="s">
        <v>207</v>
      </c>
      <c r="F75" s="391" t="s">
        <v>486</v>
      </c>
      <c r="G75" s="391" t="s">
        <v>421</v>
      </c>
      <c r="H75" s="393">
        <v>42652.853182870371</v>
      </c>
      <c r="I75" s="391"/>
      <c r="J75" s="391" t="s">
        <v>265</v>
      </c>
      <c r="K75" s="391">
        <v>2</v>
      </c>
      <c r="L75" s="391"/>
      <c r="M75" s="394"/>
      <c r="N75" s="393" t="s">
        <v>265</v>
      </c>
      <c r="O75" s="393"/>
      <c r="P75" s="391" t="s">
        <v>206</v>
      </c>
      <c r="Q75" s="391" t="s">
        <v>422</v>
      </c>
    </row>
    <row r="76" spans="1:17">
      <c r="A76" s="389" t="s">
        <v>265</v>
      </c>
      <c r="B76" s="389" t="s">
        <v>187</v>
      </c>
      <c r="C76" s="389" t="s">
        <v>188</v>
      </c>
      <c r="D76" s="390" t="s">
        <v>265</v>
      </c>
      <c r="E76" s="391" t="s">
        <v>207</v>
      </c>
      <c r="F76" s="391" t="s">
        <v>309</v>
      </c>
      <c r="G76" s="391" t="s">
        <v>238</v>
      </c>
      <c r="H76" s="393">
        <v>42226.599606481483</v>
      </c>
      <c r="I76" s="391"/>
      <c r="J76" s="391" t="s">
        <v>265</v>
      </c>
      <c r="K76" s="391">
        <v>1</v>
      </c>
      <c r="L76" s="391"/>
      <c r="M76" s="394"/>
      <c r="N76" s="393" t="s">
        <v>265</v>
      </c>
      <c r="O76" s="393"/>
      <c r="P76" s="391" t="s">
        <v>206</v>
      </c>
      <c r="Q76" s="391" t="s">
        <v>239</v>
      </c>
    </row>
    <row r="77" spans="1:17">
      <c r="A77" s="389" t="s">
        <v>265</v>
      </c>
      <c r="B77" s="389" t="s">
        <v>216</v>
      </c>
      <c r="C77" s="389"/>
      <c r="D77" s="390"/>
      <c r="E77" s="391"/>
      <c r="F77" s="391" t="s">
        <v>928</v>
      </c>
      <c r="G77" s="391" t="s">
        <v>565</v>
      </c>
      <c r="H77" s="393">
        <v>42927.819120370368</v>
      </c>
      <c r="I77" s="391"/>
      <c r="J77" s="391" t="s">
        <v>265</v>
      </c>
      <c r="K77" s="391">
        <v>1</v>
      </c>
      <c r="L77" s="391"/>
      <c r="M77" s="394"/>
      <c r="N77" s="393" t="s">
        <v>265</v>
      </c>
      <c r="O77" s="393"/>
      <c r="P77" s="391" t="s">
        <v>206</v>
      </c>
      <c r="Q77" s="391" t="s">
        <v>541</v>
      </c>
    </row>
    <row r="78" spans="1:17">
      <c r="A78" s="389" t="s">
        <v>265</v>
      </c>
      <c r="B78" s="389" t="s">
        <v>216</v>
      </c>
      <c r="C78" s="389"/>
      <c r="D78" s="390"/>
      <c r="E78" s="391"/>
      <c r="F78" s="391" t="s">
        <v>930</v>
      </c>
      <c r="G78" s="391" t="s">
        <v>670</v>
      </c>
      <c r="H78" s="393">
        <v>42927.818981481483</v>
      </c>
      <c r="I78" s="391"/>
      <c r="J78" s="391" t="s">
        <v>265</v>
      </c>
      <c r="K78" s="391">
        <v>1</v>
      </c>
      <c r="L78" s="391"/>
      <c r="M78" s="394"/>
      <c r="N78" s="393" t="s">
        <v>265</v>
      </c>
      <c r="O78" s="393"/>
      <c r="P78" s="391" t="s">
        <v>206</v>
      </c>
      <c r="Q78" s="391" t="s">
        <v>671</v>
      </c>
    </row>
    <row r="79" spans="1:17">
      <c r="A79" s="389" t="s">
        <v>265</v>
      </c>
      <c r="B79" s="389" t="s">
        <v>216</v>
      </c>
      <c r="C79" s="389"/>
      <c r="D79" s="390"/>
      <c r="E79" s="391"/>
      <c r="F79" s="391" t="s">
        <v>931</v>
      </c>
      <c r="G79" s="391" t="s">
        <v>672</v>
      </c>
      <c r="H79" s="393">
        <v>42927.819016203706</v>
      </c>
      <c r="I79" s="391"/>
      <c r="J79" s="391" t="s">
        <v>265</v>
      </c>
      <c r="K79" s="391">
        <v>1</v>
      </c>
      <c r="L79" s="391"/>
      <c r="M79" s="394"/>
      <c r="N79" s="393" t="s">
        <v>265</v>
      </c>
      <c r="O79" s="393"/>
      <c r="P79" s="391" t="s">
        <v>206</v>
      </c>
      <c r="Q79" s="391" t="s">
        <v>673</v>
      </c>
    </row>
    <row r="80" spans="1:17">
      <c r="A80" s="389" t="s">
        <v>265</v>
      </c>
      <c r="B80" s="389" t="s">
        <v>216</v>
      </c>
      <c r="C80" s="389"/>
      <c r="D80" s="390"/>
      <c r="E80" s="391"/>
      <c r="F80" s="391" t="s">
        <v>932</v>
      </c>
      <c r="G80" s="391" t="s">
        <v>674</v>
      </c>
      <c r="H80" s="393">
        <v>42927.819039351853</v>
      </c>
      <c r="I80" s="391"/>
      <c r="J80" s="391" t="s">
        <v>265</v>
      </c>
      <c r="K80" s="391">
        <v>1</v>
      </c>
      <c r="L80" s="391"/>
      <c r="M80" s="394"/>
      <c r="N80" s="393" t="s">
        <v>265</v>
      </c>
      <c r="O80" s="393"/>
      <c r="P80" s="391" t="s">
        <v>206</v>
      </c>
      <c r="Q80" s="391" t="s">
        <v>675</v>
      </c>
    </row>
    <row r="81" spans="1:17">
      <c r="A81" s="389" t="s">
        <v>265</v>
      </c>
      <c r="B81" s="389" t="s">
        <v>193</v>
      </c>
      <c r="C81" s="389" t="s">
        <v>188</v>
      </c>
      <c r="D81" s="390" t="s">
        <v>265</v>
      </c>
      <c r="E81" s="391" t="s">
        <v>207</v>
      </c>
      <c r="F81" s="391" t="s">
        <v>926</v>
      </c>
      <c r="G81" s="391" t="s">
        <v>645</v>
      </c>
      <c r="H81" s="393">
        <v>42927.818981481483</v>
      </c>
      <c r="I81" s="391"/>
      <c r="J81" s="391" t="s">
        <v>265</v>
      </c>
      <c r="K81" s="391">
        <v>1</v>
      </c>
      <c r="L81" s="391"/>
      <c r="M81" s="394"/>
      <c r="N81" s="393" t="s">
        <v>265</v>
      </c>
      <c r="O81" s="393"/>
      <c r="P81" s="391" t="s">
        <v>206</v>
      </c>
      <c r="Q81" s="391" t="s">
        <v>676</v>
      </c>
    </row>
    <row r="82" spans="1:17">
      <c r="A82" s="389" t="s">
        <v>307</v>
      </c>
      <c r="B82" s="389" t="s">
        <v>216</v>
      </c>
      <c r="C82" s="389" t="s">
        <v>188</v>
      </c>
      <c r="D82" s="390" t="s">
        <v>307</v>
      </c>
      <c r="E82" s="391" t="s">
        <v>207</v>
      </c>
      <c r="F82" s="391" t="s">
        <v>423</v>
      </c>
      <c r="G82" s="391" t="s">
        <v>421</v>
      </c>
      <c r="H82" s="393">
        <v>42488.015486111108</v>
      </c>
      <c r="I82" s="391"/>
      <c r="J82" s="391" t="s">
        <v>307</v>
      </c>
      <c r="K82" s="391">
        <v>2</v>
      </c>
      <c r="L82" s="391"/>
      <c r="M82" s="394"/>
      <c r="N82" s="393" t="s">
        <v>307</v>
      </c>
      <c r="O82" s="393"/>
      <c r="P82" s="391" t="s">
        <v>206</v>
      </c>
      <c r="Q82" s="391" t="s">
        <v>422</v>
      </c>
    </row>
    <row r="83" spans="1:17">
      <c r="A83" s="389" t="s">
        <v>307</v>
      </c>
      <c r="B83" s="389" t="s">
        <v>187</v>
      </c>
      <c r="C83" s="389" t="s">
        <v>188</v>
      </c>
      <c r="D83" s="390" t="s">
        <v>307</v>
      </c>
      <c r="E83" s="391" t="s">
        <v>207</v>
      </c>
      <c r="F83" s="391" t="s">
        <v>308</v>
      </c>
      <c r="G83" s="391" t="s">
        <v>238</v>
      </c>
      <c r="H83" s="393">
        <v>42226.599247685182</v>
      </c>
      <c r="I83" s="391"/>
      <c r="J83" s="391" t="s">
        <v>307</v>
      </c>
      <c r="K83" s="391">
        <v>1</v>
      </c>
      <c r="L83" s="391"/>
      <c r="M83" s="394"/>
      <c r="N83" s="393" t="s">
        <v>307</v>
      </c>
      <c r="O83" s="393"/>
      <c r="P83" s="391" t="s">
        <v>206</v>
      </c>
      <c r="Q83" s="391" t="s">
        <v>239</v>
      </c>
    </row>
    <row r="84" spans="1:17">
      <c r="A84" s="389" t="s">
        <v>307</v>
      </c>
      <c r="B84" s="389" t="s">
        <v>193</v>
      </c>
      <c r="C84" s="389" t="s">
        <v>188</v>
      </c>
      <c r="D84" s="390" t="s">
        <v>307</v>
      </c>
      <c r="E84" s="391" t="s">
        <v>207</v>
      </c>
      <c r="F84" s="391" t="s">
        <v>414</v>
      </c>
      <c r="G84" s="391" t="s">
        <v>349</v>
      </c>
      <c r="H84" s="393">
        <v>42471.634247685186</v>
      </c>
      <c r="I84" s="391"/>
      <c r="J84" s="391" t="s">
        <v>307</v>
      </c>
      <c r="K84" s="391">
        <v>4</v>
      </c>
      <c r="L84" s="391"/>
      <c r="M84" s="394"/>
      <c r="N84" s="393" t="s">
        <v>307</v>
      </c>
      <c r="O84" s="393"/>
      <c r="P84" s="391" t="s">
        <v>206</v>
      </c>
      <c r="Q84" s="391" t="s">
        <v>350</v>
      </c>
    </row>
    <row r="85" spans="1:17">
      <c r="A85" s="389" t="s">
        <v>305</v>
      </c>
      <c r="B85" s="389" t="s">
        <v>187</v>
      </c>
      <c r="C85" s="389" t="s">
        <v>188</v>
      </c>
      <c r="D85" s="390" t="s">
        <v>305</v>
      </c>
      <c r="E85" s="391" t="s">
        <v>231</v>
      </c>
      <c r="F85" s="391" t="s">
        <v>425</v>
      </c>
      <c r="G85" s="391" t="s">
        <v>421</v>
      </c>
      <c r="H85" s="393">
        <v>42487.664259259262</v>
      </c>
      <c r="I85" s="391"/>
      <c r="J85" s="391" t="s">
        <v>305</v>
      </c>
      <c r="K85" s="391">
        <v>2</v>
      </c>
      <c r="L85" s="391"/>
      <c r="M85" s="394"/>
      <c r="N85" s="393" t="s">
        <v>305</v>
      </c>
      <c r="O85" s="393"/>
      <c r="P85" s="391" t="s">
        <v>206</v>
      </c>
      <c r="Q85" s="391" t="s">
        <v>422</v>
      </c>
    </row>
    <row r="86" spans="1:17">
      <c r="A86" s="389" t="s">
        <v>305</v>
      </c>
      <c r="B86" s="389" t="s">
        <v>187</v>
      </c>
      <c r="C86" s="389" t="s">
        <v>188</v>
      </c>
      <c r="D86" s="390" t="s">
        <v>305</v>
      </c>
      <c r="E86" s="391" t="s">
        <v>231</v>
      </c>
      <c r="F86" s="391" t="s">
        <v>306</v>
      </c>
      <c r="G86" s="391" t="s">
        <v>238</v>
      </c>
      <c r="H86" s="393">
        <v>42226.598923611113</v>
      </c>
      <c r="I86" s="391"/>
      <c r="J86" s="391" t="s">
        <v>305</v>
      </c>
      <c r="K86" s="391">
        <v>1</v>
      </c>
      <c r="L86" s="391"/>
      <c r="M86" s="394"/>
      <c r="N86" s="393" t="s">
        <v>305</v>
      </c>
      <c r="O86" s="393"/>
      <c r="P86" s="391" t="s">
        <v>206</v>
      </c>
      <c r="Q86" s="391" t="s">
        <v>239</v>
      </c>
    </row>
    <row r="87" spans="1:17">
      <c r="A87" s="389" t="s">
        <v>305</v>
      </c>
      <c r="B87" s="389" t="s">
        <v>193</v>
      </c>
      <c r="C87" s="389" t="s">
        <v>188</v>
      </c>
      <c r="D87" s="390" t="s">
        <v>305</v>
      </c>
      <c r="E87" s="391" t="s">
        <v>231</v>
      </c>
      <c r="F87" s="391" t="s">
        <v>370</v>
      </c>
      <c r="G87" s="391" t="s">
        <v>349</v>
      </c>
      <c r="H87" s="393">
        <v>42471.634236111109</v>
      </c>
      <c r="I87" s="391"/>
      <c r="J87" s="391" t="s">
        <v>305</v>
      </c>
      <c r="K87" s="391">
        <v>4</v>
      </c>
      <c r="L87" s="391"/>
      <c r="M87" s="394"/>
      <c r="N87" s="393" t="s">
        <v>305</v>
      </c>
      <c r="O87" s="393"/>
      <c r="P87" s="391" t="s">
        <v>206</v>
      </c>
      <c r="Q87" s="391" t="s">
        <v>350</v>
      </c>
    </row>
    <row r="88" spans="1:17">
      <c r="A88" s="389" t="s">
        <v>305</v>
      </c>
      <c r="B88" s="389" t="s">
        <v>193</v>
      </c>
      <c r="C88" s="389" t="s">
        <v>188</v>
      </c>
      <c r="D88" s="390" t="s">
        <v>305</v>
      </c>
      <c r="E88" s="391" t="s">
        <v>231</v>
      </c>
      <c r="F88" s="391" t="s">
        <v>798</v>
      </c>
      <c r="G88" s="391" t="s">
        <v>435</v>
      </c>
      <c r="H88" s="393">
        <v>42912.58834490741</v>
      </c>
      <c r="I88" s="391"/>
      <c r="J88" s="391" t="s">
        <v>305</v>
      </c>
      <c r="K88" s="391">
        <v>2</v>
      </c>
      <c r="L88" s="391"/>
      <c r="M88" s="394"/>
      <c r="N88" s="393" t="s">
        <v>305</v>
      </c>
      <c r="O88" s="393"/>
      <c r="P88" s="391" t="s">
        <v>206</v>
      </c>
      <c r="Q88" s="391" t="s">
        <v>436</v>
      </c>
    </row>
    <row r="89" spans="1:17">
      <c r="A89" s="389" t="s">
        <v>303</v>
      </c>
      <c r="B89" s="389" t="s">
        <v>187</v>
      </c>
      <c r="C89" s="389" t="s">
        <v>188</v>
      </c>
      <c r="D89" s="390" t="s">
        <v>303</v>
      </c>
      <c r="E89" s="391" t="s">
        <v>262</v>
      </c>
      <c r="F89" s="391" t="s">
        <v>456</v>
      </c>
      <c r="G89" s="391" t="s">
        <v>421</v>
      </c>
      <c r="H89" s="393">
        <v>42618.561493055553</v>
      </c>
      <c r="I89" s="391"/>
      <c r="J89" s="391" t="s">
        <v>303</v>
      </c>
      <c r="K89" s="391">
        <v>2</v>
      </c>
      <c r="L89" s="391"/>
      <c r="M89" s="394"/>
      <c r="N89" s="393" t="s">
        <v>303</v>
      </c>
      <c r="O89" s="393"/>
      <c r="P89" s="391" t="s">
        <v>206</v>
      </c>
      <c r="Q89" s="391" t="s">
        <v>422</v>
      </c>
    </row>
    <row r="90" spans="1:17">
      <c r="A90" s="389" t="s">
        <v>303</v>
      </c>
      <c r="B90" s="389" t="s">
        <v>187</v>
      </c>
      <c r="C90" s="389" t="s">
        <v>188</v>
      </c>
      <c r="D90" s="390" t="s">
        <v>303</v>
      </c>
      <c r="E90" s="391" t="s">
        <v>262</v>
      </c>
      <c r="F90" s="391" t="s">
        <v>569</v>
      </c>
      <c r="G90" s="391" t="s">
        <v>441</v>
      </c>
      <c r="H90" s="393">
        <v>42829.289513888885</v>
      </c>
      <c r="I90" s="391"/>
      <c r="J90" s="391" t="s">
        <v>303</v>
      </c>
      <c r="K90" s="391">
        <v>1</v>
      </c>
      <c r="L90" s="391"/>
      <c r="M90" s="394"/>
      <c r="N90" s="393" t="s">
        <v>303</v>
      </c>
      <c r="O90" s="393"/>
      <c r="P90" s="391" t="s">
        <v>206</v>
      </c>
      <c r="Q90" s="391" t="s">
        <v>442</v>
      </c>
    </row>
    <row r="91" spans="1:17">
      <c r="A91" s="389" t="s">
        <v>303</v>
      </c>
      <c r="B91" s="389" t="s">
        <v>187</v>
      </c>
      <c r="C91" s="389" t="s">
        <v>188</v>
      </c>
      <c r="D91" s="390" t="s">
        <v>303</v>
      </c>
      <c r="E91" s="391" t="s">
        <v>262</v>
      </c>
      <c r="F91" s="391" t="s">
        <v>304</v>
      </c>
      <c r="G91" s="391" t="s">
        <v>238</v>
      </c>
      <c r="H91" s="393">
        <v>42226.598564814813</v>
      </c>
      <c r="I91" s="391"/>
      <c r="J91" s="391" t="s">
        <v>303</v>
      </c>
      <c r="K91" s="391">
        <v>1</v>
      </c>
      <c r="L91" s="391"/>
      <c r="M91" s="394"/>
      <c r="N91" s="393" t="s">
        <v>303</v>
      </c>
      <c r="O91" s="393"/>
      <c r="P91" s="391" t="s">
        <v>206</v>
      </c>
      <c r="Q91" s="391" t="s">
        <v>239</v>
      </c>
    </row>
    <row r="92" spans="1:17">
      <c r="A92" s="389" t="s">
        <v>303</v>
      </c>
      <c r="B92" s="389" t="s">
        <v>193</v>
      </c>
      <c r="C92" s="389" t="s">
        <v>188</v>
      </c>
      <c r="D92" s="390" t="s">
        <v>303</v>
      </c>
      <c r="E92" s="391" t="s">
        <v>262</v>
      </c>
      <c r="F92" s="391" t="s">
        <v>413</v>
      </c>
      <c r="G92" s="391" t="s">
        <v>349</v>
      </c>
      <c r="H92" s="393">
        <v>42471.634212962963</v>
      </c>
      <c r="I92" s="391"/>
      <c r="J92" s="391" t="s">
        <v>303</v>
      </c>
      <c r="K92" s="391">
        <v>4</v>
      </c>
      <c r="L92" s="391"/>
      <c r="M92" s="394"/>
      <c r="N92" s="393" t="s">
        <v>303</v>
      </c>
      <c r="O92" s="393"/>
      <c r="P92" s="391" t="s">
        <v>206</v>
      </c>
      <c r="Q92" s="391" t="s">
        <v>350</v>
      </c>
    </row>
    <row r="93" spans="1:17">
      <c r="A93" s="389" t="s">
        <v>301</v>
      </c>
      <c r="B93" s="389" t="s">
        <v>216</v>
      </c>
      <c r="C93" s="389" t="s">
        <v>188</v>
      </c>
      <c r="D93" s="390" t="s">
        <v>301</v>
      </c>
      <c r="E93" s="391" t="s">
        <v>207</v>
      </c>
      <c r="F93" s="391" t="s">
        <v>536</v>
      </c>
      <c r="G93" s="391" t="s">
        <v>340</v>
      </c>
      <c r="H93" s="393">
        <v>42726.587314814817</v>
      </c>
      <c r="I93" s="391"/>
      <c r="J93" s="391" t="s">
        <v>301</v>
      </c>
      <c r="K93" s="391">
        <v>3</v>
      </c>
      <c r="L93" s="391"/>
      <c r="M93" s="394"/>
      <c r="N93" s="393" t="s">
        <v>301</v>
      </c>
      <c r="O93" s="393"/>
      <c r="P93" s="391" t="s">
        <v>206</v>
      </c>
      <c r="Q93" s="391" t="s">
        <v>343</v>
      </c>
    </row>
    <row r="94" spans="1:17">
      <c r="A94" s="389" t="s">
        <v>301</v>
      </c>
      <c r="B94" s="389" t="s">
        <v>187</v>
      </c>
      <c r="C94" s="389" t="s">
        <v>188</v>
      </c>
      <c r="D94" s="390" t="s">
        <v>301</v>
      </c>
      <c r="E94" s="391" t="s">
        <v>207</v>
      </c>
      <c r="F94" s="391" t="s">
        <v>508</v>
      </c>
      <c r="G94" s="391" t="s">
        <v>421</v>
      </c>
      <c r="H94" s="393">
        <v>42669.482361111113</v>
      </c>
      <c r="I94" s="391"/>
      <c r="J94" s="391" t="s">
        <v>301</v>
      </c>
      <c r="K94" s="391">
        <v>2</v>
      </c>
      <c r="L94" s="391"/>
      <c r="M94" s="394"/>
      <c r="N94" s="393" t="s">
        <v>301</v>
      </c>
      <c r="O94" s="393"/>
      <c r="P94" s="391" t="s">
        <v>206</v>
      </c>
      <c r="Q94" s="391" t="s">
        <v>422</v>
      </c>
    </row>
    <row r="95" spans="1:17">
      <c r="A95" s="389" t="s">
        <v>301</v>
      </c>
      <c r="B95" s="389" t="s">
        <v>187</v>
      </c>
      <c r="C95" s="389" t="s">
        <v>188</v>
      </c>
      <c r="D95" s="390" t="s">
        <v>301</v>
      </c>
      <c r="E95" s="391" t="s">
        <v>207</v>
      </c>
      <c r="F95" s="391" t="s">
        <v>302</v>
      </c>
      <c r="G95" s="391" t="s">
        <v>238</v>
      </c>
      <c r="H95" s="393">
        <v>42226.598240740743</v>
      </c>
      <c r="I95" s="391"/>
      <c r="J95" s="391" t="s">
        <v>301</v>
      </c>
      <c r="K95" s="391">
        <v>1</v>
      </c>
      <c r="L95" s="391"/>
      <c r="M95" s="394"/>
      <c r="N95" s="393" t="s">
        <v>301</v>
      </c>
      <c r="O95" s="393"/>
      <c r="P95" s="391" t="s">
        <v>206</v>
      </c>
      <c r="Q95" s="391" t="s">
        <v>239</v>
      </c>
    </row>
    <row r="96" spans="1:17">
      <c r="A96" s="389" t="s">
        <v>301</v>
      </c>
      <c r="B96" s="389" t="s">
        <v>193</v>
      </c>
      <c r="C96" s="389" t="s">
        <v>188</v>
      </c>
      <c r="D96" s="390" t="s">
        <v>301</v>
      </c>
      <c r="E96" s="391" t="s">
        <v>207</v>
      </c>
      <c r="F96" s="391" t="s">
        <v>401</v>
      </c>
      <c r="G96" s="391" t="s">
        <v>349</v>
      </c>
      <c r="H96" s="393">
        <v>42471.634201388886</v>
      </c>
      <c r="I96" s="391"/>
      <c r="J96" s="391" t="s">
        <v>301</v>
      </c>
      <c r="K96" s="391">
        <v>4</v>
      </c>
      <c r="L96" s="391"/>
      <c r="M96" s="394"/>
      <c r="N96" s="393" t="s">
        <v>301</v>
      </c>
      <c r="O96" s="393"/>
      <c r="P96" s="391" t="s">
        <v>206</v>
      </c>
      <c r="Q96" s="391" t="s">
        <v>350</v>
      </c>
    </row>
    <row r="97" spans="1:17">
      <c r="A97" s="389" t="s">
        <v>299</v>
      </c>
      <c r="B97" s="389" t="s">
        <v>216</v>
      </c>
      <c r="C97" s="389" t="s">
        <v>188</v>
      </c>
      <c r="D97" s="390" t="s">
        <v>299</v>
      </c>
      <c r="E97" s="391" t="s">
        <v>262</v>
      </c>
      <c r="F97" s="391" t="s">
        <v>336</v>
      </c>
      <c r="G97" s="391" t="s">
        <v>337</v>
      </c>
      <c r="H97" s="393">
        <v>42250.273553240739</v>
      </c>
      <c r="I97" s="391"/>
      <c r="J97" s="391" t="s">
        <v>299</v>
      </c>
      <c r="K97" s="391">
        <v>2</v>
      </c>
      <c r="L97" s="391"/>
      <c r="M97" s="394"/>
      <c r="N97" s="393" t="s">
        <v>299</v>
      </c>
      <c r="O97" s="393"/>
      <c r="P97" s="391" t="s">
        <v>206</v>
      </c>
      <c r="Q97" s="391" t="s">
        <v>215</v>
      </c>
    </row>
    <row r="98" spans="1:17">
      <c r="A98" s="389" t="s">
        <v>299</v>
      </c>
      <c r="B98" s="389" t="s">
        <v>187</v>
      </c>
      <c r="C98" s="389" t="s">
        <v>188</v>
      </c>
      <c r="D98" s="390" t="s">
        <v>299</v>
      </c>
      <c r="E98" s="391" t="s">
        <v>262</v>
      </c>
      <c r="F98" s="391" t="s">
        <v>503</v>
      </c>
      <c r="G98" s="391" t="s">
        <v>421</v>
      </c>
      <c r="H98" s="393">
        <v>42668.329664351855</v>
      </c>
      <c r="I98" s="391"/>
      <c r="J98" s="391" t="s">
        <v>299</v>
      </c>
      <c r="K98" s="391">
        <v>2</v>
      </c>
      <c r="L98" s="391"/>
      <c r="M98" s="394"/>
      <c r="N98" s="393" t="s">
        <v>299</v>
      </c>
      <c r="O98" s="393"/>
      <c r="P98" s="391" t="s">
        <v>206</v>
      </c>
      <c r="Q98" s="391" t="s">
        <v>422</v>
      </c>
    </row>
    <row r="99" spans="1:17">
      <c r="A99" s="389" t="s">
        <v>299</v>
      </c>
      <c r="B99" s="389" t="s">
        <v>216</v>
      </c>
      <c r="C99" s="389"/>
      <c r="D99" s="390"/>
      <c r="E99" s="391"/>
      <c r="F99" s="391" t="s">
        <v>564</v>
      </c>
      <c r="G99" s="391" t="s">
        <v>565</v>
      </c>
      <c r="H99" s="393">
        <v>42803.680324074077</v>
      </c>
      <c r="I99" s="391"/>
      <c r="J99" s="391" t="s">
        <v>299</v>
      </c>
      <c r="K99" s="391">
        <v>1</v>
      </c>
      <c r="L99" s="391"/>
      <c r="M99" s="394"/>
      <c r="N99" s="393" t="s">
        <v>299</v>
      </c>
      <c r="O99" s="393"/>
      <c r="P99" s="391" t="s">
        <v>206</v>
      </c>
      <c r="Q99" s="391" t="s">
        <v>541</v>
      </c>
    </row>
    <row r="100" spans="1:17">
      <c r="A100" s="389" t="s">
        <v>299</v>
      </c>
      <c r="B100" s="389" t="s">
        <v>187</v>
      </c>
      <c r="C100" s="389" t="s">
        <v>188</v>
      </c>
      <c r="D100" s="390" t="s">
        <v>299</v>
      </c>
      <c r="E100" s="391" t="s">
        <v>262</v>
      </c>
      <c r="F100" s="391" t="s">
        <v>300</v>
      </c>
      <c r="G100" s="391" t="s">
        <v>238</v>
      </c>
      <c r="H100" s="393">
        <v>42226.597708333335</v>
      </c>
      <c r="I100" s="391"/>
      <c r="J100" s="391" t="s">
        <v>299</v>
      </c>
      <c r="K100" s="391">
        <v>1</v>
      </c>
      <c r="L100" s="391"/>
      <c r="M100" s="394"/>
      <c r="N100" s="393" t="s">
        <v>299</v>
      </c>
      <c r="O100" s="393"/>
      <c r="P100" s="391" t="s">
        <v>206</v>
      </c>
      <c r="Q100" s="391" t="s">
        <v>239</v>
      </c>
    </row>
    <row r="101" spans="1:17">
      <c r="A101" s="389" t="s">
        <v>299</v>
      </c>
      <c r="B101" s="389" t="s">
        <v>193</v>
      </c>
      <c r="C101" s="389" t="s">
        <v>188</v>
      </c>
      <c r="D101" s="390" t="s">
        <v>299</v>
      </c>
      <c r="E101" s="391" t="s">
        <v>262</v>
      </c>
      <c r="F101" s="391" t="s">
        <v>359</v>
      </c>
      <c r="G101" s="391" t="s">
        <v>349</v>
      </c>
      <c r="H101" s="393">
        <v>42471.634201388886</v>
      </c>
      <c r="I101" s="391"/>
      <c r="J101" s="391" t="s">
        <v>299</v>
      </c>
      <c r="K101" s="391">
        <v>4</v>
      </c>
      <c r="L101" s="391"/>
      <c r="M101" s="394"/>
      <c r="N101" s="393" t="s">
        <v>299</v>
      </c>
      <c r="O101" s="393"/>
      <c r="P101" s="391" t="s">
        <v>206</v>
      </c>
      <c r="Q101" s="391" t="s">
        <v>350</v>
      </c>
    </row>
    <row r="102" spans="1:17">
      <c r="A102" s="389" t="s">
        <v>297</v>
      </c>
      <c r="B102" s="389" t="s">
        <v>187</v>
      </c>
      <c r="C102" s="389" t="s">
        <v>188</v>
      </c>
      <c r="D102" s="390" t="s">
        <v>297</v>
      </c>
      <c r="E102" s="391" t="s">
        <v>335</v>
      </c>
      <c r="F102" s="391" t="s">
        <v>437</v>
      </c>
      <c r="G102" s="391" t="s">
        <v>421</v>
      </c>
      <c r="H102" s="393">
        <v>42545.900787037041</v>
      </c>
      <c r="I102" s="391"/>
      <c r="J102" s="391" t="s">
        <v>297</v>
      </c>
      <c r="K102" s="391">
        <v>2</v>
      </c>
      <c r="L102" s="391"/>
      <c r="M102" s="394"/>
      <c r="N102" s="393" t="s">
        <v>297</v>
      </c>
      <c r="O102" s="393"/>
      <c r="P102" s="391" t="s">
        <v>206</v>
      </c>
      <c r="Q102" s="391" t="s">
        <v>422</v>
      </c>
    </row>
    <row r="103" spans="1:17">
      <c r="A103" s="389" t="s">
        <v>297</v>
      </c>
      <c r="B103" s="389" t="s">
        <v>187</v>
      </c>
      <c r="C103" s="389" t="s">
        <v>188</v>
      </c>
      <c r="D103" s="390" t="s">
        <v>297</v>
      </c>
      <c r="E103" s="391" t="s">
        <v>335</v>
      </c>
      <c r="F103" s="391" t="s">
        <v>298</v>
      </c>
      <c r="G103" s="391" t="s">
        <v>238</v>
      </c>
      <c r="H103" s="393">
        <v>42226.597384259258</v>
      </c>
      <c r="I103" s="391"/>
      <c r="J103" s="391" t="s">
        <v>297</v>
      </c>
      <c r="K103" s="391">
        <v>1</v>
      </c>
      <c r="L103" s="391"/>
      <c r="M103" s="394"/>
      <c r="N103" s="393" t="s">
        <v>297</v>
      </c>
      <c r="O103" s="393"/>
      <c r="P103" s="391" t="s">
        <v>206</v>
      </c>
      <c r="Q103" s="391" t="s">
        <v>239</v>
      </c>
    </row>
    <row r="104" spans="1:17">
      <c r="A104" s="389" t="s">
        <v>297</v>
      </c>
      <c r="B104" s="389" t="s">
        <v>193</v>
      </c>
      <c r="C104" s="389" t="s">
        <v>188</v>
      </c>
      <c r="D104" s="390" t="s">
        <v>297</v>
      </c>
      <c r="E104" s="391" t="s">
        <v>335</v>
      </c>
      <c r="F104" s="391" t="s">
        <v>400</v>
      </c>
      <c r="G104" s="391" t="s">
        <v>349</v>
      </c>
      <c r="H104" s="393">
        <v>42471.634189814817</v>
      </c>
      <c r="I104" s="391"/>
      <c r="J104" s="391" t="s">
        <v>297</v>
      </c>
      <c r="K104" s="391">
        <v>4</v>
      </c>
      <c r="L104" s="391"/>
      <c r="M104" s="394"/>
      <c r="N104" s="393" t="s">
        <v>297</v>
      </c>
      <c r="O104" s="393"/>
      <c r="P104" s="391" t="s">
        <v>206</v>
      </c>
      <c r="Q104" s="391" t="s">
        <v>350</v>
      </c>
    </row>
    <row r="105" spans="1:17">
      <c r="A105" s="389" t="s">
        <v>297</v>
      </c>
      <c r="B105" s="389" t="s">
        <v>193</v>
      </c>
      <c r="C105" s="389" t="s">
        <v>188</v>
      </c>
      <c r="D105" s="390" t="s">
        <v>297</v>
      </c>
      <c r="E105" s="391" t="s">
        <v>335</v>
      </c>
      <c r="F105" s="391" t="s">
        <v>999</v>
      </c>
      <c r="G105" s="391" t="s">
        <v>938</v>
      </c>
      <c r="H105" s="393">
        <v>42930.233483796299</v>
      </c>
      <c r="I105" s="391"/>
      <c r="J105" s="391" t="s">
        <v>297</v>
      </c>
      <c r="K105" s="391">
        <v>1</v>
      </c>
      <c r="L105" s="391"/>
      <c r="M105" s="394"/>
      <c r="N105" s="393" t="s">
        <v>297</v>
      </c>
      <c r="O105" s="393"/>
      <c r="P105" s="391" t="s">
        <v>206</v>
      </c>
      <c r="Q105" s="391" t="s">
        <v>1013</v>
      </c>
    </row>
    <row r="106" spans="1:17">
      <c r="A106" s="389" t="s">
        <v>297</v>
      </c>
      <c r="B106" s="389" t="s">
        <v>193</v>
      </c>
      <c r="C106" s="389" t="s">
        <v>188</v>
      </c>
      <c r="D106" s="390" t="s">
        <v>297</v>
      </c>
      <c r="E106" s="391" t="s">
        <v>335</v>
      </c>
      <c r="F106" s="391" t="s">
        <v>792</v>
      </c>
      <c r="G106" s="391" t="s">
        <v>435</v>
      </c>
      <c r="H106" s="393">
        <v>42911.925636574073</v>
      </c>
      <c r="I106" s="391"/>
      <c r="J106" s="391" t="s">
        <v>297</v>
      </c>
      <c r="K106" s="391">
        <v>2</v>
      </c>
      <c r="L106" s="391"/>
      <c r="M106" s="394"/>
      <c r="N106" s="393" t="s">
        <v>297</v>
      </c>
      <c r="O106" s="393"/>
      <c r="P106" s="391" t="s">
        <v>206</v>
      </c>
      <c r="Q106" s="391" t="s">
        <v>436</v>
      </c>
    </row>
    <row r="107" spans="1:17">
      <c r="A107" s="389" t="s">
        <v>294</v>
      </c>
      <c r="B107" s="389" t="s">
        <v>187</v>
      </c>
      <c r="C107" s="389" t="s">
        <v>61</v>
      </c>
      <c r="D107" s="390" t="s">
        <v>294</v>
      </c>
      <c r="E107" s="391" t="s">
        <v>241</v>
      </c>
      <c r="F107" s="391" t="s">
        <v>519</v>
      </c>
      <c r="G107" s="391" t="s">
        <v>421</v>
      </c>
      <c r="H107" s="393">
        <v>42678.431261574071</v>
      </c>
      <c r="I107" s="391"/>
      <c r="J107" s="391" t="s">
        <v>294</v>
      </c>
      <c r="K107" s="391">
        <v>2</v>
      </c>
      <c r="L107" s="391"/>
      <c r="M107" s="394"/>
      <c r="N107" s="393" t="s">
        <v>294</v>
      </c>
      <c r="O107" s="393"/>
      <c r="P107" s="391" t="s">
        <v>206</v>
      </c>
      <c r="Q107" s="391" t="s">
        <v>422</v>
      </c>
    </row>
    <row r="108" spans="1:17">
      <c r="A108" s="389" t="s">
        <v>294</v>
      </c>
      <c r="B108" s="389" t="s">
        <v>193</v>
      </c>
      <c r="C108" s="389" t="s">
        <v>61</v>
      </c>
      <c r="D108" s="390" t="s">
        <v>294</v>
      </c>
      <c r="E108" s="391" t="s">
        <v>241</v>
      </c>
      <c r="F108" s="391" t="s">
        <v>403</v>
      </c>
      <c r="G108" s="391" t="s">
        <v>349</v>
      </c>
      <c r="H108" s="393">
        <v>42471.635289351849</v>
      </c>
      <c r="I108" s="391"/>
      <c r="J108" s="391" t="s">
        <v>294</v>
      </c>
      <c r="K108" s="391">
        <v>4</v>
      </c>
      <c r="L108" s="391"/>
      <c r="M108" s="394"/>
      <c r="N108" s="393" t="s">
        <v>294</v>
      </c>
      <c r="O108" s="393"/>
      <c r="P108" s="391" t="s">
        <v>206</v>
      </c>
      <c r="Q108" s="391" t="s">
        <v>350</v>
      </c>
    </row>
    <row r="109" spans="1:17">
      <c r="A109" s="389" t="s">
        <v>293</v>
      </c>
      <c r="B109" s="389" t="s">
        <v>187</v>
      </c>
      <c r="C109" s="389" t="s">
        <v>61</v>
      </c>
      <c r="D109" s="390" t="s">
        <v>293</v>
      </c>
      <c r="E109" s="391" t="s">
        <v>537</v>
      </c>
      <c r="F109" s="391" t="s">
        <v>496</v>
      </c>
      <c r="G109" s="391" t="s">
        <v>238</v>
      </c>
      <c r="H109" s="393">
        <v>42660.822905092595</v>
      </c>
      <c r="I109" s="391"/>
      <c r="J109" s="391" t="s">
        <v>293</v>
      </c>
      <c r="K109" s="391">
        <v>1</v>
      </c>
      <c r="L109" s="391"/>
      <c r="M109" s="394"/>
      <c r="N109" s="393" t="s">
        <v>293</v>
      </c>
      <c r="O109" s="393"/>
      <c r="P109" s="391" t="s">
        <v>206</v>
      </c>
      <c r="Q109" s="391" t="s">
        <v>497</v>
      </c>
    </row>
    <row r="110" spans="1:17">
      <c r="A110" s="389" t="s">
        <v>293</v>
      </c>
      <c r="B110" s="389" t="s">
        <v>193</v>
      </c>
      <c r="C110" s="389" t="s">
        <v>61</v>
      </c>
      <c r="D110" s="390" t="s">
        <v>293</v>
      </c>
      <c r="E110" s="391" t="s">
        <v>537</v>
      </c>
      <c r="F110" s="391" t="s">
        <v>351</v>
      </c>
      <c r="G110" s="391" t="s">
        <v>349</v>
      </c>
      <c r="H110" s="393">
        <v>42471.635266203702</v>
      </c>
      <c r="I110" s="391"/>
      <c r="J110" s="391" t="s">
        <v>293</v>
      </c>
      <c r="K110" s="391">
        <v>4</v>
      </c>
      <c r="L110" s="391"/>
      <c r="M110" s="394"/>
      <c r="N110" s="393" t="s">
        <v>293</v>
      </c>
      <c r="O110" s="393"/>
      <c r="P110" s="391" t="s">
        <v>206</v>
      </c>
      <c r="Q110" s="391" t="s">
        <v>350</v>
      </c>
    </row>
    <row r="111" spans="1:17">
      <c r="A111" s="389" t="s">
        <v>293</v>
      </c>
      <c r="B111" s="389" t="s">
        <v>187</v>
      </c>
      <c r="C111" s="389" t="s">
        <v>61</v>
      </c>
      <c r="D111" s="390" t="s">
        <v>293</v>
      </c>
      <c r="E111" s="391" t="s">
        <v>537</v>
      </c>
      <c r="F111" s="391" t="s">
        <v>460</v>
      </c>
      <c r="G111" s="391" t="s">
        <v>421</v>
      </c>
      <c r="H111" s="393">
        <v>42625.400891203702</v>
      </c>
      <c r="I111" s="391"/>
      <c r="J111" s="391" t="s">
        <v>293</v>
      </c>
      <c r="K111" s="391">
        <v>2</v>
      </c>
      <c r="L111" s="391"/>
      <c r="M111" s="394"/>
      <c r="N111" s="393" t="s">
        <v>293</v>
      </c>
      <c r="O111" s="393"/>
      <c r="P111" s="391" t="s">
        <v>206</v>
      </c>
      <c r="Q111" s="391" t="s">
        <v>422</v>
      </c>
    </row>
    <row r="112" spans="1:17">
      <c r="A112" s="389" t="s">
        <v>292</v>
      </c>
      <c r="B112" s="389" t="s">
        <v>193</v>
      </c>
      <c r="C112" s="389" t="s">
        <v>61</v>
      </c>
      <c r="D112" s="390" t="s">
        <v>292</v>
      </c>
      <c r="E112" s="391" t="s">
        <v>207</v>
      </c>
      <c r="F112" s="391" t="s">
        <v>745</v>
      </c>
      <c r="G112" s="391" t="s">
        <v>340</v>
      </c>
      <c r="H112" s="393">
        <v>42902.666979166665</v>
      </c>
      <c r="I112" s="391" t="s">
        <v>341</v>
      </c>
      <c r="J112" s="391" t="s">
        <v>292</v>
      </c>
      <c r="K112" s="391">
        <v>3</v>
      </c>
      <c r="L112" s="391" t="s">
        <v>342</v>
      </c>
      <c r="M112" s="394"/>
      <c r="N112" s="393" t="s">
        <v>292</v>
      </c>
      <c r="O112" s="393"/>
      <c r="P112" s="391" t="s">
        <v>206</v>
      </c>
      <c r="Q112" s="391" t="s">
        <v>343</v>
      </c>
    </row>
    <row r="113" spans="1:17">
      <c r="A113" s="389" t="s">
        <v>292</v>
      </c>
      <c r="B113" s="389" t="s">
        <v>193</v>
      </c>
      <c r="C113" s="389" t="s">
        <v>61</v>
      </c>
      <c r="D113" s="390" t="s">
        <v>292</v>
      </c>
      <c r="E113" s="391" t="s">
        <v>207</v>
      </c>
      <c r="F113" s="391" t="s">
        <v>389</v>
      </c>
      <c r="G113" s="391" t="s">
        <v>349</v>
      </c>
      <c r="H113" s="393">
        <v>42471.635254629633</v>
      </c>
      <c r="I113" s="391"/>
      <c r="J113" s="391" t="s">
        <v>292</v>
      </c>
      <c r="K113" s="391">
        <v>4</v>
      </c>
      <c r="L113" s="391"/>
      <c r="M113" s="394"/>
      <c r="N113" s="393" t="s">
        <v>292</v>
      </c>
      <c r="O113" s="393"/>
      <c r="P113" s="391" t="s">
        <v>206</v>
      </c>
      <c r="Q113" s="391" t="s">
        <v>350</v>
      </c>
    </row>
    <row r="114" spans="1:17">
      <c r="A114" s="389" t="s">
        <v>292</v>
      </c>
      <c r="B114" s="389" t="s">
        <v>193</v>
      </c>
      <c r="C114" s="389" t="s">
        <v>61</v>
      </c>
      <c r="D114" s="390" t="s">
        <v>292</v>
      </c>
      <c r="E114" s="391" t="s">
        <v>207</v>
      </c>
      <c r="F114" s="391" t="s">
        <v>991</v>
      </c>
      <c r="G114" s="391" t="s">
        <v>744</v>
      </c>
      <c r="H114" s="393">
        <v>42929.728159722225</v>
      </c>
      <c r="I114" s="391"/>
      <c r="J114" s="391" t="s">
        <v>292</v>
      </c>
      <c r="K114" s="391">
        <v>1</v>
      </c>
      <c r="L114" s="391"/>
      <c r="M114" s="394"/>
      <c r="N114" s="393" t="s">
        <v>292</v>
      </c>
      <c r="O114" s="393"/>
      <c r="P114" s="391" t="s">
        <v>206</v>
      </c>
      <c r="Q114" s="391" t="s">
        <v>933</v>
      </c>
    </row>
    <row r="115" spans="1:17">
      <c r="A115" s="389" t="s">
        <v>292</v>
      </c>
      <c r="B115" s="389" t="s">
        <v>187</v>
      </c>
      <c r="C115" s="389" t="s">
        <v>61</v>
      </c>
      <c r="D115" s="390" t="s">
        <v>292</v>
      </c>
      <c r="E115" s="391" t="s">
        <v>207</v>
      </c>
      <c r="F115" s="391" t="s">
        <v>893</v>
      </c>
      <c r="G115" s="391" t="s">
        <v>421</v>
      </c>
      <c r="H115" s="393">
        <v>42923.21497685185</v>
      </c>
      <c r="I115" s="391"/>
      <c r="J115" s="391" t="s">
        <v>292</v>
      </c>
      <c r="K115" s="391">
        <v>2</v>
      </c>
      <c r="L115" s="391"/>
      <c r="M115" s="394"/>
      <c r="N115" s="393" t="s">
        <v>292</v>
      </c>
      <c r="O115" s="393"/>
      <c r="P115" s="391" t="s">
        <v>206</v>
      </c>
      <c r="Q115" s="391" t="s">
        <v>422</v>
      </c>
    </row>
    <row r="116" spans="1:17">
      <c r="A116" s="389" t="s">
        <v>292</v>
      </c>
      <c r="B116" s="389" t="s">
        <v>187</v>
      </c>
      <c r="C116" s="389" t="s">
        <v>61</v>
      </c>
      <c r="D116" s="390" t="s">
        <v>292</v>
      </c>
      <c r="E116" s="391" t="s">
        <v>207</v>
      </c>
      <c r="F116" s="391" t="s">
        <v>800</v>
      </c>
      <c r="G116" s="391" t="s">
        <v>441</v>
      </c>
      <c r="H116" s="393">
        <v>42913.915925925925</v>
      </c>
      <c r="I116" s="391"/>
      <c r="J116" s="391" t="s">
        <v>292</v>
      </c>
      <c r="K116" s="391">
        <v>1</v>
      </c>
      <c r="L116" s="391"/>
      <c r="M116" s="394"/>
      <c r="N116" s="393" t="s">
        <v>292</v>
      </c>
      <c r="O116" s="393"/>
      <c r="P116" s="391" t="s">
        <v>206</v>
      </c>
      <c r="Q116" s="391" t="s">
        <v>442</v>
      </c>
    </row>
    <row r="117" spans="1:17">
      <c r="A117" s="389" t="s">
        <v>291</v>
      </c>
      <c r="B117" s="389" t="s">
        <v>187</v>
      </c>
      <c r="C117" s="389" t="s">
        <v>61</v>
      </c>
      <c r="D117" s="390" t="s">
        <v>291</v>
      </c>
      <c r="E117" s="391" t="s">
        <v>207</v>
      </c>
      <c r="F117" s="391" t="s">
        <v>590</v>
      </c>
      <c r="G117" s="391" t="s">
        <v>441</v>
      </c>
      <c r="H117" s="393">
        <v>42850.316562499997</v>
      </c>
      <c r="I117" s="391"/>
      <c r="J117" s="391" t="s">
        <v>291</v>
      </c>
      <c r="K117" s="391">
        <v>1</v>
      </c>
      <c r="L117" s="391"/>
      <c r="M117" s="394"/>
      <c r="N117" s="393" t="s">
        <v>291</v>
      </c>
      <c r="O117" s="393"/>
      <c r="P117" s="391" t="s">
        <v>206</v>
      </c>
      <c r="Q117" s="391" t="s">
        <v>442</v>
      </c>
    </row>
    <row r="118" spans="1:17">
      <c r="A118" s="389" t="s">
        <v>291</v>
      </c>
      <c r="B118" s="389" t="s">
        <v>193</v>
      </c>
      <c r="C118" s="389" t="s">
        <v>61</v>
      </c>
      <c r="D118" s="390" t="s">
        <v>291</v>
      </c>
      <c r="E118" s="391" t="s">
        <v>207</v>
      </c>
      <c r="F118" s="391" t="s">
        <v>348</v>
      </c>
      <c r="G118" s="391" t="s">
        <v>349</v>
      </c>
      <c r="H118" s="393">
        <v>42471.635243055556</v>
      </c>
      <c r="I118" s="391"/>
      <c r="J118" s="391" t="s">
        <v>291</v>
      </c>
      <c r="K118" s="391">
        <v>4</v>
      </c>
      <c r="L118" s="391"/>
      <c r="M118" s="394"/>
      <c r="N118" s="393" t="s">
        <v>291</v>
      </c>
      <c r="O118" s="393"/>
      <c r="P118" s="391" t="s">
        <v>206</v>
      </c>
      <c r="Q118" s="391" t="s">
        <v>350</v>
      </c>
    </row>
    <row r="119" spans="1:17">
      <c r="A119" s="389" t="s">
        <v>291</v>
      </c>
      <c r="B119" s="389" t="s">
        <v>187</v>
      </c>
      <c r="C119" s="389" t="s">
        <v>61</v>
      </c>
      <c r="D119" s="390" t="s">
        <v>291</v>
      </c>
      <c r="E119" s="391" t="s">
        <v>207</v>
      </c>
      <c r="F119" s="391" t="s">
        <v>479</v>
      </c>
      <c r="G119" s="391" t="s">
        <v>421</v>
      </c>
      <c r="H119" s="393">
        <v>42648.691168981481</v>
      </c>
      <c r="I119" s="391"/>
      <c r="J119" s="391" t="s">
        <v>291</v>
      </c>
      <c r="K119" s="391">
        <v>2</v>
      </c>
      <c r="L119" s="391"/>
      <c r="M119" s="394"/>
      <c r="N119" s="393" t="s">
        <v>291</v>
      </c>
      <c r="O119" s="393"/>
      <c r="P119" s="391" t="s">
        <v>206</v>
      </c>
      <c r="Q119" s="391" t="s">
        <v>422</v>
      </c>
    </row>
    <row r="120" spans="1:17">
      <c r="A120" s="389" t="s">
        <v>232</v>
      </c>
      <c r="B120" s="389" t="s">
        <v>187</v>
      </c>
      <c r="C120" s="389" t="s">
        <v>61</v>
      </c>
      <c r="D120" s="390" t="s">
        <v>232</v>
      </c>
      <c r="E120" s="391" t="s">
        <v>207</v>
      </c>
      <c r="F120" s="391" t="s">
        <v>513</v>
      </c>
      <c r="G120" s="391" t="s">
        <v>421</v>
      </c>
      <c r="H120" s="393">
        <v>42671.519236111111</v>
      </c>
      <c r="I120" s="391"/>
      <c r="J120" s="391" t="s">
        <v>232</v>
      </c>
      <c r="K120" s="391">
        <v>2</v>
      </c>
      <c r="L120" s="391"/>
      <c r="M120" s="394"/>
      <c r="N120" s="393" t="s">
        <v>232</v>
      </c>
      <c r="O120" s="393"/>
      <c r="P120" s="391" t="s">
        <v>206</v>
      </c>
      <c r="Q120" s="391" t="s">
        <v>422</v>
      </c>
    </row>
    <row r="121" spans="1:17">
      <c r="A121" s="389" t="s">
        <v>232</v>
      </c>
      <c r="B121" s="389" t="s">
        <v>193</v>
      </c>
      <c r="C121" s="389" t="s">
        <v>61</v>
      </c>
      <c r="D121" s="390" t="s">
        <v>232</v>
      </c>
      <c r="E121" s="391" t="s">
        <v>207</v>
      </c>
      <c r="F121" s="391" t="s">
        <v>368</v>
      </c>
      <c r="G121" s="391" t="s">
        <v>349</v>
      </c>
      <c r="H121" s="393">
        <v>42471.635231481479</v>
      </c>
      <c r="I121" s="391"/>
      <c r="J121" s="391" t="s">
        <v>232</v>
      </c>
      <c r="K121" s="391">
        <v>4</v>
      </c>
      <c r="L121" s="391"/>
      <c r="M121" s="394"/>
      <c r="N121" s="393" t="s">
        <v>232</v>
      </c>
      <c r="O121" s="393"/>
      <c r="P121" s="391" t="s">
        <v>206</v>
      </c>
      <c r="Q121" s="391" t="s">
        <v>350</v>
      </c>
    </row>
    <row r="122" spans="1:17">
      <c r="A122" s="389" t="s">
        <v>232</v>
      </c>
      <c r="B122" s="389" t="s">
        <v>187</v>
      </c>
      <c r="C122" s="389" t="s">
        <v>61</v>
      </c>
      <c r="D122" s="390" t="s">
        <v>232</v>
      </c>
      <c r="E122" s="391" t="s">
        <v>207</v>
      </c>
      <c r="F122" s="391" t="s">
        <v>993</v>
      </c>
      <c r="G122" s="391" t="s">
        <v>929</v>
      </c>
      <c r="H122" s="393">
        <v>42930.456585648149</v>
      </c>
      <c r="I122" s="391"/>
      <c r="J122" s="391" t="s">
        <v>232</v>
      </c>
      <c r="K122" s="391">
        <v>1</v>
      </c>
      <c r="L122" s="391"/>
      <c r="M122" s="394"/>
      <c r="N122" s="393" t="s">
        <v>232</v>
      </c>
      <c r="O122" s="393"/>
      <c r="P122" s="391" t="s">
        <v>206</v>
      </c>
      <c r="Q122" s="391" t="s">
        <v>1001</v>
      </c>
    </row>
    <row r="123" spans="1:17">
      <c r="A123" s="389" t="s">
        <v>232</v>
      </c>
      <c r="B123" s="389" t="s">
        <v>187</v>
      </c>
      <c r="C123" s="389" t="s">
        <v>61</v>
      </c>
      <c r="D123" s="390" t="s">
        <v>232</v>
      </c>
      <c r="E123" s="391" t="s">
        <v>207</v>
      </c>
      <c r="F123" s="391" t="s">
        <v>995</v>
      </c>
      <c r="G123" s="391" t="s">
        <v>462</v>
      </c>
      <c r="H123" s="393">
        <v>42930.456331018519</v>
      </c>
      <c r="I123" s="391"/>
      <c r="J123" s="391" t="s">
        <v>232</v>
      </c>
      <c r="K123" s="391">
        <v>1</v>
      </c>
      <c r="L123" s="391"/>
      <c r="M123" s="394"/>
      <c r="N123" s="393" t="s">
        <v>232</v>
      </c>
      <c r="O123" s="393"/>
      <c r="P123" s="391" t="s">
        <v>206</v>
      </c>
      <c r="Q123" s="391" t="s">
        <v>1002</v>
      </c>
    </row>
    <row r="124" spans="1:17">
      <c r="A124" s="389" t="s">
        <v>232</v>
      </c>
      <c r="B124" s="389" t="s">
        <v>216</v>
      </c>
      <c r="C124" s="389"/>
      <c r="D124" s="390"/>
      <c r="E124" s="391"/>
      <c r="F124" s="391" t="s">
        <v>1004</v>
      </c>
      <c r="G124" s="391" t="s">
        <v>1005</v>
      </c>
      <c r="H124" s="393">
        <v>42930.456342592595</v>
      </c>
      <c r="I124" s="391"/>
      <c r="J124" s="391" t="s">
        <v>232</v>
      </c>
      <c r="K124" s="391">
        <v>1</v>
      </c>
      <c r="L124" s="391"/>
      <c r="M124" s="394"/>
      <c r="N124" s="393" t="s">
        <v>232</v>
      </c>
      <c r="O124" s="393"/>
      <c r="P124" s="391" t="s">
        <v>206</v>
      </c>
      <c r="Q124" s="391" t="s">
        <v>1006</v>
      </c>
    </row>
    <row r="125" spans="1:17">
      <c r="A125" s="389" t="s">
        <v>232</v>
      </c>
      <c r="B125" s="389" t="s">
        <v>216</v>
      </c>
      <c r="C125" s="389"/>
      <c r="D125" s="390"/>
      <c r="E125" s="391"/>
      <c r="F125" s="391" t="s">
        <v>1007</v>
      </c>
      <c r="G125" s="391" t="s">
        <v>1008</v>
      </c>
      <c r="H125" s="393">
        <v>42930.456377314818</v>
      </c>
      <c r="I125" s="391"/>
      <c r="J125" s="391" t="s">
        <v>232</v>
      </c>
      <c r="K125" s="391">
        <v>1</v>
      </c>
      <c r="L125" s="391"/>
      <c r="M125" s="394"/>
      <c r="N125" s="393" t="s">
        <v>232</v>
      </c>
      <c r="O125" s="393"/>
      <c r="P125" s="391" t="s">
        <v>206</v>
      </c>
      <c r="Q125" s="391" t="s">
        <v>1009</v>
      </c>
    </row>
    <row r="126" spans="1:17">
      <c r="A126" s="389" t="s">
        <v>232</v>
      </c>
      <c r="B126" s="389" t="s">
        <v>216</v>
      </c>
      <c r="C126" s="389"/>
      <c r="D126" s="390"/>
      <c r="E126" s="391"/>
      <c r="F126" s="391" t="s">
        <v>1010</v>
      </c>
      <c r="G126" s="391" t="s">
        <v>1011</v>
      </c>
      <c r="H126" s="393">
        <v>42930.456412037034</v>
      </c>
      <c r="I126" s="391"/>
      <c r="J126" s="391" t="s">
        <v>232</v>
      </c>
      <c r="K126" s="391">
        <v>1</v>
      </c>
      <c r="L126" s="391"/>
      <c r="M126" s="394"/>
      <c r="N126" s="393" t="s">
        <v>232</v>
      </c>
      <c r="O126" s="393"/>
      <c r="P126" s="391" t="s">
        <v>206</v>
      </c>
      <c r="Q126" s="391" t="s">
        <v>1012</v>
      </c>
    </row>
    <row r="127" spans="1:17">
      <c r="A127" s="389" t="s">
        <v>290</v>
      </c>
      <c r="B127" s="389" t="s">
        <v>187</v>
      </c>
      <c r="C127" s="389" t="s">
        <v>61</v>
      </c>
      <c r="D127" s="390" t="s">
        <v>290</v>
      </c>
      <c r="E127" s="391" t="s">
        <v>537</v>
      </c>
      <c r="F127" s="391" t="s">
        <v>509</v>
      </c>
      <c r="G127" s="391" t="s">
        <v>421</v>
      </c>
      <c r="H127" s="393">
        <v>42669.7968287037</v>
      </c>
      <c r="I127" s="391"/>
      <c r="J127" s="391" t="s">
        <v>290</v>
      </c>
      <c r="K127" s="391">
        <v>2</v>
      </c>
      <c r="L127" s="391"/>
      <c r="M127" s="394"/>
      <c r="N127" s="393" t="s">
        <v>290</v>
      </c>
      <c r="O127" s="393"/>
      <c r="P127" s="391" t="s">
        <v>206</v>
      </c>
      <c r="Q127" s="391" t="s">
        <v>422</v>
      </c>
    </row>
    <row r="128" spans="1:17">
      <c r="A128" s="389" t="s">
        <v>290</v>
      </c>
      <c r="B128" s="389" t="s">
        <v>193</v>
      </c>
      <c r="C128" s="389" t="s">
        <v>61</v>
      </c>
      <c r="D128" s="390" t="s">
        <v>290</v>
      </c>
      <c r="E128" s="391" t="s">
        <v>537</v>
      </c>
      <c r="F128" s="391" t="s">
        <v>419</v>
      </c>
      <c r="G128" s="391" t="s">
        <v>349</v>
      </c>
      <c r="H128" s="393">
        <v>42471.63521990741</v>
      </c>
      <c r="I128" s="391"/>
      <c r="J128" s="391" t="s">
        <v>290</v>
      </c>
      <c r="K128" s="391">
        <v>4</v>
      </c>
      <c r="L128" s="391"/>
      <c r="M128" s="394"/>
      <c r="N128" s="393" t="s">
        <v>290</v>
      </c>
      <c r="O128" s="393"/>
      <c r="P128" s="391" t="s">
        <v>206</v>
      </c>
      <c r="Q128" s="391" t="s">
        <v>350</v>
      </c>
    </row>
    <row r="129" spans="1:17">
      <c r="A129" s="389" t="s">
        <v>240</v>
      </c>
      <c r="B129" s="389" t="s">
        <v>187</v>
      </c>
      <c r="C129" s="389" t="s">
        <v>61</v>
      </c>
      <c r="D129" s="390" t="s">
        <v>240</v>
      </c>
      <c r="E129" s="391" t="s">
        <v>207</v>
      </c>
      <c r="F129" s="391" t="s">
        <v>468</v>
      </c>
      <c r="G129" s="391" t="s">
        <v>421</v>
      </c>
      <c r="H129" s="393">
        <v>42637.584756944445</v>
      </c>
      <c r="I129" s="391"/>
      <c r="J129" s="391" t="s">
        <v>240</v>
      </c>
      <c r="K129" s="391">
        <v>2</v>
      </c>
      <c r="L129" s="391"/>
      <c r="M129" s="394"/>
      <c r="N129" s="393" t="s">
        <v>240</v>
      </c>
      <c r="O129" s="393"/>
      <c r="P129" s="391" t="s">
        <v>206</v>
      </c>
      <c r="Q129" s="391" t="s">
        <v>422</v>
      </c>
    </row>
    <row r="130" spans="1:17">
      <c r="A130" s="389" t="s">
        <v>240</v>
      </c>
      <c r="B130" s="389" t="s">
        <v>193</v>
      </c>
      <c r="C130" s="389" t="s">
        <v>61</v>
      </c>
      <c r="D130" s="390" t="s">
        <v>240</v>
      </c>
      <c r="E130" s="391" t="s">
        <v>207</v>
      </c>
      <c r="F130" s="391" t="s">
        <v>367</v>
      </c>
      <c r="G130" s="391" t="s">
        <v>349</v>
      </c>
      <c r="H130" s="393">
        <v>42471.635208333333</v>
      </c>
      <c r="I130" s="391"/>
      <c r="J130" s="391" t="s">
        <v>240</v>
      </c>
      <c r="K130" s="391">
        <v>4</v>
      </c>
      <c r="L130" s="391"/>
      <c r="M130" s="394"/>
      <c r="N130" s="393" t="s">
        <v>240</v>
      </c>
      <c r="O130" s="393"/>
      <c r="P130" s="391" t="s">
        <v>206</v>
      </c>
      <c r="Q130" s="391" t="s">
        <v>350</v>
      </c>
    </row>
    <row r="131" spans="1:17">
      <c r="A131" s="389" t="s">
        <v>256</v>
      </c>
      <c r="B131" s="389" t="s">
        <v>216</v>
      </c>
      <c r="C131" s="389" t="s">
        <v>61</v>
      </c>
      <c r="D131" s="390" t="s">
        <v>256</v>
      </c>
      <c r="E131" s="391" t="s">
        <v>270</v>
      </c>
      <c r="F131" s="391" t="s">
        <v>424</v>
      </c>
      <c r="G131" s="391" t="s">
        <v>470</v>
      </c>
      <c r="H131" s="393">
        <v>42487.848020833335</v>
      </c>
      <c r="I131" s="391"/>
      <c r="J131" s="391" t="s">
        <v>256</v>
      </c>
      <c r="K131" s="391">
        <v>2</v>
      </c>
      <c r="L131" s="391"/>
      <c r="M131" s="394"/>
      <c r="N131" s="393" t="s">
        <v>256</v>
      </c>
      <c r="O131" s="393"/>
      <c r="P131" s="391" t="s">
        <v>206</v>
      </c>
      <c r="Q131" s="391" t="s">
        <v>422</v>
      </c>
    </row>
    <row r="132" spans="1:17">
      <c r="A132" s="389" t="s">
        <v>256</v>
      </c>
      <c r="B132" s="389" t="s">
        <v>187</v>
      </c>
      <c r="C132" s="389" t="s">
        <v>61</v>
      </c>
      <c r="D132" s="390" t="s">
        <v>256</v>
      </c>
      <c r="E132" s="391" t="s">
        <v>270</v>
      </c>
      <c r="F132" s="391" t="s">
        <v>770</v>
      </c>
      <c r="G132" s="391" t="s">
        <v>441</v>
      </c>
      <c r="H132" s="393">
        <v>42907.158819444441</v>
      </c>
      <c r="I132" s="391"/>
      <c r="J132" s="391" t="s">
        <v>256</v>
      </c>
      <c r="K132" s="391">
        <v>1</v>
      </c>
      <c r="L132" s="391"/>
      <c r="M132" s="394"/>
      <c r="N132" s="393" t="s">
        <v>256</v>
      </c>
      <c r="O132" s="393"/>
      <c r="P132" s="391" t="s">
        <v>206</v>
      </c>
      <c r="Q132" s="391" t="s">
        <v>442</v>
      </c>
    </row>
    <row r="133" spans="1:17">
      <c r="A133" s="389" t="s">
        <v>256</v>
      </c>
      <c r="B133" s="389" t="s">
        <v>193</v>
      </c>
      <c r="C133" s="389" t="s">
        <v>61</v>
      </c>
      <c r="D133" s="390" t="s">
        <v>256</v>
      </c>
      <c r="E133" s="391" t="s">
        <v>270</v>
      </c>
      <c r="F133" s="391" t="s">
        <v>366</v>
      </c>
      <c r="G133" s="391" t="s">
        <v>349</v>
      </c>
      <c r="H133" s="393">
        <v>42471.635185185187</v>
      </c>
      <c r="I133" s="391"/>
      <c r="J133" s="391" t="s">
        <v>256</v>
      </c>
      <c r="K133" s="391">
        <v>4</v>
      </c>
      <c r="L133" s="391"/>
      <c r="M133" s="394"/>
      <c r="N133" s="393" t="s">
        <v>256</v>
      </c>
      <c r="O133" s="393"/>
      <c r="P133" s="391" t="s">
        <v>206</v>
      </c>
      <c r="Q133" s="391" t="s">
        <v>350</v>
      </c>
    </row>
    <row r="134" spans="1:17">
      <c r="A134" s="389" t="s">
        <v>256</v>
      </c>
      <c r="B134" s="389" t="s">
        <v>187</v>
      </c>
      <c r="C134" s="389" t="s">
        <v>61</v>
      </c>
      <c r="D134" s="390" t="s">
        <v>256</v>
      </c>
      <c r="E134" s="391" t="s">
        <v>270</v>
      </c>
      <c r="F134" s="391" t="s">
        <v>1065</v>
      </c>
      <c r="G134" s="391" t="s">
        <v>744</v>
      </c>
      <c r="H134" s="393">
        <v>42933.253263888888</v>
      </c>
      <c r="I134" s="391"/>
      <c r="J134" s="391" t="s">
        <v>256</v>
      </c>
      <c r="K134" s="391">
        <v>1</v>
      </c>
      <c r="L134" s="391"/>
      <c r="M134" s="394"/>
      <c r="N134" s="393" t="s">
        <v>256</v>
      </c>
      <c r="O134" s="393"/>
      <c r="P134" s="391" t="s">
        <v>206</v>
      </c>
      <c r="Q134" s="391" t="s">
        <v>1066</v>
      </c>
    </row>
    <row r="135" spans="1:17">
      <c r="A135" s="389" t="s">
        <v>289</v>
      </c>
      <c r="B135" s="389" t="s">
        <v>193</v>
      </c>
      <c r="C135" s="389" t="s">
        <v>61</v>
      </c>
      <c r="D135" s="390" t="s">
        <v>289</v>
      </c>
      <c r="E135" s="391" t="s">
        <v>270</v>
      </c>
      <c r="F135" s="391" t="s">
        <v>365</v>
      </c>
      <c r="G135" s="391" t="s">
        <v>349</v>
      </c>
      <c r="H135" s="393">
        <v>42471.63517361111</v>
      </c>
      <c r="I135" s="391"/>
      <c r="J135" s="391" t="s">
        <v>289</v>
      </c>
      <c r="K135" s="391">
        <v>4</v>
      </c>
      <c r="L135" s="391"/>
      <c r="M135" s="394"/>
      <c r="N135" s="393" t="s">
        <v>289</v>
      </c>
      <c r="O135" s="393"/>
      <c r="P135" s="391" t="s">
        <v>206</v>
      </c>
      <c r="Q135" s="391" t="s">
        <v>350</v>
      </c>
    </row>
    <row r="136" spans="1:17">
      <c r="A136" s="389" t="s">
        <v>289</v>
      </c>
      <c r="B136" s="389" t="s">
        <v>187</v>
      </c>
      <c r="C136" s="389" t="s">
        <v>61</v>
      </c>
      <c r="D136" s="390" t="s">
        <v>289</v>
      </c>
      <c r="E136" s="391" t="s">
        <v>270</v>
      </c>
      <c r="F136" s="391" t="s">
        <v>492</v>
      </c>
      <c r="G136" s="391" t="s">
        <v>421</v>
      </c>
      <c r="H136" s="393">
        <v>42658.588090277779</v>
      </c>
      <c r="I136" s="391"/>
      <c r="J136" s="391" t="s">
        <v>289</v>
      </c>
      <c r="K136" s="391">
        <v>2</v>
      </c>
      <c r="L136" s="391"/>
      <c r="M136" s="394"/>
      <c r="N136" s="393" t="s">
        <v>289</v>
      </c>
      <c r="O136" s="393"/>
      <c r="P136" s="391" t="s">
        <v>206</v>
      </c>
      <c r="Q136" s="391" t="s">
        <v>422</v>
      </c>
    </row>
    <row r="137" spans="1:17">
      <c r="A137" s="389" t="s">
        <v>288</v>
      </c>
      <c r="B137" s="389" t="s">
        <v>187</v>
      </c>
      <c r="C137" s="389" t="s">
        <v>61</v>
      </c>
      <c r="D137" s="390" t="s">
        <v>288</v>
      </c>
      <c r="E137" s="391" t="s">
        <v>241</v>
      </c>
      <c r="F137" s="391" t="s">
        <v>694</v>
      </c>
      <c r="G137" s="391" t="s">
        <v>441</v>
      </c>
      <c r="H137" s="393">
        <v>42887.722349537034</v>
      </c>
      <c r="I137" s="391"/>
      <c r="J137" s="391" t="s">
        <v>288</v>
      </c>
      <c r="K137" s="391">
        <v>1</v>
      </c>
      <c r="L137" s="391"/>
      <c r="M137" s="394"/>
      <c r="N137" s="393" t="s">
        <v>288</v>
      </c>
      <c r="O137" s="393"/>
      <c r="P137" s="391" t="s">
        <v>206</v>
      </c>
      <c r="Q137" s="391" t="s">
        <v>442</v>
      </c>
    </row>
    <row r="138" spans="1:17">
      <c r="A138" s="389" t="s">
        <v>288</v>
      </c>
      <c r="B138" s="389" t="s">
        <v>216</v>
      </c>
      <c r="C138" s="389" t="s">
        <v>61</v>
      </c>
      <c r="D138" s="390" t="s">
        <v>288</v>
      </c>
      <c r="E138" s="391" t="s">
        <v>241</v>
      </c>
      <c r="F138" s="391" t="s">
        <v>388</v>
      </c>
      <c r="G138" s="391" t="s">
        <v>349</v>
      </c>
      <c r="H138" s="393">
        <v>42471.635162037041</v>
      </c>
      <c r="I138" s="391"/>
      <c r="J138" s="391" t="s">
        <v>288</v>
      </c>
      <c r="K138" s="391">
        <v>4</v>
      </c>
      <c r="L138" s="391"/>
      <c r="M138" s="394"/>
      <c r="N138" s="393" t="s">
        <v>288</v>
      </c>
      <c r="O138" s="393"/>
      <c r="P138" s="391" t="s">
        <v>206</v>
      </c>
      <c r="Q138" s="391" t="s">
        <v>350</v>
      </c>
    </row>
    <row r="139" spans="1:17">
      <c r="A139" s="389" t="s">
        <v>288</v>
      </c>
      <c r="B139" s="389" t="s">
        <v>187</v>
      </c>
      <c r="C139" s="389" t="s">
        <v>61</v>
      </c>
      <c r="D139" s="390" t="s">
        <v>288</v>
      </c>
      <c r="E139" s="391" t="s">
        <v>241</v>
      </c>
      <c r="F139" s="391" t="s">
        <v>490</v>
      </c>
      <c r="G139" s="391" t="s">
        <v>421</v>
      </c>
      <c r="H139" s="393">
        <v>42656.173611111109</v>
      </c>
      <c r="I139" s="391"/>
      <c r="J139" s="391" t="s">
        <v>288</v>
      </c>
      <c r="K139" s="391">
        <v>2</v>
      </c>
      <c r="L139" s="391"/>
      <c r="M139" s="394"/>
      <c r="N139" s="393" t="s">
        <v>288</v>
      </c>
      <c r="O139" s="393"/>
      <c r="P139" s="391" t="s">
        <v>206</v>
      </c>
      <c r="Q139" s="391" t="s">
        <v>422</v>
      </c>
    </row>
    <row r="140" spans="1:17">
      <c r="A140" s="389" t="s">
        <v>287</v>
      </c>
      <c r="B140" s="389" t="s">
        <v>187</v>
      </c>
      <c r="C140" s="389" t="s">
        <v>61</v>
      </c>
      <c r="D140" s="390" t="s">
        <v>287</v>
      </c>
      <c r="E140" s="391" t="s">
        <v>270</v>
      </c>
      <c r="F140" s="391" t="s">
        <v>510</v>
      </c>
      <c r="G140" s="391" t="s">
        <v>421</v>
      </c>
      <c r="H140" s="393">
        <v>42670.670787037037</v>
      </c>
      <c r="I140" s="391"/>
      <c r="J140" s="391" t="s">
        <v>287</v>
      </c>
      <c r="K140" s="391">
        <v>2</v>
      </c>
      <c r="L140" s="391"/>
      <c r="M140" s="394"/>
      <c r="N140" s="393" t="s">
        <v>287</v>
      </c>
      <c r="O140" s="393"/>
      <c r="P140" s="391" t="s">
        <v>206</v>
      </c>
      <c r="Q140" s="391" t="s">
        <v>422</v>
      </c>
    </row>
    <row r="141" spans="1:17">
      <c r="A141" s="389" t="s">
        <v>287</v>
      </c>
      <c r="B141" s="389" t="s">
        <v>187</v>
      </c>
      <c r="C141" s="389" t="s">
        <v>61</v>
      </c>
      <c r="D141" s="390" t="s">
        <v>287</v>
      </c>
      <c r="E141" s="391" t="s">
        <v>270</v>
      </c>
      <c r="F141" s="391" t="s">
        <v>737</v>
      </c>
      <c r="G141" s="391" t="s">
        <v>441</v>
      </c>
      <c r="H141" s="393">
        <v>42901.718298611115</v>
      </c>
      <c r="I141" s="391"/>
      <c r="J141" s="391" t="s">
        <v>287</v>
      </c>
      <c r="K141" s="391">
        <v>1</v>
      </c>
      <c r="L141" s="391"/>
      <c r="M141" s="394"/>
      <c r="N141" s="393" t="s">
        <v>287</v>
      </c>
      <c r="O141" s="393"/>
      <c r="P141" s="391" t="s">
        <v>206</v>
      </c>
      <c r="Q141" s="391" t="s">
        <v>442</v>
      </c>
    </row>
    <row r="142" spans="1:17">
      <c r="A142" s="389" t="s">
        <v>287</v>
      </c>
      <c r="B142" s="389" t="s">
        <v>193</v>
      </c>
      <c r="C142" s="389" t="s">
        <v>61</v>
      </c>
      <c r="D142" s="390" t="s">
        <v>287</v>
      </c>
      <c r="E142" s="391" t="s">
        <v>270</v>
      </c>
      <c r="F142" s="391" t="s">
        <v>364</v>
      </c>
      <c r="G142" s="391" t="s">
        <v>349</v>
      </c>
      <c r="H142" s="393">
        <v>42471.635150462964</v>
      </c>
      <c r="I142" s="391"/>
      <c r="J142" s="391" t="s">
        <v>287</v>
      </c>
      <c r="K142" s="391">
        <v>4</v>
      </c>
      <c r="L142" s="391"/>
      <c r="M142" s="394"/>
      <c r="N142" s="393" t="s">
        <v>287</v>
      </c>
      <c r="O142" s="393"/>
      <c r="P142" s="391" t="s">
        <v>206</v>
      </c>
      <c r="Q142" s="391" t="s">
        <v>350</v>
      </c>
    </row>
    <row r="143" spans="1:17">
      <c r="A143" s="389" t="s">
        <v>259</v>
      </c>
      <c r="B143" s="389" t="s">
        <v>193</v>
      </c>
      <c r="C143" s="389" t="s">
        <v>61</v>
      </c>
      <c r="D143" s="390" t="s">
        <v>259</v>
      </c>
      <c r="E143" s="391" t="s">
        <v>270</v>
      </c>
      <c r="F143" s="391" t="s">
        <v>657</v>
      </c>
      <c r="G143" s="391" t="s">
        <v>340</v>
      </c>
      <c r="H143" s="393">
        <v>42874.559942129628</v>
      </c>
      <c r="I143" s="391" t="s">
        <v>341</v>
      </c>
      <c r="J143" s="391" t="s">
        <v>259</v>
      </c>
      <c r="K143" s="391">
        <v>3</v>
      </c>
      <c r="L143" s="391" t="s">
        <v>342</v>
      </c>
      <c r="M143" s="394"/>
      <c r="N143" s="393" t="s">
        <v>259</v>
      </c>
      <c r="O143" s="393"/>
      <c r="P143" s="391" t="s">
        <v>206</v>
      </c>
      <c r="Q143" s="391" t="s">
        <v>343</v>
      </c>
    </row>
    <row r="144" spans="1:17">
      <c r="A144" s="389" t="s">
        <v>259</v>
      </c>
      <c r="B144" s="389" t="s">
        <v>187</v>
      </c>
      <c r="C144" s="389" t="s">
        <v>61</v>
      </c>
      <c r="D144" s="390" t="s">
        <v>259</v>
      </c>
      <c r="E144" s="391" t="s">
        <v>270</v>
      </c>
      <c r="F144" s="391" t="s">
        <v>504</v>
      </c>
      <c r="G144" s="391" t="s">
        <v>421</v>
      </c>
      <c r="H144" s="393">
        <v>42668.427546296298</v>
      </c>
      <c r="I144" s="391"/>
      <c r="J144" s="391" t="s">
        <v>259</v>
      </c>
      <c r="K144" s="391">
        <v>2</v>
      </c>
      <c r="L144" s="391"/>
      <c r="M144" s="394"/>
      <c r="N144" s="393" t="s">
        <v>259</v>
      </c>
      <c r="O144" s="393"/>
      <c r="P144" s="391" t="s">
        <v>206</v>
      </c>
      <c r="Q144" s="391" t="s">
        <v>422</v>
      </c>
    </row>
    <row r="145" spans="1:17">
      <c r="A145" s="389" t="s">
        <v>259</v>
      </c>
      <c r="B145" s="389" t="s">
        <v>193</v>
      </c>
      <c r="C145" s="389" t="s">
        <v>61</v>
      </c>
      <c r="D145" s="390" t="s">
        <v>259</v>
      </c>
      <c r="E145" s="391" t="s">
        <v>270</v>
      </c>
      <c r="F145" s="391" t="s">
        <v>375</v>
      </c>
      <c r="G145" s="391" t="s">
        <v>349</v>
      </c>
      <c r="H145" s="393">
        <v>42471.635138888887</v>
      </c>
      <c r="I145" s="391"/>
      <c r="J145" s="391" t="s">
        <v>259</v>
      </c>
      <c r="K145" s="391">
        <v>4</v>
      </c>
      <c r="L145" s="391"/>
      <c r="M145" s="394"/>
      <c r="N145" s="393" t="s">
        <v>259</v>
      </c>
      <c r="O145" s="393"/>
      <c r="P145" s="391" t="s">
        <v>206</v>
      </c>
      <c r="Q145" s="391" t="s">
        <v>350</v>
      </c>
    </row>
    <row r="146" spans="1:17">
      <c r="A146" s="389" t="s">
        <v>259</v>
      </c>
      <c r="B146" s="389" t="s">
        <v>187</v>
      </c>
      <c r="C146" s="389" t="s">
        <v>61</v>
      </c>
      <c r="D146" s="390" t="s">
        <v>259</v>
      </c>
      <c r="E146" s="391" t="s">
        <v>270</v>
      </c>
      <c r="F146" s="391" t="s">
        <v>1037</v>
      </c>
      <c r="G146" s="391" t="s">
        <v>744</v>
      </c>
      <c r="H146" s="393">
        <v>42932.248692129629</v>
      </c>
      <c r="I146" s="391"/>
      <c r="J146" s="391" t="s">
        <v>259</v>
      </c>
      <c r="K146" s="391">
        <v>1</v>
      </c>
      <c r="L146" s="391"/>
      <c r="M146" s="394"/>
      <c r="N146" s="393" t="s">
        <v>259</v>
      </c>
      <c r="O146" s="393"/>
      <c r="P146" s="391" t="s">
        <v>206</v>
      </c>
      <c r="Q146" s="391" t="s">
        <v>1038</v>
      </c>
    </row>
    <row r="147" spans="1:17">
      <c r="A147" s="389" t="s">
        <v>267</v>
      </c>
      <c r="B147" s="389" t="s">
        <v>216</v>
      </c>
      <c r="C147" s="389" t="s">
        <v>61</v>
      </c>
      <c r="D147" s="390" t="s">
        <v>267</v>
      </c>
      <c r="E147" s="391" t="s">
        <v>207</v>
      </c>
      <c r="F147" s="391" t="s">
        <v>429</v>
      </c>
      <c r="G147" s="391" t="s">
        <v>421</v>
      </c>
      <c r="H147" s="393">
        <v>42515.469490740739</v>
      </c>
      <c r="I147" s="391"/>
      <c r="J147" s="391" t="s">
        <v>267</v>
      </c>
      <c r="K147" s="391">
        <v>2</v>
      </c>
      <c r="L147" s="391"/>
      <c r="M147" s="394"/>
      <c r="N147" s="393" t="s">
        <v>267</v>
      </c>
      <c r="O147" s="393"/>
      <c r="P147" s="391" t="s">
        <v>206</v>
      </c>
      <c r="Q147" s="391" t="s">
        <v>422</v>
      </c>
    </row>
    <row r="148" spans="1:17">
      <c r="A148" s="389" t="s">
        <v>267</v>
      </c>
      <c r="B148" s="389" t="s">
        <v>193</v>
      </c>
      <c r="C148" s="389" t="s">
        <v>61</v>
      </c>
      <c r="D148" s="390" t="s">
        <v>267</v>
      </c>
      <c r="E148" s="391" t="s">
        <v>207</v>
      </c>
      <c r="F148" s="391" t="s">
        <v>363</v>
      </c>
      <c r="G148" s="391" t="s">
        <v>349</v>
      </c>
      <c r="H148" s="393">
        <v>42471.635127314818</v>
      </c>
      <c r="I148" s="391"/>
      <c r="J148" s="391" t="s">
        <v>267</v>
      </c>
      <c r="K148" s="391">
        <v>4</v>
      </c>
      <c r="L148" s="391"/>
      <c r="M148" s="394"/>
      <c r="N148" s="393" t="s">
        <v>267</v>
      </c>
      <c r="O148" s="393"/>
      <c r="P148" s="391" t="s">
        <v>206</v>
      </c>
      <c r="Q148" s="391" t="s">
        <v>350</v>
      </c>
    </row>
    <row r="149" spans="1:17">
      <c r="A149" s="389" t="s">
        <v>267</v>
      </c>
      <c r="B149" s="389" t="s">
        <v>817</v>
      </c>
      <c r="C149" s="389" t="s">
        <v>61</v>
      </c>
      <c r="D149" s="390" t="s">
        <v>267</v>
      </c>
      <c r="E149" s="391" t="s">
        <v>207</v>
      </c>
      <c r="F149" s="391" t="s">
        <v>1054</v>
      </c>
      <c r="G149" s="391" t="s">
        <v>340</v>
      </c>
      <c r="H149" s="393">
        <v>42932.653622685182</v>
      </c>
      <c r="I149" s="391" t="s">
        <v>341</v>
      </c>
      <c r="J149" s="391" t="s">
        <v>267</v>
      </c>
      <c r="K149" s="391">
        <v>3</v>
      </c>
      <c r="L149" s="391" t="s">
        <v>342</v>
      </c>
      <c r="M149" s="394"/>
      <c r="N149" s="393" t="s">
        <v>267</v>
      </c>
      <c r="O149" s="393"/>
      <c r="P149" s="391" t="s">
        <v>206</v>
      </c>
      <c r="Q149" s="391" t="s">
        <v>343</v>
      </c>
    </row>
    <row r="150" spans="1:17">
      <c r="A150" s="389" t="s">
        <v>267</v>
      </c>
      <c r="B150" s="389" t="s">
        <v>817</v>
      </c>
      <c r="C150" s="389" t="s">
        <v>61</v>
      </c>
      <c r="D150" s="390" t="s">
        <v>267</v>
      </c>
      <c r="E150" s="391" t="s">
        <v>207</v>
      </c>
      <c r="F150" s="391" t="s">
        <v>867</v>
      </c>
      <c r="G150" s="391" t="s">
        <v>462</v>
      </c>
      <c r="H150" s="393">
        <v>42921.387835648151</v>
      </c>
      <c r="I150" s="391"/>
      <c r="J150" s="391" t="s">
        <v>267</v>
      </c>
      <c r="K150" s="391">
        <v>1</v>
      </c>
      <c r="L150" s="391"/>
      <c r="M150" s="394"/>
      <c r="N150" s="393" t="s">
        <v>267</v>
      </c>
      <c r="O150" s="393"/>
      <c r="P150" s="391" t="s">
        <v>206</v>
      </c>
      <c r="Q150" s="391" t="s">
        <v>813</v>
      </c>
    </row>
    <row r="151" spans="1:17">
      <c r="A151" s="389" t="s">
        <v>267</v>
      </c>
      <c r="B151" s="389" t="s">
        <v>428</v>
      </c>
      <c r="C151" s="389"/>
      <c r="D151" s="390"/>
      <c r="E151" s="391"/>
      <c r="F151" s="391" t="s">
        <v>872</v>
      </c>
      <c r="G151" s="391" t="s">
        <v>810</v>
      </c>
      <c r="H151" s="393">
        <v>42921.387986111113</v>
      </c>
      <c r="I151" s="391"/>
      <c r="J151" s="391" t="s">
        <v>267</v>
      </c>
      <c r="K151" s="391">
        <v>1</v>
      </c>
      <c r="L151" s="391"/>
      <c r="M151" s="394"/>
      <c r="N151" s="393" t="s">
        <v>267</v>
      </c>
      <c r="O151" s="393"/>
      <c r="P151" s="391" t="s">
        <v>206</v>
      </c>
      <c r="Q151" s="391" t="s">
        <v>811</v>
      </c>
    </row>
    <row r="152" spans="1:17">
      <c r="A152" s="389" t="s">
        <v>267</v>
      </c>
      <c r="B152" s="389" t="s">
        <v>216</v>
      </c>
      <c r="C152" s="389" t="s">
        <v>61</v>
      </c>
      <c r="D152" s="390" t="s">
        <v>267</v>
      </c>
      <c r="E152" s="391" t="s">
        <v>207</v>
      </c>
      <c r="F152" s="391" t="s">
        <v>873</v>
      </c>
      <c r="G152" s="391" t="s">
        <v>806</v>
      </c>
      <c r="H152" s="393">
        <v>42921.38784722222</v>
      </c>
      <c r="I152" s="391"/>
      <c r="J152" s="391" t="s">
        <v>267</v>
      </c>
      <c r="K152" s="391">
        <v>1</v>
      </c>
      <c r="L152" s="391"/>
      <c r="M152" s="394"/>
      <c r="N152" s="393" t="s">
        <v>267</v>
      </c>
      <c r="O152" s="393"/>
      <c r="P152" s="391" t="s">
        <v>206</v>
      </c>
      <c r="Q152" s="391" t="s">
        <v>807</v>
      </c>
    </row>
    <row r="153" spans="1:17">
      <c r="A153" s="389" t="s">
        <v>267</v>
      </c>
      <c r="B153" s="389" t="s">
        <v>428</v>
      </c>
      <c r="C153" s="389"/>
      <c r="D153" s="390"/>
      <c r="E153" s="391"/>
      <c r="F153" s="391" t="s">
        <v>875</v>
      </c>
      <c r="G153" s="391" t="s">
        <v>812</v>
      </c>
      <c r="H153" s="393">
        <v>42921.388148148151</v>
      </c>
      <c r="I153" s="391"/>
      <c r="J153" s="391" t="s">
        <v>267</v>
      </c>
      <c r="K153" s="391">
        <v>1</v>
      </c>
      <c r="L153" s="391"/>
      <c r="M153" s="394"/>
      <c r="N153" s="393" t="s">
        <v>267</v>
      </c>
      <c r="O153" s="393"/>
      <c r="P153" s="391" t="s">
        <v>206</v>
      </c>
      <c r="Q153" s="391" t="s">
        <v>541</v>
      </c>
    </row>
    <row r="154" spans="1:17">
      <c r="A154" s="389" t="s">
        <v>267</v>
      </c>
      <c r="B154" s="389" t="s">
        <v>428</v>
      </c>
      <c r="C154" s="389"/>
      <c r="D154" s="390"/>
      <c r="E154" s="391"/>
      <c r="F154" s="391" t="s">
        <v>876</v>
      </c>
      <c r="G154" s="391" t="s">
        <v>808</v>
      </c>
      <c r="H154" s="393">
        <v>42921.387939814813</v>
      </c>
      <c r="I154" s="391"/>
      <c r="J154" s="391" t="s">
        <v>267</v>
      </c>
      <c r="K154" s="391">
        <v>1</v>
      </c>
      <c r="L154" s="391"/>
      <c r="M154" s="394"/>
      <c r="N154" s="393" t="s">
        <v>267</v>
      </c>
      <c r="O154" s="393"/>
      <c r="P154" s="391" t="s">
        <v>206</v>
      </c>
      <c r="Q154" s="391" t="s">
        <v>809</v>
      </c>
    </row>
    <row r="155" spans="1:17">
      <c r="A155" s="389" t="s">
        <v>209</v>
      </c>
      <c r="B155" s="389" t="s">
        <v>187</v>
      </c>
      <c r="C155" s="389" t="s">
        <v>61</v>
      </c>
      <c r="D155" s="390" t="s">
        <v>209</v>
      </c>
      <c r="E155" s="391" t="s">
        <v>207</v>
      </c>
      <c r="F155" s="391" t="s">
        <v>515</v>
      </c>
      <c r="G155" s="391" t="s">
        <v>421</v>
      </c>
      <c r="H155" s="393">
        <v>42672.866180555553</v>
      </c>
      <c r="I155" s="391"/>
      <c r="J155" s="391" t="s">
        <v>209</v>
      </c>
      <c r="K155" s="391">
        <v>2</v>
      </c>
      <c r="L155" s="391"/>
      <c r="M155" s="394"/>
      <c r="N155" s="393" t="s">
        <v>209</v>
      </c>
      <c r="O155" s="393"/>
      <c r="P155" s="391" t="s">
        <v>206</v>
      </c>
      <c r="Q155" s="391" t="s">
        <v>422</v>
      </c>
    </row>
    <row r="156" spans="1:17">
      <c r="A156" s="389" t="s">
        <v>209</v>
      </c>
      <c r="B156" s="389" t="s">
        <v>193</v>
      </c>
      <c r="C156" s="389" t="s">
        <v>61</v>
      </c>
      <c r="D156" s="390" t="s">
        <v>209</v>
      </c>
      <c r="E156" s="391" t="s">
        <v>207</v>
      </c>
      <c r="F156" s="391" t="s">
        <v>362</v>
      </c>
      <c r="G156" s="391" t="s">
        <v>349</v>
      </c>
      <c r="H156" s="393">
        <v>42471.635104166664</v>
      </c>
      <c r="I156" s="391"/>
      <c r="J156" s="391" t="s">
        <v>209</v>
      </c>
      <c r="K156" s="391">
        <v>4</v>
      </c>
      <c r="L156" s="391"/>
      <c r="M156" s="394"/>
      <c r="N156" s="393" t="s">
        <v>209</v>
      </c>
      <c r="O156" s="393"/>
      <c r="P156" s="391" t="s">
        <v>206</v>
      </c>
      <c r="Q156" s="391" t="s">
        <v>350</v>
      </c>
    </row>
    <row r="157" spans="1:17">
      <c r="A157" s="389" t="s">
        <v>209</v>
      </c>
      <c r="B157" s="389" t="s">
        <v>193</v>
      </c>
      <c r="C157" s="389" t="s">
        <v>61</v>
      </c>
      <c r="D157" s="390" t="s">
        <v>209</v>
      </c>
      <c r="E157" s="391" t="s">
        <v>207</v>
      </c>
      <c r="F157" s="391" t="s">
        <v>1000</v>
      </c>
      <c r="G157" s="391" t="s">
        <v>340</v>
      </c>
      <c r="H157" s="393">
        <v>42930.661469907405</v>
      </c>
      <c r="I157" s="391"/>
      <c r="J157" s="391" t="s">
        <v>209</v>
      </c>
      <c r="K157" s="391">
        <v>3</v>
      </c>
      <c r="L157" s="391"/>
      <c r="M157" s="394"/>
      <c r="N157" s="393" t="s">
        <v>209</v>
      </c>
      <c r="O157" s="393"/>
      <c r="P157" s="391" t="s">
        <v>206</v>
      </c>
      <c r="Q157" s="391" t="s">
        <v>343</v>
      </c>
    </row>
    <row r="158" spans="1:17">
      <c r="A158" s="389" t="s">
        <v>209</v>
      </c>
      <c r="B158" s="389" t="s">
        <v>187</v>
      </c>
      <c r="C158" s="389" t="s">
        <v>61</v>
      </c>
      <c r="D158" s="390" t="s">
        <v>209</v>
      </c>
      <c r="E158" s="391" t="s">
        <v>207</v>
      </c>
      <c r="F158" s="391" t="s">
        <v>861</v>
      </c>
      <c r="G158" s="391" t="s">
        <v>441</v>
      </c>
      <c r="H158" s="393">
        <v>42920.968946759262</v>
      </c>
      <c r="I158" s="391"/>
      <c r="J158" s="391" t="s">
        <v>209</v>
      </c>
      <c r="K158" s="391">
        <v>1</v>
      </c>
      <c r="L158" s="391"/>
      <c r="M158" s="394"/>
      <c r="N158" s="393" t="s">
        <v>209</v>
      </c>
      <c r="O158" s="393"/>
      <c r="P158" s="391" t="s">
        <v>206</v>
      </c>
      <c r="Q158" s="391" t="s">
        <v>442</v>
      </c>
    </row>
    <row r="159" spans="1:17">
      <c r="A159" s="389" t="s">
        <v>209</v>
      </c>
      <c r="B159" s="389" t="s">
        <v>817</v>
      </c>
      <c r="C159" s="389" t="s">
        <v>61</v>
      </c>
      <c r="D159" s="390" t="s">
        <v>209</v>
      </c>
      <c r="E159" s="391" t="s">
        <v>207</v>
      </c>
      <c r="F159" s="391" t="s">
        <v>858</v>
      </c>
      <c r="G159" s="391" t="s">
        <v>462</v>
      </c>
      <c r="H159" s="393">
        <v>42920.563958333332</v>
      </c>
      <c r="I159" s="391"/>
      <c r="J159" s="391" t="s">
        <v>209</v>
      </c>
      <c r="K159" s="391">
        <v>1</v>
      </c>
      <c r="L159" s="391"/>
      <c r="M159" s="394"/>
      <c r="N159" s="393" t="s">
        <v>209</v>
      </c>
      <c r="O159" s="393"/>
      <c r="P159" s="391" t="s">
        <v>206</v>
      </c>
      <c r="Q159" s="391" t="s">
        <v>813</v>
      </c>
    </row>
    <row r="160" spans="1:17">
      <c r="A160" s="389" t="s">
        <v>209</v>
      </c>
      <c r="B160" s="389" t="s">
        <v>428</v>
      </c>
      <c r="C160" s="389" t="s">
        <v>61</v>
      </c>
      <c r="D160" s="390" t="s">
        <v>209</v>
      </c>
      <c r="E160" s="391" t="s">
        <v>207</v>
      </c>
      <c r="F160" s="391" t="s">
        <v>860</v>
      </c>
      <c r="G160" s="391" t="s">
        <v>806</v>
      </c>
      <c r="H160" s="393">
        <v>42920.563958333332</v>
      </c>
      <c r="I160" s="391"/>
      <c r="J160" s="391" t="s">
        <v>209</v>
      </c>
      <c r="K160" s="391">
        <v>1</v>
      </c>
      <c r="L160" s="391"/>
      <c r="M160" s="394"/>
      <c r="N160" s="393" t="s">
        <v>209</v>
      </c>
      <c r="O160" s="393"/>
      <c r="P160" s="391" t="s">
        <v>206</v>
      </c>
      <c r="Q160" s="391" t="s">
        <v>807</v>
      </c>
    </row>
    <row r="161" spans="1:17">
      <c r="A161" s="389" t="s">
        <v>230</v>
      </c>
      <c r="B161" s="389" t="s">
        <v>216</v>
      </c>
      <c r="C161" s="389" t="s">
        <v>61</v>
      </c>
      <c r="D161" s="390" t="s">
        <v>230</v>
      </c>
      <c r="E161" s="391" t="s">
        <v>207</v>
      </c>
      <c r="F161" s="391" t="s">
        <v>480</v>
      </c>
      <c r="G161" s="391" t="s">
        <v>421</v>
      </c>
      <c r="H161" s="393">
        <v>42648.88685185185</v>
      </c>
      <c r="I161" s="391"/>
      <c r="J161" s="391" t="s">
        <v>230</v>
      </c>
      <c r="K161" s="391">
        <v>2</v>
      </c>
      <c r="L161" s="391"/>
      <c r="M161" s="394"/>
      <c r="N161" s="393" t="s">
        <v>230</v>
      </c>
      <c r="O161" s="393"/>
      <c r="P161" s="391" t="s">
        <v>206</v>
      </c>
      <c r="Q161" s="391" t="s">
        <v>422</v>
      </c>
    </row>
    <row r="162" spans="1:17">
      <c r="A162" s="389" t="s">
        <v>230</v>
      </c>
      <c r="B162" s="389" t="s">
        <v>187</v>
      </c>
      <c r="C162" s="389" t="s">
        <v>61</v>
      </c>
      <c r="D162" s="390" t="s">
        <v>230</v>
      </c>
      <c r="E162" s="391" t="s">
        <v>207</v>
      </c>
      <c r="F162" s="391" t="s">
        <v>668</v>
      </c>
      <c r="G162" s="391" t="s">
        <v>441</v>
      </c>
      <c r="H162" s="393">
        <v>42878.391655092593</v>
      </c>
      <c r="I162" s="391"/>
      <c r="J162" s="391" t="s">
        <v>230</v>
      </c>
      <c r="K162" s="391">
        <v>1</v>
      </c>
      <c r="L162" s="391"/>
      <c r="M162" s="394"/>
      <c r="N162" s="393" t="s">
        <v>230</v>
      </c>
      <c r="O162" s="393"/>
      <c r="P162" s="391" t="s">
        <v>206</v>
      </c>
      <c r="Q162" s="391" t="s">
        <v>442</v>
      </c>
    </row>
    <row r="163" spans="1:17">
      <c r="A163" s="389" t="s">
        <v>230</v>
      </c>
      <c r="B163" s="389" t="s">
        <v>193</v>
      </c>
      <c r="C163" s="389" t="s">
        <v>61</v>
      </c>
      <c r="D163" s="390" t="s">
        <v>230</v>
      </c>
      <c r="E163" s="391" t="s">
        <v>207</v>
      </c>
      <c r="F163" s="391" t="s">
        <v>387</v>
      </c>
      <c r="G163" s="391" t="s">
        <v>349</v>
      </c>
      <c r="H163" s="393">
        <v>42471.635092592594</v>
      </c>
      <c r="I163" s="391"/>
      <c r="J163" s="391" t="s">
        <v>230</v>
      </c>
      <c r="K163" s="391">
        <v>4</v>
      </c>
      <c r="L163" s="391"/>
      <c r="M163" s="394"/>
      <c r="N163" s="393" t="s">
        <v>230</v>
      </c>
      <c r="O163" s="393"/>
      <c r="P163" s="391" t="s">
        <v>206</v>
      </c>
      <c r="Q163" s="391" t="s">
        <v>350</v>
      </c>
    </row>
    <row r="164" spans="1:17">
      <c r="A164" s="389" t="s">
        <v>230</v>
      </c>
      <c r="B164" s="389" t="s">
        <v>216</v>
      </c>
      <c r="C164" s="389" t="s">
        <v>61</v>
      </c>
      <c r="D164" s="390" t="s">
        <v>230</v>
      </c>
      <c r="E164" s="391" t="s">
        <v>207</v>
      </c>
      <c r="F164" s="391" t="s">
        <v>844</v>
      </c>
      <c r="G164" s="391" t="s">
        <v>806</v>
      </c>
      <c r="H164" s="393">
        <v>42919.960949074077</v>
      </c>
      <c r="I164" s="391"/>
      <c r="J164" s="391" t="s">
        <v>230</v>
      </c>
      <c r="K164" s="391">
        <v>1</v>
      </c>
      <c r="L164" s="391"/>
      <c r="M164" s="394"/>
      <c r="N164" s="393" t="s">
        <v>230</v>
      </c>
      <c r="O164" s="393"/>
      <c r="P164" s="391" t="s">
        <v>206</v>
      </c>
      <c r="Q164" s="391" t="s">
        <v>807</v>
      </c>
    </row>
    <row r="165" spans="1:17">
      <c r="A165" s="389" t="s">
        <v>230</v>
      </c>
      <c r="B165" s="389" t="s">
        <v>216</v>
      </c>
      <c r="C165" s="389"/>
      <c r="D165" s="390"/>
      <c r="E165" s="391"/>
      <c r="F165" s="391" t="s">
        <v>845</v>
      </c>
      <c r="G165" s="391" t="s">
        <v>808</v>
      </c>
      <c r="H165" s="393">
        <v>42919.961006944446</v>
      </c>
      <c r="I165" s="391"/>
      <c r="J165" s="391" t="s">
        <v>230</v>
      </c>
      <c r="K165" s="391">
        <v>1</v>
      </c>
      <c r="L165" s="391"/>
      <c r="M165" s="394"/>
      <c r="N165" s="393" t="s">
        <v>230</v>
      </c>
      <c r="O165" s="393"/>
      <c r="P165" s="391" t="s">
        <v>206</v>
      </c>
      <c r="Q165" s="391" t="s">
        <v>809</v>
      </c>
    </row>
    <row r="166" spans="1:17">
      <c r="A166" s="389" t="s">
        <v>230</v>
      </c>
      <c r="B166" s="389" t="s">
        <v>216</v>
      </c>
      <c r="C166" s="389"/>
      <c r="D166" s="390"/>
      <c r="E166" s="391"/>
      <c r="F166" s="391" t="s">
        <v>846</v>
      </c>
      <c r="G166" s="391" t="s">
        <v>810</v>
      </c>
      <c r="H166" s="393">
        <v>42919.961041666669</v>
      </c>
      <c r="I166" s="391"/>
      <c r="J166" s="391" t="s">
        <v>230</v>
      </c>
      <c r="K166" s="391">
        <v>1</v>
      </c>
      <c r="L166" s="391"/>
      <c r="M166" s="394"/>
      <c r="N166" s="393" t="s">
        <v>230</v>
      </c>
      <c r="O166" s="393"/>
      <c r="P166" s="391" t="s">
        <v>206</v>
      </c>
      <c r="Q166" s="391" t="s">
        <v>811</v>
      </c>
    </row>
    <row r="167" spans="1:17">
      <c r="A167" s="389" t="s">
        <v>230</v>
      </c>
      <c r="B167" s="389" t="s">
        <v>216</v>
      </c>
      <c r="C167" s="389"/>
      <c r="D167" s="390"/>
      <c r="E167" s="391"/>
      <c r="F167" s="391" t="s">
        <v>847</v>
      </c>
      <c r="G167" s="391" t="s">
        <v>812</v>
      </c>
      <c r="H167" s="393">
        <v>42919.961168981485</v>
      </c>
      <c r="I167" s="391"/>
      <c r="J167" s="391" t="s">
        <v>230</v>
      </c>
      <c r="K167" s="391">
        <v>1</v>
      </c>
      <c r="L167" s="391"/>
      <c r="M167" s="394"/>
      <c r="N167" s="393" t="s">
        <v>230</v>
      </c>
      <c r="O167" s="393"/>
      <c r="P167" s="391" t="s">
        <v>206</v>
      </c>
      <c r="Q167" s="391" t="s">
        <v>541</v>
      </c>
    </row>
    <row r="168" spans="1:17">
      <c r="A168" s="389" t="s">
        <v>230</v>
      </c>
      <c r="B168" s="389" t="s">
        <v>193</v>
      </c>
      <c r="C168" s="389" t="s">
        <v>61</v>
      </c>
      <c r="D168" s="390" t="s">
        <v>230</v>
      </c>
      <c r="E168" s="391" t="s">
        <v>207</v>
      </c>
      <c r="F168" s="391" t="s">
        <v>836</v>
      </c>
      <c r="G168" s="391" t="s">
        <v>462</v>
      </c>
      <c r="H168" s="393">
        <v>42919.9609375</v>
      </c>
      <c r="I168" s="391"/>
      <c r="J168" s="391" t="s">
        <v>230</v>
      </c>
      <c r="K168" s="391">
        <v>1</v>
      </c>
      <c r="L168" s="391"/>
      <c r="M168" s="394"/>
      <c r="N168" s="393" t="s">
        <v>230</v>
      </c>
      <c r="O168" s="393"/>
      <c r="P168" s="391" t="s">
        <v>206</v>
      </c>
      <c r="Q168" s="391" t="s">
        <v>813</v>
      </c>
    </row>
    <row r="169" spans="1:17">
      <c r="A169" s="389" t="s">
        <v>246</v>
      </c>
      <c r="B169" s="389" t="s">
        <v>193</v>
      </c>
      <c r="C169" s="389" t="s">
        <v>61</v>
      </c>
      <c r="D169" s="390" t="s">
        <v>246</v>
      </c>
      <c r="E169" s="391" t="s">
        <v>241</v>
      </c>
      <c r="F169" s="391" t="s">
        <v>634</v>
      </c>
      <c r="G169" s="391" t="s">
        <v>340</v>
      </c>
      <c r="H169" s="393">
        <v>42867.682291666664</v>
      </c>
      <c r="I169" s="391" t="s">
        <v>652</v>
      </c>
      <c r="J169" s="391" t="s">
        <v>246</v>
      </c>
      <c r="K169" s="391">
        <v>3</v>
      </c>
      <c r="L169" s="391" t="s">
        <v>653</v>
      </c>
      <c r="M169" s="394"/>
      <c r="N169" s="393" t="s">
        <v>246</v>
      </c>
      <c r="O169" s="393"/>
      <c r="P169" s="391" t="s">
        <v>206</v>
      </c>
      <c r="Q169" s="391" t="s">
        <v>343</v>
      </c>
    </row>
    <row r="170" spans="1:17">
      <c r="A170" s="389" t="s">
        <v>246</v>
      </c>
      <c r="B170" s="389" t="s">
        <v>216</v>
      </c>
      <c r="C170" s="389" t="s">
        <v>61</v>
      </c>
      <c r="D170" s="390" t="s">
        <v>246</v>
      </c>
      <c r="E170" s="391" t="s">
        <v>241</v>
      </c>
      <c r="F170" s="391" t="s">
        <v>484</v>
      </c>
      <c r="G170" s="391" t="s">
        <v>421</v>
      </c>
      <c r="H170" s="393">
        <v>42651.552731481483</v>
      </c>
      <c r="I170" s="391"/>
      <c r="J170" s="391" t="s">
        <v>246</v>
      </c>
      <c r="K170" s="391">
        <v>2</v>
      </c>
      <c r="L170" s="391"/>
      <c r="M170" s="394"/>
      <c r="N170" s="393" t="s">
        <v>246</v>
      </c>
      <c r="O170" s="393"/>
      <c r="P170" s="391" t="s">
        <v>206</v>
      </c>
      <c r="Q170" s="391" t="s">
        <v>422</v>
      </c>
    </row>
    <row r="171" spans="1:17">
      <c r="A171" s="389" t="s">
        <v>250</v>
      </c>
      <c r="B171" s="389" t="s">
        <v>216</v>
      </c>
      <c r="C171" s="389" t="s">
        <v>61</v>
      </c>
      <c r="D171" s="390" t="s">
        <v>250</v>
      </c>
      <c r="E171" s="391" t="s">
        <v>207</v>
      </c>
      <c r="F171" s="391" t="s">
        <v>473</v>
      </c>
      <c r="G171" s="391" t="s">
        <v>421</v>
      </c>
      <c r="H171" s="393">
        <v>42639.830196759256</v>
      </c>
      <c r="I171" s="391"/>
      <c r="J171" s="391" t="s">
        <v>250</v>
      </c>
      <c r="K171" s="391">
        <v>2</v>
      </c>
      <c r="L171" s="391"/>
      <c r="M171" s="394"/>
      <c r="N171" s="393" t="s">
        <v>250</v>
      </c>
      <c r="O171" s="393"/>
      <c r="P171" s="391" t="s">
        <v>206</v>
      </c>
      <c r="Q171" s="391" t="s">
        <v>422</v>
      </c>
    </row>
    <row r="172" spans="1:17">
      <c r="A172" s="389" t="s">
        <v>250</v>
      </c>
      <c r="B172" s="389" t="s">
        <v>193</v>
      </c>
      <c r="C172" s="389" t="s">
        <v>61</v>
      </c>
      <c r="D172" s="390" t="s">
        <v>250</v>
      </c>
      <c r="E172" s="391" t="s">
        <v>207</v>
      </c>
      <c r="F172" s="391" t="s">
        <v>361</v>
      </c>
      <c r="G172" s="391" t="s">
        <v>349</v>
      </c>
      <c r="H172" s="393">
        <v>42471.635069444441</v>
      </c>
      <c r="I172" s="391"/>
      <c r="J172" s="391" t="s">
        <v>250</v>
      </c>
      <c r="K172" s="391">
        <v>4</v>
      </c>
      <c r="L172" s="391"/>
      <c r="M172" s="394"/>
      <c r="N172" s="393" t="s">
        <v>250</v>
      </c>
      <c r="O172" s="393"/>
      <c r="P172" s="391" t="s">
        <v>206</v>
      </c>
      <c r="Q172" s="391" t="s">
        <v>350</v>
      </c>
    </row>
    <row r="173" spans="1:17">
      <c r="A173" s="389" t="s">
        <v>286</v>
      </c>
      <c r="B173" s="389" t="s">
        <v>193</v>
      </c>
      <c r="C173" s="389" t="s">
        <v>61</v>
      </c>
      <c r="D173" s="390" t="s">
        <v>286</v>
      </c>
      <c r="E173" s="391" t="s">
        <v>207</v>
      </c>
      <c r="F173" s="391" t="s">
        <v>418</v>
      </c>
      <c r="G173" s="391" t="s">
        <v>349</v>
      </c>
      <c r="H173" s="393">
        <v>42471.635057870371</v>
      </c>
      <c r="I173" s="391"/>
      <c r="J173" s="391" t="s">
        <v>286</v>
      </c>
      <c r="K173" s="391">
        <v>4</v>
      </c>
      <c r="L173" s="391"/>
      <c r="M173" s="394"/>
      <c r="N173" s="393" t="s">
        <v>286</v>
      </c>
      <c r="O173" s="393"/>
      <c r="P173" s="391" t="s">
        <v>206</v>
      </c>
      <c r="Q173" s="391" t="s">
        <v>350</v>
      </c>
    </row>
    <row r="174" spans="1:17">
      <c r="A174" s="389" t="s">
        <v>286</v>
      </c>
      <c r="B174" s="389" t="s">
        <v>428</v>
      </c>
      <c r="C174" s="389" t="s">
        <v>61</v>
      </c>
      <c r="D174" s="390" t="s">
        <v>286</v>
      </c>
      <c r="E174" s="391" t="s">
        <v>207</v>
      </c>
      <c r="F174" s="391" t="s">
        <v>924</v>
      </c>
      <c r="G174" s="391" t="s">
        <v>744</v>
      </c>
      <c r="H174" s="393">
        <v>42927.591087962966</v>
      </c>
      <c r="I174" s="391"/>
      <c r="J174" s="391" t="s">
        <v>286</v>
      </c>
      <c r="K174" s="391">
        <v>1</v>
      </c>
      <c r="L174" s="391"/>
      <c r="M174" s="394"/>
      <c r="N174" s="393" t="s">
        <v>286</v>
      </c>
      <c r="O174" s="393"/>
      <c r="P174" s="391" t="s">
        <v>206</v>
      </c>
      <c r="Q174" s="391" t="s">
        <v>889</v>
      </c>
    </row>
    <row r="175" spans="1:17">
      <c r="A175" s="389" t="s">
        <v>245</v>
      </c>
      <c r="B175" s="389" t="s">
        <v>187</v>
      </c>
      <c r="C175" s="389" t="s">
        <v>188</v>
      </c>
      <c r="D175" s="390" t="s">
        <v>245</v>
      </c>
      <c r="E175" s="391" t="s">
        <v>231</v>
      </c>
      <c r="F175" s="391" t="s">
        <v>465</v>
      </c>
      <c r="G175" s="391" t="s">
        <v>421</v>
      </c>
      <c r="H175" s="393">
        <v>42635.707037037035</v>
      </c>
      <c r="I175" s="391"/>
      <c r="J175" s="391" t="s">
        <v>245</v>
      </c>
      <c r="K175" s="391">
        <v>2</v>
      </c>
      <c r="L175" s="391"/>
      <c r="M175" s="394"/>
      <c r="N175" s="393" t="s">
        <v>245</v>
      </c>
      <c r="O175" s="393"/>
      <c r="P175" s="391" t="s">
        <v>206</v>
      </c>
      <c r="Q175" s="391" t="s">
        <v>422</v>
      </c>
    </row>
    <row r="176" spans="1:17">
      <c r="A176" s="389" t="s">
        <v>245</v>
      </c>
      <c r="B176" s="389" t="s">
        <v>193</v>
      </c>
      <c r="C176" s="389" t="s">
        <v>188</v>
      </c>
      <c r="D176" s="390" t="s">
        <v>245</v>
      </c>
      <c r="E176" s="391" t="s">
        <v>231</v>
      </c>
      <c r="F176" s="391" t="s">
        <v>358</v>
      </c>
      <c r="G176" s="391" t="s">
        <v>349</v>
      </c>
      <c r="H176" s="393">
        <v>42471.634166666663</v>
      </c>
      <c r="I176" s="391"/>
      <c r="J176" s="391" t="s">
        <v>245</v>
      </c>
      <c r="K176" s="391">
        <v>4</v>
      </c>
      <c r="L176" s="391"/>
      <c r="M176" s="394"/>
      <c r="N176" s="393" t="s">
        <v>245</v>
      </c>
      <c r="O176" s="393"/>
      <c r="P176" s="391" t="s">
        <v>206</v>
      </c>
      <c r="Q176" s="391" t="s">
        <v>350</v>
      </c>
    </row>
    <row r="177" spans="1:17">
      <c r="A177" s="389" t="s">
        <v>245</v>
      </c>
      <c r="B177" s="389" t="s">
        <v>187</v>
      </c>
      <c r="C177" s="389" t="s">
        <v>188</v>
      </c>
      <c r="D177" s="390" t="s">
        <v>245</v>
      </c>
      <c r="E177" s="391" t="s">
        <v>231</v>
      </c>
      <c r="F177" s="391" t="s">
        <v>562</v>
      </c>
      <c r="G177" s="391" t="s">
        <v>441</v>
      </c>
      <c r="H177" s="393">
        <v>42793.76116898148</v>
      </c>
      <c r="I177" s="391"/>
      <c r="J177" s="391" t="s">
        <v>245</v>
      </c>
      <c r="K177" s="391">
        <v>1</v>
      </c>
      <c r="L177" s="391"/>
      <c r="M177" s="394"/>
      <c r="N177" s="393" t="s">
        <v>245</v>
      </c>
      <c r="O177" s="393"/>
      <c r="P177" s="391" t="s">
        <v>206</v>
      </c>
      <c r="Q177" s="391" t="s">
        <v>442</v>
      </c>
    </row>
    <row r="178" spans="1:17">
      <c r="A178" s="389" t="s">
        <v>245</v>
      </c>
      <c r="B178" s="389" t="s">
        <v>193</v>
      </c>
      <c r="C178" s="389" t="s">
        <v>188</v>
      </c>
      <c r="D178" s="390" t="s">
        <v>245</v>
      </c>
      <c r="E178" s="391" t="s">
        <v>231</v>
      </c>
      <c r="F178" s="391" t="s">
        <v>913</v>
      </c>
      <c r="G178" s="391" t="s">
        <v>914</v>
      </c>
      <c r="H178" s="393">
        <v>42925.6719212963</v>
      </c>
      <c r="I178" s="391" t="s">
        <v>451</v>
      </c>
      <c r="J178" s="391" t="s">
        <v>245</v>
      </c>
      <c r="K178" s="391">
        <v>2</v>
      </c>
      <c r="L178" s="391" t="s">
        <v>452</v>
      </c>
      <c r="M178" s="394"/>
      <c r="N178" s="393" t="s">
        <v>245</v>
      </c>
      <c r="O178" s="393"/>
      <c r="P178" s="391" t="s">
        <v>206</v>
      </c>
      <c r="Q178" s="391" t="s">
        <v>422</v>
      </c>
    </row>
    <row r="179" spans="1:17">
      <c r="A179" s="389" t="s">
        <v>285</v>
      </c>
      <c r="B179" s="389" t="s">
        <v>187</v>
      </c>
      <c r="C179" s="389" t="s">
        <v>188</v>
      </c>
      <c r="D179" s="390" t="s">
        <v>285</v>
      </c>
      <c r="E179" s="391" t="s">
        <v>207</v>
      </c>
      <c r="F179" s="391" t="s">
        <v>427</v>
      </c>
      <c r="G179" s="391" t="s">
        <v>421</v>
      </c>
      <c r="H179" s="393">
        <v>42488.511076388888</v>
      </c>
      <c r="I179" s="391"/>
      <c r="J179" s="391" t="s">
        <v>285</v>
      </c>
      <c r="K179" s="391">
        <v>2</v>
      </c>
      <c r="L179" s="391"/>
      <c r="M179" s="394"/>
      <c r="N179" s="393" t="s">
        <v>285</v>
      </c>
      <c r="O179" s="393"/>
      <c r="P179" s="391" t="s">
        <v>206</v>
      </c>
      <c r="Q179" s="391" t="s">
        <v>422</v>
      </c>
    </row>
    <row r="180" spans="1:17">
      <c r="A180" s="389" t="s">
        <v>285</v>
      </c>
      <c r="B180" s="389" t="s">
        <v>193</v>
      </c>
      <c r="C180" s="389" t="s">
        <v>188</v>
      </c>
      <c r="D180" s="390" t="s">
        <v>285</v>
      </c>
      <c r="E180" s="391" t="s">
        <v>207</v>
      </c>
      <c r="F180" s="391" t="s">
        <v>447</v>
      </c>
      <c r="G180" s="391" t="s">
        <v>432</v>
      </c>
      <c r="H180" s="393">
        <v>42590.538368055553</v>
      </c>
      <c r="I180" s="391" t="s">
        <v>451</v>
      </c>
      <c r="J180" s="391" t="s">
        <v>285</v>
      </c>
      <c r="K180" s="391">
        <v>2</v>
      </c>
      <c r="L180" s="391" t="s">
        <v>452</v>
      </c>
      <c r="M180" s="394"/>
      <c r="N180" s="393" t="s">
        <v>285</v>
      </c>
      <c r="O180" s="393"/>
      <c r="P180" s="391" t="s">
        <v>206</v>
      </c>
      <c r="Q180" s="391" t="s">
        <v>422</v>
      </c>
    </row>
    <row r="181" spans="1:17">
      <c r="A181" s="389" t="s">
        <v>285</v>
      </c>
      <c r="B181" s="389" t="s">
        <v>187</v>
      </c>
      <c r="C181" s="389" t="s">
        <v>188</v>
      </c>
      <c r="D181" s="390" t="s">
        <v>285</v>
      </c>
      <c r="E181" s="391" t="s">
        <v>207</v>
      </c>
      <c r="F181" s="391" t="s">
        <v>485</v>
      </c>
      <c r="G181" s="391" t="s">
        <v>441</v>
      </c>
      <c r="H181" s="393">
        <v>42652.353680555556</v>
      </c>
      <c r="I181" s="391"/>
      <c r="J181" s="391" t="s">
        <v>285</v>
      </c>
      <c r="K181" s="391">
        <v>1</v>
      </c>
      <c r="L181" s="391"/>
      <c r="M181" s="394"/>
      <c r="N181" s="393" t="s">
        <v>285</v>
      </c>
      <c r="O181" s="393"/>
      <c r="P181" s="391" t="s">
        <v>206</v>
      </c>
      <c r="Q181" s="391" t="s">
        <v>442</v>
      </c>
    </row>
    <row r="182" spans="1:17">
      <c r="A182" s="389" t="s">
        <v>285</v>
      </c>
      <c r="B182" s="389" t="s">
        <v>193</v>
      </c>
      <c r="C182" s="389" t="s">
        <v>188</v>
      </c>
      <c r="D182" s="390" t="s">
        <v>285</v>
      </c>
      <c r="E182" s="391" t="s">
        <v>207</v>
      </c>
      <c r="F182" s="391" t="s">
        <v>399</v>
      </c>
      <c r="G182" s="391" t="s">
        <v>349</v>
      </c>
      <c r="H182" s="393">
        <v>42471.634155092594</v>
      </c>
      <c r="I182" s="391"/>
      <c r="J182" s="391" t="s">
        <v>285</v>
      </c>
      <c r="K182" s="391">
        <v>4</v>
      </c>
      <c r="L182" s="391"/>
      <c r="M182" s="394"/>
      <c r="N182" s="393" t="s">
        <v>285</v>
      </c>
      <c r="O182" s="393"/>
      <c r="P182" s="391" t="s">
        <v>206</v>
      </c>
      <c r="Q182" s="391" t="s">
        <v>350</v>
      </c>
    </row>
    <row r="183" spans="1:17">
      <c r="A183" s="389" t="s">
        <v>248</v>
      </c>
      <c r="B183" s="389" t="s">
        <v>187</v>
      </c>
      <c r="C183" s="389" t="s">
        <v>188</v>
      </c>
      <c r="D183" s="390" t="s">
        <v>248</v>
      </c>
      <c r="E183" s="391" t="s">
        <v>207</v>
      </c>
      <c r="F183" s="391" t="s">
        <v>517</v>
      </c>
      <c r="G183" s="391" t="s">
        <v>441</v>
      </c>
      <c r="H183" s="393">
        <v>42674.602303240739</v>
      </c>
      <c r="I183" s="391"/>
      <c r="J183" s="391" t="s">
        <v>248</v>
      </c>
      <c r="K183" s="391">
        <v>1</v>
      </c>
      <c r="L183" s="391"/>
      <c r="M183" s="394"/>
      <c r="N183" s="393" t="s">
        <v>248</v>
      </c>
      <c r="O183" s="393"/>
      <c r="P183" s="391" t="s">
        <v>206</v>
      </c>
      <c r="Q183" s="391" t="s">
        <v>442</v>
      </c>
    </row>
    <row r="184" spans="1:17">
      <c r="A184" s="389" t="s">
        <v>248</v>
      </c>
      <c r="B184" s="389" t="s">
        <v>187</v>
      </c>
      <c r="C184" s="389" t="s">
        <v>188</v>
      </c>
      <c r="D184" s="390" t="s">
        <v>248</v>
      </c>
      <c r="E184" s="391" t="s">
        <v>207</v>
      </c>
      <c r="F184" s="391" t="s">
        <v>512</v>
      </c>
      <c r="G184" s="391" t="s">
        <v>421</v>
      </c>
      <c r="H184" s="393">
        <v>42671.886203703703</v>
      </c>
      <c r="I184" s="391"/>
      <c r="J184" s="391" t="s">
        <v>248</v>
      </c>
      <c r="K184" s="391">
        <v>2</v>
      </c>
      <c r="L184" s="391"/>
      <c r="M184" s="394"/>
      <c r="N184" s="393" t="s">
        <v>248</v>
      </c>
      <c r="O184" s="393"/>
      <c r="P184" s="391" t="s">
        <v>206</v>
      </c>
      <c r="Q184" s="391" t="s">
        <v>422</v>
      </c>
    </row>
    <row r="185" spans="1:17">
      <c r="A185" s="389" t="s">
        <v>248</v>
      </c>
      <c r="B185" s="389" t="s">
        <v>193</v>
      </c>
      <c r="C185" s="389" t="s">
        <v>188</v>
      </c>
      <c r="D185" s="390" t="s">
        <v>248</v>
      </c>
      <c r="E185" s="391" t="s">
        <v>207</v>
      </c>
      <c r="F185" s="391" t="s">
        <v>395</v>
      </c>
      <c r="G185" s="391" t="s">
        <v>349</v>
      </c>
      <c r="H185" s="393">
        <v>42471.634143518517</v>
      </c>
      <c r="I185" s="391"/>
      <c r="J185" s="391" t="s">
        <v>248</v>
      </c>
      <c r="K185" s="391">
        <v>4</v>
      </c>
      <c r="L185" s="391"/>
      <c r="M185" s="394"/>
      <c r="N185" s="393" t="s">
        <v>248</v>
      </c>
      <c r="O185" s="393"/>
      <c r="P185" s="391" t="s">
        <v>206</v>
      </c>
      <c r="Q185" s="391" t="s">
        <v>350</v>
      </c>
    </row>
    <row r="186" spans="1:17">
      <c r="A186" s="389" t="s">
        <v>211</v>
      </c>
      <c r="B186" s="389" t="s">
        <v>187</v>
      </c>
      <c r="C186" s="389" t="s">
        <v>188</v>
      </c>
      <c r="D186" s="390" t="s">
        <v>211</v>
      </c>
      <c r="E186" s="391" t="s">
        <v>335</v>
      </c>
      <c r="F186" s="391" t="s">
        <v>483</v>
      </c>
      <c r="G186" s="391" t="s">
        <v>421</v>
      </c>
      <c r="H186" s="393">
        <v>42651.618206018517</v>
      </c>
      <c r="I186" s="391"/>
      <c r="J186" s="391" t="s">
        <v>211</v>
      </c>
      <c r="K186" s="391">
        <v>2</v>
      </c>
      <c r="L186" s="391"/>
      <c r="M186" s="394"/>
      <c r="N186" s="393" t="s">
        <v>211</v>
      </c>
      <c r="O186" s="393"/>
      <c r="P186" s="391" t="s">
        <v>206</v>
      </c>
      <c r="Q186" s="391" t="s">
        <v>422</v>
      </c>
    </row>
    <row r="187" spans="1:17">
      <c r="A187" s="389" t="s">
        <v>211</v>
      </c>
      <c r="B187" s="389" t="s">
        <v>187</v>
      </c>
      <c r="C187" s="389" t="s">
        <v>188</v>
      </c>
      <c r="D187" s="390" t="s">
        <v>211</v>
      </c>
      <c r="E187" s="391" t="s">
        <v>335</v>
      </c>
      <c r="F187" s="391" t="s">
        <v>558</v>
      </c>
      <c r="G187" s="391" t="s">
        <v>441</v>
      </c>
      <c r="H187" s="393">
        <v>42772.434201388889</v>
      </c>
      <c r="I187" s="391"/>
      <c r="J187" s="391" t="s">
        <v>211</v>
      </c>
      <c r="K187" s="391">
        <v>1</v>
      </c>
      <c r="L187" s="391"/>
      <c r="M187" s="394"/>
      <c r="N187" s="393" t="s">
        <v>211</v>
      </c>
      <c r="O187" s="393"/>
      <c r="P187" s="391" t="s">
        <v>206</v>
      </c>
      <c r="Q187" s="391" t="s">
        <v>442</v>
      </c>
    </row>
    <row r="188" spans="1:17">
      <c r="A188" s="389" t="s">
        <v>211</v>
      </c>
      <c r="B188" s="389" t="s">
        <v>193</v>
      </c>
      <c r="C188" s="389" t="s">
        <v>188</v>
      </c>
      <c r="D188" s="390" t="s">
        <v>211</v>
      </c>
      <c r="E188" s="391" t="s">
        <v>335</v>
      </c>
      <c r="F188" s="391" t="s">
        <v>412</v>
      </c>
      <c r="G188" s="391" t="s">
        <v>349</v>
      </c>
      <c r="H188" s="393">
        <v>42471.634120370371</v>
      </c>
      <c r="I188" s="391"/>
      <c r="J188" s="391" t="s">
        <v>211</v>
      </c>
      <c r="K188" s="391">
        <v>4</v>
      </c>
      <c r="L188" s="391"/>
      <c r="M188" s="394"/>
      <c r="N188" s="393" t="s">
        <v>211</v>
      </c>
      <c r="O188" s="393"/>
      <c r="P188" s="391" t="s">
        <v>206</v>
      </c>
      <c r="Q188" s="391" t="s">
        <v>350</v>
      </c>
    </row>
    <row r="189" spans="1:17">
      <c r="A189" s="389" t="s">
        <v>211</v>
      </c>
      <c r="B189" s="389" t="s">
        <v>187</v>
      </c>
      <c r="C189" s="389" t="s">
        <v>188</v>
      </c>
      <c r="D189" s="390" t="s">
        <v>211</v>
      </c>
      <c r="E189" s="391" t="s">
        <v>335</v>
      </c>
      <c r="F189" s="391" t="s">
        <v>1019</v>
      </c>
      <c r="G189" s="391" t="s">
        <v>629</v>
      </c>
      <c r="H189" s="393">
        <v>42931.087581018517</v>
      </c>
      <c r="I189" s="391"/>
      <c r="J189" s="391" t="s">
        <v>211</v>
      </c>
      <c r="K189" s="391">
        <v>1</v>
      </c>
      <c r="L189" s="391"/>
      <c r="M189" s="394"/>
      <c r="N189" s="393" t="s">
        <v>211</v>
      </c>
      <c r="O189" s="393"/>
      <c r="P189" s="391" t="s">
        <v>206</v>
      </c>
      <c r="Q189" s="391" t="s">
        <v>801</v>
      </c>
    </row>
    <row r="190" spans="1:17">
      <c r="A190" s="389" t="s">
        <v>211</v>
      </c>
      <c r="B190" s="389" t="s">
        <v>216</v>
      </c>
      <c r="C190" s="389"/>
      <c r="D190" s="390"/>
      <c r="E190" s="391"/>
      <c r="F190" s="391" t="s">
        <v>915</v>
      </c>
      <c r="G190" s="391" t="s">
        <v>837</v>
      </c>
      <c r="H190" s="393">
        <v>42927.399814814817</v>
      </c>
      <c r="I190" s="391"/>
      <c r="J190" s="391" t="s">
        <v>211</v>
      </c>
      <c r="K190" s="391">
        <v>1</v>
      </c>
      <c r="L190" s="391"/>
      <c r="M190" s="394"/>
      <c r="N190" s="393" t="s">
        <v>211</v>
      </c>
      <c r="O190" s="393"/>
      <c r="P190" s="391" t="s">
        <v>206</v>
      </c>
      <c r="Q190" s="391" t="s">
        <v>838</v>
      </c>
    </row>
    <row r="191" spans="1:17">
      <c r="A191" s="389" t="s">
        <v>211</v>
      </c>
      <c r="B191" s="389" t="s">
        <v>216</v>
      </c>
      <c r="C191" s="389"/>
      <c r="D191" s="390"/>
      <c r="E191" s="391"/>
      <c r="F191" s="391" t="s">
        <v>916</v>
      </c>
      <c r="G191" s="391" t="s">
        <v>839</v>
      </c>
      <c r="H191" s="393">
        <v>42927.399872685186</v>
      </c>
      <c r="I191" s="391"/>
      <c r="J191" s="391" t="s">
        <v>211</v>
      </c>
      <c r="K191" s="391">
        <v>1</v>
      </c>
      <c r="L191" s="391"/>
      <c r="M191" s="394"/>
      <c r="N191" s="393" t="s">
        <v>211</v>
      </c>
      <c r="O191" s="393"/>
      <c r="P191" s="391" t="s">
        <v>206</v>
      </c>
      <c r="Q191" s="391" t="s">
        <v>840</v>
      </c>
    </row>
    <row r="192" spans="1:17">
      <c r="A192" s="389" t="s">
        <v>211</v>
      </c>
      <c r="B192" s="389" t="s">
        <v>193</v>
      </c>
      <c r="C192" s="389" t="s">
        <v>188</v>
      </c>
      <c r="D192" s="390" t="s">
        <v>211</v>
      </c>
      <c r="E192" s="391" t="s">
        <v>335</v>
      </c>
      <c r="F192" s="391" t="s">
        <v>912</v>
      </c>
      <c r="G192" s="391" t="s">
        <v>571</v>
      </c>
      <c r="H192" s="393">
        <v>42927.399814814817</v>
      </c>
      <c r="I192" s="391"/>
      <c r="J192" s="391" t="s">
        <v>211</v>
      </c>
      <c r="K192" s="391">
        <v>1</v>
      </c>
      <c r="L192" s="391"/>
      <c r="M192" s="394"/>
      <c r="N192" s="393" t="s">
        <v>211</v>
      </c>
      <c r="O192" s="393"/>
      <c r="P192" s="391" t="s">
        <v>206</v>
      </c>
      <c r="Q192" s="391" t="s">
        <v>843</v>
      </c>
    </row>
    <row r="193" spans="1:17">
      <c r="A193" s="389" t="s">
        <v>211</v>
      </c>
      <c r="B193" s="389" t="s">
        <v>216</v>
      </c>
      <c r="C193" s="389"/>
      <c r="D193" s="390"/>
      <c r="E193" s="391"/>
      <c r="F193" s="391" t="s">
        <v>917</v>
      </c>
      <c r="G193" s="391" t="s">
        <v>841</v>
      </c>
      <c r="H193" s="393">
        <v>42927.399907407409</v>
      </c>
      <c r="I193" s="391"/>
      <c r="J193" s="391" t="s">
        <v>211</v>
      </c>
      <c r="K193" s="391">
        <v>1</v>
      </c>
      <c r="L193" s="391"/>
      <c r="M193" s="394"/>
      <c r="N193" s="393" t="s">
        <v>211</v>
      </c>
      <c r="O193" s="393"/>
      <c r="P193" s="391" t="s">
        <v>206</v>
      </c>
      <c r="Q193" s="391" t="s">
        <v>842</v>
      </c>
    </row>
    <row r="194" spans="1:17">
      <c r="A194" s="389" t="s">
        <v>260</v>
      </c>
      <c r="B194" s="389" t="s">
        <v>187</v>
      </c>
      <c r="C194" s="389" t="s">
        <v>188</v>
      </c>
      <c r="D194" s="390" t="s">
        <v>260</v>
      </c>
      <c r="E194" s="391" t="s">
        <v>207</v>
      </c>
      <c r="F194" s="391" t="s">
        <v>431</v>
      </c>
      <c r="G194" s="391" t="s">
        <v>421</v>
      </c>
      <c r="H194" s="393">
        <v>42522.429270833331</v>
      </c>
      <c r="I194" s="391"/>
      <c r="J194" s="391" t="s">
        <v>260</v>
      </c>
      <c r="K194" s="391">
        <v>2</v>
      </c>
      <c r="L194" s="391"/>
      <c r="M194" s="394"/>
      <c r="N194" s="393" t="s">
        <v>260</v>
      </c>
      <c r="O194" s="393"/>
      <c r="P194" s="391" t="s">
        <v>206</v>
      </c>
      <c r="Q194" s="391" t="s">
        <v>422</v>
      </c>
    </row>
    <row r="195" spans="1:17">
      <c r="A195" s="389" t="s">
        <v>260</v>
      </c>
      <c r="B195" s="389" t="s">
        <v>187</v>
      </c>
      <c r="C195" s="389" t="s">
        <v>188</v>
      </c>
      <c r="D195" s="390" t="s">
        <v>260</v>
      </c>
      <c r="E195" s="391" t="s">
        <v>207</v>
      </c>
      <c r="F195" s="391" t="s">
        <v>605</v>
      </c>
      <c r="G195" s="391" t="s">
        <v>441</v>
      </c>
      <c r="H195" s="393">
        <v>42856.686944444446</v>
      </c>
      <c r="I195" s="391"/>
      <c r="J195" s="391" t="s">
        <v>260</v>
      </c>
      <c r="K195" s="391">
        <v>1</v>
      </c>
      <c r="L195" s="391"/>
      <c r="M195" s="394"/>
      <c r="N195" s="393" t="s">
        <v>260</v>
      </c>
      <c r="O195" s="393"/>
      <c r="P195" s="391" t="s">
        <v>206</v>
      </c>
      <c r="Q195" s="391" t="s">
        <v>442</v>
      </c>
    </row>
    <row r="196" spans="1:17">
      <c r="A196" s="389" t="s">
        <v>260</v>
      </c>
      <c r="B196" s="389" t="s">
        <v>193</v>
      </c>
      <c r="C196" s="389" t="s">
        <v>188</v>
      </c>
      <c r="D196" s="390" t="s">
        <v>260</v>
      </c>
      <c r="E196" s="391" t="s">
        <v>207</v>
      </c>
      <c r="F196" s="391" t="s">
        <v>411</v>
      </c>
      <c r="G196" s="391" t="s">
        <v>349</v>
      </c>
      <c r="H196" s="393">
        <v>42471.634108796294</v>
      </c>
      <c r="I196" s="391"/>
      <c r="J196" s="391" t="s">
        <v>260</v>
      </c>
      <c r="K196" s="391">
        <v>4</v>
      </c>
      <c r="L196" s="391"/>
      <c r="M196" s="394"/>
      <c r="N196" s="393" t="s">
        <v>260</v>
      </c>
      <c r="O196" s="393"/>
      <c r="P196" s="391" t="s">
        <v>206</v>
      </c>
      <c r="Q196" s="391" t="s">
        <v>350</v>
      </c>
    </row>
    <row r="197" spans="1:17">
      <c r="A197" s="389" t="s">
        <v>284</v>
      </c>
      <c r="B197" s="389" t="s">
        <v>187</v>
      </c>
      <c r="C197" s="389" t="s">
        <v>188</v>
      </c>
      <c r="D197" s="390" t="s">
        <v>284</v>
      </c>
      <c r="E197" s="391" t="s">
        <v>207</v>
      </c>
      <c r="F197" s="391" t="s">
        <v>560</v>
      </c>
      <c r="G197" s="391" t="s">
        <v>441</v>
      </c>
      <c r="H197" s="393">
        <v>42779.707939814813</v>
      </c>
      <c r="I197" s="391"/>
      <c r="J197" s="391" t="s">
        <v>284</v>
      </c>
      <c r="K197" s="391">
        <v>1</v>
      </c>
      <c r="L197" s="391"/>
      <c r="M197" s="394"/>
      <c r="N197" s="393" t="s">
        <v>284</v>
      </c>
      <c r="O197" s="393"/>
      <c r="P197" s="391" t="s">
        <v>206</v>
      </c>
      <c r="Q197" s="391" t="s">
        <v>442</v>
      </c>
    </row>
    <row r="198" spans="1:17">
      <c r="A198" s="389" t="s">
        <v>284</v>
      </c>
      <c r="B198" s="389" t="s">
        <v>187</v>
      </c>
      <c r="C198" s="389" t="s">
        <v>188</v>
      </c>
      <c r="D198" s="390" t="s">
        <v>284</v>
      </c>
      <c r="E198" s="391" t="s">
        <v>207</v>
      </c>
      <c r="F198" s="391" t="s">
        <v>493</v>
      </c>
      <c r="G198" s="391" t="s">
        <v>421</v>
      </c>
      <c r="H198" s="393">
        <v>42659.339826388888</v>
      </c>
      <c r="I198" s="391"/>
      <c r="J198" s="391" t="s">
        <v>284</v>
      </c>
      <c r="K198" s="391">
        <v>2</v>
      </c>
      <c r="L198" s="391"/>
      <c r="M198" s="394"/>
      <c r="N198" s="393" t="s">
        <v>284</v>
      </c>
      <c r="O198" s="393"/>
      <c r="P198" s="391" t="s">
        <v>206</v>
      </c>
      <c r="Q198" s="391" t="s">
        <v>422</v>
      </c>
    </row>
    <row r="199" spans="1:17">
      <c r="A199" s="389" t="s">
        <v>284</v>
      </c>
      <c r="B199" s="389" t="s">
        <v>193</v>
      </c>
      <c r="C199" s="389" t="s">
        <v>188</v>
      </c>
      <c r="D199" s="390" t="s">
        <v>284</v>
      </c>
      <c r="E199" s="391" t="s">
        <v>207</v>
      </c>
      <c r="F199" s="391" t="s">
        <v>410</v>
      </c>
      <c r="G199" s="391" t="s">
        <v>349</v>
      </c>
      <c r="H199" s="393">
        <v>42471.634097222224</v>
      </c>
      <c r="I199" s="391"/>
      <c r="J199" s="391" t="s">
        <v>284</v>
      </c>
      <c r="K199" s="391">
        <v>4</v>
      </c>
      <c r="L199" s="391"/>
      <c r="M199" s="394"/>
      <c r="N199" s="393" t="s">
        <v>284</v>
      </c>
      <c r="O199" s="393"/>
      <c r="P199" s="391" t="s">
        <v>206</v>
      </c>
      <c r="Q199" s="391" t="s">
        <v>350</v>
      </c>
    </row>
    <row r="200" spans="1:17">
      <c r="A200" s="389" t="s">
        <v>284</v>
      </c>
      <c r="B200" s="389" t="s">
        <v>216</v>
      </c>
      <c r="C200" s="389"/>
      <c r="D200" s="390"/>
      <c r="E200" s="391"/>
      <c r="F200" s="391" t="s">
        <v>1060</v>
      </c>
      <c r="G200" s="391" t="s">
        <v>837</v>
      </c>
      <c r="H200" s="393">
        <v>42933.195787037039</v>
      </c>
      <c r="I200" s="391"/>
      <c r="J200" s="391" t="s">
        <v>284</v>
      </c>
      <c r="K200" s="391">
        <v>1</v>
      </c>
      <c r="L200" s="391"/>
      <c r="M200" s="394"/>
      <c r="N200" s="393" t="s">
        <v>284</v>
      </c>
      <c r="O200" s="393"/>
      <c r="P200" s="391" t="s">
        <v>206</v>
      </c>
      <c r="Q200" s="391" t="s">
        <v>838</v>
      </c>
    </row>
    <row r="201" spans="1:17">
      <c r="A201" s="389" t="s">
        <v>284</v>
      </c>
      <c r="B201" s="389" t="s">
        <v>216</v>
      </c>
      <c r="C201" s="389"/>
      <c r="D201" s="390"/>
      <c r="E201" s="391"/>
      <c r="F201" s="391" t="s">
        <v>1061</v>
      </c>
      <c r="G201" s="391" t="s">
        <v>839</v>
      </c>
      <c r="H201" s="393">
        <v>42933.195821759262</v>
      </c>
      <c r="I201" s="391"/>
      <c r="J201" s="391" t="s">
        <v>284</v>
      </c>
      <c r="K201" s="391">
        <v>1</v>
      </c>
      <c r="L201" s="391"/>
      <c r="M201" s="394"/>
      <c r="N201" s="393" t="s">
        <v>284</v>
      </c>
      <c r="O201" s="393"/>
      <c r="P201" s="391" t="s">
        <v>206</v>
      </c>
      <c r="Q201" s="391" t="s">
        <v>840</v>
      </c>
    </row>
    <row r="202" spans="1:17">
      <c r="A202" s="389" t="s">
        <v>284</v>
      </c>
      <c r="B202" s="389" t="s">
        <v>187</v>
      </c>
      <c r="C202" s="389" t="s">
        <v>188</v>
      </c>
      <c r="D202" s="390" t="s">
        <v>284</v>
      </c>
      <c r="E202" s="391" t="s">
        <v>207</v>
      </c>
      <c r="F202" s="391" t="s">
        <v>1056</v>
      </c>
      <c r="G202" s="391" t="s">
        <v>571</v>
      </c>
      <c r="H202" s="393">
        <v>42933.195787037039</v>
      </c>
      <c r="I202" s="391"/>
      <c r="J202" s="391" t="s">
        <v>284</v>
      </c>
      <c r="K202" s="391">
        <v>1</v>
      </c>
      <c r="L202" s="391"/>
      <c r="M202" s="394"/>
      <c r="N202" s="393" t="s">
        <v>284</v>
      </c>
      <c r="O202" s="393"/>
      <c r="P202" s="391" t="s">
        <v>206</v>
      </c>
      <c r="Q202" s="391" t="s">
        <v>843</v>
      </c>
    </row>
    <row r="203" spans="1:17">
      <c r="A203" s="389" t="s">
        <v>284</v>
      </c>
      <c r="B203" s="389" t="s">
        <v>216</v>
      </c>
      <c r="C203" s="389"/>
      <c r="D203" s="390"/>
      <c r="E203" s="391"/>
      <c r="F203" s="391" t="s">
        <v>1062</v>
      </c>
      <c r="G203" s="391" t="s">
        <v>841</v>
      </c>
      <c r="H203" s="393">
        <v>42933.195856481485</v>
      </c>
      <c r="I203" s="391"/>
      <c r="J203" s="391" t="s">
        <v>284</v>
      </c>
      <c r="K203" s="391">
        <v>1</v>
      </c>
      <c r="L203" s="391"/>
      <c r="M203" s="394"/>
      <c r="N203" s="393" t="s">
        <v>284</v>
      </c>
      <c r="O203" s="393"/>
      <c r="P203" s="391" t="s">
        <v>206</v>
      </c>
      <c r="Q203" s="391" t="s">
        <v>842</v>
      </c>
    </row>
    <row r="204" spans="1:17">
      <c r="A204" s="389" t="s">
        <v>283</v>
      </c>
      <c r="B204" s="389" t="s">
        <v>187</v>
      </c>
      <c r="C204" s="389" t="s">
        <v>188</v>
      </c>
      <c r="D204" s="390" t="s">
        <v>283</v>
      </c>
      <c r="E204" s="391" t="s">
        <v>233</v>
      </c>
      <c r="F204" s="391" t="s">
        <v>625</v>
      </c>
      <c r="G204" s="391" t="s">
        <v>421</v>
      </c>
      <c r="H204" s="393">
        <v>42862.895509259259</v>
      </c>
      <c r="I204" s="391"/>
      <c r="J204" s="391" t="s">
        <v>283</v>
      </c>
      <c r="K204" s="391">
        <v>2</v>
      </c>
      <c r="L204" s="391"/>
      <c r="M204" s="394"/>
      <c r="N204" s="393" t="s">
        <v>283</v>
      </c>
      <c r="O204" s="393"/>
      <c r="P204" s="391" t="s">
        <v>206</v>
      </c>
      <c r="Q204" s="391" t="s">
        <v>422</v>
      </c>
    </row>
    <row r="205" spans="1:17">
      <c r="A205" s="389" t="s">
        <v>283</v>
      </c>
      <c r="B205" s="389" t="s">
        <v>187</v>
      </c>
      <c r="C205" s="389" t="s">
        <v>188</v>
      </c>
      <c r="D205" s="390" t="s">
        <v>283</v>
      </c>
      <c r="E205" s="391" t="s">
        <v>233</v>
      </c>
      <c r="F205" s="391" t="s">
        <v>570</v>
      </c>
      <c r="G205" s="391" t="s">
        <v>441</v>
      </c>
      <c r="H205" s="393">
        <v>42829.715925925928</v>
      </c>
      <c r="I205" s="391"/>
      <c r="J205" s="391" t="s">
        <v>283</v>
      </c>
      <c r="K205" s="391">
        <v>1</v>
      </c>
      <c r="L205" s="391"/>
      <c r="M205" s="394"/>
      <c r="N205" s="393" t="s">
        <v>283</v>
      </c>
      <c r="O205" s="393"/>
      <c r="P205" s="391" t="s">
        <v>206</v>
      </c>
      <c r="Q205" s="391" t="s">
        <v>442</v>
      </c>
    </row>
    <row r="206" spans="1:17">
      <c r="A206" s="389" t="s">
        <v>283</v>
      </c>
      <c r="B206" s="389" t="s">
        <v>216</v>
      </c>
      <c r="C206" s="389" t="s">
        <v>188</v>
      </c>
      <c r="D206" s="390" t="s">
        <v>283</v>
      </c>
      <c r="E206" s="391" t="s">
        <v>233</v>
      </c>
      <c r="F206" s="391" t="s">
        <v>433</v>
      </c>
      <c r="G206" s="391" t="s">
        <v>421</v>
      </c>
      <c r="H206" s="393">
        <v>42528.548761574071</v>
      </c>
      <c r="I206" s="391"/>
      <c r="J206" s="391" t="s">
        <v>283</v>
      </c>
      <c r="K206" s="391">
        <v>2</v>
      </c>
      <c r="L206" s="391"/>
      <c r="M206" s="394"/>
      <c r="N206" s="393" t="s">
        <v>283</v>
      </c>
      <c r="O206" s="393"/>
      <c r="P206" s="391" t="s">
        <v>206</v>
      </c>
      <c r="Q206" s="391" t="s">
        <v>422</v>
      </c>
    </row>
    <row r="207" spans="1:17">
      <c r="A207" s="389" t="s">
        <v>283</v>
      </c>
      <c r="B207" s="389" t="s">
        <v>193</v>
      </c>
      <c r="C207" s="389" t="s">
        <v>188</v>
      </c>
      <c r="D207" s="390" t="s">
        <v>283</v>
      </c>
      <c r="E207" s="391" t="s">
        <v>233</v>
      </c>
      <c r="F207" s="391" t="s">
        <v>1026</v>
      </c>
      <c r="G207" s="391" t="s">
        <v>629</v>
      </c>
      <c r="H207" s="393">
        <v>42931.720381944448</v>
      </c>
      <c r="I207" s="391"/>
      <c r="J207" s="391" t="s">
        <v>283</v>
      </c>
      <c r="K207" s="391">
        <v>1</v>
      </c>
      <c r="L207" s="391"/>
      <c r="M207" s="394"/>
      <c r="N207" s="393" t="s">
        <v>283</v>
      </c>
      <c r="O207" s="393"/>
      <c r="P207" s="391" t="s">
        <v>206</v>
      </c>
      <c r="Q207" s="391" t="s">
        <v>854</v>
      </c>
    </row>
    <row r="208" spans="1:17">
      <c r="A208" s="389" t="s">
        <v>282</v>
      </c>
      <c r="B208" s="389" t="s">
        <v>187</v>
      </c>
      <c r="C208" s="389" t="s">
        <v>188</v>
      </c>
      <c r="D208" s="390" t="s">
        <v>282</v>
      </c>
      <c r="E208" s="391" t="s">
        <v>207</v>
      </c>
      <c r="F208" s="391" t="s">
        <v>482</v>
      </c>
      <c r="G208" s="391" t="s">
        <v>421</v>
      </c>
      <c r="H208" s="393">
        <v>42650.212210648147</v>
      </c>
      <c r="I208" s="391"/>
      <c r="J208" s="391" t="s">
        <v>282</v>
      </c>
      <c r="K208" s="391">
        <v>2</v>
      </c>
      <c r="L208" s="391"/>
      <c r="M208" s="394"/>
      <c r="N208" s="393" t="s">
        <v>282</v>
      </c>
      <c r="O208" s="393"/>
      <c r="P208" s="391" t="s">
        <v>206</v>
      </c>
      <c r="Q208" s="391" t="s">
        <v>422</v>
      </c>
    </row>
    <row r="209" spans="1:17">
      <c r="A209" s="389" t="s">
        <v>282</v>
      </c>
      <c r="B209" s="389" t="s">
        <v>193</v>
      </c>
      <c r="C209" s="389" t="s">
        <v>188</v>
      </c>
      <c r="D209" s="390" t="s">
        <v>282</v>
      </c>
      <c r="E209" s="391" t="s">
        <v>207</v>
      </c>
      <c r="F209" s="391" t="s">
        <v>394</v>
      </c>
      <c r="G209" s="391" t="s">
        <v>349</v>
      </c>
      <c r="H209" s="393">
        <v>42471.634074074071</v>
      </c>
      <c r="I209" s="391"/>
      <c r="J209" s="391" t="s">
        <v>282</v>
      </c>
      <c r="K209" s="391">
        <v>4</v>
      </c>
      <c r="L209" s="391"/>
      <c r="M209" s="394"/>
      <c r="N209" s="393" t="s">
        <v>282</v>
      </c>
      <c r="O209" s="393"/>
      <c r="P209" s="391" t="s">
        <v>206</v>
      </c>
      <c r="Q209" s="391" t="s">
        <v>350</v>
      </c>
    </row>
    <row r="210" spans="1:17">
      <c r="A210" s="389" t="s">
        <v>282</v>
      </c>
      <c r="B210" s="389" t="s">
        <v>187</v>
      </c>
      <c r="C210" s="389" t="s">
        <v>188</v>
      </c>
      <c r="D210" s="390" t="s">
        <v>282</v>
      </c>
      <c r="E210" s="391" t="s">
        <v>207</v>
      </c>
      <c r="F210" s="391" t="s">
        <v>494</v>
      </c>
      <c r="G210" s="391" t="s">
        <v>441</v>
      </c>
      <c r="H210" s="393">
        <v>42660.056817129633</v>
      </c>
      <c r="I210" s="391"/>
      <c r="J210" s="391" t="s">
        <v>282</v>
      </c>
      <c r="K210" s="391">
        <v>1</v>
      </c>
      <c r="L210" s="391"/>
      <c r="M210" s="394"/>
      <c r="N210" s="393" t="s">
        <v>282</v>
      </c>
      <c r="O210" s="393"/>
      <c r="P210" s="391" t="s">
        <v>206</v>
      </c>
      <c r="Q210" s="391" t="s">
        <v>442</v>
      </c>
    </row>
    <row r="211" spans="1:17">
      <c r="A211" s="389" t="s">
        <v>281</v>
      </c>
      <c r="B211" s="389" t="s">
        <v>187</v>
      </c>
      <c r="C211" s="389" t="s">
        <v>188</v>
      </c>
      <c r="D211" s="390" t="s">
        <v>281</v>
      </c>
      <c r="E211" s="391" t="s">
        <v>231</v>
      </c>
      <c r="F211" s="391" t="s">
        <v>474</v>
      </c>
      <c r="G211" s="391" t="s">
        <v>421</v>
      </c>
      <c r="H211" s="393">
        <v>42646.217314814814</v>
      </c>
      <c r="I211" s="391"/>
      <c r="J211" s="391" t="s">
        <v>281</v>
      </c>
      <c r="K211" s="391">
        <v>2</v>
      </c>
      <c r="L211" s="391"/>
      <c r="M211" s="394"/>
      <c r="N211" s="393" t="s">
        <v>281</v>
      </c>
      <c r="O211" s="393"/>
      <c r="P211" s="391" t="s">
        <v>206</v>
      </c>
      <c r="Q211" s="391" t="s">
        <v>422</v>
      </c>
    </row>
    <row r="212" spans="1:17">
      <c r="A212" s="389" t="s">
        <v>281</v>
      </c>
      <c r="B212" s="389" t="s">
        <v>193</v>
      </c>
      <c r="C212" s="389" t="s">
        <v>188</v>
      </c>
      <c r="D212" s="390" t="s">
        <v>281</v>
      </c>
      <c r="E212" s="391" t="s">
        <v>231</v>
      </c>
      <c r="F212" s="391" t="s">
        <v>409</v>
      </c>
      <c r="G212" s="391" t="s">
        <v>349</v>
      </c>
      <c r="H212" s="393">
        <v>42471.634062500001</v>
      </c>
      <c r="I212" s="391"/>
      <c r="J212" s="391" t="s">
        <v>281</v>
      </c>
      <c r="K212" s="391">
        <v>4</v>
      </c>
      <c r="L212" s="391"/>
      <c r="M212" s="394"/>
      <c r="N212" s="393" t="s">
        <v>281</v>
      </c>
      <c r="O212" s="393"/>
      <c r="P212" s="391" t="s">
        <v>206</v>
      </c>
      <c r="Q212" s="391" t="s">
        <v>350</v>
      </c>
    </row>
    <row r="213" spans="1:17">
      <c r="A213" s="389" t="s">
        <v>281</v>
      </c>
      <c r="B213" s="389" t="s">
        <v>187</v>
      </c>
      <c r="C213" s="389" t="s">
        <v>188</v>
      </c>
      <c r="D213" s="390" t="s">
        <v>281</v>
      </c>
      <c r="E213" s="391" t="s">
        <v>231</v>
      </c>
      <c r="F213" s="391" t="s">
        <v>524</v>
      </c>
      <c r="G213" s="391" t="s">
        <v>441</v>
      </c>
      <c r="H213" s="393">
        <v>42687.718668981484</v>
      </c>
      <c r="I213" s="391"/>
      <c r="J213" s="391" t="s">
        <v>281</v>
      </c>
      <c r="K213" s="391">
        <v>1</v>
      </c>
      <c r="L213" s="391"/>
      <c r="M213" s="394"/>
      <c r="N213" s="393" t="s">
        <v>281</v>
      </c>
      <c r="O213" s="393"/>
      <c r="P213" s="391" t="s">
        <v>206</v>
      </c>
      <c r="Q213" s="391" t="s">
        <v>442</v>
      </c>
    </row>
    <row r="214" spans="1:17">
      <c r="A214" s="389" t="s">
        <v>204</v>
      </c>
      <c r="B214" s="389" t="s">
        <v>187</v>
      </c>
      <c r="C214" s="389" t="s">
        <v>188</v>
      </c>
      <c r="D214" s="390" t="s">
        <v>204</v>
      </c>
      <c r="E214" s="391" t="s">
        <v>258</v>
      </c>
      <c r="F214" s="391" t="s">
        <v>547</v>
      </c>
      <c r="G214" s="391" t="s">
        <v>441</v>
      </c>
      <c r="H214" s="393">
        <v>42758.531909722224</v>
      </c>
      <c r="I214" s="391"/>
      <c r="J214" s="391" t="s">
        <v>204</v>
      </c>
      <c r="K214" s="391">
        <v>1</v>
      </c>
      <c r="L214" s="391"/>
      <c r="M214" s="394"/>
      <c r="N214" s="393" t="s">
        <v>204</v>
      </c>
      <c r="O214" s="393"/>
      <c r="P214" s="391" t="s">
        <v>206</v>
      </c>
      <c r="Q214" s="391" t="s">
        <v>442</v>
      </c>
    </row>
    <row r="215" spans="1:17">
      <c r="A215" s="389" t="s">
        <v>204</v>
      </c>
      <c r="B215" s="389" t="s">
        <v>193</v>
      </c>
      <c r="C215" s="389" t="s">
        <v>188</v>
      </c>
      <c r="D215" s="390" t="s">
        <v>204</v>
      </c>
      <c r="E215" s="391" t="s">
        <v>258</v>
      </c>
      <c r="F215" s="391" t="s">
        <v>393</v>
      </c>
      <c r="G215" s="391" t="s">
        <v>349</v>
      </c>
      <c r="H215" s="393">
        <v>42471.634050925924</v>
      </c>
      <c r="I215" s="391"/>
      <c r="J215" s="391" t="s">
        <v>204</v>
      </c>
      <c r="K215" s="391">
        <v>4</v>
      </c>
      <c r="L215" s="391"/>
      <c r="M215" s="394"/>
      <c r="N215" s="393" t="s">
        <v>204</v>
      </c>
      <c r="O215" s="393"/>
      <c r="P215" s="391" t="s">
        <v>206</v>
      </c>
      <c r="Q215" s="391" t="s">
        <v>350</v>
      </c>
    </row>
    <row r="216" spans="1:17">
      <c r="A216" s="389" t="s">
        <v>204</v>
      </c>
      <c r="B216" s="389" t="s">
        <v>187</v>
      </c>
      <c r="C216" s="389" t="s">
        <v>188</v>
      </c>
      <c r="D216" s="390" t="s">
        <v>204</v>
      </c>
      <c r="E216" s="391" t="s">
        <v>258</v>
      </c>
      <c r="F216" s="391" t="s">
        <v>481</v>
      </c>
      <c r="G216" s="391" t="s">
        <v>421</v>
      </c>
      <c r="H216" s="393">
        <v>42650.148634259262</v>
      </c>
      <c r="I216" s="391"/>
      <c r="J216" s="391" t="s">
        <v>204</v>
      </c>
      <c r="K216" s="391">
        <v>2</v>
      </c>
      <c r="L216" s="391"/>
      <c r="M216" s="394"/>
      <c r="N216" s="393" t="s">
        <v>204</v>
      </c>
      <c r="O216" s="393"/>
      <c r="P216" s="391" t="s">
        <v>206</v>
      </c>
      <c r="Q216" s="391" t="s">
        <v>422</v>
      </c>
    </row>
    <row r="217" spans="1:17">
      <c r="A217" s="389" t="s">
        <v>280</v>
      </c>
      <c r="B217" s="389" t="s">
        <v>187</v>
      </c>
      <c r="C217" s="389" t="s">
        <v>188</v>
      </c>
      <c r="D217" s="390" t="s">
        <v>280</v>
      </c>
      <c r="E217" s="391" t="s">
        <v>233</v>
      </c>
      <c r="F217" s="391" t="s">
        <v>538</v>
      </c>
      <c r="G217" s="391" t="s">
        <v>441</v>
      </c>
      <c r="H217" s="393">
        <v>42731.677997685183</v>
      </c>
      <c r="I217" s="391"/>
      <c r="J217" s="391" t="s">
        <v>280</v>
      </c>
      <c r="K217" s="391">
        <v>1</v>
      </c>
      <c r="L217" s="391"/>
      <c r="M217" s="394"/>
      <c r="N217" s="393" t="s">
        <v>280</v>
      </c>
      <c r="O217" s="393"/>
      <c r="P217" s="391" t="s">
        <v>206</v>
      </c>
      <c r="Q217" s="391" t="s">
        <v>442</v>
      </c>
    </row>
    <row r="218" spans="1:17">
      <c r="A218" s="389" t="s">
        <v>280</v>
      </c>
      <c r="B218" s="389" t="s">
        <v>216</v>
      </c>
      <c r="C218" s="389" t="s">
        <v>188</v>
      </c>
      <c r="D218" s="390" t="s">
        <v>280</v>
      </c>
      <c r="E218" s="391" t="s">
        <v>233</v>
      </c>
      <c r="F218" s="391" t="s">
        <v>461</v>
      </c>
      <c r="G218" s="391" t="s">
        <v>421</v>
      </c>
      <c r="H218" s="393">
        <v>42628.481504629628</v>
      </c>
      <c r="I218" s="391"/>
      <c r="J218" s="391" t="s">
        <v>280</v>
      </c>
      <c r="K218" s="391">
        <v>2</v>
      </c>
      <c r="L218" s="391"/>
      <c r="M218" s="394"/>
      <c r="N218" s="393" t="s">
        <v>280</v>
      </c>
      <c r="O218" s="393"/>
      <c r="P218" s="391" t="s">
        <v>206</v>
      </c>
      <c r="Q218" s="391" t="s">
        <v>422</v>
      </c>
    </row>
    <row r="219" spans="1:17">
      <c r="A219" s="389" t="s">
        <v>280</v>
      </c>
      <c r="B219" s="389" t="s">
        <v>193</v>
      </c>
      <c r="C219" s="389" t="s">
        <v>188</v>
      </c>
      <c r="D219" s="390" t="s">
        <v>280</v>
      </c>
      <c r="E219" s="391" t="s">
        <v>233</v>
      </c>
      <c r="F219" s="391" t="s">
        <v>369</v>
      </c>
      <c r="G219" s="391" t="s">
        <v>349</v>
      </c>
      <c r="H219" s="393">
        <v>42471.634027777778</v>
      </c>
      <c r="I219" s="391"/>
      <c r="J219" s="391" t="s">
        <v>280</v>
      </c>
      <c r="K219" s="391">
        <v>4</v>
      </c>
      <c r="L219" s="391"/>
      <c r="M219" s="394"/>
      <c r="N219" s="393" t="s">
        <v>280</v>
      </c>
      <c r="O219" s="393"/>
      <c r="P219" s="391" t="s">
        <v>206</v>
      </c>
      <c r="Q219" s="391" t="s">
        <v>350</v>
      </c>
    </row>
    <row r="220" spans="1:17">
      <c r="A220" s="389" t="s">
        <v>210</v>
      </c>
      <c r="B220" s="389" t="s">
        <v>187</v>
      </c>
      <c r="C220" s="389" t="s">
        <v>188</v>
      </c>
      <c r="D220" s="390" t="s">
        <v>210</v>
      </c>
      <c r="E220" s="391" t="s">
        <v>244</v>
      </c>
      <c r="F220" s="391" t="s">
        <v>478</v>
      </c>
      <c r="G220" s="391" t="s">
        <v>421</v>
      </c>
      <c r="H220" s="393">
        <v>42648.095891203702</v>
      </c>
      <c r="I220" s="391"/>
      <c r="J220" s="391" t="s">
        <v>210</v>
      </c>
      <c r="K220" s="391">
        <v>2</v>
      </c>
      <c r="L220" s="391"/>
      <c r="M220" s="394"/>
      <c r="N220" s="393" t="s">
        <v>210</v>
      </c>
      <c r="O220" s="393"/>
      <c r="P220" s="391" t="s">
        <v>206</v>
      </c>
      <c r="Q220" s="391" t="s">
        <v>422</v>
      </c>
    </row>
    <row r="221" spans="1:17">
      <c r="A221" s="389" t="s">
        <v>210</v>
      </c>
      <c r="B221" s="389" t="s">
        <v>216</v>
      </c>
      <c r="C221" s="389"/>
      <c r="D221" s="390"/>
      <c r="E221" s="391"/>
      <c r="F221" s="391" t="s">
        <v>566</v>
      </c>
      <c r="G221" s="391" t="s">
        <v>559</v>
      </c>
      <c r="H221" s="393">
        <v>42805.713472222225</v>
      </c>
      <c r="I221" s="391"/>
      <c r="J221" s="391" t="s">
        <v>210</v>
      </c>
      <c r="K221" s="391">
        <v>1</v>
      </c>
      <c r="L221" s="391"/>
      <c r="M221" s="394"/>
      <c r="N221" s="393" t="s">
        <v>210</v>
      </c>
      <c r="O221" s="393"/>
      <c r="P221" s="391" t="s">
        <v>206</v>
      </c>
      <c r="Q221" s="391" t="s">
        <v>541</v>
      </c>
    </row>
    <row r="222" spans="1:17">
      <c r="A222" s="389" t="s">
        <v>210</v>
      </c>
      <c r="B222" s="389" t="s">
        <v>216</v>
      </c>
      <c r="C222" s="389" t="s">
        <v>188</v>
      </c>
      <c r="D222" s="390" t="s">
        <v>210</v>
      </c>
      <c r="E222" s="391" t="s">
        <v>244</v>
      </c>
      <c r="F222" s="391" t="s">
        <v>392</v>
      </c>
      <c r="G222" s="391" t="s">
        <v>349</v>
      </c>
      <c r="H222" s="393">
        <v>42471.634016203701</v>
      </c>
      <c r="I222" s="391"/>
      <c r="J222" s="391" t="s">
        <v>210</v>
      </c>
      <c r="K222" s="391">
        <v>4</v>
      </c>
      <c r="L222" s="391"/>
      <c r="M222" s="394"/>
      <c r="N222" s="393" t="s">
        <v>210</v>
      </c>
      <c r="O222" s="393"/>
      <c r="P222" s="391" t="s">
        <v>206</v>
      </c>
      <c r="Q222" s="391" t="s">
        <v>350</v>
      </c>
    </row>
    <row r="223" spans="1:17">
      <c r="A223" s="389" t="s">
        <v>210</v>
      </c>
      <c r="B223" s="389" t="s">
        <v>187</v>
      </c>
      <c r="C223" s="389" t="s">
        <v>188</v>
      </c>
      <c r="D223" s="390" t="s">
        <v>210</v>
      </c>
      <c r="E223" s="391" t="s">
        <v>244</v>
      </c>
      <c r="F223" s="391" t="s">
        <v>557</v>
      </c>
      <c r="G223" s="391" t="s">
        <v>441</v>
      </c>
      <c r="H223" s="393">
        <v>42766.025173611109</v>
      </c>
      <c r="I223" s="391"/>
      <c r="J223" s="391" t="s">
        <v>210</v>
      </c>
      <c r="K223" s="391">
        <v>1</v>
      </c>
      <c r="L223" s="391"/>
      <c r="M223" s="394"/>
      <c r="N223" s="393" t="s">
        <v>210</v>
      </c>
      <c r="O223" s="393"/>
      <c r="P223" s="391" t="s">
        <v>206</v>
      </c>
      <c r="Q223" s="391" t="s">
        <v>442</v>
      </c>
    </row>
    <row r="224" spans="1:17">
      <c r="A224" s="389" t="s">
        <v>208</v>
      </c>
      <c r="B224" s="389" t="s">
        <v>187</v>
      </c>
      <c r="C224" s="389" t="s">
        <v>188</v>
      </c>
      <c r="D224" s="390" t="s">
        <v>208</v>
      </c>
      <c r="E224" s="391" t="s">
        <v>244</v>
      </c>
      <c r="F224" s="391" t="s">
        <v>457</v>
      </c>
      <c r="G224" s="391" t="s">
        <v>421</v>
      </c>
      <c r="H224" s="393">
        <v>42620.103067129632</v>
      </c>
      <c r="I224" s="391"/>
      <c r="J224" s="391" t="s">
        <v>208</v>
      </c>
      <c r="K224" s="391">
        <v>2</v>
      </c>
      <c r="L224" s="391"/>
      <c r="M224" s="394"/>
      <c r="N224" s="393" t="s">
        <v>208</v>
      </c>
      <c r="O224" s="393"/>
      <c r="P224" s="391" t="s">
        <v>206</v>
      </c>
      <c r="Q224" s="391" t="s">
        <v>422</v>
      </c>
    </row>
    <row r="225" spans="1:17">
      <c r="A225" s="389" t="s">
        <v>208</v>
      </c>
      <c r="B225" s="389" t="s">
        <v>187</v>
      </c>
      <c r="C225" s="389" t="s">
        <v>188</v>
      </c>
      <c r="D225" s="390" t="s">
        <v>208</v>
      </c>
      <c r="E225" s="391" t="s">
        <v>244</v>
      </c>
      <c r="F225" s="391" t="s">
        <v>561</v>
      </c>
      <c r="G225" s="391" t="s">
        <v>441</v>
      </c>
      <c r="H225" s="393">
        <v>42786.433969907404</v>
      </c>
      <c r="I225" s="391"/>
      <c r="J225" s="391" t="s">
        <v>208</v>
      </c>
      <c r="K225" s="391">
        <v>1</v>
      </c>
      <c r="L225" s="391"/>
      <c r="M225" s="394"/>
      <c r="N225" s="393" t="s">
        <v>208</v>
      </c>
      <c r="O225" s="393"/>
      <c r="P225" s="391" t="s">
        <v>206</v>
      </c>
      <c r="Q225" s="391" t="s">
        <v>442</v>
      </c>
    </row>
    <row r="226" spans="1:17">
      <c r="A226" s="389" t="s">
        <v>208</v>
      </c>
      <c r="B226" s="389" t="s">
        <v>193</v>
      </c>
      <c r="C226" s="389" t="s">
        <v>188</v>
      </c>
      <c r="D226" s="390" t="s">
        <v>208</v>
      </c>
      <c r="E226" s="391" t="s">
        <v>244</v>
      </c>
      <c r="F226" s="391" t="s">
        <v>391</v>
      </c>
      <c r="G226" s="391" t="s">
        <v>349</v>
      </c>
      <c r="H226" s="393">
        <v>42471.634004629632</v>
      </c>
      <c r="I226" s="391"/>
      <c r="J226" s="391" t="s">
        <v>208</v>
      </c>
      <c r="K226" s="391">
        <v>4</v>
      </c>
      <c r="L226" s="391"/>
      <c r="M226" s="394"/>
      <c r="N226" s="393" t="s">
        <v>208</v>
      </c>
      <c r="O226" s="393"/>
      <c r="P226" s="391" t="s">
        <v>206</v>
      </c>
      <c r="Q226" s="391" t="s">
        <v>350</v>
      </c>
    </row>
    <row r="227" spans="1:17">
      <c r="A227" s="389" t="s">
        <v>279</v>
      </c>
      <c r="B227" s="389" t="s">
        <v>216</v>
      </c>
      <c r="C227" s="389" t="s">
        <v>188</v>
      </c>
      <c r="D227" s="390" t="s">
        <v>279</v>
      </c>
      <c r="E227" s="391" t="s">
        <v>231</v>
      </c>
      <c r="F227" s="391" t="s">
        <v>520</v>
      </c>
      <c r="G227" s="391" t="s">
        <v>421</v>
      </c>
      <c r="H227" s="393">
        <v>42678.468518518515</v>
      </c>
      <c r="I227" s="391"/>
      <c r="J227" s="391" t="s">
        <v>279</v>
      </c>
      <c r="K227" s="391">
        <v>2</v>
      </c>
      <c r="L227" s="391"/>
      <c r="M227" s="394"/>
      <c r="N227" s="393" t="s">
        <v>279</v>
      </c>
      <c r="O227" s="393"/>
      <c r="P227" s="391" t="s">
        <v>206</v>
      </c>
      <c r="Q227" s="391" t="s">
        <v>422</v>
      </c>
    </row>
    <row r="228" spans="1:17">
      <c r="A228" s="389" t="s">
        <v>279</v>
      </c>
      <c r="B228" s="389" t="s">
        <v>187</v>
      </c>
      <c r="C228" s="389" t="s">
        <v>188</v>
      </c>
      <c r="D228" s="390" t="s">
        <v>279</v>
      </c>
      <c r="E228" s="391" t="s">
        <v>231</v>
      </c>
      <c r="F228" s="391" t="s">
        <v>540</v>
      </c>
      <c r="G228" s="391" t="s">
        <v>441</v>
      </c>
      <c r="H228" s="393">
        <v>42745.072997685187</v>
      </c>
      <c r="I228" s="391"/>
      <c r="J228" s="391" t="s">
        <v>279</v>
      </c>
      <c r="K228" s="391">
        <v>1</v>
      </c>
      <c r="L228" s="391"/>
      <c r="M228" s="394"/>
      <c r="N228" s="393" t="s">
        <v>279</v>
      </c>
      <c r="O228" s="393"/>
      <c r="P228" s="391" t="s">
        <v>206</v>
      </c>
      <c r="Q228" s="391" t="s">
        <v>442</v>
      </c>
    </row>
    <row r="229" spans="1:17">
      <c r="A229" s="389" t="s">
        <v>279</v>
      </c>
      <c r="B229" s="389" t="s">
        <v>193</v>
      </c>
      <c r="C229" s="389" t="s">
        <v>188</v>
      </c>
      <c r="D229" s="390" t="s">
        <v>279</v>
      </c>
      <c r="E229" s="391" t="s">
        <v>231</v>
      </c>
      <c r="F229" s="391" t="s">
        <v>385</v>
      </c>
      <c r="G229" s="391" t="s">
        <v>349</v>
      </c>
      <c r="H229" s="393">
        <v>42471.633993055555</v>
      </c>
      <c r="I229" s="391"/>
      <c r="J229" s="391" t="s">
        <v>279</v>
      </c>
      <c r="K229" s="391">
        <v>4</v>
      </c>
      <c r="L229" s="391"/>
      <c r="M229" s="394"/>
      <c r="N229" s="393" t="s">
        <v>279</v>
      </c>
      <c r="O229" s="393"/>
      <c r="P229" s="391" t="s">
        <v>206</v>
      </c>
      <c r="Q229" s="391" t="s">
        <v>350</v>
      </c>
    </row>
    <row r="230" spans="1:17">
      <c r="A230" s="389" t="s">
        <v>279</v>
      </c>
      <c r="B230" s="389" t="s">
        <v>193</v>
      </c>
      <c r="C230" s="389" t="s">
        <v>188</v>
      </c>
      <c r="D230" s="390" t="s">
        <v>279</v>
      </c>
      <c r="E230" s="391" t="s">
        <v>231</v>
      </c>
      <c r="F230" s="391" t="s">
        <v>879</v>
      </c>
      <c r="G230" s="391" t="s">
        <v>571</v>
      </c>
      <c r="H230" s="393">
        <v>42922.077696759261</v>
      </c>
      <c r="I230" s="391"/>
      <c r="J230" s="391" t="s">
        <v>279</v>
      </c>
      <c r="K230" s="391">
        <v>1</v>
      </c>
      <c r="L230" s="391"/>
      <c r="M230" s="394"/>
      <c r="N230" s="393" t="s">
        <v>279</v>
      </c>
      <c r="O230" s="393"/>
      <c r="P230" s="391" t="s">
        <v>206</v>
      </c>
      <c r="Q230" s="391" t="s">
        <v>599</v>
      </c>
    </row>
    <row r="231" spans="1:17">
      <c r="A231" s="389" t="s">
        <v>279</v>
      </c>
      <c r="B231" s="389" t="s">
        <v>216</v>
      </c>
      <c r="C231" s="389" t="s">
        <v>188</v>
      </c>
      <c r="D231" s="390" t="s">
        <v>279</v>
      </c>
      <c r="E231" s="391" t="s">
        <v>231</v>
      </c>
      <c r="F231" s="391" t="s">
        <v>880</v>
      </c>
      <c r="G231" s="391" t="s">
        <v>594</v>
      </c>
      <c r="H231" s="393">
        <v>42922.077708333331</v>
      </c>
      <c r="I231" s="391"/>
      <c r="J231" s="391" t="s">
        <v>279</v>
      </c>
      <c r="K231" s="391">
        <v>1</v>
      </c>
      <c r="L231" s="391"/>
      <c r="M231" s="394"/>
      <c r="N231" s="393" t="s">
        <v>279</v>
      </c>
      <c r="O231" s="393"/>
      <c r="P231" s="391" t="s">
        <v>206</v>
      </c>
      <c r="Q231" s="391" t="s">
        <v>595</v>
      </c>
    </row>
    <row r="232" spans="1:17">
      <c r="A232" s="389" t="s">
        <v>279</v>
      </c>
      <c r="B232" s="389" t="s">
        <v>216</v>
      </c>
      <c r="C232" s="389"/>
      <c r="D232" s="390"/>
      <c r="E232" s="391"/>
      <c r="F232" s="391" t="s">
        <v>881</v>
      </c>
      <c r="G232" s="391" t="s">
        <v>598</v>
      </c>
      <c r="H232" s="393">
        <v>42922.077824074076</v>
      </c>
      <c r="I232" s="391"/>
      <c r="J232" s="391" t="s">
        <v>279</v>
      </c>
      <c r="K232" s="391">
        <v>1</v>
      </c>
      <c r="L232" s="391"/>
      <c r="M232" s="394"/>
      <c r="N232" s="393" t="s">
        <v>279</v>
      </c>
      <c r="O232" s="393"/>
      <c r="P232" s="391" t="s">
        <v>206</v>
      </c>
      <c r="Q232" s="391" t="s">
        <v>541</v>
      </c>
    </row>
    <row r="233" spans="1:17">
      <c r="A233" s="389" t="s">
        <v>279</v>
      </c>
      <c r="B233" s="389" t="s">
        <v>216</v>
      </c>
      <c r="C233" s="389"/>
      <c r="D233" s="390"/>
      <c r="E233" s="391"/>
      <c r="F233" s="391" t="s">
        <v>882</v>
      </c>
      <c r="G233" s="391" t="s">
        <v>600</v>
      </c>
      <c r="H233" s="393">
        <v>42922.077731481484</v>
      </c>
      <c r="I233" s="391"/>
      <c r="J233" s="391" t="s">
        <v>279</v>
      </c>
      <c r="K233" s="391">
        <v>1</v>
      </c>
      <c r="L233" s="391"/>
      <c r="M233" s="394"/>
      <c r="N233" s="393" t="s">
        <v>279</v>
      </c>
      <c r="O233" s="393"/>
      <c r="P233" s="391" t="s">
        <v>206</v>
      </c>
      <c r="Q233" s="391" t="s">
        <v>601</v>
      </c>
    </row>
    <row r="234" spans="1:17">
      <c r="A234" s="389" t="s">
        <v>279</v>
      </c>
      <c r="B234" s="389" t="s">
        <v>216</v>
      </c>
      <c r="C234" s="389"/>
      <c r="D234" s="390"/>
      <c r="E234" s="391"/>
      <c r="F234" s="391" t="s">
        <v>883</v>
      </c>
      <c r="G234" s="391" t="s">
        <v>596</v>
      </c>
      <c r="H234" s="393">
        <v>42922.07775462963</v>
      </c>
      <c r="I234" s="391"/>
      <c r="J234" s="391" t="s">
        <v>279</v>
      </c>
      <c r="K234" s="391">
        <v>1</v>
      </c>
      <c r="L234" s="391"/>
      <c r="M234" s="394"/>
      <c r="N234" s="393" t="s">
        <v>279</v>
      </c>
      <c r="O234" s="393"/>
      <c r="P234" s="391" t="s">
        <v>206</v>
      </c>
      <c r="Q234" s="391" t="s">
        <v>597</v>
      </c>
    </row>
    <row r="235" spans="1:17">
      <c r="A235" s="389" t="s">
        <v>268</v>
      </c>
      <c r="B235" s="389" t="s">
        <v>187</v>
      </c>
      <c r="C235" s="389" t="s">
        <v>188</v>
      </c>
      <c r="D235" s="390" t="s">
        <v>268</v>
      </c>
      <c r="E235" s="391" t="s">
        <v>207</v>
      </c>
      <c r="F235" s="391" t="s">
        <v>525</v>
      </c>
      <c r="G235" s="391" t="s">
        <v>441</v>
      </c>
      <c r="H235" s="393">
        <v>42694.487245370372</v>
      </c>
      <c r="I235" s="391"/>
      <c r="J235" s="391" t="s">
        <v>268</v>
      </c>
      <c r="K235" s="391">
        <v>1</v>
      </c>
      <c r="L235" s="391"/>
      <c r="M235" s="394"/>
      <c r="N235" s="393" t="s">
        <v>268</v>
      </c>
      <c r="O235" s="393"/>
      <c r="P235" s="391" t="s">
        <v>206</v>
      </c>
      <c r="Q235" s="391" t="s">
        <v>442</v>
      </c>
    </row>
    <row r="236" spans="1:17">
      <c r="A236" s="389" t="s">
        <v>268</v>
      </c>
      <c r="B236" s="389" t="s">
        <v>193</v>
      </c>
      <c r="C236" s="389" t="s">
        <v>188</v>
      </c>
      <c r="D236" s="390" t="s">
        <v>268</v>
      </c>
      <c r="E236" s="391" t="s">
        <v>207</v>
      </c>
      <c r="F236" s="391" t="s">
        <v>384</v>
      </c>
      <c r="G236" s="391" t="s">
        <v>349</v>
      </c>
      <c r="H236" s="393">
        <v>42471.633981481478</v>
      </c>
      <c r="I236" s="391"/>
      <c r="J236" s="391" t="s">
        <v>268</v>
      </c>
      <c r="K236" s="391">
        <v>4</v>
      </c>
      <c r="L236" s="391"/>
      <c r="M236" s="394"/>
      <c r="N236" s="393" t="s">
        <v>268</v>
      </c>
      <c r="O236" s="393"/>
      <c r="P236" s="391" t="s">
        <v>206</v>
      </c>
      <c r="Q236" s="391" t="s">
        <v>350</v>
      </c>
    </row>
    <row r="237" spans="1:17">
      <c r="A237" s="389" t="s">
        <v>268</v>
      </c>
      <c r="B237" s="389" t="s">
        <v>193</v>
      </c>
      <c r="C237" s="389" t="s">
        <v>188</v>
      </c>
      <c r="D237" s="390" t="s">
        <v>268</v>
      </c>
      <c r="E237" s="391" t="s">
        <v>207</v>
      </c>
      <c r="F237" s="391" t="s">
        <v>477</v>
      </c>
      <c r="G237" s="391" t="s">
        <v>421</v>
      </c>
      <c r="H237" s="393">
        <v>42647.853819444441</v>
      </c>
      <c r="I237" s="391"/>
      <c r="J237" s="391" t="s">
        <v>268</v>
      </c>
      <c r="K237" s="391">
        <v>2</v>
      </c>
      <c r="L237" s="391"/>
      <c r="M237" s="394"/>
      <c r="N237" s="393" t="s">
        <v>268</v>
      </c>
      <c r="O237" s="393"/>
      <c r="P237" s="391" t="s">
        <v>206</v>
      </c>
      <c r="Q237" s="391" t="s">
        <v>422</v>
      </c>
    </row>
    <row r="238" spans="1:17">
      <c r="A238" s="389" t="s">
        <v>268</v>
      </c>
      <c r="B238" s="389" t="s">
        <v>193</v>
      </c>
      <c r="C238" s="389" t="s">
        <v>188</v>
      </c>
      <c r="D238" s="390" t="s">
        <v>268</v>
      </c>
      <c r="E238" s="391" t="s">
        <v>207</v>
      </c>
      <c r="F238" s="391" t="s">
        <v>997</v>
      </c>
      <c r="G238" s="391" t="s">
        <v>552</v>
      </c>
      <c r="H238" s="393">
        <v>42930.878923611112</v>
      </c>
      <c r="I238" s="391"/>
      <c r="J238" s="391" t="s">
        <v>268</v>
      </c>
      <c r="K238" s="391">
        <v>1</v>
      </c>
      <c r="L238" s="391"/>
      <c r="M238" s="394"/>
      <c r="N238" s="393" t="s">
        <v>268</v>
      </c>
      <c r="O238" s="393"/>
      <c r="P238" s="391" t="s">
        <v>206</v>
      </c>
      <c r="Q238" s="391" t="s">
        <v>1003</v>
      </c>
    </row>
    <row r="239" spans="1:17">
      <c r="A239" s="389" t="s">
        <v>268</v>
      </c>
      <c r="B239" s="389" t="s">
        <v>428</v>
      </c>
      <c r="C239" s="389" t="s">
        <v>188</v>
      </c>
      <c r="D239" s="390" t="s">
        <v>268</v>
      </c>
      <c r="E239" s="391" t="s">
        <v>207</v>
      </c>
      <c r="F239" s="391" t="s">
        <v>942</v>
      </c>
      <c r="G239" s="391" t="s">
        <v>629</v>
      </c>
      <c r="H239" s="393">
        <v>42928.796956018516</v>
      </c>
      <c r="I239" s="391"/>
      <c r="J239" s="391" t="s">
        <v>268</v>
      </c>
      <c r="K239" s="391">
        <v>1</v>
      </c>
      <c r="L239" s="391"/>
      <c r="M239" s="394"/>
      <c r="N239" s="393" t="s">
        <v>268</v>
      </c>
      <c r="O239" s="393"/>
      <c r="P239" s="391" t="s">
        <v>206</v>
      </c>
      <c r="Q239" s="391" t="s">
        <v>854</v>
      </c>
    </row>
    <row r="240" spans="1:17">
      <c r="A240" s="389" t="s">
        <v>278</v>
      </c>
      <c r="B240" s="389" t="s">
        <v>187</v>
      </c>
      <c r="C240" s="389" t="s">
        <v>188</v>
      </c>
      <c r="D240" s="390" t="s">
        <v>278</v>
      </c>
      <c r="E240" s="391" t="s">
        <v>207</v>
      </c>
      <c r="F240" s="391" t="s">
        <v>573</v>
      </c>
      <c r="G240" s="391" t="s">
        <v>441</v>
      </c>
      <c r="H240" s="393">
        <v>42836.23846064815</v>
      </c>
      <c r="I240" s="391"/>
      <c r="J240" s="391" t="s">
        <v>278</v>
      </c>
      <c r="K240" s="391">
        <v>1</v>
      </c>
      <c r="L240" s="391"/>
      <c r="M240" s="394"/>
      <c r="N240" s="393" t="s">
        <v>278</v>
      </c>
      <c r="O240" s="393"/>
      <c r="P240" s="391" t="s">
        <v>206</v>
      </c>
      <c r="Q240" s="391" t="s">
        <v>442</v>
      </c>
    </row>
    <row r="241" spans="1:17">
      <c r="A241" s="389" t="s">
        <v>278</v>
      </c>
      <c r="B241" s="389" t="s">
        <v>193</v>
      </c>
      <c r="C241" s="389" t="s">
        <v>188</v>
      </c>
      <c r="D241" s="390" t="s">
        <v>278</v>
      </c>
      <c r="E241" s="391" t="s">
        <v>207</v>
      </c>
      <c r="F241" s="391" t="s">
        <v>383</v>
      </c>
      <c r="G241" s="391" t="s">
        <v>349</v>
      </c>
      <c r="H241" s="393">
        <v>42471.633969907409</v>
      </c>
      <c r="I241" s="391"/>
      <c r="J241" s="391" t="s">
        <v>278</v>
      </c>
      <c r="K241" s="391">
        <v>4</v>
      </c>
      <c r="L241" s="391"/>
      <c r="M241" s="394"/>
      <c r="N241" s="393" t="s">
        <v>278</v>
      </c>
      <c r="O241" s="393"/>
      <c r="P241" s="391" t="s">
        <v>206</v>
      </c>
      <c r="Q241" s="391" t="s">
        <v>350</v>
      </c>
    </row>
    <row r="242" spans="1:17">
      <c r="A242" s="389" t="s">
        <v>278</v>
      </c>
      <c r="B242" s="389" t="s">
        <v>193</v>
      </c>
      <c r="C242" s="389" t="s">
        <v>188</v>
      </c>
      <c r="D242" s="390" t="s">
        <v>278</v>
      </c>
      <c r="E242" s="391" t="s">
        <v>207</v>
      </c>
      <c r="F242" s="391" t="s">
        <v>910</v>
      </c>
      <c r="G242" s="391" t="s">
        <v>629</v>
      </c>
      <c r="H242" s="393">
        <v>42927.095219907409</v>
      </c>
      <c r="I242" s="391"/>
      <c r="J242" s="391" t="s">
        <v>278</v>
      </c>
      <c r="K242" s="391">
        <v>1</v>
      </c>
      <c r="L242" s="391"/>
      <c r="M242" s="394"/>
      <c r="N242" s="393" t="s">
        <v>278</v>
      </c>
      <c r="O242" s="393"/>
      <c r="P242" s="391" t="s">
        <v>206</v>
      </c>
      <c r="Q242" s="391" t="s">
        <v>801</v>
      </c>
    </row>
    <row r="243" spans="1:17">
      <c r="A243" s="389" t="s">
        <v>278</v>
      </c>
      <c r="B243" s="389" t="s">
        <v>187</v>
      </c>
      <c r="C243" s="389" t="s">
        <v>188</v>
      </c>
      <c r="D243" s="390" t="s">
        <v>278</v>
      </c>
      <c r="E243" s="391" t="s">
        <v>207</v>
      </c>
      <c r="F243" s="391" t="s">
        <v>775</v>
      </c>
      <c r="G243" s="391" t="s">
        <v>421</v>
      </c>
      <c r="H243" s="393">
        <v>42908.861608796295</v>
      </c>
      <c r="I243" s="391"/>
      <c r="J243" s="391" t="s">
        <v>278</v>
      </c>
      <c r="K243" s="391">
        <v>2</v>
      </c>
      <c r="L243" s="391"/>
      <c r="M243" s="394"/>
      <c r="N243" s="393" t="s">
        <v>278</v>
      </c>
      <c r="O243" s="393"/>
      <c r="P243" s="391" t="s">
        <v>206</v>
      </c>
      <c r="Q243" s="391" t="s">
        <v>422</v>
      </c>
    </row>
    <row r="244" spans="1:17">
      <c r="A244" s="389" t="s">
        <v>277</v>
      </c>
      <c r="B244" s="389" t="s">
        <v>187</v>
      </c>
      <c r="C244" s="389" t="s">
        <v>188</v>
      </c>
      <c r="D244" s="390" t="s">
        <v>277</v>
      </c>
      <c r="E244" s="391" t="s">
        <v>258</v>
      </c>
      <c r="F244" s="391" t="s">
        <v>464</v>
      </c>
      <c r="G244" s="391" t="s">
        <v>421</v>
      </c>
      <c r="H244" s="393">
        <v>42632.620833333334</v>
      </c>
      <c r="I244" s="391"/>
      <c r="J244" s="391" t="s">
        <v>277</v>
      </c>
      <c r="K244" s="391">
        <v>2</v>
      </c>
      <c r="L244" s="391"/>
      <c r="M244" s="394"/>
      <c r="N244" s="393" t="s">
        <v>277</v>
      </c>
      <c r="O244" s="393"/>
      <c r="P244" s="391" t="s">
        <v>206</v>
      </c>
      <c r="Q244" s="391" t="s">
        <v>422</v>
      </c>
    </row>
    <row r="245" spans="1:17">
      <c r="A245" s="389" t="s">
        <v>277</v>
      </c>
      <c r="B245" s="389" t="s">
        <v>187</v>
      </c>
      <c r="C245" s="389" t="s">
        <v>188</v>
      </c>
      <c r="D245" s="390" t="s">
        <v>277</v>
      </c>
      <c r="E245" s="391" t="s">
        <v>258</v>
      </c>
      <c r="F245" s="391" t="s">
        <v>449</v>
      </c>
      <c r="G245" s="391" t="s">
        <v>441</v>
      </c>
      <c r="H245" s="393">
        <v>42597.091979166667</v>
      </c>
      <c r="I245" s="391"/>
      <c r="J245" s="391" t="s">
        <v>277</v>
      </c>
      <c r="K245" s="391">
        <v>1</v>
      </c>
      <c r="L245" s="391"/>
      <c r="M245" s="394"/>
      <c r="N245" s="393" t="s">
        <v>277</v>
      </c>
      <c r="O245" s="393"/>
      <c r="P245" s="391" t="s">
        <v>206</v>
      </c>
      <c r="Q245" s="391" t="s">
        <v>442</v>
      </c>
    </row>
    <row r="246" spans="1:17">
      <c r="A246" s="389" t="s">
        <v>277</v>
      </c>
      <c r="B246" s="389" t="s">
        <v>193</v>
      </c>
      <c r="C246" s="389" t="s">
        <v>188</v>
      </c>
      <c r="D246" s="390" t="s">
        <v>277</v>
      </c>
      <c r="E246" s="391" t="s">
        <v>258</v>
      </c>
      <c r="F246" s="391" t="s">
        <v>357</v>
      </c>
      <c r="G246" s="391" t="s">
        <v>349</v>
      </c>
      <c r="H246" s="393">
        <v>42471.633958333332</v>
      </c>
      <c r="I246" s="391"/>
      <c r="J246" s="391" t="s">
        <v>277</v>
      </c>
      <c r="K246" s="391">
        <v>4</v>
      </c>
      <c r="L246" s="391"/>
      <c r="M246" s="394"/>
      <c r="N246" s="393" t="s">
        <v>277</v>
      </c>
      <c r="O246" s="393"/>
      <c r="P246" s="391" t="s">
        <v>206</v>
      </c>
      <c r="Q246" s="391" t="s">
        <v>350</v>
      </c>
    </row>
    <row r="247" spans="1:17">
      <c r="A247" s="389" t="s">
        <v>276</v>
      </c>
      <c r="B247" s="389" t="s">
        <v>187</v>
      </c>
      <c r="C247" s="389" t="s">
        <v>188</v>
      </c>
      <c r="D247" s="390" t="s">
        <v>276</v>
      </c>
      <c r="E247" s="391" t="s">
        <v>207</v>
      </c>
      <c r="F247" s="391" t="s">
        <v>487</v>
      </c>
      <c r="G247" s="391" t="s">
        <v>421</v>
      </c>
      <c r="H247" s="393">
        <v>42652.672129629631</v>
      </c>
      <c r="I247" s="391"/>
      <c r="J247" s="391" t="s">
        <v>276</v>
      </c>
      <c r="K247" s="391">
        <v>2</v>
      </c>
      <c r="L247" s="391"/>
      <c r="M247" s="394"/>
      <c r="N247" s="393" t="s">
        <v>276</v>
      </c>
      <c r="O247" s="393"/>
      <c r="P247" s="391" t="s">
        <v>206</v>
      </c>
      <c r="Q247" s="391" t="s">
        <v>422</v>
      </c>
    </row>
    <row r="248" spans="1:17">
      <c r="A248" s="389" t="s">
        <v>276</v>
      </c>
      <c r="B248" s="389" t="s">
        <v>187</v>
      </c>
      <c r="C248" s="389" t="s">
        <v>188</v>
      </c>
      <c r="D248" s="390" t="s">
        <v>276</v>
      </c>
      <c r="E248" s="391" t="s">
        <v>207</v>
      </c>
      <c r="F248" s="391" t="s">
        <v>463</v>
      </c>
      <c r="G248" s="391" t="s">
        <v>441</v>
      </c>
      <c r="H248" s="393">
        <v>42632.548148148147</v>
      </c>
      <c r="I248" s="391"/>
      <c r="J248" s="391" t="s">
        <v>276</v>
      </c>
      <c r="K248" s="391">
        <v>1</v>
      </c>
      <c r="L248" s="391"/>
      <c r="M248" s="394"/>
      <c r="N248" s="393" t="s">
        <v>276</v>
      </c>
      <c r="O248" s="393"/>
      <c r="P248" s="391" t="s">
        <v>206</v>
      </c>
      <c r="Q248" s="391" t="s">
        <v>442</v>
      </c>
    </row>
    <row r="249" spans="1:17">
      <c r="A249" s="389" t="s">
        <v>276</v>
      </c>
      <c r="B249" s="389" t="s">
        <v>193</v>
      </c>
      <c r="C249" s="389" t="s">
        <v>188</v>
      </c>
      <c r="D249" s="390" t="s">
        <v>276</v>
      </c>
      <c r="E249" s="391" t="s">
        <v>207</v>
      </c>
      <c r="F249" s="391" t="s">
        <v>408</v>
      </c>
      <c r="G249" s="391" t="s">
        <v>349</v>
      </c>
      <c r="H249" s="393">
        <v>42471.633946759262</v>
      </c>
      <c r="I249" s="391"/>
      <c r="J249" s="391" t="s">
        <v>276</v>
      </c>
      <c r="K249" s="391">
        <v>4</v>
      </c>
      <c r="L249" s="391"/>
      <c r="M249" s="394"/>
      <c r="N249" s="393" t="s">
        <v>276</v>
      </c>
      <c r="O249" s="393"/>
      <c r="P249" s="391" t="s">
        <v>206</v>
      </c>
      <c r="Q249" s="391" t="s">
        <v>350</v>
      </c>
    </row>
    <row r="250" spans="1:17">
      <c r="A250" s="389" t="s">
        <v>237</v>
      </c>
      <c r="B250" s="389" t="s">
        <v>216</v>
      </c>
      <c r="C250" s="389" t="s">
        <v>188</v>
      </c>
      <c r="D250" s="390" t="s">
        <v>237</v>
      </c>
      <c r="E250" s="391" t="s">
        <v>262</v>
      </c>
      <c r="F250" s="391" t="s">
        <v>523</v>
      </c>
      <c r="G250" s="391" t="s">
        <v>421</v>
      </c>
      <c r="H250" s="393">
        <v>42680.835462962961</v>
      </c>
      <c r="I250" s="391"/>
      <c r="J250" s="391" t="s">
        <v>237</v>
      </c>
      <c r="K250" s="391">
        <v>2</v>
      </c>
      <c r="L250" s="391"/>
      <c r="M250" s="394"/>
      <c r="N250" s="393" t="s">
        <v>237</v>
      </c>
      <c r="O250" s="393"/>
      <c r="P250" s="391" t="s">
        <v>206</v>
      </c>
      <c r="Q250" s="391" t="s">
        <v>422</v>
      </c>
    </row>
    <row r="251" spans="1:17">
      <c r="A251" s="389" t="s">
        <v>237</v>
      </c>
      <c r="B251" s="389" t="s">
        <v>187</v>
      </c>
      <c r="C251" s="389" t="s">
        <v>188</v>
      </c>
      <c r="D251" s="390" t="s">
        <v>237</v>
      </c>
      <c r="E251" s="391" t="s">
        <v>262</v>
      </c>
      <c r="F251" s="391" t="s">
        <v>440</v>
      </c>
      <c r="G251" s="391" t="s">
        <v>441</v>
      </c>
      <c r="H251" s="393">
        <v>42575.874039351853</v>
      </c>
      <c r="I251" s="391"/>
      <c r="J251" s="391" t="s">
        <v>237</v>
      </c>
      <c r="K251" s="391">
        <v>1</v>
      </c>
      <c r="L251" s="391"/>
      <c r="M251" s="394"/>
      <c r="N251" s="393" t="s">
        <v>237</v>
      </c>
      <c r="O251" s="393"/>
      <c r="P251" s="391" t="s">
        <v>206</v>
      </c>
      <c r="Q251" s="391" t="s">
        <v>442</v>
      </c>
    </row>
    <row r="252" spans="1:17">
      <c r="A252" s="389" t="s">
        <v>237</v>
      </c>
      <c r="B252" s="389" t="s">
        <v>193</v>
      </c>
      <c r="C252" s="389" t="s">
        <v>188</v>
      </c>
      <c r="D252" s="390" t="s">
        <v>237</v>
      </c>
      <c r="E252" s="391" t="s">
        <v>262</v>
      </c>
      <c r="F252" s="391" t="s">
        <v>407</v>
      </c>
      <c r="G252" s="391" t="s">
        <v>349</v>
      </c>
      <c r="H252" s="393">
        <v>42471.633935185186</v>
      </c>
      <c r="I252" s="391"/>
      <c r="J252" s="391" t="s">
        <v>237</v>
      </c>
      <c r="K252" s="391">
        <v>4</v>
      </c>
      <c r="L252" s="391"/>
      <c r="M252" s="394"/>
      <c r="N252" s="393" t="s">
        <v>237</v>
      </c>
      <c r="O252" s="393"/>
      <c r="P252" s="391" t="s">
        <v>206</v>
      </c>
      <c r="Q252" s="391" t="s">
        <v>350</v>
      </c>
    </row>
    <row r="253" spans="1:17">
      <c r="A253" s="389" t="s">
        <v>237</v>
      </c>
      <c r="B253" s="389" t="s">
        <v>818</v>
      </c>
      <c r="C253" s="389" t="s">
        <v>188</v>
      </c>
      <c r="D253" s="390" t="s">
        <v>237</v>
      </c>
      <c r="E253" s="391" t="s">
        <v>262</v>
      </c>
      <c r="F253" s="391" t="s">
        <v>579</v>
      </c>
      <c r="G253" s="391" t="s">
        <v>577</v>
      </c>
      <c r="H253" s="393">
        <v>42840.278854166667</v>
      </c>
      <c r="I253" s="391" t="s">
        <v>584</v>
      </c>
      <c r="J253" s="391" t="s">
        <v>237</v>
      </c>
      <c r="K253" s="391">
        <v>2</v>
      </c>
      <c r="L253" s="391" t="s">
        <v>585</v>
      </c>
      <c r="M253" s="394"/>
      <c r="N253" s="393" t="s">
        <v>237</v>
      </c>
      <c r="O253" s="393"/>
      <c r="P253" s="391" t="s">
        <v>206</v>
      </c>
      <c r="Q253" s="391" t="s">
        <v>578</v>
      </c>
    </row>
    <row r="254" spans="1:17">
      <c r="A254" s="389" t="s">
        <v>275</v>
      </c>
      <c r="B254" s="389" t="s">
        <v>187</v>
      </c>
      <c r="C254" s="389" t="s">
        <v>188</v>
      </c>
      <c r="D254" s="390" t="s">
        <v>275</v>
      </c>
      <c r="E254" s="391" t="s">
        <v>254</v>
      </c>
      <c r="F254" s="391" t="s">
        <v>535</v>
      </c>
      <c r="G254" s="391" t="s">
        <v>441</v>
      </c>
      <c r="H254" s="393">
        <v>42723.380671296298</v>
      </c>
      <c r="I254" s="391"/>
      <c r="J254" s="391" t="s">
        <v>275</v>
      </c>
      <c r="K254" s="391">
        <v>1</v>
      </c>
      <c r="L254" s="391"/>
      <c r="M254" s="394"/>
      <c r="N254" s="393" t="s">
        <v>275</v>
      </c>
      <c r="O254" s="393"/>
      <c r="P254" s="391" t="s">
        <v>206</v>
      </c>
      <c r="Q254" s="391" t="s">
        <v>442</v>
      </c>
    </row>
    <row r="255" spans="1:17">
      <c r="A255" s="389" t="s">
        <v>275</v>
      </c>
      <c r="B255" s="389" t="s">
        <v>193</v>
      </c>
      <c r="C255" s="389" t="s">
        <v>188</v>
      </c>
      <c r="D255" s="390" t="s">
        <v>275</v>
      </c>
      <c r="E255" s="391" t="s">
        <v>254</v>
      </c>
      <c r="F255" s="391" t="s">
        <v>377</v>
      </c>
      <c r="G255" s="391" t="s">
        <v>349</v>
      </c>
      <c r="H255" s="393">
        <v>42471.633912037039</v>
      </c>
      <c r="I255" s="391"/>
      <c r="J255" s="391" t="s">
        <v>275</v>
      </c>
      <c r="K255" s="391">
        <v>4</v>
      </c>
      <c r="L255" s="391"/>
      <c r="M255" s="394"/>
      <c r="N255" s="393" t="s">
        <v>275</v>
      </c>
      <c r="O255" s="393"/>
      <c r="P255" s="391" t="s">
        <v>206</v>
      </c>
      <c r="Q255" s="391" t="s">
        <v>350</v>
      </c>
    </row>
    <row r="256" spans="1:17">
      <c r="A256" s="389" t="s">
        <v>275</v>
      </c>
      <c r="B256" s="389" t="s">
        <v>187</v>
      </c>
      <c r="C256" s="389" t="s">
        <v>188</v>
      </c>
      <c r="D256" s="390" t="s">
        <v>275</v>
      </c>
      <c r="E256" s="391" t="s">
        <v>254</v>
      </c>
      <c r="F256" s="391" t="s">
        <v>491</v>
      </c>
      <c r="G256" s="391" t="s">
        <v>421</v>
      </c>
      <c r="H256" s="393">
        <v>42656.972418981481</v>
      </c>
      <c r="I256" s="391"/>
      <c r="J256" s="391" t="s">
        <v>275</v>
      </c>
      <c r="K256" s="391">
        <v>2</v>
      </c>
      <c r="L256" s="391"/>
      <c r="M256" s="394"/>
      <c r="N256" s="393" t="s">
        <v>275</v>
      </c>
      <c r="O256" s="393"/>
      <c r="P256" s="391" t="s">
        <v>206</v>
      </c>
      <c r="Q256" s="391" t="s">
        <v>422</v>
      </c>
    </row>
    <row r="257" spans="1:17">
      <c r="A257" s="389" t="s">
        <v>274</v>
      </c>
      <c r="B257" s="389" t="s">
        <v>187</v>
      </c>
      <c r="C257" s="389" t="s">
        <v>188</v>
      </c>
      <c r="D257" s="390" t="s">
        <v>274</v>
      </c>
      <c r="E257" s="391" t="s">
        <v>231</v>
      </c>
      <c r="F257" s="391" t="s">
        <v>455</v>
      </c>
      <c r="G257" s="391" t="s">
        <v>441</v>
      </c>
      <c r="H257" s="393">
        <v>42617.579965277779</v>
      </c>
      <c r="I257" s="391"/>
      <c r="J257" s="391" t="s">
        <v>274</v>
      </c>
      <c r="K257" s="391">
        <v>1</v>
      </c>
      <c r="L257" s="391"/>
      <c r="M257" s="394"/>
      <c r="N257" s="393" t="s">
        <v>274</v>
      </c>
      <c r="O257" s="393"/>
      <c r="P257" s="391" t="s">
        <v>206</v>
      </c>
      <c r="Q257" s="391" t="s">
        <v>442</v>
      </c>
    </row>
    <row r="258" spans="1:17">
      <c r="A258" s="389" t="s">
        <v>274</v>
      </c>
      <c r="B258" s="389" t="s">
        <v>193</v>
      </c>
      <c r="C258" s="389" t="s">
        <v>188</v>
      </c>
      <c r="D258" s="390" t="s">
        <v>274</v>
      </c>
      <c r="E258" s="391" t="s">
        <v>231</v>
      </c>
      <c r="F258" s="391" t="s">
        <v>499</v>
      </c>
      <c r="G258" s="391" t="s">
        <v>432</v>
      </c>
      <c r="H258" s="393">
        <v>42663.537534722222</v>
      </c>
      <c r="I258" s="391" t="s">
        <v>451</v>
      </c>
      <c r="J258" s="391" t="s">
        <v>274</v>
      </c>
      <c r="K258" s="391">
        <v>2</v>
      </c>
      <c r="L258" s="391" t="s">
        <v>452</v>
      </c>
      <c r="M258" s="394"/>
      <c r="N258" s="393" t="s">
        <v>274</v>
      </c>
      <c r="O258" s="393"/>
      <c r="P258" s="391" t="s">
        <v>206</v>
      </c>
      <c r="Q258" s="391" t="s">
        <v>422</v>
      </c>
    </row>
    <row r="259" spans="1:17">
      <c r="A259" s="389" t="s">
        <v>274</v>
      </c>
      <c r="B259" s="389" t="s">
        <v>187</v>
      </c>
      <c r="C259" s="389" t="s">
        <v>188</v>
      </c>
      <c r="D259" s="390" t="s">
        <v>274</v>
      </c>
      <c r="E259" s="391" t="s">
        <v>231</v>
      </c>
      <c r="F259" s="391" t="s">
        <v>498</v>
      </c>
      <c r="G259" s="391" t="s">
        <v>421</v>
      </c>
      <c r="H259" s="393">
        <v>42661.052499999998</v>
      </c>
      <c r="I259" s="391"/>
      <c r="J259" s="391" t="s">
        <v>274</v>
      </c>
      <c r="K259" s="391">
        <v>2</v>
      </c>
      <c r="L259" s="391"/>
      <c r="M259" s="394"/>
      <c r="N259" s="393" t="s">
        <v>274</v>
      </c>
      <c r="O259" s="393"/>
      <c r="P259" s="391" t="s">
        <v>206</v>
      </c>
      <c r="Q259" s="391" t="s">
        <v>422</v>
      </c>
    </row>
    <row r="260" spans="1:17">
      <c r="A260" s="389" t="s">
        <v>274</v>
      </c>
      <c r="B260" s="389" t="s">
        <v>193</v>
      </c>
      <c r="C260" s="389" t="s">
        <v>188</v>
      </c>
      <c r="D260" s="390" t="s">
        <v>274</v>
      </c>
      <c r="E260" s="391" t="s">
        <v>231</v>
      </c>
      <c r="F260" s="391" t="s">
        <v>378</v>
      </c>
      <c r="G260" s="391" t="s">
        <v>349</v>
      </c>
      <c r="H260" s="393">
        <v>42471.633900462963</v>
      </c>
      <c r="I260" s="391"/>
      <c r="J260" s="391" t="s">
        <v>274</v>
      </c>
      <c r="K260" s="391">
        <v>4</v>
      </c>
      <c r="L260" s="391"/>
      <c r="M260" s="394"/>
      <c r="N260" s="393" t="s">
        <v>274</v>
      </c>
      <c r="O260" s="393"/>
      <c r="P260" s="391" t="s">
        <v>206</v>
      </c>
      <c r="Q260" s="391" t="s">
        <v>350</v>
      </c>
    </row>
    <row r="261" spans="1:17">
      <c r="A261" s="389" t="s">
        <v>274</v>
      </c>
      <c r="B261" s="389" t="s">
        <v>187</v>
      </c>
      <c r="C261" s="389" t="s">
        <v>188</v>
      </c>
      <c r="D261" s="390" t="s">
        <v>274</v>
      </c>
      <c r="E261" s="391" t="s">
        <v>231</v>
      </c>
      <c r="F261" s="391" t="s">
        <v>1022</v>
      </c>
      <c r="G261" s="391" t="s">
        <v>629</v>
      </c>
      <c r="H261" s="393">
        <v>42931.957118055558</v>
      </c>
      <c r="I261" s="391"/>
      <c r="J261" s="391" t="s">
        <v>274</v>
      </c>
      <c r="K261" s="391">
        <v>1</v>
      </c>
      <c r="L261" s="391"/>
      <c r="M261" s="394"/>
      <c r="N261" s="393" t="s">
        <v>274</v>
      </c>
      <c r="O261" s="393"/>
      <c r="P261" s="391" t="s">
        <v>206</v>
      </c>
      <c r="Q261" s="391" t="s">
        <v>1029</v>
      </c>
    </row>
    <row r="262" spans="1:17">
      <c r="A262" s="389" t="s">
        <v>274</v>
      </c>
      <c r="B262" s="389" t="s">
        <v>216</v>
      </c>
      <c r="C262" s="389" t="s">
        <v>188</v>
      </c>
      <c r="D262" s="390" t="s">
        <v>274</v>
      </c>
      <c r="E262" s="391" t="s">
        <v>231</v>
      </c>
      <c r="F262" s="391" t="s">
        <v>827</v>
      </c>
      <c r="G262" s="391" t="s">
        <v>340</v>
      </c>
      <c r="H262" s="393">
        <v>42918.652233796296</v>
      </c>
      <c r="I262" s="391"/>
      <c r="J262" s="391" t="s">
        <v>274</v>
      </c>
      <c r="K262" s="391">
        <v>3</v>
      </c>
      <c r="L262" s="391"/>
      <c r="M262" s="394"/>
      <c r="N262" s="393" t="s">
        <v>274</v>
      </c>
      <c r="O262" s="393"/>
      <c r="P262" s="391" t="s">
        <v>206</v>
      </c>
      <c r="Q262" s="391" t="s">
        <v>343</v>
      </c>
    </row>
    <row r="263" spans="1:17">
      <c r="A263" s="389" t="s">
        <v>273</v>
      </c>
      <c r="B263" s="389" t="s">
        <v>187</v>
      </c>
      <c r="C263" s="389" t="s">
        <v>188</v>
      </c>
      <c r="D263" s="390" t="s">
        <v>273</v>
      </c>
      <c r="E263" s="391" t="s">
        <v>526</v>
      </c>
      <c r="F263" s="391" t="s">
        <v>454</v>
      </c>
      <c r="G263" s="391" t="s">
        <v>441</v>
      </c>
      <c r="H263" s="393">
        <v>42611.206145833334</v>
      </c>
      <c r="I263" s="391"/>
      <c r="J263" s="391" t="s">
        <v>273</v>
      </c>
      <c r="K263" s="391">
        <v>1</v>
      </c>
      <c r="L263" s="391"/>
      <c r="M263" s="394"/>
      <c r="N263" s="393" t="s">
        <v>273</v>
      </c>
      <c r="O263" s="393"/>
      <c r="P263" s="391" t="s">
        <v>206</v>
      </c>
      <c r="Q263" s="391" t="s">
        <v>442</v>
      </c>
    </row>
    <row r="264" spans="1:17">
      <c r="A264" s="389" t="s">
        <v>273</v>
      </c>
      <c r="B264" s="389" t="s">
        <v>187</v>
      </c>
      <c r="C264" s="389" t="s">
        <v>188</v>
      </c>
      <c r="D264" s="390" t="s">
        <v>273</v>
      </c>
      <c r="E264" s="391" t="s">
        <v>526</v>
      </c>
      <c r="F264" s="391" t="s">
        <v>505</v>
      </c>
      <c r="G264" s="391" t="s">
        <v>421</v>
      </c>
      <c r="H264" s="393">
        <v>42668.775752314818</v>
      </c>
      <c r="I264" s="391"/>
      <c r="J264" s="391" t="s">
        <v>273</v>
      </c>
      <c r="K264" s="391">
        <v>2</v>
      </c>
      <c r="L264" s="391"/>
      <c r="M264" s="394"/>
      <c r="N264" s="393" t="s">
        <v>273</v>
      </c>
      <c r="O264" s="393"/>
      <c r="P264" s="391" t="s">
        <v>206</v>
      </c>
      <c r="Q264" s="391" t="s">
        <v>422</v>
      </c>
    </row>
    <row r="265" spans="1:17">
      <c r="A265" s="389" t="s">
        <v>273</v>
      </c>
      <c r="B265" s="389" t="s">
        <v>193</v>
      </c>
      <c r="C265" s="389" t="s">
        <v>188</v>
      </c>
      <c r="D265" s="390" t="s">
        <v>273</v>
      </c>
      <c r="E265" s="391" t="s">
        <v>526</v>
      </c>
      <c r="F265" s="391" t="s">
        <v>356</v>
      </c>
      <c r="G265" s="391" t="s">
        <v>349</v>
      </c>
      <c r="H265" s="393">
        <v>42471.633888888886</v>
      </c>
      <c r="I265" s="391"/>
      <c r="J265" s="391" t="s">
        <v>273</v>
      </c>
      <c r="K265" s="391">
        <v>4</v>
      </c>
      <c r="L265" s="391"/>
      <c r="M265" s="394"/>
      <c r="N265" s="393" t="s">
        <v>273</v>
      </c>
      <c r="O265" s="393"/>
      <c r="P265" s="391" t="s">
        <v>206</v>
      </c>
      <c r="Q265" s="391" t="s">
        <v>350</v>
      </c>
    </row>
    <row r="266" spans="1:17">
      <c r="A266" s="389" t="s">
        <v>249</v>
      </c>
      <c r="B266" s="389" t="s">
        <v>187</v>
      </c>
      <c r="C266" s="389" t="s">
        <v>188</v>
      </c>
      <c r="D266" s="390" t="s">
        <v>249</v>
      </c>
      <c r="E266" s="391" t="s">
        <v>233</v>
      </c>
      <c r="F266" s="391" t="s">
        <v>502</v>
      </c>
      <c r="G266" s="391" t="s">
        <v>421</v>
      </c>
      <c r="H266" s="393">
        <v>42667.540729166663</v>
      </c>
      <c r="I266" s="391"/>
      <c r="J266" s="391" t="s">
        <v>249</v>
      </c>
      <c r="K266" s="391">
        <v>2</v>
      </c>
      <c r="L266" s="391"/>
      <c r="M266" s="394"/>
      <c r="N266" s="393" t="s">
        <v>249</v>
      </c>
      <c r="O266" s="393"/>
      <c r="P266" s="391" t="s">
        <v>206</v>
      </c>
      <c r="Q266" s="391" t="s">
        <v>422</v>
      </c>
    </row>
    <row r="267" spans="1:17">
      <c r="A267" s="389" t="s">
        <v>249</v>
      </c>
      <c r="B267" s="389" t="s">
        <v>187</v>
      </c>
      <c r="C267" s="389" t="s">
        <v>188</v>
      </c>
      <c r="D267" s="390" t="s">
        <v>249</v>
      </c>
      <c r="E267" s="391" t="s">
        <v>233</v>
      </c>
      <c r="F267" s="391" t="s">
        <v>568</v>
      </c>
      <c r="G267" s="391" t="s">
        <v>441</v>
      </c>
      <c r="H267" s="393">
        <v>42820.877245370371</v>
      </c>
      <c r="I267" s="391"/>
      <c r="J267" s="391" t="s">
        <v>249</v>
      </c>
      <c r="K267" s="391">
        <v>1</v>
      </c>
      <c r="L267" s="391"/>
      <c r="M267" s="394"/>
      <c r="N267" s="393" t="s">
        <v>249</v>
      </c>
      <c r="O267" s="393"/>
      <c r="P267" s="391" t="s">
        <v>206</v>
      </c>
      <c r="Q267" s="391" t="s">
        <v>442</v>
      </c>
    </row>
    <row r="268" spans="1:17">
      <c r="A268" s="389" t="s">
        <v>249</v>
      </c>
      <c r="B268" s="389" t="s">
        <v>193</v>
      </c>
      <c r="C268" s="389" t="s">
        <v>188</v>
      </c>
      <c r="D268" s="390" t="s">
        <v>249</v>
      </c>
      <c r="E268" s="391" t="s">
        <v>233</v>
      </c>
      <c r="F268" s="391" t="s">
        <v>406</v>
      </c>
      <c r="G268" s="391" t="s">
        <v>349</v>
      </c>
      <c r="H268" s="393">
        <v>42471.633888888886</v>
      </c>
      <c r="I268" s="391"/>
      <c r="J268" s="391" t="s">
        <v>249</v>
      </c>
      <c r="K268" s="391">
        <v>4</v>
      </c>
      <c r="L268" s="391"/>
      <c r="M268" s="394"/>
      <c r="N268" s="393" t="s">
        <v>249</v>
      </c>
      <c r="O268" s="393"/>
      <c r="P268" s="391" t="s">
        <v>206</v>
      </c>
      <c r="Q268" s="391" t="s">
        <v>350</v>
      </c>
    </row>
    <row r="269" spans="1:17">
      <c r="A269" s="389" t="s">
        <v>261</v>
      </c>
      <c r="B269" s="389" t="s">
        <v>187</v>
      </c>
      <c r="C269" s="389" t="s">
        <v>188</v>
      </c>
      <c r="D269" s="390" t="s">
        <v>261</v>
      </c>
      <c r="E269" s="391" t="s">
        <v>207</v>
      </c>
      <c r="F269" s="391" t="s">
        <v>476</v>
      </c>
      <c r="G269" s="391" t="s">
        <v>441</v>
      </c>
      <c r="H269" s="393">
        <v>42646.844270833331</v>
      </c>
      <c r="I269" s="391"/>
      <c r="J269" s="391" t="s">
        <v>261</v>
      </c>
      <c r="K269" s="391">
        <v>1</v>
      </c>
      <c r="L269" s="391"/>
      <c r="M269" s="394"/>
      <c r="N269" s="393" t="s">
        <v>261</v>
      </c>
      <c r="O269" s="393"/>
      <c r="P269" s="391" t="s">
        <v>206</v>
      </c>
      <c r="Q269" s="391" t="s">
        <v>442</v>
      </c>
    </row>
    <row r="270" spans="1:17">
      <c r="A270" s="389" t="s">
        <v>261</v>
      </c>
      <c r="B270" s="389" t="s">
        <v>187</v>
      </c>
      <c r="C270" s="389" t="s">
        <v>188</v>
      </c>
      <c r="D270" s="390" t="s">
        <v>261</v>
      </c>
      <c r="E270" s="391" t="s">
        <v>207</v>
      </c>
      <c r="F270" s="391" t="s">
        <v>469</v>
      </c>
      <c r="G270" s="391" t="s">
        <v>421</v>
      </c>
      <c r="H270" s="393">
        <v>42637.663634259261</v>
      </c>
      <c r="I270" s="391"/>
      <c r="J270" s="391" t="s">
        <v>261</v>
      </c>
      <c r="K270" s="391">
        <v>2</v>
      </c>
      <c r="L270" s="391"/>
      <c r="M270" s="394"/>
      <c r="N270" s="393" t="s">
        <v>261</v>
      </c>
      <c r="O270" s="393"/>
      <c r="P270" s="391" t="s">
        <v>206</v>
      </c>
      <c r="Q270" s="391" t="s">
        <v>422</v>
      </c>
    </row>
    <row r="271" spans="1:17">
      <c r="A271" s="389" t="s">
        <v>261</v>
      </c>
      <c r="B271" s="389" t="s">
        <v>193</v>
      </c>
      <c r="C271" s="389" t="s">
        <v>188</v>
      </c>
      <c r="D271" s="390" t="s">
        <v>261</v>
      </c>
      <c r="E271" s="391" t="s">
        <v>207</v>
      </c>
      <c r="F271" s="391" t="s">
        <v>405</v>
      </c>
      <c r="G271" s="391" t="s">
        <v>349</v>
      </c>
      <c r="H271" s="393">
        <v>42471.633877314816</v>
      </c>
      <c r="I271" s="391"/>
      <c r="J271" s="391" t="s">
        <v>261</v>
      </c>
      <c r="K271" s="391">
        <v>4</v>
      </c>
      <c r="L271" s="391"/>
      <c r="M271" s="394"/>
      <c r="N271" s="393" t="s">
        <v>261</v>
      </c>
      <c r="O271" s="393"/>
      <c r="P271" s="391" t="s">
        <v>206</v>
      </c>
      <c r="Q271" s="391" t="s">
        <v>350</v>
      </c>
    </row>
    <row r="272" spans="1:17">
      <c r="A272" s="389" t="s">
        <v>251</v>
      </c>
      <c r="B272" s="389" t="s">
        <v>187</v>
      </c>
      <c r="C272" s="389" t="s">
        <v>188</v>
      </c>
      <c r="D272" s="390" t="s">
        <v>251</v>
      </c>
      <c r="E272" s="391" t="s">
        <v>207</v>
      </c>
      <c r="F272" s="391" t="s">
        <v>522</v>
      </c>
      <c r="G272" s="391" t="s">
        <v>441</v>
      </c>
      <c r="H272" s="393">
        <v>42680.927858796298</v>
      </c>
      <c r="I272" s="391"/>
      <c r="J272" s="391" t="s">
        <v>251</v>
      </c>
      <c r="K272" s="391">
        <v>1</v>
      </c>
      <c r="L272" s="391"/>
      <c r="M272" s="394"/>
      <c r="N272" s="393" t="s">
        <v>251</v>
      </c>
      <c r="O272" s="393"/>
      <c r="P272" s="391" t="s">
        <v>206</v>
      </c>
      <c r="Q272" s="391" t="s">
        <v>442</v>
      </c>
    </row>
    <row r="273" spans="1:17">
      <c r="A273" s="389" t="s">
        <v>251</v>
      </c>
      <c r="B273" s="389" t="s">
        <v>193</v>
      </c>
      <c r="C273" s="389" t="s">
        <v>188</v>
      </c>
      <c r="D273" s="390" t="s">
        <v>251</v>
      </c>
      <c r="E273" s="391" t="s">
        <v>207</v>
      </c>
      <c r="F273" s="391" t="s">
        <v>439</v>
      </c>
      <c r="G273" s="391" t="s">
        <v>432</v>
      </c>
      <c r="H273" s="393">
        <v>42568.529814814814</v>
      </c>
      <c r="I273" s="391" t="s">
        <v>451</v>
      </c>
      <c r="J273" s="391" t="s">
        <v>251</v>
      </c>
      <c r="K273" s="391">
        <v>2</v>
      </c>
      <c r="L273" s="391" t="s">
        <v>452</v>
      </c>
      <c r="M273" s="394"/>
      <c r="N273" s="393" t="s">
        <v>251</v>
      </c>
      <c r="O273" s="393"/>
      <c r="P273" s="391" t="s">
        <v>206</v>
      </c>
      <c r="Q273" s="391" t="s">
        <v>422</v>
      </c>
    </row>
    <row r="274" spans="1:17">
      <c r="A274" s="389" t="s">
        <v>251</v>
      </c>
      <c r="B274" s="389" t="s">
        <v>187</v>
      </c>
      <c r="C274" s="389" t="s">
        <v>188</v>
      </c>
      <c r="D274" s="390" t="s">
        <v>251</v>
      </c>
      <c r="E274" s="391" t="s">
        <v>207</v>
      </c>
      <c r="F274" s="391" t="s">
        <v>438</v>
      </c>
      <c r="G274" s="391" t="s">
        <v>421</v>
      </c>
      <c r="H274" s="393">
        <v>42567.491597222222</v>
      </c>
      <c r="I274" s="391"/>
      <c r="J274" s="391" t="s">
        <v>251</v>
      </c>
      <c r="K274" s="391">
        <v>2</v>
      </c>
      <c r="L274" s="391"/>
      <c r="M274" s="394"/>
      <c r="N274" s="393" t="s">
        <v>251</v>
      </c>
      <c r="O274" s="393"/>
      <c r="P274" s="391" t="s">
        <v>206</v>
      </c>
      <c r="Q274" s="391" t="s">
        <v>422</v>
      </c>
    </row>
    <row r="275" spans="1:17">
      <c r="A275" s="389" t="s">
        <v>251</v>
      </c>
      <c r="B275" s="389" t="s">
        <v>193</v>
      </c>
      <c r="C275" s="389" t="s">
        <v>188</v>
      </c>
      <c r="D275" s="390" t="s">
        <v>251</v>
      </c>
      <c r="E275" s="391" t="s">
        <v>207</v>
      </c>
      <c r="F275" s="391" t="s">
        <v>398</v>
      </c>
      <c r="G275" s="391" t="s">
        <v>349</v>
      </c>
      <c r="H275" s="393">
        <v>42471.63386574074</v>
      </c>
      <c r="I275" s="391"/>
      <c r="J275" s="391" t="s">
        <v>251</v>
      </c>
      <c r="K275" s="391">
        <v>4</v>
      </c>
      <c r="L275" s="391"/>
      <c r="M275" s="394"/>
      <c r="N275" s="393" t="s">
        <v>251</v>
      </c>
      <c r="O275" s="393"/>
      <c r="P275" s="391" t="s">
        <v>206</v>
      </c>
      <c r="Q275" s="391" t="s">
        <v>350</v>
      </c>
    </row>
    <row r="276" spans="1:17">
      <c r="A276" s="389" t="s">
        <v>247</v>
      </c>
      <c r="B276" s="389" t="s">
        <v>187</v>
      </c>
      <c r="C276" s="389" t="s">
        <v>188</v>
      </c>
      <c r="D276" s="390" t="s">
        <v>247</v>
      </c>
      <c r="E276" s="391" t="s">
        <v>335</v>
      </c>
      <c r="F276" s="391" t="s">
        <v>450</v>
      </c>
      <c r="G276" s="391" t="s">
        <v>441</v>
      </c>
      <c r="H276" s="393">
        <v>42603.901550925926</v>
      </c>
      <c r="I276" s="391"/>
      <c r="J276" s="391" t="s">
        <v>247</v>
      </c>
      <c r="K276" s="391">
        <v>1</v>
      </c>
      <c r="L276" s="391"/>
      <c r="M276" s="394"/>
      <c r="N276" s="393" t="s">
        <v>247</v>
      </c>
      <c r="O276" s="393"/>
      <c r="P276" s="391" t="s">
        <v>206</v>
      </c>
      <c r="Q276" s="391" t="s">
        <v>442</v>
      </c>
    </row>
    <row r="277" spans="1:17">
      <c r="A277" s="389" t="s">
        <v>247</v>
      </c>
      <c r="B277" s="389" t="s">
        <v>187</v>
      </c>
      <c r="C277" s="389" t="s">
        <v>188</v>
      </c>
      <c r="D277" s="390" t="s">
        <v>247</v>
      </c>
      <c r="E277" s="391" t="s">
        <v>335</v>
      </c>
      <c r="F277" s="391" t="s">
        <v>500</v>
      </c>
      <c r="G277" s="391" t="s">
        <v>421</v>
      </c>
      <c r="H277" s="393">
        <v>42667.024907407409</v>
      </c>
      <c r="I277" s="391"/>
      <c r="J277" s="391" t="s">
        <v>247</v>
      </c>
      <c r="K277" s="391">
        <v>2</v>
      </c>
      <c r="L277" s="391"/>
      <c r="M277" s="394"/>
      <c r="N277" s="393" t="s">
        <v>247</v>
      </c>
      <c r="O277" s="393"/>
      <c r="P277" s="391" t="s">
        <v>206</v>
      </c>
      <c r="Q277" s="391" t="s">
        <v>422</v>
      </c>
    </row>
    <row r="278" spans="1:17">
      <c r="A278" s="389" t="s">
        <v>247</v>
      </c>
      <c r="B278" s="389" t="s">
        <v>193</v>
      </c>
      <c r="C278" s="389" t="s">
        <v>188</v>
      </c>
      <c r="D278" s="390" t="s">
        <v>247</v>
      </c>
      <c r="E278" s="391" t="s">
        <v>335</v>
      </c>
      <c r="F278" s="391" t="s">
        <v>397</v>
      </c>
      <c r="G278" s="391" t="s">
        <v>349</v>
      </c>
      <c r="H278" s="393">
        <v>42471.63385416667</v>
      </c>
      <c r="I278" s="391"/>
      <c r="J278" s="391" t="s">
        <v>247</v>
      </c>
      <c r="K278" s="391">
        <v>4</v>
      </c>
      <c r="L278" s="391"/>
      <c r="M278" s="394"/>
      <c r="N278" s="393" t="s">
        <v>247</v>
      </c>
      <c r="O278" s="393"/>
      <c r="P278" s="391" t="s">
        <v>206</v>
      </c>
      <c r="Q278" s="391" t="s">
        <v>350</v>
      </c>
    </row>
    <row r="279" spans="1:17">
      <c r="A279" s="389" t="s">
        <v>264</v>
      </c>
      <c r="B279" s="389" t="s">
        <v>187</v>
      </c>
      <c r="C279" s="389" t="s">
        <v>188</v>
      </c>
      <c r="D279" s="390" t="s">
        <v>264</v>
      </c>
      <c r="E279" s="391" t="s">
        <v>254</v>
      </c>
      <c r="F279" s="391" t="s">
        <v>488</v>
      </c>
      <c r="G279" s="391" t="s">
        <v>421</v>
      </c>
      <c r="H279" s="393">
        <v>42656.00708333333</v>
      </c>
      <c r="I279" s="391"/>
      <c r="J279" s="391" t="s">
        <v>264</v>
      </c>
      <c r="K279" s="391">
        <v>2</v>
      </c>
      <c r="L279" s="391"/>
      <c r="M279" s="394"/>
      <c r="N279" s="393" t="s">
        <v>264</v>
      </c>
      <c r="O279" s="393"/>
      <c r="P279" s="391" t="s">
        <v>206</v>
      </c>
      <c r="Q279" s="391" t="s">
        <v>422</v>
      </c>
    </row>
    <row r="280" spans="1:17">
      <c r="A280" s="389" t="s">
        <v>264</v>
      </c>
      <c r="B280" s="389" t="s">
        <v>193</v>
      </c>
      <c r="C280" s="389" t="s">
        <v>188</v>
      </c>
      <c r="D280" s="390" t="s">
        <v>264</v>
      </c>
      <c r="E280" s="391" t="s">
        <v>254</v>
      </c>
      <c r="F280" s="391" t="s">
        <v>376</v>
      </c>
      <c r="G280" s="391" t="s">
        <v>349</v>
      </c>
      <c r="H280" s="393">
        <v>42471.633842592593</v>
      </c>
      <c r="I280" s="391"/>
      <c r="J280" s="391" t="s">
        <v>264</v>
      </c>
      <c r="K280" s="391">
        <v>4</v>
      </c>
      <c r="L280" s="391"/>
      <c r="M280" s="394"/>
      <c r="N280" s="393" t="s">
        <v>264</v>
      </c>
      <c r="O280" s="393"/>
      <c r="P280" s="391" t="s">
        <v>206</v>
      </c>
      <c r="Q280" s="391" t="s">
        <v>350</v>
      </c>
    </row>
    <row r="281" spans="1:17">
      <c r="A281" s="389" t="s">
        <v>264</v>
      </c>
      <c r="B281" s="389" t="s">
        <v>187</v>
      </c>
      <c r="C281" s="389" t="s">
        <v>188</v>
      </c>
      <c r="D281" s="390" t="s">
        <v>264</v>
      </c>
      <c r="E281" s="391" t="s">
        <v>254</v>
      </c>
      <c r="F281" s="391" t="s">
        <v>539</v>
      </c>
      <c r="G281" s="391" t="s">
        <v>441</v>
      </c>
      <c r="H281" s="393">
        <v>42736.577488425923</v>
      </c>
      <c r="I281" s="391"/>
      <c r="J281" s="391" t="s">
        <v>264</v>
      </c>
      <c r="K281" s="391">
        <v>1</v>
      </c>
      <c r="L281" s="391"/>
      <c r="M281" s="394"/>
      <c r="N281" s="393" t="s">
        <v>264</v>
      </c>
      <c r="O281" s="393"/>
      <c r="P281" s="391" t="s">
        <v>206</v>
      </c>
      <c r="Q281" s="391" t="s">
        <v>442</v>
      </c>
    </row>
    <row r="282" spans="1:17">
      <c r="A282" s="389" t="s">
        <v>264</v>
      </c>
      <c r="B282" s="389" t="s">
        <v>193</v>
      </c>
      <c r="C282" s="389" t="s">
        <v>188</v>
      </c>
      <c r="D282" s="390" t="s">
        <v>264</v>
      </c>
      <c r="E282" s="391" t="s">
        <v>254</v>
      </c>
      <c r="F282" s="391" t="s">
        <v>1024</v>
      </c>
      <c r="G282" s="391" t="s">
        <v>552</v>
      </c>
      <c r="H282" s="393">
        <v>42931.719837962963</v>
      </c>
      <c r="I282" s="391"/>
      <c r="J282" s="391" t="s">
        <v>264</v>
      </c>
      <c r="K282" s="391">
        <v>1</v>
      </c>
      <c r="L282" s="391"/>
      <c r="M282" s="394"/>
      <c r="N282" s="393" t="s">
        <v>264</v>
      </c>
      <c r="O282" s="393"/>
      <c r="P282" s="391" t="s">
        <v>206</v>
      </c>
      <c r="Q282" s="391" t="s">
        <v>1030</v>
      </c>
    </row>
    <row r="283" spans="1:17">
      <c r="A283" s="389" t="s">
        <v>257</v>
      </c>
      <c r="B283" s="389" t="s">
        <v>187</v>
      </c>
      <c r="C283" s="389" t="s">
        <v>188</v>
      </c>
      <c r="D283" s="390" t="s">
        <v>257</v>
      </c>
      <c r="E283" s="391" t="s">
        <v>207</v>
      </c>
      <c r="F283" s="391" t="s">
        <v>445</v>
      </c>
      <c r="G283" s="391" t="s">
        <v>421</v>
      </c>
      <c r="H283" s="393">
        <v>42587.515115740738</v>
      </c>
      <c r="I283" s="391"/>
      <c r="J283" s="391" t="s">
        <v>257</v>
      </c>
      <c r="K283" s="391">
        <v>2</v>
      </c>
      <c r="L283" s="391"/>
      <c r="M283" s="394"/>
      <c r="N283" s="393" t="s">
        <v>257</v>
      </c>
      <c r="O283" s="393"/>
      <c r="P283" s="391" t="s">
        <v>206</v>
      </c>
      <c r="Q283" s="391" t="s">
        <v>422</v>
      </c>
    </row>
    <row r="284" spans="1:17">
      <c r="A284" s="389" t="s">
        <v>257</v>
      </c>
      <c r="B284" s="389" t="s">
        <v>216</v>
      </c>
      <c r="C284" s="389" t="s">
        <v>188</v>
      </c>
      <c r="D284" s="390" t="s">
        <v>257</v>
      </c>
      <c r="E284" s="391" t="s">
        <v>207</v>
      </c>
      <c r="F284" s="391" t="s">
        <v>646</v>
      </c>
      <c r="G284" s="391" t="s">
        <v>594</v>
      </c>
      <c r="H284" s="393">
        <v>42872.323993055557</v>
      </c>
      <c r="I284" s="391"/>
      <c r="J284" s="391" t="s">
        <v>257</v>
      </c>
      <c r="K284" s="391">
        <v>1</v>
      </c>
      <c r="L284" s="391"/>
      <c r="M284" s="394"/>
      <c r="N284" s="393" t="s">
        <v>257</v>
      </c>
      <c r="O284" s="393"/>
      <c r="P284" s="391" t="s">
        <v>206</v>
      </c>
      <c r="Q284" s="391" t="s">
        <v>595</v>
      </c>
    </row>
    <row r="285" spans="1:17">
      <c r="A285" s="389" t="s">
        <v>257</v>
      </c>
      <c r="B285" s="389" t="s">
        <v>216</v>
      </c>
      <c r="C285" s="389"/>
      <c r="D285" s="390"/>
      <c r="E285" s="391"/>
      <c r="F285" s="391" t="s">
        <v>647</v>
      </c>
      <c r="G285" s="391" t="s">
        <v>600</v>
      </c>
      <c r="H285" s="393">
        <v>42872.32402777778</v>
      </c>
      <c r="I285" s="391"/>
      <c r="J285" s="391" t="s">
        <v>257</v>
      </c>
      <c r="K285" s="391">
        <v>1</v>
      </c>
      <c r="L285" s="391"/>
      <c r="M285" s="394"/>
      <c r="N285" s="393" t="s">
        <v>257</v>
      </c>
      <c r="O285" s="393"/>
      <c r="P285" s="391" t="s">
        <v>206</v>
      </c>
      <c r="Q285" s="391" t="s">
        <v>601</v>
      </c>
    </row>
    <row r="286" spans="1:17">
      <c r="A286" s="389" t="s">
        <v>257</v>
      </c>
      <c r="B286" s="389" t="s">
        <v>216</v>
      </c>
      <c r="C286" s="389"/>
      <c r="D286" s="390"/>
      <c r="E286" s="391"/>
      <c r="F286" s="391" t="s">
        <v>648</v>
      </c>
      <c r="G286" s="391" t="s">
        <v>596</v>
      </c>
      <c r="H286" s="393">
        <v>42872.324050925927</v>
      </c>
      <c r="I286" s="391"/>
      <c r="J286" s="391" t="s">
        <v>257</v>
      </c>
      <c r="K286" s="391">
        <v>1</v>
      </c>
      <c r="L286" s="391"/>
      <c r="M286" s="394"/>
      <c r="N286" s="393" t="s">
        <v>257</v>
      </c>
      <c r="O286" s="393"/>
      <c r="P286" s="391" t="s">
        <v>206</v>
      </c>
      <c r="Q286" s="391" t="s">
        <v>597</v>
      </c>
    </row>
    <row r="287" spans="1:17">
      <c r="A287" s="389" t="s">
        <v>257</v>
      </c>
      <c r="B287" s="389" t="s">
        <v>216</v>
      </c>
      <c r="C287" s="389"/>
      <c r="D287" s="390"/>
      <c r="E287" s="391"/>
      <c r="F287" s="391" t="s">
        <v>649</v>
      </c>
      <c r="G287" s="391" t="s">
        <v>598</v>
      </c>
      <c r="H287" s="393">
        <v>42872.32408564815</v>
      </c>
      <c r="I287" s="391"/>
      <c r="J287" s="391" t="s">
        <v>257</v>
      </c>
      <c r="K287" s="391">
        <v>1</v>
      </c>
      <c r="L287" s="391"/>
      <c r="M287" s="394"/>
      <c r="N287" s="393" t="s">
        <v>257</v>
      </c>
      <c r="O287" s="393"/>
      <c r="P287" s="391" t="s">
        <v>206</v>
      </c>
      <c r="Q287" s="391" t="s">
        <v>541</v>
      </c>
    </row>
    <row r="288" spans="1:17">
      <c r="A288" s="389" t="s">
        <v>257</v>
      </c>
      <c r="B288" s="389" t="s">
        <v>216</v>
      </c>
      <c r="C288" s="389" t="s">
        <v>188</v>
      </c>
      <c r="D288" s="390" t="s">
        <v>257</v>
      </c>
      <c r="E288" s="391" t="s">
        <v>207</v>
      </c>
      <c r="F288" s="391" t="s">
        <v>644</v>
      </c>
      <c r="G288" s="391" t="s">
        <v>571</v>
      </c>
      <c r="H288" s="393">
        <v>42872.323993055557</v>
      </c>
      <c r="I288" s="391"/>
      <c r="J288" s="391" t="s">
        <v>257</v>
      </c>
      <c r="K288" s="391">
        <v>1</v>
      </c>
      <c r="L288" s="391"/>
      <c r="M288" s="394"/>
      <c r="N288" s="393" t="s">
        <v>257</v>
      </c>
      <c r="O288" s="393"/>
      <c r="P288" s="391" t="s">
        <v>206</v>
      </c>
      <c r="Q288" s="391" t="s">
        <v>599</v>
      </c>
    </row>
    <row r="289" spans="1:17">
      <c r="A289" s="389" t="s">
        <v>257</v>
      </c>
      <c r="B289" s="389" t="s">
        <v>187</v>
      </c>
      <c r="C289" s="389" t="s">
        <v>188</v>
      </c>
      <c r="D289" s="390" t="s">
        <v>257</v>
      </c>
      <c r="E289" s="391" t="s">
        <v>207</v>
      </c>
      <c r="F289" s="391" t="s">
        <v>567</v>
      </c>
      <c r="G289" s="391" t="s">
        <v>441</v>
      </c>
      <c r="H289" s="393">
        <v>42807.78</v>
      </c>
      <c r="I289" s="391"/>
      <c r="J289" s="391" t="s">
        <v>257</v>
      </c>
      <c r="K289" s="391">
        <v>1</v>
      </c>
      <c r="L289" s="391"/>
      <c r="M289" s="394"/>
      <c r="N289" s="393" t="s">
        <v>257</v>
      </c>
      <c r="O289" s="393"/>
      <c r="P289" s="391" t="s">
        <v>206</v>
      </c>
      <c r="Q289" s="391" t="s">
        <v>442</v>
      </c>
    </row>
    <row r="290" spans="1:17">
      <c r="A290" s="389" t="s">
        <v>257</v>
      </c>
      <c r="B290" s="389" t="s">
        <v>193</v>
      </c>
      <c r="C290" s="389" t="s">
        <v>188</v>
      </c>
      <c r="D290" s="390" t="s">
        <v>257</v>
      </c>
      <c r="E290" s="391" t="s">
        <v>207</v>
      </c>
      <c r="F290" s="391" t="s">
        <v>355</v>
      </c>
      <c r="G290" s="391" t="s">
        <v>349</v>
      </c>
      <c r="H290" s="393">
        <v>42471.633831018517</v>
      </c>
      <c r="I290" s="391"/>
      <c r="J290" s="391" t="s">
        <v>257</v>
      </c>
      <c r="K290" s="391">
        <v>4</v>
      </c>
      <c r="L290" s="391"/>
      <c r="M290" s="394"/>
      <c r="N290" s="393" t="s">
        <v>257</v>
      </c>
      <c r="O290" s="393"/>
      <c r="P290" s="391" t="s">
        <v>206</v>
      </c>
      <c r="Q290" s="391" t="s">
        <v>350</v>
      </c>
    </row>
    <row r="291" spans="1:17">
      <c r="A291" s="389" t="s">
        <v>272</v>
      </c>
      <c r="B291" s="389" t="s">
        <v>193</v>
      </c>
      <c r="C291" s="389" t="s">
        <v>188</v>
      </c>
      <c r="D291" s="390" t="s">
        <v>272</v>
      </c>
      <c r="E291" s="391" t="s">
        <v>207</v>
      </c>
      <c r="F291" s="391" t="s">
        <v>495</v>
      </c>
      <c r="G291" s="391" t="s">
        <v>421</v>
      </c>
      <c r="H291" s="393">
        <v>42660.124548611115</v>
      </c>
      <c r="I291" s="391"/>
      <c r="J291" s="391" t="s">
        <v>272</v>
      </c>
      <c r="K291" s="391">
        <v>2</v>
      </c>
      <c r="L291" s="391"/>
      <c r="M291" s="394"/>
      <c r="N291" s="393" t="s">
        <v>272</v>
      </c>
      <c r="O291" s="393"/>
      <c r="P291" s="391" t="s">
        <v>206</v>
      </c>
      <c r="Q291" s="391" t="s">
        <v>422</v>
      </c>
    </row>
    <row r="292" spans="1:17">
      <c r="A292" s="389" t="s">
        <v>272</v>
      </c>
      <c r="B292" s="389" t="s">
        <v>187</v>
      </c>
      <c r="C292" s="389" t="s">
        <v>188</v>
      </c>
      <c r="D292" s="390" t="s">
        <v>272</v>
      </c>
      <c r="E292" s="391" t="s">
        <v>207</v>
      </c>
      <c r="F292" s="391" t="s">
        <v>542</v>
      </c>
      <c r="G292" s="391" t="s">
        <v>441</v>
      </c>
      <c r="H292" s="393">
        <v>42752.13484953704</v>
      </c>
      <c r="I292" s="391"/>
      <c r="J292" s="391" t="s">
        <v>272</v>
      </c>
      <c r="K292" s="391">
        <v>1</v>
      </c>
      <c r="L292" s="391"/>
      <c r="M292" s="394"/>
      <c r="N292" s="393" t="s">
        <v>272</v>
      </c>
      <c r="O292" s="393"/>
      <c r="P292" s="391" t="s">
        <v>206</v>
      </c>
      <c r="Q292" s="391" t="s">
        <v>442</v>
      </c>
    </row>
    <row r="293" spans="1:17">
      <c r="A293" s="389" t="s">
        <v>272</v>
      </c>
      <c r="B293" s="389" t="s">
        <v>193</v>
      </c>
      <c r="C293" s="389" t="s">
        <v>188</v>
      </c>
      <c r="D293" s="390" t="s">
        <v>272</v>
      </c>
      <c r="E293" s="391" t="s">
        <v>207</v>
      </c>
      <c r="F293" s="391" t="s">
        <v>354</v>
      </c>
      <c r="G293" s="391" t="s">
        <v>349</v>
      </c>
      <c r="H293" s="393">
        <v>42471.633819444447</v>
      </c>
      <c r="I293" s="391"/>
      <c r="J293" s="391" t="s">
        <v>272</v>
      </c>
      <c r="K293" s="391">
        <v>4</v>
      </c>
      <c r="L293" s="391"/>
      <c r="M293" s="394"/>
      <c r="N293" s="393" t="s">
        <v>272</v>
      </c>
      <c r="O293" s="393"/>
      <c r="P293" s="391" t="s">
        <v>206</v>
      </c>
      <c r="Q293" s="391" t="s">
        <v>350</v>
      </c>
    </row>
    <row r="294" spans="1:17">
      <c r="A294" s="389" t="s">
        <v>269</v>
      </c>
      <c r="B294" s="389" t="s">
        <v>187</v>
      </c>
      <c r="C294" s="389" t="s">
        <v>188</v>
      </c>
      <c r="D294" s="390" t="s">
        <v>269</v>
      </c>
      <c r="E294" s="391" t="s">
        <v>262</v>
      </c>
      <c r="F294" s="391" t="s">
        <v>507</v>
      </c>
      <c r="G294" s="391" t="s">
        <v>421</v>
      </c>
      <c r="H294" s="393">
        <v>42669.156747685185</v>
      </c>
      <c r="I294" s="391"/>
      <c r="J294" s="391" t="s">
        <v>269</v>
      </c>
      <c r="K294" s="391">
        <v>2</v>
      </c>
      <c r="L294" s="391"/>
      <c r="M294" s="394"/>
      <c r="N294" s="393" t="s">
        <v>269</v>
      </c>
      <c r="O294" s="393"/>
      <c r="P294" s="391" t="s">
        <v>206</v>
      </c>
      <c r="Q294" s="391" t="s">
        <v>422</v>
      </c>
    </row>
    <row r="295" spans="1:17">
      <c r="A295" s="389" t="s">
        <v>269</v>
      </c>
      <c r="B295" s="389" t="s">
        <v>193</v>
      </c>
      <c r="C295" s="389" t="s">
        <v>188</v>
      </c>
      <c r="D295" s="390" t="s">
        <v>269</v>
      </c>
      <c r="E295" s="391" t="s">
        <v>262</v>
      </c>
      <c r="F295" s="391" t="s">
        <v>396</v>
      </c>
      <c r="G295" s="391" t="s">
        <v>349</v>
      </c>
      <c r="H295" s="393">
        <v>42471.63380787037</v>
      </c>
      <c r="I295" s="391"/>
      <c r="J295" s="391" t="s">
        <v>269</v>
      </c>
      <c r="K295" s="391">
        <v>4</v>
      </c>
      <c r="L295" s="391"/>
      <c r="M295" s="394"/>
      <c r="N295" s="393" t="s">
        <v>269</v>
      </c>
      <c r="O295" s="393"/>
      <c r="P295" s="391" t="s">
        <v>206</v>
      </c>
      <c r="Q295" s="391" t="s">
        <v>350</v>
      </c>
    </row>
    <row r="296" spans="1:17">
      <c r="A296" s="389" t="s">
        <v>269</v>
      </c>
      <c r="B296" s="389" t="s">
        <v>193</v>
      </c>
      <c r="C296" s="389" t="s">
        <v>188</v>
      </c>
      <c r="D296" s="390" t="s">
        <v>269</v>
      </c>
      <c r="E296" s="391" t="s">
        <v>262</v>
      </c>
      <c r="F296" s="391" t="s">
        <v>446</v>
      </c>
      <c r="G296" s="391" t="s">
        <v>432</v>
      </c>
      <c r="H296" s="393">
        <v>42588.570856481485</v>
      </c>
      <c r="I296" s="391" t="s">
        <v>451</v>
      </c>
      <c r="J296" s="391" t="s">
        <v>269</v>
      </c>
      <c r="K296" s="391">
        <v>2</v>
      </c>
      <c r="L296" s="391" t="s">
        <v>452</v>
      </c>
      <c r="M296" s="394"/>
      <c r="N296" s="393" t="s">
        <v>269</v>
      </c>
      <c r="O296" s="393"/>
      <c r="P296" s="391" t="s">
        <v>206</v>
      </c>
      <c r="Q296" s="391" t="s">
        <v>422</v>
      </c>
    </row>
    <row r="297" spans="1:17">
      <c r="A297" s="389" t="s">
        <v>269</v>
      </c>
      <c r="B297" s="389" t="s">
        <v>187</v>
      </c>
      <c r="C297" s="389" t="s">
        <v>188</v>
      </c>
      <c r="D297" s="390" t="s">
        <v>269</v>
      </c>
      <c r="E297" s="391" t="s">
        <v>262</v>
      </c>
      <c r="F297" s="391" t="s">
        <v>459</v>
      </c>
      <c r="G297" s="391" t="s">
        <v>441</v>
      </c>
      <c r="H297" s="393">
        <v>42625.48542824074</v>
      </c>
      <c r="I297" s="391"/>
      <c r="J297" s="391" t="s">
        <v>269</v>
      </c>
      <c r="K297" s="391">
        <v>1</v>
      </c>
      <c r="L297" s="391"/>
      <c r="M297" s="394"/>
      <c r="N297" s="393" t="s">
        <v>269</v>
      </c>
      <c r="O297" s="393"/>
      <c r="P297" s="391" t="s">
        <v>206</v>
      </c>
      <c r="Q297" s="391" t="s">
        <v>442</v>
      </c>
    </row>
    <row r="298" spans="1:17">
      <c r="A298" s="389" t="s">
        <v>271</v>
      </c>
      <c r="B298" s="389" t="s">
        <v>216</v>
      </c>
      <c r="C298" s="389" t="s">
        <v>188</v>
      </c>
      <c r="D298" s="390" t="s">
        <v>271</v>
      </c>
      <c r="E298" s="391" t="s">
        <v>335</v>
      </c>
      <c r="F298" s="391" t="s">
        <v>506</v>
      </c>
      <c r="G298" s="391" t="s">
        <v>421</v>
      </c>
      <c r="H298" s="393">
        <v>42669.666932870372</v>
      </c>
      <c r="I298" s="391"/>
      <c r="J298" s="391" t="s">
        <v>271</v>
      </c>
      <c r="K298" s="391">
        <v>2</v>
      </c>
      <c r="L298" s="391"/>
      <c r="M298" s="394"/>
      <c r="N298" s="393" t="s">
        <v>271</v>
      </c>
      <c r="O298" s="393"/>
      <c r="P298" s="391" t="s">
        <v>206</v>
      </c>
      <c r="Q298" s="391" t="s">
        <v>422</v>
      </c>
    </row>
    <row r="299" spans="1:17">
      <c r="A299" s="389" t="s">
        <v>271</v>
      </c>
      <c r="B299" s="389" t="s">
        <v>428</v>
      </c>
      <c r="C299" s="389" t="s">
        <v>188</v>
      </c>
      <c r="D299" s="390" t="s">
        <v>271</v>
      </c>
      <c r="E299" s="391" t="s">
        <v>207</v>
      </c>
      <c r="F299" s="391" t="s">
        <v>754</v>
      </c>
      <c r="G299" s="391" t="s">
        <v>340</v>
      </c>
      <c r="H299" s="393">
        <v>42905.665023148147</v>
      </c>
      <c r="I299" s="391" t="s">
        <v>341</v>
      </c>
      <c r="J299" s="391" t="s">
        <v>271</v>
      </c>
      <c r="K299" s="391">
        <v>3</v>
      </c>
      <c r="L299" s="391" t="s">
        <v>342</v>
      </c>
      <c r="M299" s="394"/>
      <c r="N299" s="393" t="s">
        <v>271</v>
      </c>
      <c r="O299" s="393"/>
      <c r="P299" s="391" t="s">
        <v>206</v>
      </c>
      <c r="Q299" s="391" t="s">
        <v>343</v>
      </c>
    </row>
    <row r="300" spans="1:17">
      <c r="A300" s="389" t="s">
        <v>271</v>
      </c>
      <c r="B300" s="389" t="s">
        <v>187</v>
      </c>
      <c r="C300" s="389" t="s">
        <v>188</v>
      </c>
      <c r="D300" s="390" t="s">
        <v>271</v>
      </c>
      <c r="E300" s="391" t="s">
        <v>335</v>
      </c>
      <c r="F300" s="391" t="s">
        <v>471</v>
      </c>
      <c r="G300" s="391" t="s">
        <v>441</v>
      </c>
      <c r="H300" s="393">
        <v>42638.533009259256</v>
      </c>
      <c r="I300" s="391"/>
      <c r="J300" s="391" t="s">
        <v>271</v>
      </c>
      <c r="K300" s="391">
        <v>1</v>
      </c>
      <c r="L300" s="391"/>
      <c r="M300" s="394"/>
      <c r="N300" s="393" t="s">
        <v>271</v>
      </c>
      <c r="O300" s="393"/>
      <c r="P300" s="391" t="s">
        <v>206</v>
      </c>
      <c r="Q300" s="391" t="s">
        <v>442</v>
      </c>
    </row>
    <row r="301" spans="1:17">
      <c r="A301" s="389" t="s">
        <v>271</v>
      </c>
      <c r="B301" s="389" t="s">
        <v>193</v>
      </c>
      <c r="C301" s="389" t="s">
        <v>188</v>
      </c>
      <c r="D301" s="390" t="s">
        <v>271</v>
      </c>
      <c r="E301" s="391" t="s">
        <v>335</v>
      </c>
      <c r="F301" s="391" t="s">
        <v>390</v>
      </c>
      <c r="G301" s="391" t="s">
        <v>349</v>
      </c>
      <c r="H301" s="393">
        <v>42471.633796296293</v>
      </c>
      <c r="I301" s="391"/>
      <c r="J301" s="391" t="s">
        <v>271</v>
      </c>
      <c r="K301" s="391">
        <v>4</v>
      </c>
      <c r="L301" s="391"/>
      <c r="M301" s="394"/>
      <c r="N301" s="393" t="s">
        <v>271</v>
      </c>
      <c r="O301" s="393"/>
      <c r="P301" s="391" t="s">
        <v>206</v>
      </c>
      <c r="Q301" s="391" t="s">
        <v>350</v>
      </c>
    </row>
    <row r="302" spans="1:17">
      <c r="A302" s="389" t="s">
        <v>255</v>
      </c>
      <c r="B302" s="389" t="s">
        <v>187</v>
      </c>
      <c r="C302" s="389" t="s">
        <v>188</v>
      </c>
      <c r="D302" s="390" t="s">
        <v>255</v>
      </c>
      <c r="E302" s="391" t="s">
        <v>262</v>
      </c>
      <c r="F302" s="391" t="s">
        <v>501</v>
      </c>
      <c r="G302" s="391" t="s">
        <v>441</v>
      </c>
      <c r="H302" s="393">
        <v>42667.779224537036</v>
      </c>
      <c r="I302" s="391"/>
      <c r="J302" s="391" t="s">
        <v>255</v>
      </c>
      <c r="K302" s="391">
        <v>1</v>
      </c>
      <c r="L302" s="391"/>
      <c r="M302" s="394"/>
      <c r="N302" s="393" t="s">
        <v>255</v>
      </c>
      <c r="O302" s="393"/>
      <c r="P302" s="391" t="s">
        <v>206</v>
      </c>
      <c r="Q302" s="391" t="s">
        <v>442</v>
      </c>
    </row>
    <row r="303" spans="1:17">
      <c r="A303" s="389" t="s">
        <v>255</v>
      </c>
      <c r="B303" s="389" t="s">
        <v>193</v>
      </c>
      <c r="C303" s="389" t="s">
        <v>188</v>
      </c>
      <c r="D303" s="390" t="s">
        <v>255</v>
      </c>
      <c r="E303" s="391" t="s">
        <v>262</v>
      </c>
      <c r="F303" s="391" t="s">
        <v>404</v>
      </c>
      <c r="G303" s="391" t="s">
        <v>349</v>
      </c>
      <c r="H303" s="393">
        <v>42471.633773148147</v>
      </c>
      <c r="I303" s="391"/>
      <c r="J303" s="391" t="s">
        <v>255</v>
      </c>
      <c r="K303" s="391">
        <v>4</v>
      </c>
      <c r="L303" s="391"/>
      <c r="M303" s="394"/>
      <c r="N303" s="393" t="s">
        <v>255</v>
      </c>
      <c r="O303" s="393"/>
      <c r="P303" s="391" t="s">
        <v>206</v>
      </c>
      <c r="Q303" s="391" t="s">
        <v>350</v>
      </c>
    </row>
    <row r="304" spans="1:17">
      <c r="A304" s="389" t="s">
        <v>255</v>
      </c>
      <c r="B304" s="389" t="s">
        <v>187</v>
      </c>
      <c r="C304" s="389" t="s">
        <v>188</v>
      </c>
      <c r="D304" s="390" t="s">
        <v>255</v>
      </c>
      <c r="E304" s="391" t="s">
        <v>262</v>
      </c>
      <c r="F304" s="391" t="s">
        <v>581</v>
      </c>
      <c r="G304" s="391" t="s">
        <v>421</v>
      </c>
      <c r="H304" s="393">
        <v>42842.506365740737</v>
      </c>
      <c r="I304" s="391"/>
      <c r="J304" s="391" t="s">
        <v>255</v>
      </c>
      <c r="K304" s="391">
        <v>2</v>
      </c>
      <c r="L304" s="391"/>
      <c r="M304" s="394"/>
      <c r="N304" s="393" t="s">
        <v>255</v>
      </c>
      <c r="O304" s="393"/>
      <c r="P304" s="391" t="s">
        <v>206</v>
      </c>
      <c r="Q304" s="391" t="s">
        <v>422</v>
      </c>
    </row>
    <row r="305" spans="1:17">
      <c r="A305" s="389" t="s">
        <v>235</v>
      </c>
      <c r="B305" s="389" t="s">
        <v>187</v>
      </c>
      <c r="C305" s="389" t="s">
        <v>188</v>
      </c>
      <c r="D305" s="390" t="s">
        <v>235</v>
      </c>
      <c r="E305" s="391" t="s">
        <v>231</v>
      </c>
      <c r="F305" s="391" t="s">
        <v>514</v>
      </c>
      <c r="G305" s="391" t="s">
        <v>421</v>
      </c>
      <c r="H305" s="393">
        <v>42672.553414351853</v>
      </c>
      <c r="I305" s="391"/>
      <c r="J305" s="391" t="s">
        <v>235</v>
      </c>
      <c r="K305" s="391">
        <v>2</v>
      </c>
      <c r="L305" s="391"/>
      <c r="M305" s="394"/>
      <c r="N305" s="393" t="s">
        <v>235</v>
      </c>
      <c r="O305" s="393"/>
      <c r="P305" s="391" t="s">
        <v>206</v>
      </c>
      <c r="Q305" s="391" t="s">
        <v>422</v>
      </c>
    </row>
    <row r="306" spans="1:17">
      <c r="A306" s="389" t="s">
        <v>235</v>
      </c>
      <c r="B306" s="389" t="s">
        <v>187</v>
      </c>
      <c r="C306" s="389" t="s">
        <v>188</v>
      </c>
      <c r="D306" s="390" t="s">
        <v>235</v>
      </c>
      <c r="E306" s="391" t="s">
        <v>231</v>
      </c>
      <c r="F306" s="391" t="s">
        <v>563</v>
      </c>
      <c r="G306" s="391" t="s">
        <v>441</v>
      </c>
      <c r="H306" s="393">
        <v>42799.705243055556</v>
      </c>
      <c r="I306" s="391"/>
      <c r="J306" s="391" t="s">
        <v>235</v>
      </c>
      <c r="K306" s="391">
        <v>1</v>
      </c>
      <c r="L306" s="391"/>
      <c r="M306" s="394"/>
      <c r="N306" s="393" t="s">
        <v>235</v>
      </c>
      <c r="O306" s="393"/>
      <c r="P306" s="391" t="s">
        <v>206</v>
      </c>
      <c r="Q306" s="391" t="s">
        <v>442</v>
      </c>
    </row>
    <row r="307" spans="1:17">
      <c r="A307" s="389" t="s">
        <v>252</v>
      </c>
      <c r="B307" s="389" t="s">
        <v>193</v>
      </c>
      <c r="C307" s="389" t="s">
        <v>188</v>
      </c>
      <c r="D307" s="390" t="s">
        <v>252</v>
      </c>
      <c r="E307" s="391" t="s">
        <v>207</v>
      </c>
      <c r="F307" s="391" t="s">
        <v>661</v>
      </c>
      <c r="G307" s="391" t="s">
        <v>340</v>
      </c>
      <c r="H307" s="393">
        <v>42877.602129629631</v>
      </c>
      <c r="I307" s="391" t="s">
        <v>341</v>
      </c>
      <c r="J307" s="391" t="s">
        <v>252</v>
      </c>
      <c r="K307" s="391">
        <v>3</v>
      </c>
      <c r="L307" s="391" t="s">
        <v>342</v>
      </c>
      <c r="M307" s="394"/>
      <c r="N307" s="393" t="s">
        <v>252</v>
      </c>
      <c r="O307" s="393"/>
      <c r="P307" s="391" t="s">
        <v>206</v>
      </c>
      <c r="Q307" s="391" t="s">
        <v>343</v>
      </c>
    </row>
    <row r="308" spans="1:17">
      <c r="A308" s="389" t="s">
        <v>252</v>
      </c>
      <c r="B308" s="389" t="s">
        <v>187</v>
      </c>
      <c r="C308" s="389" t="s">
        <v>188</v>
      </c>
      <c r="D308" s="390" t="s">
        <v>252</v>
      </c>
      <c r="E308" s="391" t="s">
        <v>207</v>
      </c>
      <c r="F308" s="391" t="s">
        <v>511</v>
      </c>
      <c r="G308" s="391" t="s">
        <v>421</v>
      </c>
      <c r="H308" s="393">
        <v>42671.283842592595</v>
      </c>
      <c r="I308" s="391"/>
      <c r="J308" s="391" t="s">
        <v>252</v>
      </c>
      <c r="K308" s="391">
        <v>2</v>
      </c>
      <c r="L308" s="391"/>
      <c r="M308" s="394"/>
      <c r="N308" s="393" t="s">
        <v>252</v>
      </c>
      <c r="O308" s="393"/>
      <c r="P308" s="391" t="s">
        <v>206</v>
      </c>
      <c r="Q308" s="391" t="s">
        <v>422</v>
      </c>
    </row>
    <row r="309" spans="1:17">
      <c r="A309" s="389" t="s">
        <v>252</v>
      </c>
      <c r="B309" s="389" t="s">
        <v>193</v>
      </c>
      <c r="C309" s="389" t="s">
        <v>188</v>
      </c>
      <c r="D309" s="390" t="s">
        <v>252</v>
      </c>
      <c r="E309" s="391" t="s">
        <v>207</v>
      </c>
      <c r="F309" s="391" t="s">
        <v>353</v>
      </c>
      <c r="G309" s="391" t="s">
        <v>349</v>
      </c>
      <c r="H309" s="393">
        <v>42471.633750000001</v>
      </c>
      <c r="I309" s="391"/>
      <c r="J309" s="391" t="s">
        <v>252</v>
      </c>
      <c r="K309" s="391">
        <v>4</v>
      </c>
      <c r="L309" s="391"/>
      <c r="M309" s="394"/>
      <c r="N309" s="393" t="s">
        <v>252</v>
      </c>
      <c r="O309" s="393"/>
      <c r="P309" s="391" t="s">
        <v>206</v>
      </c>
      <c r="Q309" s="391" t="s">
        <v>350</v>
      </c>
    </row>
    <row r="310" spans="1:17">
      <c r="A310" s="389" t="s">
        <v>252</v>
      </c>
      <c r="B310" s="389" t="s">
        <v>187</v>
      </c>
      <c r="C310" s="389" t="s">
        <v>188</v>
      </c>
      <c r="D310" s="390" t="s">
        <v>252</v>
      </c>
      <c r="E310" s="391" t="s">
        <v>207</v>
      </c>
      <c r="F310" s="391" t="s">
        <v>580</v>
      </c>
      <c r="G310" s="391" t="s">
        <v>441</v>
      </c>
      <c r="H310" s="393">
        <v>42842.437592592592</v>
      </c>
      <c r="I310" s="391"/>
      <c r="J310" s="391" t="s">
        <v>252</v>
      </c>
      <c r="K310" s="391">
        <v>1</v>
      </c>
      <c r="L310" s="391"/>
      <c r="M310" s="394"/>
      <c r="N310" s="393" t="s">
        <v>252</v>
      </c>
      <c r="O310" s="393"/>
      <c r="P310" s="391" t="s">
        <v>206</v>
      </c>
      <c r="Q310" s="391" t="s">
        <v>442</v>
      </c>
    </row>
    <row r="311" spans="1:17">
      <c r="A311" s="389"/>
      <c r="B311" s="389"/>
      <c r="C311" s="389"/>
      <c r="D311" s="390"/>
      <c r="E311" s="391"/>
      <c r="F311" s="391"/>
      <c r="G311" s="391"/>
      <c r="H311" s="393"/>
      <c r="I311" s="391"/>
      <c r="J311" s="391"/>
      <c r="K311" s="391"/>
      <c r="L311" s="391"/>
      <c r="M311" s="394"/>
      <c r="N311" s="393"/>
      <c r="O311" s="393"/>
      <c r="P311" s="391"/>
      <c r="Q311" s="391"/>
    </row>
    <row r="312" spans="1:17">
      <c r="A312" s="389"/>
      <c r="B312" s="389"/>
      <c r="C312" s="389"/>
      <c r="D312" s="390"/>
      <c r="E312" s="391"/>
      <c r="F312" s="391"/>
      <c r="G312" s="391"/>
      <c r="H312" s="393"/>
      <c r="I312" s="391"/>
      <c r="J312" s="391"/>
      <c r="K312" s="391"/>
      <c r="L312" s="391"/>
      <c r="M312" s="394"/>
      <c r="N312" s="393"/>
      <c r="O312" s="393"/>
      <c r="P312" s="391"/>
      <c r="Q312" s="391"/>
    </row>
    <row r="313" spans="1:17">
      <c r="A313" s="389"/>
      <c r="B313" s="389"/>
      <c r="C313" s="389"/>
      <c r="D313" s="390"/>
      <c r="E313" s="391"/>
      <c r="F313" s="391"/>
      <c r="G313" s="391"/>
      <c r="H313" s="393"/>
      <c r="I313" s="391"/>
      <c r="J313" s="391"/>
      <c r="K313" s="391"/>
      <c r="L313" s="391"/>
      <c r="M313" s="394"/>
      <c r="N313" s="393"/>
      <c r="O313" s="393"/>
      <c r="P313" s="391"/>
      <c r="Q313" s="391"/>
    </row>
    <row r="314" spans="1:17">
      <c r="A314" s="389"/>
      <c r="B314" s="389"/>
      <c r="C314" s="389"/>
      <c r="D314" s="390"/>
      <c r="E314" s="391"/>
      <c r="F314" s="391"/>
      <c r="G314" s="391"/>
      <c r="H314" s="393"/>
      <c r="I314" s="391"/>
      <c r="J314" s="391"/>
      <c r="K314" s="391"/>
      <c r="L314" s="391"/>
      <c r="M314" s="394"/>
      <c r="N314" s="393"/>
      <c r="O314" s="393"/>
      <c r="P314" s="391"/>
      <c r="Q314" s="391"/>
    </row>
    <row r="315" spans="1:17">
      <c r="A315" s="389"/>
      <c r="B315" s="389"/>
      <c r="C315" s="389"/>
      <c r="D315" s="390"/>
      <c r="E315" s="391"/>
      <c r="F315" s="391"/>
      <c r="G315" s="391"/>
      <c r="H315" s="393"/>
      <c r="I315" s="391"/>
      <c r="J315" s="391"/>
      <c r="K315" s="391"/>
      <c r="L315" s="391"/>
      <c r="M315" s="394"/>
      <c r="N315" s="393"/>
      <c r="O315" s="393"/>
      <c r="P315" s="391"/>
      <c r="Q315" s="391"/>
    </row>
    <row r="316" spans="1:17">
      <c r="A316" s="389"/>
      <c r="B316" s="389"/>
      <c r="C316" s="389"/>
      <c r="D316" s="390"/>
      <c r="E316" s="391"/>
      <c r="F316" s="391"/>
      <c r="G316" s="391"/>
      <c r="H316" s="393"/>
      <c r="I316" s="391"/>
      <c r="J316" s="391"/>
      <c r="K316" s="391"/>
      <c r="L316" s="391"/>
      <c r="M316" s="394"/>
      <c r="N316" s="393"/>
      <c r="O316" s="393"/>
      <c r="P316" s="391"/>
      <c r="Q316" s="391"/>
    </row>
    <row r="317" spans="1:17">
      <c r="A317" s="389"/>
      <c r="B317" s="389"/>
      <c r="C317" s="389"/>
      <c r="D317" s="390"/>
      <c r="E317" s="391"/>
      <c r="F317" s="391"/>
      <c r="G317" s="391"/>
      <c r="H317" s="393"/>
      <c r="I317" s="391"/>
      <c r="J317" s="391"/>
      <c r="K317" s="391"/>
      <c r="L317" s="391"/>
      <c r="M317" s="394"/>
      <c r="N317" s="393"/>
      <c r="O317" s="393"/>
      <c r="P317" s="391"/>
      <c r="Q317" s="391"/>
    </row>
    <row r="318" spans="1:17">
      <c r="A318" s="389"/>
      <c r="B318" s="389"/>
      <c r="C318" s="389"/>
      <c r="D318" s="390"/>
      <c r="E318" s="391"/>
      <c r="F318" s="391"/>
      <c r="G318" s="391"/>
      <c r="H318" s="393"/>
      <c r="I318" s="391"/>
      <c r="J318" s="391"/>
      <c r="K318" s="391"/>
      <c r="L318" s="391"/>
      <c r="M318" s="394"/>
      <c r="N318" s="393"/>
      <c r="O318" s="393"/>
      <c r="P318" s="391"/>
      <c r="Q318" s="391"/>
    </row>
    <row r="319" spans="1:17">
      <c r="A319" s="389"/>
      <c r="B319" s="389"/>
      <c r="C319" s="389"/>
      <c r="D319" s="390"/>
      <c r="E319" s="391"/>
      <c r="F319" s="391"/>
      <c r="G319" s="391"/>
      <c r="H319" s="393"/>
      <c r="I319" s="391"/>
      <c r="J319" s="391"/>
      <c r="K319" s="391"/>
      <c r="L319" s="391"/>
      <c r="M319" s="394"/>
      <c r="N319" s="393"/>
      <c r="O319" s="393"/>
      <c r="P319" s="391"/>
      <c r="Q319" s="391"/>
    </row>
    <row r="320" spans="1:17">
      <c r="A320" s="389"/>
      <c r="B320" s="389"/>
      <c r="C320" s="389"/>
      <c r="D320" s="390"/>
      <c r="E320" s="391"/>
      <c r="F320" s="391"/>
      <c r="G320" s="391"/>
      <c r="H320" s="393"/>
      <c r="I320" s="391"/>
      <c r="J320" s="391"/>
      <c r="K320" s="391"/>
      <c r="L320" s="391"/>
      <c r="M320" s="394"/>
      <c r="N320" s="393"/>
      <c r="O320" s="393"/>
      <c r="P320" s="391"/>
      <c r="Q320" s="391"/>
    </row>
    <row r="321" spans="1:17">
      <c r="A321" s="389"/>
      <c r="B321" s="389"/>
      <c r="C321" s="389"/>
      <c r="D321" s="390"/>
      <c r="E321" s="391"/>
      <c r="F321" s="391"/>
      <c r="G321" s="391"/>
      <c r="H321" s="393"/>
      <c r="I321" s="391"/>
      <c r="J321" s="391"/>
      <c r="K321" s="391"/>
      <c r="L321" s="391"/>
      <c r="M321" s="394"/>
      <c r="N321" s="393"/>
      <c r="O321" s="393"/>
      <c r="P321" s="391"/>
      <c r="Q321" s="391"/>
    </row>
    <row r="322" spans="1:17">
      <c r="A322" s="389"/>
      <c r="B322" s="389"/>
      <c r="C322" s="389"/>
      <c r="D322" s="390"/>
      <c r="E322" s="391"/>
      <c r="F322" s="391"/>
      <c r="G322" s="391"/>
      <c r="H322" s="393"/>
      <c r="I322" s="391"/>
      <c r="J322" s="391"/>
      <c r="K322" s="391"/>
      <c r="L322" s="391"/>
      <c r="M322" s="394"/>
      <c r="N322" s="393"/>
      <c r="O322" s="393"/>
      <c r="P322" s="391"/>
      <c r="Q322" s="391"/>
    </row>
    <row r="323" spans="1:17">
      <c r="A323" s="389"/>
      <c r="B323" s="389"/>
      <c r="C323" s="389"/>
      <c r="D323" s="390"/>
      <c r="E323" s="391"/>
      <c r="F323" s="391"/>
      <c r="G323" s="391"/>
      <c r="H323" s="393"/>
      <c r="I323" s="391"/>
      <c r="J323" s="391"/>
      <c r="K323" s="391"/>
      <c r="L323" s="391"/>
      <c r="M323" s="394"/>
      <c r="N323" s="393"/>
      <c r="O323" s="393"/>
      <c r="P323" s="391"/>
      <c r="Q323" s="391"/>
    </row>
    <row r="324" spans="1:17">
      <c r="A324" s="389"/>
      <c r="B324" s="389"/>
      <c r="C324" s="389"/>
      <c r="D324" s="390"/>
      <c r="E324" s="391"/>
      <c r="F324" s="391"/>
      <c r="G324" s="391"/>
      <c r="H324" s="393"/>
      <c r="I324" s="391"/>
      <c r="J324" s="391"/>
      <c r="K324" s="391"/>
      <c r="L324" s="391"/>
      <c r="M324" s="394"/>
      <c r="N324" s="393"/>
      <c r="O324" s="393"/>
      <c r="P324" s="391"/>
      <c r="Q324" s="391"/>
    </row>
    <row r="325" spans="1:17">
      <c r="A325" s="389"/>
      <c r="B325" s="389"/>
      <c r="C325" s="389"/>
      <c r="D325" s="390"/>
      <c r="E325" s="391"/>
      <c r="F325" s="391"/>
      <c r="G325" s="391"/>
      <c r="H325" s="393"/>
      <c r="I325" s="391"/>
      <c r="J325" s="391"/>
      <c r="K325" s="391"/>
      <c r="L325" s="391"/>
      <c r="M325" s="394"/>
      <c r="N325" s="393"/>
      <c r="O325" s="393"/>
      <c r="P325" s="391"/>
      <c r="Q325" s="391"/>
    </row>
    <row r="326" spans="1:17">
      <c r="A326" s="389"/>
      <c r="B326" s="389"/>
      <c r="C326" s="389"/>
      <c r="D326" s="390"/>
      <c r="E326" s="391"/>
      <c r="F326" s="391"/>
      <c r="G326" s="391"/>
      <c r="H326" s="393"/>
      <c r="I326" s="391"/>
      <c r="J326" s="391"/>
      <c r="K326" s="391"/>
      <c r="L326" s="391"/>
      <c r="M326" s="394"/>
      <c r="N326" s="393"/>
      <c r="O326" s="393"/>
      <c r="P326" s="391"/>
      <c r="Q326" s="391"/>
    </row>
    <row r="327" spans="1:17">
      <c r="A327" s="389"/>
      <c r="B327" s="389"/>
      <c r="C327" s="389"/>
      <c r="D327" s="390"/>
      <c r="E327" s="391"/>
      <c r="F327" s="391"/>
      <c r="G327" s="391"/>
      <c r="H327" s="393"/>
      <c r="I327" s="391"/>
      <c r="J327" s="391"/>
      <c r="K327" s="391"/>
      <c r="L327" s="391"/>
      <c r="M327" s="394"/>
      <c r="N327" s="393"/>
      <c r="O327" s="393"/>
      <c r="P327" s="391"/>
      <c r="Q327" s="391"/>
    </row>
    <row r="328" spans="1:17">
      <c r="A328" s="389"/>
      <c r="B328" s="389"/>
      <c r="C328" s="389"/>
      <c r="D328" s="390"/>
      <c r="E328" s="391"/>
      <c r="F328" s="391"/>
      <c r="G328" s="391"/>
      <c r="H328" s="393"/>
      <c r="I328" s="391"/>
      <c r="J328" s="391"/>
      <c r="K328" s="391"/>
      <c r="L328" s="391"/>
      <c r="M328" s="394"/>
      <c r="N328" s="393"/>
      <c r="O328" s="393"/>
      <c r="P328" s="391"/>
      <c r="Q328" s="391"/>
    </row>
    <row r="329" spans="1:17">
      <c r="A329" s="389"/>
      <c r="B329" s="389"/>
      <c r="C329" s="389"/>
      <c r="D329" s="390"/>
      <c r="E329" s="391"/>
      <c r="F329" s="391"/>
      <c r="G329" s="391"/>
      <c r="H329" s="393"/>
      <c r="I329" s="391"/>
      <c r="J329" s="391"/>
      <c r="K329" s="391"/>
      <c r="L329" s="391"/>
      <c r="M329" s="394"/>
      <c r="N329" s="393"/>
      <c r="O329" s="393"/>
      <c r="P329" s="391"/>
      <c r="Q329" s="391"/>
    </row>
    <row r="330" spans="1:17">
      <c r="A330" s="389"/>
      <c r="B330" s="389"/>
      <c r="C330" s="389"/>
      <c r="D330" s="390"/>
      <c r="E330" s="391"/>
      <c r="F330" s="391"/>
      <c r="G330" s="391"/>
      <c r="H330" s="393"/>
      <c r="I330" s="391"/>
      <c r="J330" s="391"/>
      <c r="K330" s="391"/>
      <c r="L330" s="391"/>
      <c r="M330" s="394"/>
      <c r="N330" s="393"/>
      <c r="O330" s="393"/>
      <c r="P330" s="391"/>
      <c r="Q330" s="391"/>
    </row>
    <row r="331" spans="1:17">
      <c r="A331" s="389"/>
      <c r="B331" s="389"/>
      <c r="C331" s="389"/>
      <c r="D331" s="390"/>
      <c r="E331" s="391"/>
      <c r="F331" s="391"/>
      <c r="G331" s="391"/>
      <c r="H331" s="393"/>
      <c r="I331" s="391"/>
      <c r="J331" s="391"/>
      <c r="K331" s="391"/>
      <c r="L331" s="391"/>
      <c r="M331" s="394"/>
      <c r="N331" s="393"/>
      <c r="O331" s="393"/>
      <c r="P331" s="391"/>
      <c r="Q331" s="391"/>
    </row>
    <row r="332" spans="1:17">
      <c r="A332" s="389"/>
      <c r="B332" s="389"/>
      <c r="C332" s="389"/>
      <c r="D332" s="390"/>
      <c r="E332" s="391"/>
      <c r="F332" s="391"/>
      <c r="G332" s="391"/>
      <c r="H332" s="393"/>
      <c r="I332" s="391"/>
      <c r="J332" s="391"/>
      <c r="K332" s="391"/>
      <c r="L332" s="391"/>
      <c r="M332" s="394"/>
      <c r="N332" s="393"/>
      <c r="O332" s="393"/>
      <c r="P332" s="391"/>
      <c r="Q332" s="391"/>
    </row>
    <row r="333" spans="1:17">
      <c r="A333" s="389"/>
      <c r="B333" s="389"/>
      <c r="C333" s="389"/>
      <c r="D333" s="390"/>
      <c r="E333" s="391"/>
      <c r="F333" s="391"/>
      <c r="G333" s="391"/>
      <c r="H333" s="393"/>
      <c r="I333" s="391"/>
      <c r="J333" s="391"/>
      <c r="K333" s="391"/>
      <c r="L333" s="391"/>
      <c r="M333" s="394"/>
      <c r="N333" s="393"/>
      <c r="O333" s="393"/>
      <c r="P333" s="391"/>
      <c r="Q333" s="391"/>
    </row>
    <row r="334" spans="1:17">
      <c r="A334" s="389"/>
      <c r="B334" s="389"/>
      <c r="C334" s="389"/>
      <c r="D334" s="390"/>
      <c r="E334" s="391"/>
      <c r="F334" s="391"/>
      <c r="G334" s="391"/>
      <c r="H334" s="393"/>
      <c r="I334" s="391"/>
      <c r="J334" s="391"/>
      <c r="K334" s="391"/>
      <c r="L334" s="391"/>
      <c r="M334" s="394"/>
      <c r="N334" s="393"/>
      <c r="O334" s="393"/>
      <c r="P334" s="391"/>
      <c r="Q334" s="391"/>
    </row>
    <row r="335" spans="1:17">
      <c r="A335" s="389"/>
      <c r="B335" s="389"/>
      <c r="C335" s="389"/>
      <c r="D335" s="390"/>
      <c r="E335" s="391"/>
      <c r="F335" s="391"/>
      <c r="G335" s="391"/>
      <c r="H335" s="393"/>
      <c r="I335" s="391"/>
      <c r="J335" s="391"/>
      <c r="K335" s="391"/>
      <c r="L335" s="391"/>
      <c r="M335" s="394"/>
      <c r="N335" s="393"/>
      <c r="O335" s="393"/>
      <c r="P335" s="391"/>
      <c r="Q335" s="391"/>
    </row>
    <row r="336" spans="1:17">
      <c r="A336" s="389"/>
      <c r="B336" s="389"/>
      <c r="C336" s="389"/>
      <c r="D336" s="390"/>
      <c r="E336" s="391"/>
      <c r="F336" s="391"/>
      <c r="G336" s="391"/>
      <c r="H336" s="393"/>
      <c r="I336" s="391"/>
      <c r="J336" s="391"/>
      <c r="K336" s="391"/>
      <c r="L336" s="391"/>
      <c r="M336" s="394"/>
      <c r="N336" s="393"/>
      <c r="O336" s="393"/>
      <c r="P336" s="391"/>
      <c r="Q336" s="391"/>
    </row>
    <row r="337" spans="1:17">
      <c r="A337" s="389"/>
      <c r="B337" s="389"/>
      <c r="C337" s="389"/>
      <c r="D337" s="390"/>
      <c r="E337" s="391"/>
      <c r="F337" s="391"/>
      <c r="G337" s="391"/>
      <c r="H337" s="393"/>
      <c r="I337" s="391"/>
      <c r="J337" s="391"/>
      <c r="K337" s="391"/>
      <c r="L337" s="391"/>
      <c r="M337" s="394"/>
      <c r="N337" s="393"/>
      <c r="O337" s="393"/>
      <c r="P337" s="391"/>
      <c r="Q337" s="391"/>
    </row>
    <row r="338" spans="1:17">
      <c r="A338" s="389"/>
      <c r="B338" s="389"/>
      <c r="C338" s="389"/>
      <c r="D338" s="390"/>
      <c r="E338" s="391"/>
      <c r="F338" s="391"/>
      <c r="G338" s="391"/>
      <c r="H338" s="393"/>
      <c r="I338" s="391"/>
      <c r="J338" s="391"/>
      <c r="K338" s="391"/>
      <c r="L338" s="391"/>
      <c r="M338" s="394"/>
      <c r="N338" s="393"/>
      <c r="O338" s="393"/>
      <c r="P338" s="391"/>
      <c r="Q338" s="391"/>
    </row>
    <row r="339" spans="1:17">
      <c r="A339" s="389"/>
      <c r="B339" s="389"/>
      <c r="C339" s="389"/>
      <c r="D339" s="390"/>
      <c r="E339" s="391"/>
      <c r="F339" s="391"/>
      <c r="G339" s="391"/>
      <c r="H339" s="393"/>
      <c r="I339" s="391"/>
      <c r="J339" s="391"/>
      <c r="K339" s="391"/>
      <c r="L339" s="391"/>
      <c r="M339" s="394"/>
      <c r="N339" s="393"/>
      <c r="O339" s="393"/>
      <c r="P339" s="391"/>
      <c r="Q339" s="391"/>
    </row>
    <row r="340" spans="1:17">
      <c r="A340" s="389"/>
      <c r="B340" s="389"/>
      <c r="C340" s="389"/>
      <c r="D340" s="390"/>
      <c r="E340" s="391"/>
      <c r="F340" s="391"/>
      <c r="G340" s="391"/>
      <c r="H340" s="393"/>
      <c r="I340" s="391"/>
      <c r="J340" s="391"/>
      <c r="K340" s="391"/>
      <c r="L340" s="391"/>
      <c r="M340" s="394"/>
      <c r="N340" s="393"/>
      <c r="O340" s="393"/>
      <c r="P340" s="391"/>
      <c r="Q340" s="391"/>
    </row>
    <row r="341" spans="1:17">
      <c r="A341" s="389"/>
      <c r="B341" s="389"/>
      <c r="C341" s="389"/>
      <c r="D341" s="390"/>
      <c r="E341" s="391"/>
      <c r="F341" s="391"/>
      <c r="G341" s="391"/>
      <c r="H341" s="393"/>
      <c r="I341" s="391"/>
      <c r="J341" s="391"/>
      <c r="K341" s="391"/>
      <c r="L341" s="391"/>
      <c r="M341" s="394"/>
      <c r="N341" s="393"/>
      <c r="O341" s="393"/>
      <c r="P341" s="391"/>
      <c r="Q341" s="391"/>
    </row>
    <row r="342" spans="1:17">
      <c r="A342" s="389"/>
      <c r="B342" s="389"/>
      <c r="C342" s="389"/>
      <c r="D342" s="390"/>
      <c r="E342" s="391"/>
      <c r="F342" s="391"/>
      <c r="G342" s="391"/>
      <c r="H342" s="393"/>
      <c r="I342" s="391"/>
      <c r="J342" s="391"/>
      <c r="K342" s="391"/>
      <c r="L342" s="391"/>
      <c r="M342" s="394"/>
      <c r="N342" s="393"/>
      <c r="O342" s="393"/>
      <c r="P342" s="391"/>
      <c r="Q342" s="391"/>
    </row>
    <row r="343" spans="1:17">
      <c r="A343" s="389"/>
      <c r="B343" s="389"/>
      <c r="C343" s="389"/>
      <c r="D343" s="390"/>
      <c r="E343" s="391"/>
      <c r="F343" s="391"/>
      <c r="G343" s="391"/>
      <c r="H343" s="393"/>
      <c r="I343" s="391"/>
      <c r="J343" s="391"/>
      <c r="K343" s="391"/>
      <c r="L343" s="391"/>
      <c r="M343" s="394"/>
      <c r="N343" s="393"/>
      <c r="O343" s="393"/>
      <c r="P343" s="391"/>
      <c r="Q343" s="391"/>
    </row>
    <row r="344" spans="1:17">
      <c r="A344" s="389"/>
      <c r="B344" s="389"/>
      <c r="C344" s="389"/>
      <c r="D344" s="390"/>
      <c r="E344" s="391"/>
      <c r="F344" s="391"/>
      <c r="G344" s="391"/>
      <c r="H344" s="393"/>
      <c r="I344" s="391"/>
      <c r="J344" s="391"/>
      <c r="K344" s="391"/>
      <c r="L344" s="391"/>
      <c r="M344" s="394"/>
      <c r="N344" s="393"/>
      <c r="O344" s="393"/>
      <c r="P344" s="391"/>
      <c r="Q344" s="391"/>
    </row>
    <row r="345" spans="1:17">
      <c r="A345" s="389"/>
      <c r="B345" s="389"/>
      <c r="C345" s="389"/>
      <c r="D345" s="390"/>
      <c r="E345" s="391"/>
      <c r="F345" s="391"/>
      <c r="G345" s="391"/>
      <c r="H345" s="393"/>
      <c r="I345" s="393"/>
      <c r="J345" s="391"/>
      <c r="K345" s="391"/>
      <c r="L345" s="391"/>
      <c r="M345" s="394"/>
      <c r="N345" s="393"/>
      <c r="O345" s="393"/>
      <c r="P345" s="393"/>
      <c r="Q345" s="391"/>
    </row>
    <row r="346" spans="1:17">
      <c r="A346" s="389"/>
      <c r="B346" s="389"/>
      <c r="C346" s="389"/>
      <c r="D346" s="390"/>
      <c r="E346" s="391"/>
      <c r="F346" s="391"/>
      <c r="G346" s="391"/>
      <c r="H346" s="393"/>
      <c r="I346" s="393"/>
      <c r="J346" s="391"/>
      <c r="K346" s="391"/>
      <c r="L346" s="391"/>
      <c r="M346" s="394"/>
      <c r="N346" s="393"/>
      <c r="O346" s="393"/>
      <c r="P346" s="393"/>
      <c r="Q346" s="391"/>
    </row>
    <row r="347" spans="1:17">
      <c r="A347" s="389"/>
      <c r="B347" s="389"/>
      <c r="C347" s="389"/>
      <c r="D347" s="390"/>
      <c r="E347" s="391"/>
      <c r="F347" s="391"/>
      <c r="G347" s="391"/>
      <c r="H347" s="393"/>
      <c r="I347" s="393"/>
      <c r="J347" s="391"/>
      <c r="K347" s="391"/>
      <c r="L347" s="391"/>
      <c r="M347" s="394"/>
      <c r="N347" s="393"/>
      <c r="O347" s="393"/>
      <c r="P347" s="393"/>
      <c r="Q347" s="391"/>
    </row>
    <row r="348" spans="1:17">
      <c r="A348" s="389"/>
      <c r="B348" s="389"/>
      <c r="C348" s="389"/>
      <c r="D348" s="390"/>
      <c r="E348" s="391"/>
      <c r="F348" s="391"/>
      <c r="G348" s="391"/>
      <c r="H348" s="393"/>
      <c r="I348" s="393"/>
      <c r="J348" s="391"/>
      <c r="K348" s="391"/>
      <c r="L348" s="391"/>
      <c r="M348" s="394"/>
      <c r="N348" s="393"/>
      <c r="O348" s="393"/>
      <c r="P348" s="393"/>
      <c r="Q348" s="391"/>
    </row>
    <row r="349" spans="1:17">
      <c r="A349" s="389"/>
      <c r="B349" s="389"/>
      <c r="C349" s="389"/>
      <c r="D349" s="390"/>
      <c r="E349" s="391"/>
      <c r="F349" s="391"/>
      <c r="G349" s="391"/>
      <c r="H349" s="393"/>
      <c r="I349" s="393"/>
      <c r="J349" s="391"/>
      <c r="K349" s="391"/>
      <c r="L349" s="391"/>
      <c r="M349" s="394"/>
      <c r="N349" s="393"/>
      <c r="O349" s="393"/>
      <c r="P349" s="393"/>
      <c r="Q349" s="391"/>
    </row>
    <row r="350" spans="1:17">
      <c r="A350" s="389"/>
      <c r="B350" s="389"/>
      <c r="C350" s="389"/>
      <c r="D350" s="390"/>
      <c r="E350" s="391"/>
      <c r="F350" s="391"/>
      <c r="G350" s="391"/>
      <c r="H350" s="393"/>
      <c r="I350" s="393"/>
      <c r="J350" s="391"/>
      <c r="K350" s="391"/>
      <c r="L350" s="391"/>
      <c r="M350" s="394"/>
      <c r="N350" s="393"/>
      <c r="O350" s="393"/>
      <c r="P350" s="393"/>
      <c r="Q350" s="391"/>
    </row>
    <row r="351" spans="1:17">
      <c r="A351" s="389"/>
      <c r="B351" s="389"/>
      <c r="C351" s="389"/>
      <c r="D351" s="390"/>
      <c r="E351" s="391"/>
      <c r="F351" s="391"/>
      <c r="G351" s="391"/>
      <c r="H351" s="393"/>
      <c r="I351" s="393"/>
      <c r="J351" s="391"/>
      <c r="K351" s="391"/>
      <c r="L351" s="391"/>
      <c r="M351" s="394"/>
      <c r="N351" s="393"/>
      <c r="O351" s="393"/>
      <c r="P351" s="393"/>
      <c r="Q351" s="391"/>
    </row>
    <row r="352" spans="1:17">
      <c r="A352" s="389"/>
      <c r="B352" s="389"/>
      <c r="C352" s="389"/>
      <c r="D352" s="390"/>
      <c r="E352" s="391"/>
      <c r="F352" s="391"/>
      <c r="G352" s="391"/>
      <c r="H352" s="393"/>
      <c r="I352" s="393"/>
      <c r="J352" s="391"/>
      <c r="K352" s="391"/>
      <c r="L352" s="391"/>
      <c r="M352" s="394"/>
      <c r="N352" s="393"/>
      <c r="O352" s="393"/>
      <c r="P352" s="393"/>
      <c r="Q352" s="391"/>
    </row>
    <row r="353" spans="1:17">
      <c r="A353" s="389"/>
      <c r="B353" s="389"/>
      <c r="C353" s="389"/>
      <c r="D353" s="390"/>
      <c r="E353" s="391"/>
      <c r="F353" s="391"/>
      <c r="G353" s="391"/>
      <c r="H353" s="393"/>
      <c r="I353" s="393"/>
      <c r="J353" s="391"/>
      <c r="K353" s="391"/>
      <c r="L353" s="391"/>
      <c r="M353" s="394"/>
      <c r="N353" s="393"/>
      <c r="O353" s="393"/>
      <c r="P353" s="393"/>
      <c r="Q353" s="391"/>
    </row>
    <row r="354" spans="1:17">
      <c r="A354" s="389"/>
      <c r="B354" s="389"/>
      <c r="C354" s="389"/>
      <c r="D354" s="390"/>
      <c r="E354" s="391"/>
      <c r="F354" s="391"/>
      <c r="G354" s="391"/>
      <c r="H354" s="393"/>
      <c r="I354" s="393"/>
      <c r="J354" s="391"/>
      <c r="K354" s="391"/>
      <c r="L354" s="391"/>
      <c r="M354" s="394"/>
      <c r="N354" s="393"/>
      <c r="O354" s="393"/>
      <c r="P354" s="393"/>
      <c r="Q354" s="391"/>
    </row>
    <row r="355" spans="1:17">
      <c r="A355" s="389"/>
      <c r="B355" s="389"/>
      <c r="C355" s="389"/>
      <c r="D355" s="390"/>
      <c r="E355" s="391"/>
      <c r="F355" s="391"/>
      <c r="G355" s="391"/>
      <c r="H355" s="393"/>
      <c r="I355" s="393"/>
      <c r="J355" s="391"/>
      <c r="K355" s="391"/>
      <c r="L355" s="391"/>
      <c r="M355" s="394"/>
      <c r="N355" s="393"/>
      <c r="O355" s="393"/>
      <c r="P355" s="393"/>
      <c r="Q355" s="391"/>
    </row>
    <row r="356" spans="1:17">
      <c r="A356" s="389"/>
      <c r="B356" s="389"/>
      <c r="C356" s="389"/>
      <c r="D356" s="390"/>
      <c r="E356" s="391"/>
      <c r="F356" s="391"/>
      <c r="G356" s="391"/>
      <c r="H356" s="393"/>
      <c r="I356" s="393"/>
      <c r="J356" s="391"/>
      <c r="K356" s="391"/>
      <c r="L356" s="391"/>
      <c r="M356" s="394"/>
      <c r="N356" s="393"/>
      <c r="O356" s="393"/>
      <c r="P356" s="393"/>
      <c r="Q356" s="391"/>
    </row>
    <row r="357" spans="1:17">
      <c r="A357" s="389"/>
      <c r="B357" s="389"/>
      <c r="C357" s="389"/>
      <c r="D357" s="390"/>
      <c r="E357" s="391"/>
      <c r="F357" s="391"/>
      <c r="G357" s="391"/>
      <c r="H357" s="393"/>
      <c r="I357" s="393"/>
      <c r="J357" s="391"/>
      <c r="K357" s="391"/>
      <c r="L357" s="391"/>
      <c r="M357" s="394"/>
      <c r="N357" s="393"/>
      <c r="O357" s="393"/>
      <c r="P357" s="393"/>
      <c r="Q357" s="391"/>
    </row>
    <row r="358" spans="1:17">
      <c r="A358" s="389"/>
      <c r="B358" s="389"/>
      <c r="C358" s="389"/>
      <c r="D358" s="390"/>
      <c r="E358" s="391"/>
      <c r="F358" s="391"/>
      <c r="G358" s="391"/>
      <c r="H358" s="393"/>
      <c r="I358" s="393"/>
      <c r="J358" s="391"/>
      <c r="K358" s="391"/>
      <c r="L358" s="391"/>
      <c r="M358" s="394"/>
      <c r="N358" s="393"/>
      <c r="O358" s="393"/>
      <c r="P358" s="393"/>
      <c r="Q358" s="391"/>
    </row>
    <row r="359" spans="1:17">
      <c r="A359" s="389"/>
      <c r="B359" s="389"/>
      <c r="C359" s="389"/>
      <c r="D359" s="390"/>
      <c r="E359" s="391"/>
      <c r="F359" s="391"/>
      <c r="G359" s="391"/>
      <c r="H359" s="393"/>
      <c r="I359" s="393"/>
      <c r="J359" s="391"/>
      <c r="K359" s="391"/>
      <c r="L359" s="391"/>
      <c r="M359" s="394"/>
      <c r="N359" s="393"/>
      <c r="O359" s="393"/>
      <c r="P359" s="393"/>
      <c r="Q359" s="391"/>
    </row>
    <row r="360" spans="1:17">
      <c r="A360" s="389"/>
      <c r="B360" s="389"/>
      <c r="C360" s="389"/>
      <c r="D360" s="390"/>
      <c r="E360" s="391"/>
      <c r="F360" s="391"/>
      <c r="G360" s="391"/>
      <c r="H360" s="393"/>
      <c r="I360" s="393"/>
      <c r="J360" s="391"/>
      <c r="K360" s="391"/>
      <c r="L360" s="391"/>
      <c r="M360" s="394"/>
      <c r="N360" s="393"/>
      <c r="O360" s="393"/>
      <c r="P360" s="393"/>
      <c r="Q360" s="391"/>
    </row>
    <row r="361" spans="1:17">
      <c r="A361" s="389"/>
      <c r="B361" s="389"/>
      <c r="C361" s="389"/>
      <c r="D361" s="390"/>
      <c r="E361" s="391"/>
      <c r="F361" s="391"/>
      <c r="G361" s="391"/>
      <c r="H361" s="393"/>
      <c r="I361" s="393"/>
      <c r="J361" s="391"/>
      <c r="K361" s="391"/>
      <c r="L361" s="391"/>
      <c r="M361" s="394"/>
      <c r="N361" s="393"/>
      <c r="O361" s="393"/>
      <c r="P361" s="393"/>
      <c r="Q361" s="391"/>
    </row>
    <row r="362" spans="1:17">
      <c r="A362" s="389"/>
      <c r="B362" s="389"/>
      <c r="C362" s="389"/>
      <c r="D362" s="390"/>
      <c r="E362" s="391"/>
      <c r="F362" s="391"/>
      <c r="G362" s="391"/>
      <c r="H362" s="393"/>
      <c r="I362" s="393"/>
      <c r="J362" s="391"/>
      <c r="K362" s="391"/>
      <c r="L362" s="391"/>
      <c r="M362" s="394"/>
      <c r="N362" s="393"/>
      <c r="O362" s="393"/>
      <c r="P362" s="393"/>
      <c r="Q362" s="391"/>
    </row>
    <row r="363" spans="1:17">
      <c r="A363" s="389"/>
      <c r="B363" s="389"/>
      <c r="C363" s="389"/>
      <c r="D363" s="390"/>
      <c r="E363" s="391"/>
      <c r="F363" s="391"/>
      <c r="G363" s="391"/>
      <c r="H363" s="393"/>
      <c r="I363" s="393"/>
      <c r="J363" s="391"/>
      <c r="K363" s="391"/>
      <c r="L363" s="391"/>
      <c r="M363" s="394"/>
      <c r="N363" s="393"/>
      <c r="O363" s="393"/>
      <c r="P363" s="393"/>
      <c r="Q363" s="391"/>
    </row>
    <row r="364" spans="1:17">
      <c r="A364" s="389"/>
      <c r="B364" s="389"/>
      <c r="C364" s="389"/>
      <c r="D364" s="390"/>
      <c r="E364" s="391"/>
      <c r="F364" s="391"/>
      <c r="G364" s="391"/>
      <c r="H364" s="393"/>
      <c r="I364" s="393"/>
      <c r="J364" s="391"/>
      <c r="K364" s="391"/>
      <c r="L364" s="391"/>
      <c r="M364" s="394"/>
      <c r="N364" s="393"/>
      <c r="O364" s="393"/>
      <c r="P364" s="393"/>
      <c r="Q364" s="391"/>
    </row>
    <row r="365" spans="1:17">
      <c r="A365" s="389"/>
      <c r="B365" s="389"/>
      <c r="C365" s="389"/>
      <c r="D365" s="390"/>
      <c r="E365" s="391"/>
      <c r="F365" s="391"/>
      <c r="G365" s="391"/>
      <c r="H365" s="393"/>
      <c r="I365" s="393"/>
      <c r="J365" s="391"/>
      <c r="K365" s="391"/>
      <c r="L365" s="391"/>
      <c r="M365" s="394"/>
      <c r="N365" s="393"/>
      <c r="O365" s="393"/>
      <c r="P365" s="393"/>
      <c r="Q365" s="391"/>
    </row>
    <row r="366" spans="1:17">
      <c r="A366" s="389"/>
      <c r="B366" s="389"/>
      <c r="C366" s="389"/>
      <c r="D366" s="390"/>
      <c r="E366" s="391"/>
      <c r="F366" s="391"/>
      <c r="G366" s="391"/>
      <c r="H366" s="393"/>
      <c r="I366" s="393"/>
      <c r="J366" s="391"/>
      <c r="K366" s="391"/>
      <c r="L366" s="391"/>
      <c r="M366" s="394"/>
      <c r="N366" s="393"/>
      <c r="O366" s="393"/>
      <c r="P366" s="393"/>
      <c r="Q366" s="391"/>
    </row>
    <row r="367" spans="1:17">
      <c r="A367" s="389"/>
      <c r="B367" s="389"/>
      <c r="C367" s="389"/>
      <c r="D367" s="390"/>
      <c r="E367" s="391"/>
      <c r="F367" s="391"/>
      <c r="G367" s="391"/>
      <c r="H367" s="393"/>
      <c r="I367" s="393"/>
      <c r="J367" s="391"/>
      <c r="K367" s="391"/>
      <c r="L367" s="391"/>
      <c r="M367" s="394"/>
      <c r="N367" s="393"/>
      <c r="O367" s="393"/>
      <c r="P367" s="393"/>
      <c r="Q367" s="391"/>
    </row>
    <row r="368" spans="1:17">
      <c r="A368" s="389"/>
      <c r="B368" s="389"/>
      <c r="C368" s="389"/>
      <c r="D368" s="390"/>
      <c r="E368" s="391"/>
      <c r="F368" s="391"/>
      <c r="G368" s="391"/>
      <c r="H368" s="393"/>
      <c r="I368" s="393"/>
      <c r="J368" s="391"/>
      <c r="K368" s="391"/>
      <c r="L368" s="391"/>
      <c r="M368" s="394"/>
      <c r="N368" s="393"/>
      <c r="O368" s="393"/>
      <c r="P368" s="393"/>
      <c r="Q368" s="391"/>
    </row>
    <row r="369" spans="1:17">
      <c r="A369" s="389"/>
      <c r="B369" s="389"/>
      <c r="C369" s="389"/>
      <c r="D369" s="390"/>
      <c r="E369" s="391"/>
      <c r="F369" s="391"/>
      <c r="G369" s="391"/>
      <c r="H369" s="393"/>
      <c r="I369" s="393"/>
      <c r="J369" s="391"/>
      <c r="K369" s="391"/>
      <c r="L369" s="391"/>
      <c r="M369" s="394"/>
      <c r="N369" s="393"/>
      <c r="O369" s="393"/>
      <c r="P369" s="393"/>
      <c r="Q369" s="391"/>
    </row>
    <row r="370" spans="1:17">
      <c r="A370" s="389"/>
      <c r="B370" s="389"/>
      <c r="C370" s="389"/>
      <c r="D370" s="390"/>
      <c r="E370" s="391"/>
      <c r="F370" s="391"/>
      <c r="G370" s="391"/>
      <c r="H370" s="393"/>
      <c r="I370" s="393"/>
      <c r="J370" s="391"/>
      <c r="K370" s="391"/>
      <c r="L370" s="391"/>
      <c r="M370" s="394"/>
      <c r="N370" s="393"/>
      <c r="O370" s="393"/>
      <c r="P370" s="393"/>
      <c r="Q370" s="391"/>
    </row>
    <row r="371" spans="1:17">
      <c r="A371" s="389"/>
      <c r="B371" s="389"/>
      <c r="C371" s="389"/>
      <c r="D371" s="390"/>
      <c r="E371" s="391"/>
      <c r="F371" s="391"/>
      <c r="G371" s="391"/>
      <c r="H371" s="393"/>
      <c r="I371" s="393"/>
      <c r="J371" s="391"/>
      <c r="K371" s="391"/>
      <c r="L371" s="391"/>
      <c r="M371" s="394"/>
      <c r="N371" s="393"/>
      <c r="O371" s="393"/>
      <c r="P371" s="393"/>
      <c r="Q371" s="391"/>
    </row>
    <row r="372" spans="1:17">
      <c r="A372" s="389"/>
      <c r="B372" s="389"/>
      <c r="C372" s="389"/>
      <c r="D372" s="390"/>
      <c r="E372" s="391"/>
      <c r="F372" s="391"/>
      <c r="G372" s="391"/>
      <c r="H372" s="393"/>
      <c r="I372" s="393"/>
      <c r="J372" s="391"/>
      <c r="K372" s="391"/>
      <c r="L372" s="391"/>
      <c r="M372" s="394"/>
      <c r="N372" s="393"/>
      <c r="O372" s="393"/>
      <c r="P372" s="393"/>
      <c r="Q372" s="391"/>
    </row>
    <row r="373" spans="1:17">
      <c r="A373" s="389"/>
      <c r="B373" s="389"/>
      <c r="C373" s="389"/>
      <c r="D373" s="390"/>
      <c r="E373" s="391"/>
      <c r="F373" s="391"/>
      <c r="G373" s="391"/>
      <c r="H373" s="393"/>
      <c r="I373" s="393"/>
      <c r="J373" s="391"/>
      <c r="K373" s="391"/>
      <c r="L373" s="391"/>
      <c r="M373" s="394"/>
      <c r="N373" s="393"/>
      <c r="O373" s="393"/>
      <c r="P373" s="393"/>
      <c r="Q373" s="391"/>
    </row>
    <row r="374" spans="1:17">
      <c r="A374" s="389"/>
      <c r="B374" s="389"/>
      <c r="C374" s="389"/>
      <c r="D374" s="390"/>
      <c r="E374" s="391"/>
      <c r="F374" s="391"/>
      <c r="G374" s="391"/>
      <c r="H374" s="393"/>
      <c r="I374" s="393"/>
      <c r="J374" s="391"/>
      <c r="K374" s="391"/>
      <c r="L374" s="391"/>
      <c r="M374" s="394"/>
      <c r="N374" s="393"/>
      <c r="O374" s="393"/>
      <c r="P374" s="393"/>
      <c r="Q374" s="391"/>
    </row>
    <row r="375" spans="1:17">
      <c r="A375" s="389"/>
      <c r="B375" s="389"/>
      <c r="C375" s="389"/>
      <c r="D375" s="390"/>
      <c r="E375" s="391"/>
      <c r="F375" s="391"/>
      <c r="G375" s="391"/>
      <c r="H375" s="393"/>
      <c r="I375" s="393"/>
      <c r="J375" s="391"/>
      <c r="K375" s="391"/>
      <c r="L375" s="391"/>
      <c r="M375" s="394"/>
      <c r="N375" s="393"/>
      <c r="O375" s="393"/>
      <c r="P375" s="393"/>
      <c r="Q375" s="391"/>
    </row>
    <row r="376" spans="1:17">
      <c r="A376" s="389"/>
      <c r="B376" s="389"/>
      <c r="C376" s="389"/>
      <c r="D376" s="390"/>
      <c r="E376" s="391"/>
      <c r="F376" s="391"/>
      <c r="G376" s="391"/>
      <c r="H376" s="393"/>
      <c r="I376" s="393"/>
      <c r="J376" s="391"/>
      <c r="K376" s="391"/>
      <c r="L376" s="391"/>
      <c r="M376" s="394"/>
      <c r="N376" s="393"/>
      <c r="O376" s="393"/>
      <c r="P376" s="393"/>
      <c r="Q376" s="391"/>
    </row>
    <row r="377" spans="1:17">
      <c r="A377" s="389"/>
      <c r="B377" s="389"/>
      <c r="C377" s="389"/>
      <c r="D377" s="390"/>
      <c r="E377" s="391"/>
      <c r="F377" s="391"/>
      <c r="G377" s="391"/>
      <c r="H377" s="393"/>
      <c r="I377" s="393"/>
      <c r="J377" s="391"/>
      <c r="K377" s="391"/>
      <c r="L377" s="391"/>
      <c r="M377" s="394"/>
      <c r="N377" s="393"/>
      <c r="O377" s="393"/>
      <c r="P377" s="393"/>
      <c r="Q377" s="391"/>
    </row>
    <row r="378" spans="1:17">
      <c r="A378" s="389"/>
      <c r="B378" s="389"/>
      <c r="C378" s="389"/>
      <c r="D378" s="390"/>
      <c r="E378" s="391"/>
      <c r="F378" s="391"/>
      <c r="G378" s="391"/>
      <c r="H378" s="392"/>
      <c r="I378" s="393"/>
      <c r="J378" s="391"/>
      <c r="K378" s="391"/>
      <c r="L378" s="391"/>
      <c r="M378" s="391"/>
      <c r="N378" s="394"/>
      <c r="O378" s="393"/>
      <c r="P378" s="393"/>
      <c r="Q378" s="391"/>
    </row>
    <row r="379" spans="1:17">
      <c r="A379" s="389"/>
      <c r="B379" s="389"/>
      <c r="C379" s="389"/>
      <c r="D379" s="390"/>
      <c r="E379" s="391"/>
      <c r="F379" s="391"/>
      <c r="G379" s="391"/>
      <c r="H379" s="392"/>
      <c r="I379" s="393"/>
      <c r="J379" s="391"/>
      <c r="K379" s="391"/>
      <c r="L379" s="391"/>
      <c r="M379" s="391"/>
      <c r="N379" s="394"/>
      <c r="O379" s="393"/>
      <c r="P379" s="393"/>
      <c r="Q379" s="391"/>
    </row>
    <row r="380" spans="1:17">
      <c r="A380" s="389"/>
      <c r="B380" s="389"/>
      <c r="C380" s="389"/>
      <c r="D380" s="390"/>
      <c r="E380" s="391"/>
      <c r="F380" s="391"/>
      <c r="G380" s="391"/>
      <c r="H380" s="392"/>
      <c r="I380" s="393"/>
      <c r="J380" s="391"/>
      <c r="K380" s="391"/>
      <c r="L380" s="391"/>
      <c r="M380" s="391"/>
      <c r="N380" s="394"/>
      <c r="O380" s="393"/>
      <c r="P380" s="393"/>
      <c r="Q380" s="391"/>
    </row>
    <row r="381" spans="1:17">
      <c r="A381" s="389"/>
      <c r="B381" s="389"/>
      <c r="C381" s="389"/>
      <c r="D381" s="390"/>
      <c r="E381" s="391"/>
      <c r="F381" s="391"/>
      <c r="G381" s="391"/>
      <c r="H381" s="392"/>
      <c r="I381" s="393"/>
      <c r="J381" s="391"/>
      <c r="K381" s="391"/>
      <c r="L381" s="391"/>
      <c r="M381" s="391"/>
      <c r="N381" s="394"/>
      <c r="O381" s="393"/>
      <c r="P381" s="393"/>
      <c r="Q381" s="391"/>
    </row>
    <row r="382" spans="1:17">
      <c r="A382" s="389"/>
      <c r="B382" s="389"/>
      <c r="C382" s="389"/>
      <c r="D382" s="390"/>
      <c r="E382" s="391"/>
      <c r="F382" s="391"/>
      <c r="G382" s="391"/>
      <c r="H382" s="392"/>
      <c r="I382" s="393"/>
      <c r="J382" s="391"/>
      <c r="K382" s="391"/>
      <c r="L382" s="391"/>
      <c r="M382" s="391"/>
      <c r="N382" s="394"/>
      <c r="O382" s="393"/>
      <c r="P382" s="393"/>
      <c r="Q382" s="391"/>
    </row>
    <row r="383" spans="1:17">
      <c r="A383" s="389"/>
      <c r="B383" s="389"/>
      <c r="C383" s="389"/>
      <c r="D383" s="390"/>
      <c r="E383" s="391"/>
      <c r="F383" s="391"/>
      <c r="G383" s="391"/>
      <c r="H383" s="392"/>
      <c r="I383" s="393"/>
      <c r="J383" s="391"/>
      <c r="K383" s="391"/>
      <c r="L383" s="391"/>
      <c r="M383" s="391"/>
      <c r="N383" s="394"/>
      <c r="O383" s="393"/>
      <c r="P383" s="393"/>
      <c r="Q383" s="391"/>
    </row>
    <row r="384" spans="1:17">
      <c r="A384" s="389"/>
      <c r="B384" s="389"/>
      <c r="C384" s="389"/>
      <c r="D384" s="390"/>
      <c r="E384" s="391"/>
      <c r="F384" s="391"/>
      <c r="G384" s="391"/>
      <c r="H384" s="392"/>
      <c r="I384" s="393"/>
      <c r="J384" s="391"/>
      <c r="K384" s="391"/>
      <c r="L384" s="391"/>
      <c r="M384" s="391"/>
      <c r="N384" s="394"/>
      <c r="O384" s="393"/>
      <c r="P384" s="393"/>
      <c r="Q384" s="391"/>
    </row>
    <row r="385" spans="1:17">
      <c r="A385" s="389"/>
      <c r="B385" s="389"/>
      <c r="C385" s="389"/>
      <c r="D385" s="390"/>
      <c r="E385" s="391"/>
      <c r="F385" s="391"/>
      <c r="G385" s="391"/>
      <c r="H385" s="392"/>
      <c r="I385" s="393"/>
      <c r="J385" s="391"/>
      <c r="K385" s="391"/>
      <c r="L385" s="391"/>
      <c r="M385" s="391"/>
      <c r="N385" s="394"/>
      <c r="O385" s="393"/>
      <c r="P385" s="393"/>
      <c r="Q385" s="391"/>
    </row>
    <row r="386" spans="1:17">
      <c r="A386" s="389"/>
      <c r="B386" s="389"/>
      <c r="C386" s="389"/>
      <c r="D386" s="390"/>
      <c r="E386" s="391"/>
      <c r="F386" s="391"/>
      <c r="G386" s="391"/>
      <c r="H386" s="392"/>
      <c r="I386" s="393"/>
      <c r="J386" s="391"/>
      <c r="K386" s="391"/>
      <c r="L386" s="391"/>
      <c r="M386" s="391"/>
      <c r="N386" s="394"/>
      <c r="O386" s="393"/>
      <c r="P386" s="393"/>
      <c r="Q386" s="391"/>
    </row>
    <row r="387" spans="1:17">
      <c r="A387" s="389"/>
      <c r="B387" s="389"/>
      <c r="C387" s="389"/>
      <c r="D387" s="390"/>
      <c r="E387" s="391"/>
      <c r="F387" s="391"/>
      <c r="G387" s="391"/>
      <c r="H387" s="392"/>
      <c r="I387" s="393"/>
      <c r="J387" s="391"/>
      <c r="K387" s="391"/>
      <c r="L387" s="391"/>
      <c r="M387" s="391"/>
      <c r="N387" s="394"/>
      <c r="O387" s="393"/>
      <c r="P387" s="393"/>
      <c r="Q387" s="391"/>
    </row>
    <row r="388" spans="1:17">
      <c r="A388" s="389"/>
      <c r="B388" s="389"/>
      <c r="C388" s="389"/>
      <c r="D388" s="390"/>
      <c r="E388" s="391"/>
      <c r="F388" s="391"/>
      <c r="G388" s="391"/>
      <c r="H388" s="392"/>
      <c r="I388" s="393"/>
      <c r="J388" s="391"/>
      <c r="K388" s="391"/>
      <c r="L388" s="391"/>
      <c r="M388" s="391"/>
      <c r="N388" s="394"/>
      <c r="O388" s="393"/>
      <c r="P388" s="393"/>
      <c r="Q388" s="391"/>
    </row>
    <row r="389" spans="1:17">
      <c r="A389" s="389"/>
      <c r="B389" s="389"/>
      <c r="C389" s="389"/>
      <c r="D389" s="390"/>
      <c r="E389" s="391"/>
      <c r="F389" s="391"/>
      <c r="G389" s="391"/>
      <c r="H389" s="392"/>
      <c r="I389" s="393"/>
      <c r="J389" s="391"/>
      <c r="K389" s="391"/>
      <c r="L389" s="391"/>
      <c r="M389" s="391"/>
      <c r="N389" s="394"/>
      <c r="O389" s="393"/>
      <c r="P389" s="393"/>
      <c r="Q389" s="391"/>
    </row>
    <row r="390" spans="1:17">
      <c r="A390" s="389"/>
      <c r="B390" s="389"/>
      <c r="C390" s="389"/>
      <c r="D390" s="390"/>
      <c r="E390" s="391"/>
      <c r="F390" s="391"/>
      <c r="G390" s="391"/>
      <c r="H390" s="392"/>
      <c r="I390" s="393"/>
      <c r="J390" s="391"/>
      <c r="K390" s="391"/>
      <c r="L390" s="391"/>
      <c r="M390" s="391"/>
      <c r="N390" s="394"/>
      <c r="O390" s="393"/>
      <c r="P390" s="393"/>
      <c r="Q390" s="391"/>
    </row>
    <row r="391" spans="1:17">
      <c r="A391" s="389"/>
      <c r="B391" s="389"/>
      <c r="C391" s="389"/>
      <c r="D391" s="390"/>
      <c r="E391" s="391"/>
      <c r="F391" s="391"/>
      <c r="G391" s="391"/>
      <c r="H391" s="392"/>
      <c r="I391" s="393"/>
      <c r="J391" s="391"/>
      <c r="K391" s="391"/>
      <c r="L391" s="391"/>
      <c r="M391" s="391"/>
      <c r="N391" s="394"/>
      <c r="O391" s="393"/>
      <c r="P391" s="393"/>
      <c r="Q391" s="391"/>
    </row>
    <row r="392" spans="1:17">
      <c r="A392" s="389"/>
      <c r="B392" s="389"/>
      <c r="C392" s="389"/>
      <c r="D392" s="390"/>
      <c r="E392" s="391"/>
      <c r="F392" s="391"/>
      <c r="G392" s="391"/>
      <c r="H392" s="392"/>
      <c r="I392" s="393"/>
      <c r="J392" s="391"/>
      <c r="K392" s="391"/>
      <c r="L392" s="391"/>
      <c r="M392" s="391"/>
      <c r="N392" s="394"/>
      <c r="O392" s="393"/>
      <c r="P392" s="393"/>
      <c r="Q392" s="391"/>
    </row>
    <row r="393" spans="1:17">
      <c r="A393" s="389"/>
      <c r="B393" s="389"/>
      <c r="C393" s="389"/>
      <c r="D393" s="390"/>
      <c r="E393" s="391"/>
      <c r="F393" s="391"/>
      <c r="G393" s="391"/>
      <c r="H393" s="392"/>
      <c r="I393" s="393"/>
      <c r="J393" s="391"/>
      <c r="K393" s="391"/>
      <c r="L393" s="391"/>
      <c r="M393" s="391"/>
      <c r="N393" s="394"/>
      <c r="O393" s="393"/>
      <c r="P393" s="393"/>
      <c r="Q393" s="391"/>
    </row>
    <row r="394" spans="1:17">
      <c r="A394" s="389"/>
      <c r="B394" s="389"/>
      <c r="C394" s="389"/>
      <c r="D394" s="390"/>
      <c r="E394" s="391"/>
      <c r="F394" s="391"/>
      <c r="G394" s="391"/>
      <c r="H394" s="392"/>
      <c r="I394" s="393"/>
      <c r="J394" s="391"/>
      <c r="K394" s="391"/>
      <c r="L394" s="391"/>
      <c r="M394" s="391"/>
      <c r="N394" s="394"/>
      <c r="O394" s="393"/>
      <c r="P394" s="393"/>
      <c r="Q394" s="391"/>
    </row>
    <row r="395" spans="1:17">
      <c r="A395" s="389"/>
      <c r="B395" s="389"/>
      <c r="C395" s="389"/>
      <c r="D395" s="390"/>
      <c r="E395" s="391"/>
      <c r="F395" s="391"/>
      <c r="G395" s="391"/>
      <c r="H395" s="392"/>
      <c r="I395" s="393"/>
      <c r="J395" s="391"/>
      <c r="K395" s="391"/>
      <c r="L395" s="391"/>
      <c r="M395" s="391"/>
      <c r="N395" s="394"/>
      <c r="O395" s="393"/>
      <c r="P395" s="393"/>
      <c r="Q395" s="391"/>
    </row>
    <row r="396" spans="1:17">
      <c r="A396" s="389"/>
      <c r="B396" s="389"/>
      <c r="C396" s="389"/>
      <c r="D396" s="390"/>
      <c r="E396" s="391"/>
      <c r="F396" s="391"/>
      <c r="G396" s="391"/>
      <c r="H396" s="392"/>
      <c r="I396" s="393"/>
      <c r="J396" s="391"/>
      <c r="K396" s="391"/>
      <c r="L396" s="391"/>
      <c r="M396" s="391"/>
      <c r="N396" s="394"/>
      <c r="O396" s="393"/>
      <c r="P396" s="393"/>
      <c r="Q396" s="391"/>
    </row>
    <row r="397" spans="1:17">
      <c r="A397" s="389"/>
      <c r="B397" s="389"/>
      <c r="C397" s="389"/>
      <c r="D397" s="390"/>
      <c r="E397" s="391"/>
      <c r="F397" s="391"/>
      <c r="G397" s="391"/>
      <c r="H397" s="392"/>
      <c r="I397" s="393"/>
      <c r="J397" s="391"/>
      <c r="K397" s="391"/>
      <c r="L397" s="391"/>
      <c r="M397" s="391"/>
      <c r="N397" s="394"/>
      <c r="O397" s="393"/>
      <c r="P397" s="393"/>
      <c r="Q397" s="391"/>
    </row>
    <row r="398" spans="1:17">
      <c r="A398" s="389"/>
      <c r="B398" s="389"/>
      <c r="C398" s="389"/>
      <c r="D398" s="390"/>
      <c r="E398" s="391"/>
      <c r="F398" s="391"/>
      <c r="G398" s="391"/>
      <c r="H398" s="392"/>
      <c r="I398" s="393"/>
      <c r="J398" s="391"/>
      <c r="K398" s="391"/>
      <c r="L398" s="391"/>
      <c r="M398" s="391"/>
      <c r="N398" s="394"/>
      <c r="O398" s="393"/>
      <c r="P398" s="393"/>
      <c r="Q398" s="391"/>
    </row>
    <row r="399" spans="1:17">
      <c r="A399" s="389"/>
      <c r="B399" s="389"/>
      <c r="C399" s="389"/>
      <c r="D399" s="390"/>
      <c r="E399" s="391"/>
      <c r="F399" s="391"/>
      <c r="G399" s="391"/>
      <c r="H399" s="392"/>
      <c r="I399" s="393"/>
      <c r="J399" s="391"/>
      <c r="K399" s="391"/>
      <c r="L399" s="391"/>
      <c r="M399" s="391"/>
      <c r="N399" s="394"/>
      <c r="O399" s="393"/>
      <c r="P399" s="393"/>
      <c r="Q399" s="391"/>
    </row>
    <row r="400" spans="1:17">
      <c r="A400" s="389"/>
      <c r="B400" s="389"/>
      <c r="C400" s="389"/>
      <c r="D400" s="390"/>
      <c r="E400" s="391"/>
      <c r="F400" s="391"/>
      <c r="G400" s="391"/>
      <c r="H400" s="392"/>
      <c r="I400" s="393"/>
      <c r="J400" s="391"/>
      <c r="K400" s="391"/>
      <c r="L400" s="391"/>
      <c r="M400" s="391"/>
      <c r="N400" s="394"/>
      <c r="O400" s="393"/>
      <c r="P400" s="393"/>
      <c r="Q400" s="391"/>
    </row>
    <row r="401" spans="1:17">
      <c r="A401" s="389"/>
      <c r="B401" s="389"/>
      <c r="C401" s="389"/>
      <c r="D401" s="390"/>
      <c r="E401" s="391"/>
      <c r="F401" s="391"/>
      <c r="G401" s="391"/>
      <c r="H401" s="392"/>
      <c r="I401" s="393"/>
      <c r="J401" s="391"/>
      <c r="K401" s="391"/>
      <c r="L401" s="391"/>
      <c r="M401" s="391"/>
      <c r="N401" s="394"/>
      <c r="O401" s="393"/>
      <c r="P401" s="393"/>
      <c r="Q401" s="391"/>
    </row>
    <row r="402" spans="1:17">
      <c r="A402" s="389"/>
      <c r="B402" s="389"/>
      <c r="C402" s="389"/>
      <c r="D402" s="390"/>
      <c r="E402" s="391"/>
      <c r="F402" s="391"/>
      <c r="G402" s="391"/>
      <c r="H402" s="392"/>
      <c r="I402" s="393"/>
      <c r="J402" s="391"/>
      <c r="K402" s="391"/>
      <c r="L402" s="391"/>
      <c r="M402" s="391"/>
      <c r="N402" s="394"/>
      <c r="O402" s="393"/>
      <c r="P402" s="393"/>
      <c r="Q402" s="391"/>
    </row>
    <row r="403" spans="1:17">
      <c r="A403" s="389"/>
      <c r="B403" s="389"/>
      <c r="C403" s="389"/>
      <c r="D403" s="390"/>
      <c r="E403" s="391"/>
      <c r="F403" s="391"/>
      <c r="G403" s="391"/>
      <c r="H403" s="392"/>
      <c r="I403" s="393"/>
      <c r="J403" s="391"/>
      <c r="K403" s="391"/>
      <c r="L403" s="391"/>
      <c r="M403" s="391"/>
      <c r="N403" s="394"/>
      <c r="O403" s="393"/>
      <c r="P403" s="393"/>
      <c r="Q403" s="391"/>
    </row>
    <row r="404" spans="1:17">
      <c r="A404" s="389"/>
      <c r="B404" s="389"/>
      <c r="C404" s="389"/>
      <c r="D404" s="390"/>
      <c r="E404" s="391"/>
      <c r="F404" s="391"/>
      <c r="G404" s="391"/>
      <c r="H404" s="392"/>
      <c r="I404" s="393"/>
      <c r="J404" s="391"/>
      <c r="K404" s="391"/>
      <c r="L404" s="391"/>
      <c r="M404" s="391"/>
      <c r="N404" s="394"/>
      <c r="O404" s="393"/>
      <c r="P404" s="393"/>
      <c r="Q404" s="391"/>
    </row>
    <row r="405" spans="1:17">
      <c r="A405" s="389"/>
      <c r="B405" s="389"/>
      <c r="C405" s="389"/>
      <c r="D405" s="390"/>
      <c r="E405" s="391"/>
      <c r="F405" s="391"/>
      <c r="G405" s="391"/>
      <c r="H405" s="392"/>
      <c r="I405" s="393"/>
      <c r="J405" s="391"/>
      <c r="K405" s="391"/>
      <c r="L405" s="391"/>
      <c r="M405" s="391"/>
      <c r="N405" s="394"/>
      <c r="O405" s="393"/>
      <c r="P405" s="393"/>
      <c r="Q405" s="391"/>
    </row>
    <row r="406" spans="1:17">
      <c r="A406" s="389"/>
      <c r="B406" s="389"/>
      <c r="C406" s="389"/>
      <c r="D406" s="390"/>
      <c r="E406" s="391"/>
      <c r="F406" s="391"/>
      <c r="G406" s="391"/>
      <c r="H406" s="392"/>
      <c r="I406" s="393"/>
      <c r="J406" s="391"/>
      <c r="K406" s="391"/>
      <c r="L406" s="391"/>
      <c r="M406" s="391"/>
      <c r="N406" s="394"/>
      <c r="O406" s="393"/>
      <c r="P406" s="393"/>
      <c r="Q406" s="391"/>
    </row>
    <row r="407" spans="1:17">
      <c r="A407" s="389"/>
      <c r="B407" s="389"/>
      <c r="C407" s="389"/>
      <c r="D407" s="390"/>
      <c r="E407" s="391"/>
      <c r="F407" s="391"/>
      <c r="G407" s="391"/>
      <c r="H407" s="392"/>
      <c r="I407" s="393"/>
      <c r="J407" s="391"/>
      <c r="K407" s="391"/>
      <c r="L407" s="391"/>
      <c r="M407" s="391"/>
      <c r="N407" s="394"/>
      <c r="O407" s="393"/>
      <c r="P407" s="393"/>
      <c r="Q407" s="391"/>
    </row>
    <row r="408" spans="1:17">
      <c r="A408" s="389"/>
      <c r="B408" s="389"/>
      <c r="C408" s="389"/>
      <c r="D408" s="390"/>
      <c r="E408" s="391"/>
      <c r="F408" s="391"/>
      <c r="G408" s="391"/>
      <c r="H408" s="392"/>
      <c r="I408" s="393"/>
      <c r="J408" s="391"/>
      <c r="K408" s="391"/>
      <c r="L408" s="391"/>
      <c r="M408" s="391"/>
      <c r="N408" s="394"/>
      <c r="O408" s="393"/>
      <c r="P408" s="393"/>
      <c r="Q408" s="391"/>
    </row>
    <row r="409" spans="1:17">
      <c r="A409" s="389"/>
      <c r="B409" s="389"/>
      <c r="C409" s="389"/>
      <c r="D409" s="390"/>
      <c r="E409" s="391"/>
      <c r="F409" s="391"/>
      <c r="G409" s="391"/>
      <c r="H409" s="392"/>
      <c r="I409" s="393"/>
      <c r="J409" s="391"/>
      <c r="K409" s="391"/>
      <c r="L409" s="391"/>
      <c r="M409" s="391"/>
      <c r="N409" s="394"/>
      <c r="O409" s="393"/>
      <c r="P409" s="393"/>
      <c r="Q409" s="391"/>
    </row>
  </sheetData>
  <autoFilter ref="A1:Q409"/>
  <phoneticPr fontId="96" type="noConversion"/>
  <conditionalFormatting sqref="L1 L345:L409 K2:K377">
    <cfRule type="cellIs" dxfId="1" priority="2" operator="equal">
      <formula>1</formula>
    </cfRule>
  </conditionalFormatting>
  <conditionalFormatting sqref="K1">
    <cfRule type="cellIs" dxfId="0" priority="1" operator="equal">
      <formula>1</formula>
    </cfRule>
  </conditionalFormatting>
  <pageMargins left="0.7" right="0.7" top="0.75" bottom="0.75" header="0.3" footer="0.3"/>
  <pageSetup paperSize="8"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169"/>
  <sheetViews>
    <sheetView workbookViewId="0">
      <selection activeCell="G3" sqref="G3"/>
    </sheetView>
  </sheetViews>
  <sheetFormatPr defaultRowHeight="12.75"/>
  <cols>
    <col min="1" max="1" width="17.42578125" style="429" customWidth="1"/>
    <col min="2" max="2" width="17.28515625" style="429" customWidth="1"/>
    <col min="3" max="6" width="13.7109375" style="429" customWidth="1"/>
    <col min="7" max="7" width="18.28515625" style="117" customWidth="1"/>
    <col min="8" max="8" width="18.140625" customWidth="1"/>
    <col min="9" max="9" width="16.42578125" customWidth="1"/>
    <col min="10" max="10" width="18.28515625" customWidth="1"/>
    <col min="11" max="11" width="15.140625" customWidth="1"/>
  </cols>
  <sheetData>
    <row r="1" spans="1:11">
      <c r="A1" s="443" t="s">
        <v>225</v>
      </c>
      <c r="B1" s="443" t="s">
        <v>217</v>
      </c>
      <c r="C1" s="443" t="s">
        <v>219</v>
      </c>
      <c r="D1" s="443" t="s">
        <v>220</v>
      </c>
      <c r="E1" s="443" t="s">
        <v>222</v>
      </c>
      <c r="F1" s="443" t="s">
        <v>218</v>
      </c>
      <c r="G1" s="445" t="s">
        <v>221</v>
      </c>
      <c r="H1" s="444" t="s">
        <v>223</v>
      </c>
      <c r="I1" s="444" t="s">
        <v>224</v>
      </c>
      <c r="J1" s="445" t="s">
        <v>226</v>
      </c>
      <c r="K1" s="445" t="s">
        <v>227</v>
      </c>
    </row>
    <row r="2" spans="1:11">
      <c r="A2" s="430">
        <f>Plan!$E$3</f>
        <v>42933</v>
      </c>
      <c r="B2" s="431">
        <f>Plan!$E$5</f>
        <v>221116</v>
      </c>
      <c r="C2" s="446" t="str">
        <f>Plan!$E$6</f>
        <v>C1</v>
      </c>
      <c r="D2" s="430" t="str">
        <f>LEFT(C2,2)</f>
        <v>C1</v>
      </c>
      <c r="E2" s="430" t="str">
        <f>LEFT(D2,1)</f>
        <v>C</v>
      </c>
      <c r="F2" s="430" t="str">
        <f>IF(E2="","No Exam",IF(E2="C","Core",IF(E2="S","Service","Maint Visit")))</f>
        <v>Core</v>
      </c>
      <c r="G2" s="402" t="str">
        <f>IF(F2="Maint Visit","To Stop","Overnight")</f>
        <v>Overnight</v>
      </c>
      <c r="H2" s="428">
        <f>IF(G2="To Stop",A2+1,A2)</f>
        <v>42933</v>
      </c>
      <c r="I2" s="428">
        <f>IF(G2="To Stop",A2+3,A2+1)</f>
        <v>42934</v>
      </c>
      <c r="J2" s="402" t="str">
        <f>IF(G2="Overnight","In Service","Stopped")</f>
        <v>In Service</v>
      </c>
      <c r="K2" s="449" t="str">
        <f>IF(AND(B2&gt;221000,B2&lt;221119),"VWC",IF(B2&gt;221141,"VWC","AXC"))</f>
        <v>VWC</v>
      </c>
    </row>
    <row r="3" spans="1:11">
      <c r="A3" s="430">
        <f>Plan!$F$3</f>
        <v>42934</v>
      </c>
      <c r="B3" s="431">
        <f>Plan!$F$5</f>
        <v>221136</v>
      </c>
      <c r="C3" s="431" t="str">
        <f>Plan!$F$6</f>
        <v>C2</v>
      </c>
      <c r="D3" s="430" t="str">
        <f t="shared" ref="D3:D66" si="0">LEFT(C3,2)</f>
        <v>C2</v>
      </c>
      <c r="E3" s="430" t="str">
        <f t="shared" ref="E3:E66" si="1">LEFT(D3,1)</f>
        <v>C</v>
      </c>
      <c r="F3" s="430" t="str">
        <f t="shared" ref="F3:F66" si="2">IF(E3="","No Exam",IF(E3="C","Core",IF(E3="S","Service","Maint Visit")))</f>
        <v>Core</v>
      </c>
      <c r="G3" s="402" t="str">
        <f t="shared" ref="G3:G66" si="3">IF(F3="Maint Visit","To Stop","Overnight")</f>
        <v>Overnight</v>
      </c>
      <c r="H3" s="428">
        <f t="shared" ref="H3:H66" si="4">IF(G3="To Stop",A3+1,A3)</f>
        <v>42934</v>
      </c>
      <c r="I3" s="428">
        <f t="shared" ref="I3:I66" si="5">IF(G3="To Stop",A3+3,A3+1)</f>
        <v>42935</v>
      </c>
      <c r="J3" s="402" t="str">
        <f t="shared" ref="J3:J66" si="6">IF(G3="Overnight","In Service","Stopped")</f>
        <v>In Service</v>
      </c>
      <c r="K3" s="449" t="str">
        <f t="shared" ref="K3:K66" si="7">IF(AND(B3&gt;221000,B3&lt;221119),"VWC",IF(B3&gt;221141,"VWC","AXC"))</f>
        <v>AXC</v>
      </c>
    </row>
    <row r="4" spans="1:11">
      <c r="A4" s="430">
        <f>Plan!$G$3</f>
        <v>42935</v>
      </c>
      <c r="B4" s="431">
        <f>Plan!$G$5</f>
        <v>221107</v>
      </c>
      <c r="C4" s="431" t="str">
        <f>Plan!$G$6</f>
        <v>C2</v>
      </c>
      <c r="D4" s="430" t="str">
        <f t="shared" si="0"/>
        <v>C2</v>
      </c>
      <c r="E4" s="430" t="str">
        <f t="shared" si="1"/>
        <v>C</v>
      </c>
      <c r="F4" s="430" t="str">
        <f t="shared" si="2"/>
        <v>Core</v>
      </c>
      <c r="G4" s="402" t="str">
        <f t="shared" si="3"/>
        <v>Overnight</v>
      </c>
      <c r="H4" s="428">
        <f t="shared" si="4"/>
        <v>42935</v>
      </c>
      <c r="I4" s="428">
        <f t="shared" si="5"/>
        <v>42936</v>
      </c>
      <c r="J4" s="402" t="str">
        <f t="shared" si="6"/>
        <v>In Service</v>
      </c>
      <c r="K4" s="449" t="str">
        <f t="shared" si="7"/>
        <v>VWC</v>
      </c>
    </row>
    <row r="5" spans="1:11">
      <c r="A5" s="430">
        <f>Plan!$H$3</f>
        <v>42936</v>
      </c>
      <c r="B5" s="431">
        <f>Plan!$H$5</f>
        <v>221111</v>
      </c>
      <c r="C5" s="431" t="str">
        <f>Plan!$H$6</f>
        <v>C4</v>
      </c>
      <c r="D5" s="430" t="str">
        <f t="shared" si="0"/>
        <v>C4</v>
      </c>
      <c r="E5" s="430" t="str">
        <f t="shared" si="1"/>
        <v>C</v>
      </c>
      <c r="F5" s="430" t="str">
        <f t="shared" si="2"/>
        <v>Core</v>
      </c>
      <c r="G5" s="402" t="str">
        <f t="shared" si="3"/>
        <v>Overnight</v>
      </c>
      <c r="H5" s="428">
        <f t="shared" si="4"/>
        <v>42936</v>
      </c>
      <c r="I5" s="428">
        <f t="shared" si="5"/>
        <v>42937</v>
      </c>
      <c r="J5" s="402" t="str">
        <f t="shared" si="6"/>
        <v>In Service</v>
      </c>
      <c r="K5" s="449" t="str">
        <f t="shared" si="7"/>
        <v>VWC</v>
      </c>
    </row>
    <row r="6" spans="1:11">
      <c r="A6" s="430">
        <f>Plan!$I$3</f>
        <v>42937</v>
      </c>
      <c r="B6" s="431">
        <f>Plan!$I$5</f>
        <v>221132</v>
      </c>
      <c r="C6" s="431" t="str">
        <f>Plan!$I$6</f>
        <v>C4</v>
      </c>
      <c r="D6" s="430" t="str">
        <f t="shared" si="0"/>
        <v>C4</v>
      </c>
      <c r="E6" s="430" t="str">
        <f t="shared" si="1"/>
        <v>C</v>
      </c>
      <c r="F6" s="430" t="str">
        <f t="shared" si="2"/>
        <v>Core</v>
      </c>
      <c r="G6" s="402" t="str">
        <f t="shared" si="3"/>
        <v>Overnight</v>
      </c>
      <c r="H6" s="428">
        <f t="shared" si="4"/>
        <v>42937</v>
      </c>
      <c r="I6" s="428">
        <f t="shared" si="5"/>
        <v>42938</v>
      </c>
      <c r="J6" s="402" t="str">
        <f t="shared" si="6"/>
        <v>In Service</v>
      </c>
      <c r="K6" s="449" t="str">
        <f t="shared" si="7"/>
        <v>AXC</v>
      </c>
    </row>
    <row r="7" spans="1:11">
      <c r="A7" s="430">
        <f>Plan!$J$3</f>
        <v>42938</v>
      </c>
      <c r="B7" s="431">
        <f>Plan!$J$5</f>
        <v>220018</v>
      </c>
      <c r="C7" s="431" t="str">
        <f>Plan!$J$6</f>
        <v>C3</v>
      </c>
      <c r="D7" s="430" t="str">
        <f t="shared" si="0"/>
        <v>C3</v>
      </c>
      <c r="E7" s="430" t="str">
        <f t="shared" si="1"/>
        <v>C</v>
      </c>
      <c r="F7" s="430" t="str">
        <f t="shared" si="2"/>
        <v>Core</v>
      </c>
      <c r="G7" s="402" t="str">
        <f t="shared" si="3"/>
        <v>Overnight</v>
      </c>
      <c r="H7" s="428">
        <f t="shared" si="4"/>
        <v>42938</v>
      </c>
      <c r="I7" s="428">
        <f t="shared" si="5"/>
        <v>42939</v>
      </c>
      <c r="J7" s="402" t="str">
        <f t="shared" si="6"/>
        <v>In Service</v>
      </c>
      <c r="K7" s="449" t="str">
        <f t="shared" si="7"/>
        <v>AXC</v>
      </c>
    </row>
    <row r="8" spans="1:11">
      <c r="A8" s="430">
        <f>Plan!$K$3</f>
        <v>42939</v>
      </c>
      <c r="B8" s="431">
        <f>Plan!$K$5</f>
        <v>221114</v>
      </c>
      <c r="C8" s="431" t="str">
        <f>Plan!$K$6</f>
        <v>C3</v>
      </c>
      <c r="D8" s="430" t="str">
        <f t="shared" si="0"/>
        <v>C3</v>
      </c>
      <c r="E8" s="430" t="str">
        <f t="shared" si="1"/>
        <v>C</v>
      </c>
      <c r="F8" s="430" t="str">
        <f t="shared" si="2"/>
        <v>Core</v>
      </c>
      <c r="G8" s="402" t="str">
        <f t="shared" si="3"/>
        <v>Overnight</v>
      </c>
      <c r="H8" s="428">
        <f t="shared" si="4"/>
        <v>42939</v>
      </c>
      <c r="I8" s="428">
        <f t="shared" si="5"/>
        <v>42940</v>
      </c>
      <c r="J8" s="402" t="str">
        <f t="shared" si="6"/>
        <v>In Service</v>
      </c>
      <c r="K8" s="449" t="str">
        <f t="shared" si="7"/>
        <v>VWC</v>
      </c>
    </row>
    <row r="9" spans="1:11">
      <c r="A9" s="430">
        <f>Plan!$L$3</f>
        <v>42940</v>
      </c>
      <c r="B9" s="431">
        <f>Plan!$L$5</f>
        <v>220010</v>
      </c>
      <c r="C9" s="431" t="str">
        <f>Plan!$L$6</f>
        <v>C4</v>
      </c>
      <c r="D9" s="430" t="str">
        <f t="shared" si="0"/>
        <v>C4</v>
      </c>
      <c r="E9" s="430" t="str">
        <f t="shared" si="1"/>
        <v>C</v>
      </c>
      <c r="F9" s="430" t="str">
        <f t="shared" si="2"/>
        <v>Core</v>
      </c>
      <c r="G9" s="402" t="str">
        <f t="shared" si="3"/>
        <v>Overnight</v>
      </c>
      <c r="H9" s="428">
        <f t="shared" si="4"/>
        <v>42940</v>
      </c>
      <c r="I9" s="428">
        <f t="shared" si="5"/>
        <v>42941</v>
      </c>
      <c r="J9" s="402" t="str">
        <f t="shared" si="6"/>
        <v>In Service</v>
      </c>
      <c r="K9" s="449" t="str">
        <f t="shared" si="7"/>
        <v>AXC</v>
      </c>
    </row>
    <row r="10" spans="1:11">
      <c r="A10" s="430">
        <f>Plan!$M$3</f>
        <v>42941</v>
      </c>
      <c r="B10" s="431">
        <f>Plan!$M$5</f>
        <v>221118</v>
      </c>
      <c r="C10" s="431" t="str">
        <f>Plan!$M$6</f>
        <v>C1</v>
      </c>
      <c r="D10" s="430" t="str">
        <f t="shared" si="0"/>
        <v>C1</v>
      </c>
      <c r="E10" s="430" t="str">
        <f t="shared" si="1"/>
        <v>C</v>
      </c>
      <c r="F10" s="430" t="str">
        <f t="shared" si="2"/>
        <v>Core</v>
      </c>
      <c r="G10" s="402" t="str">
        <f t="shared" si="3"/>
        <v>Overnight</v>
      </c>
      <c r="H10" s="428">
        <f t="shared" si="4"/>
        <v>42941</v>
      </c>
      <c r="I10" s="428">
        <f t="shared" si="5"/>
        <v>42942</v>
      </c>
      <c r="J10" s="402" t="str">
        <f t="shared" si="6"/>
        <v>In Service</v>
      </c>
      <c r="K10" s="449" t="str">
        <f t="shared" si="7"/>
        <v>VWC</v>
      </c>
    </row>
    <row r="11" spans="1:11">
      <c r="A11" s="430">
        <f>Plan!$N$3</f>
        <v>42942</v>
      </c>
      <c r="B11" s="431">
        <f>Plan!$N$5</f>
        <v>221142</v>
      </c>
      <c r="C11" s="431" t="str">
        <f>Plan!$N$6</f>
        <v>C1</v>
      </c>
      <c r="D11" s="430" t="str">
        <f t="shared" si="0"/>
        <v>C1</v>
      </c>
      <c r="E11" s="430" t="str">
        <f t="shared" si="1"/>
        <v>C</v>
      </c>
      <c r="F11" s="430" t="str">
        <f t="shared" si="2"/>
        <v>Core</v>
      </c>
      <c r="G11" s="402" t="str">
        <f t="shared" si="3"/>
        <v>Overnight</v>
      </c>
      <c r="H11" s="428">
        <f t="shared" si="4"/>
        <v>42942</v>
      </c>
      <c r="I11" s="428">
        <f t="shared" si="5"/>
        <v>42943</v>
      </c>
      <c r="J11" s="402" t="str">
        <f t="shared" si="6"/>
        <v>In Service</v>
      </c>
      <c r="K11" s="449" t="str">
        <f t="shared" si="7"/>
        <v>VWC</v>
      </c>
    </row>
    <row r="12" spans="1:11">
      <c r="A12" s="430">
        <f>Plan!$O$3</f>
        <v>42943</v>
      </c>
      <c r="B12" s="431">
        <f>Plan!$O$5</f>
        <v>221113</v>
      </c>
      <c r="C12" s="431" t="str">
        <f>Plan!$O$6</f>
        <v>C2</v>
      </c>
      <c r="D12" s="430" t="str">
        <f t="shared" si="0"/>
        <v>C2</v>
      </c>
      <c r="E12" s="430" t="str">
        <f t="shared" si="1"/>
        <v>C</v>
      </c>
      <c r="F12" s="430" t="str">
        <f t="shared" si="2"/>
        <v>Core</v>
      </c>
      <c r="G12" s="402" t="str">
        <f t="shared" si="3"/>
        <v>Overnight</v>
      </c>
      <c r="H12" s="428">
        <f t="shared" si="4"/>
        <v>42943</v>
      </c>
      <c r="I12" s="428">
        <f t="shared" si="5"/>
        <v>42944</v>
      </c>
      <c r="J12" s="402" t="str">
        <f t="shared" si="6"/>
        <v>In Service</v>
      </c>
      <c r="K12" s="449" t="str">
        <f t="shared" si="7"/>
        <v>VWC</v>
      </c>
    </row>
    <row r="13" spans="1:11">
      <c r="A13" s="430">
        <f>Plan!$P$3</f>
        <v>42944</v>
      </c>
      <c r="B13" s="431">
        <f>Plan!$P$5</f>
        <v>221115</v>
      </c>
      <c r="C13" s="431" t="str">
        <f>Plan!$P$6</f>
        <v>C1</v>
      </c>
      <c r="D13" s="430" t="str">
        <f t="shared" si="0"/>
        <v>C1</v>
      </c>
      <c r="E13" s="430" t="str">
        <f t="shared" si="1"/>
        <v>C</v>
      </c>
      <c r="F13" s="430" t="str">
        <f t="shared" si="2"/>
        <v>Core</v>
      </c>
      <c r="G13" s="402" t="str">
        <f t="shared" si="3"/>
        <v>Overnight</v>
      </c>
      <c r="H13" s="428">
        <f t="shared" si="4"/>
        <v>42944</v>
      </c>
      <c r="I13" s="428">
        <f t="shared" si="5"/>
        <v>42945</v>
      </c>
      <c r="J13" s="402" t="str">
        <f t="shared" si="6"/>
        <v>In Service</v>
      </c>
      <c r="K13" s="449" t="str">
        <f t="shared" si="7"/>
        <v>VWC</v>
      </c>
    </row>
    <row r="14" spans="1:11">
      <c r="A14" s="430">
        <f>Plan!$Q$3</f>
        <v>42945</v>
      </c>
      <c r="B14" s="431">
        <f>Plan!$Q$5</f>
        <v>221119</v>
      </c>
      <c r="C14" s="431" t="str">
        <f>Plan!$Q$6</f>
        <v>C2</v>
      </c>
      <c r="D14" s="430" t="str">
        <f t="shared" si="0"/>
        <v>C2</v>
      </c>
      <c r="E14" s="430" t="str">
        <f t="shared" si="1"/>
        <v>C</v>
      </c>
      <c r="F14" s="430" t="str">
        <f t="shared" si="2"/>
        <v>Core</v>
      </c>
      <c r="G14" s="402" t="str">
        <f t="shared" si="3"/>
        <v>Overnight</v>
      </c>
      <c r="H14" s="428">
        <f t="shared" si="4"/>
        <v>42945</v>
      </c>
      <c r="I14" s="428">
        <f t="shared" si="5"/>
        <v>42946</v>
      </c>
      <c r="J14" s="402" t="str">
        <f t="shared" si="6"/>
        <v>In Service</v>
      </c>
      <c r="K14" s="449" t="str">
        <f t="shared" si="7"/>
        <v>AXC</v>
      </c>
    </row>
    <row r="15" spans="1:11">
      <c r="A15" s="430">
        <f>Plan!$R$3</f>
        <v>42946</v>
      </c>
      <c r="B15" s="431">
        <f>Plan!$R$5</f>
        <v>220034</v>
      </c>
      <c r="C15" s="431" t="str">
        <f>Plan!$R$6</f>
        <v>C1</v>
      </c>
      <c r="D15" s="430" t="str">
        <f t="shared" si="0"/>
        <v>C1</v>
      </c>
      <c r="E15" s="430" t="str">
        <f t="shared" si="1"/>
        <v>C</v>
      </c>
      <c r="F15" s="430" t="str">
        <f t="shared" si="2"/>
        <v>Core</v>
      </c>
      <c r="G15" s="402" t="str">
        <f t="shared" si="3"/>
        <v>Overnight</v>
      </c>
      <c r="H15" s="428">
        <f t="shared" si="4"/>
        <v>42946</v>
      </c>
      <c r="I15" s="428">
        <f t="shared" si="5"/>
        <v>42947</v>
      </c>
      <c r="J15" s="402" t="str">
        <f t="shared" si="6"/>
        <v>In Service</v>
      </c>
      <c r="K15" s="449" t="str">
        <f t="shared" si="7"/>
        <v>AXC</v>
      </c>
    </row>
    <row r="16" spans="1:11">
      <c r="A16" s="430">
        <f>Plan!$S$3</f>
        <v>42947</v>
      </c>
      <c r="B16" s="431">
        <f>Plan!$S$5</f>
        <v>220009</v>
      </c>
      <c r="C16" s="431" t="str">
        <f>Plan!$S$6</f>
        <v>C1</v>
      </c>
      <c r="D16" s="430" t="str">
        <f t="shared" si="0"/>
        <v>C1</v>
      </c>
      <c r="E16" s="430" t="str">
        <f t="shared" si="1"/>
        <v>C</v>
      </c>
      <c r="F16" s="430" t="str">
        <f t="shared" si="2"/>
        <v>Core</v>
      </c>
      <c r="G16" s="402" t="str">
        <f t="shared" si="3"/>
        <v>Overnight</v>
      </c>
      <c r="H16" s="428">
        <f t="shared" si="4"/>
        <v>42947</v>
      </c>
      <c r="I16" s="428">
        <f t="shared" si="5"/>
        <v>42948</v>
      </c>
      <c r="J16" s="402" t="str">
        <f t="shared" si="6"/>
        <v>In Service</v>
      </c>
      <c r="K16" s="449" t="str">
        <f t="shared" si="7"/>
        <v>AXC</v>
      </c>
    </row>
    <row r="17" spans="1:11">
      <c r="A17" s="430">
        <f>Plan!$T$3</f>
        <v>42948</v>
      </c>
      <c r="B17" s="431">
        <f>Plan!$T$5</f>
        <v>221102</v>
      </c>
      <c r="C17" s="431" t="str">
        <f>Plan!$T$6</f>
        <v>C3</v>
      </c>
      <c r="D17" s="430" t="str">
        <f t="shared" si="0"/>
        <v>C3</v>
      </c>
      <c r="E17" s="430" t="str">
        <f t="shared" si="1"/>
        <v>C</v>
      </c>
      <c r="F17" s="430" t="str">
        <f t="shared" si="2"/>
        <v>Core</v>
      </c>
      <c r="G17" s="402" t="str">
        <f t="shared" si="3"/>
        <v>Overnight</v>
      </c>
      <c r="H17" s="428">
        <f t="shared" si="4"/>
        <v>42948</v>
      </c>
      <c r="I17" s="428">
        <f t="shared" si="5"/>
        <v>42949</v>
      </c>
      <c r="J17" s="402" t="str">
        <f t="shared" si="6"/>
        <v>In Service</v>
      </c>
      <c r="K17" s="449" t="str">
        <f t="shared" si="7"/>
        <v>VWC</v>
      </c>
    </row>
    <row r="18" spans="1:11">
      <c r="A18" s="430">
        <f>Plan!$U$3</f>
        <v>42949</v>
      </c>
      <c r="B18" s="431">
        <f>Plan!$U$5</f>
        <v>220016</v>
      </c>
      <c r="C18" s="431" t="str">
        <f>Plan!$U$6</f>
        <v>C3</v>
      </c>
      <c r="D18" s="430" t="str">
        <f t="shared" si="0"/>
        <v>C3</v>
      </c>
      <c r="E18" s="430" t="str">
        <f t="shared" si="1"/>
        <v>C</v>
      </c>
      <c r="F18" s="430" t="str">
        <f t="shared" si="2"/>
        <v>Core</v>
      </c>
      <c r="G18" s="402" t="str">
        <f t="shared" si="3"/>
        <v>Overnight</v>
      </c>
      <c r="H18" s="428">
        <f t="shared" si="4"/>
        <v>42949</v>
      </c>
      <c r="I18" s="428">
        <f t="shared" si="5"/>
        <v>42950</v>
      </c>
      <c r="J18" s="402" t="str">
        <f t="shared" si="6"/>
        <v>In Service</v>
      </c>
      <c r="K18" s="449" t="str">
        <f t="shared" si="7"/>
        <v>AXC</v>
      </c>
    </row>
    <row r="19" spans="1:11">
      <c r="A19" s="430">
        <f>Plan!$V$3</f>
        <v>42950</v>
      </c>
      <c r="B19" s="431">
        <f>Plan!$V$5</f>
        <v>221108</v>
      </c>
      <c r="C19" s="431" t="str">
        <f>Plan!$V$6</f>
        <v>C1</v>
      </c>
      <c r="D19" s="430" t="str">
        <f t="shared" si="0"/>
        <v>C1</v>
      </c>
      <c r="E19" s="430" t="str">
        <f t="shared" si="1"/>
        <v>C</v>
      </c>
      <c r="F19" s="430" t="str">
        <f t="shared" si="2"/>
        <v>Core</v>
      </c>
      <c r="G19" s="402" t="str">
        <f t="shared" si="3"/>
        <v>Overnight</v>
      </c>
      <c r="H19" s="428">
        <f t="shared" si="4"/>
        <v>42950</v>
      </c>
      <c r="I19" s="428">
        <f t="shared" si="5"/>
        <v>42951</v>
      </c>
      <c r="J19" s="402" t="str">
        <f t="shared" si="6"/>
        <v>In Service</v>
      </c>
      <c r="K19" s="449" t="str">
        <f t="shared" si="7"/>
        <v>VWC</v>
      </c>
    </row>
    <row r="20" spans="1:11">
      <c r="A20" s="430">
        <f>Plan!$W$3</f>
        <v>42951</v>
      </c>
      <c r="B20" s="431">
        <f>Plan!$W$5</f>
        <v>221112</v>
      </c>
      <c r="C20" s="431" t="str">
        <f>Plan!$W$6</f>
        <v>C4</v>
      </c>
      <c r="D20" s="430" t="str">
        <f t="shared" si="0"/>
        <v>C4</v>
      </c>
      <c r="E20" s="430" t="str">
        <f t="shared" si="1"/>
        <v>C</v>
      </c>
      <c r="F20" s="430" t="str">
        <f t="shared" si="2"/>
        <v>Core</v>
      </c>
      <c r="G20" s="402" t="str">
        <f t="shared" si="3"/>
        <v>Overnight</v>
      </c>
      <c r="H20" s="428">
        <f t="shared" si="4"/>
        <v>42951</v>
      </c>
      <c r="I20" s="428">
        <f t="shared" si="5"/>
        <v>42952</v>
      </c>
      <c r="J20" s="402" t="str">
        <f t="shared" si="6"/>
        <v>In Service</v>
      </c>
      <c r="K20" s="449" t="str">
        <f t="shared" si="7"/>
        <v>VWC</v>
      </c>
    </row>
    <row r="21" spans="1:11">
      <c r="A21" s="430">
        <f>Plan!$X$3</f>
        <v>42952</v>
      </c>
      <c r="B21" s="431">
        <f>Plan!$X$5</f>
        <v>221109</v>
      </c>
      <c r="C21" s="431" t="str">
        <f>Plan!$X$6</f>
        <v>C4</v>
      </c>
      <c r="D21" s="430" t="str">
        <f t="shared" si="0"/>
        <v>C4</v>
      </c>
      <c r="E21" s="430" t="str">
        <f t="shared" si="1"/>
        <v>C</v>
      </c>
      <c r="F21" s="430" t="str">
        <f t="shared" si="2"/>
        <v>Core</v>
      </c>
      <c r="G21" s="402" t="str">
        <f t="shared" si="3"/>
        <v>Overnight</v>
      </c>
      <c r="H21" s="428">
        <f t="shared" si="4"/>
        <v>42952</v>
      </c>
      <c r="I21" s="428">
        <f t="shared" si="5"/>
        <v>42953</v>
      </c>
      <c r="J21" s="402" t="str">
        <f t="shared" si="6"/>
        <v>In Service</v>
      </c>
      <c r="K21" s="449" t="str">
        <f t="shared" si="7"/>
        <v>VWC</v>
      </c>
    </row>
    <row r="22" spans="1:11">
      <c r="A22" s="430">
        <f>Plan!$Y$3</f>
        <v>42953</v>
      </c>
      <c r="B22" s="431">
        <f>Plan!$Y$5</f>
        <v>221129</v>
      </c>
      <c r="C22" s="431" t="str">
        <f>Plan!$Y$6</f>
        <v>C1</v>
      </c>
      <c r="D22" s="430" t="str">
        <f t="shared" si="0"/>
        <v>C1</v>
      </c>
      <c r="E22" s="430" t="str">
        <f t="shared" si="1"/>
        <v>C</v>
      </c>
      <c r="F22" s="430" t="str">
        <f t="shared" si="2"/>
        <v>Core</v>
      </c>
      <c r="G22" s="402" t="str">
        <f t="shared" si="3"/>
        <v>Overnight</v>
      </c>
      <c r="H22" s="428">
        <f t="shared" si="4"/>
        <v>42953</v>
      </c>
      <c r="I22" s="428">
        <f t="shared" si="5"/>
        <v>42954</v>
      </c>
      <c r="J22" s="402" t="str">
        <f t="shared" si="6"/>
        <v>In Service</v>
      </c>
      <c r="K22" s="449" t="str">
        <f t="shared" si="7"/>
        <v>AXC</v>
      </c>
    </row>
    <row r="23" spans="1:11">
      <c r="A23" s="430">
        <f>Plan!$Z$3</f>
        <v>42954</v>
      </c>
      <c r="B23" s="431">
        <f>Plan!$Z$5</f>
        <v>220030</v>
      </c>
      <c r="C23" s="431" t="str">
        <f>Plan!$Z$6</f>
        <v>C3</v>
      </c>
      <c r="D23" s="430" t="str">
        <f t="shared" si="0"/>
        <v>C3</v>
      </c>
      <c r="E23" s="430" t="str">
        <f t="shared" si="1"/>
        <v>C</v>
      </c>
      <c r="F23" s="430" t="str">
        <f t="shared" si="2"/>
        <v>Core</v>
      </c>
      <c r="G23" s="402" t="str">
        <f t="shared" si="3"/>
        <v>Overnight</v>
      </c>
      <c r="H23" s="428">
        <f t="shared" si="4"/>
        <v>42954</v>
      </c>
      <c r="I23" s="428">
        <f t="shared" si="5"/>
        <v>42955</v>
      </c>
      <c r="J23" s="402" t="str">
        <f t="shared" si="6"/>
        <v>In Service</v>
      </c>
      <c r="K23" s="449" t="str">
        <f t="shared" si="7"/>
        <v>AXC</v>
      </c>
    </row>
    <row r="24" spans="1:11">
      <c r="A24" s="430">
        <f>Plan!AA$3</f>
        <v>42955</v>
      </c>
      <c r="B24" s="431">
        <f>Plan!$AA$5</f>
        <v>221122</v>
      </c>
      <c r="C24" s="431" t="str">
        <f>Plan!$AA$6</f>
        <v>C3</v>
      </c>
      <c r="D24" s="430" t="str">
        <f t="shared" si="0"/>
        <v>C3</v>
      </c>
      <c r="E24" s="430" t="str">
        <f t="shared" si="1"/>
        <v>C</v>
      </c>
      <c r="F24" s="430" t="str">
        <f t="shared" si="2"/>
        <v>Core</v>
      </c>
      <c r="G24" s="402" t="str">
        <f t="shared" si="3"/>
        <v>Overnight</v>
      </c>
      <c r="H24" s="428">
        <f t="shared" si="4"/>
        <v>42955</v>
      </c>
      <c r="I24" s="428">
        <f t="shared" si="5"/>
        <v>42956</v>
      </c>
      <c r="J24" s="402" t="str">
        <f t="shared" si="6"/>
        <v>In Service</v>
      </c>
      <c r="K24" s="449" t="str">
        <f t="shared" si="7"/>
        <v>AXC</v>
      </c>
    </row>
    <row r="25" spans="1:11">
      <c r="A25" s="430">
        <f>Plan!$AB$3</f>
        <v>42956</v>
      </c>
      <c r="B25" s="431">
        <f>Plan!$AB$5</f>
        <v>221128</v>
      </c>
      <c r="C25" s="431" t="str">
        <f>Plan!$AB$6</f>
        <v>C1</v>
      </c>
      <c r="D25" s="430" t="str">
        <f t="shared" si="0"/>
        <v>C1</v>
      </c>
      <c r="E25" s="430" t="str">
        <f t="shared" si="1"/>
        <v>C</v>
      </c>
      <c r="F25" s="430" t="str">
        <f t="shared" si="2"/>
        <v>Core</v>
      </c>
      <c r="G25" s="402" t="str">
        <f t="shared" si="3"/>
        <v>Overnight</v>
      </c>
      <c r="H25" s="428">
        <f t="shared" si="4"/>
        <v>42956</v>
      </c>
      <c r="I25" s="428">
        <f t="shared" si="5"/>
        <v>42957</v>
      </c>
      <c r="J25" s="402" t="str">
        <f t="shared" si="6"/>
        <v>In Service</v>
      </c>
      <c r="K25" s="449" t="str">
        <f t="shared" si="7"/>
        <v>AXC</v>
      </c>
    </row>
    <row r="26" spans="1:11">
      <c r="A26" s="430">
        <f>Plan!$AC$3</f>
        <v>42957</v>
      </c>
      <c r="B26" s="431">
        <f>Plan!$AC$5</f>
        <v>221106</v>
      </c>
      <c r="C26" s="431" t="str">
        <f>Plan!$AC$6</f>
        <v>C1</v>
      </c>
      <c r="D26" s="430" t="str">
        <f t="shared" si="0"/>
        <v>C1</v>
      </c>
      <c r="E26" s="430" t="str">
        <f t="shared" si="1"/>
        <v>C</v>
      </c>
      <c r="F26" s="430" t="str">
        <f t="shared" si="2"/>
        <v>Core</v>
      </c>
      <c r="G26" s="402" t="str">
        <f t="shared" si="3"/>
        <v>Overnight</v>
      </c>
      <c r="H26" s="428">
        <f t="shared" si="4"/>
        <v>42957</v>
      </c>
      <c r="I26" s="428">
        <f t="shared" si="5"/>
        <v>42958</v>
      </c>
      <c r="J26" s="402" t="str">
        <f t="shared" si="6"/>
        <v>In Service</v>
      </c>
      <c r="K26" s="449" t="str">
        <f t="shared" si="7"/>
        <v>VWC</v>
      </c>
    </row>
    <row r="27" spans="1:11">
      <c r="A27" s="430">
        <f>Plan!$AD$3</f>
        <v>42958</v>
      </c>
      <c r="B27" s="431">
        <f>Plan!$AD$5</f>
        <v>221110</v>
      </c>
      <c r="C27" s="431" t="str">
        <f>Plan!$AD$6</f>
        <v>C4</v>
      </c>
      <c r="D27" s="430" t="str">
        <f t="shared" si="0"/>
        <v>C4</v>
      </c>
      <c r="E27" s="430" t="str">
        <f t="shared" si="1"/>
        <v>C</v>
      </c>
      <c r="F27" s="430" t="str">
        <f t="shared" si="2"/>
        <v>Core</v>
      </c>
      <c r="G27" s="402" t="str">
        <f t="shared" si="3"/>
        <v>Overnight</v>
      </c>
      <c r="H27" s="428">
        <f t="shared" si="4"/>
        <v>42958</v>
      </c>
      <c r="I27" s="428">
        <f t="shared" si="5"/>
        <v>42959</v>
      </c>
      <c r="J27" s="402" t="str">
        <f t="shared" si="6"/>
        <v>In Service</v>
      </c>
      <c r="K27" s="449" t="str">
        <f t="shared" si="7"/>
        <v>VWC</v>
      </c>
    </row>
    <row r="28" spans="1:11">
      <c r="A28" s="430">
        <f>Plan!$AE$3</f>
        <v>42959</v>
      </c>
      <c r="B28" s="431">
        <f>Plan!$AE$5</f>
        <v>221103</v>
      </c>
      <c r="C28" s="431" t="str">
        <f>Plan!$AE$6</f>
        <v>C3</v>
      </c>
      <c r="D28" s="430" t="str">
        <f t="shared" si="0"/>
        <v>C3</v>
      </c>
      <c r="E28" s="430" t="str">
        <f t="shared" si="1"/>
        <v>C</v>
      </c>
      <c r="F28" s="430" t="str">
        <f t="shared" si="2"/>
        <v>Core</v>
      </c>
      <c r="G28" s="402" t="str">
        <f t="shared" si="3"/>
        <v>Overnight</v>
      </c>
      <c r="H28" s="428">
        <f t="shared" si="4"/>
        <v>42959</v>
      </c>
      <c r="I28" s="428">
        <f t="shared" si="5"/>
        <v>42960</v>
      </c>
      <c r="J28" s="402" t="str">
        <f t="shared" si="6"/>
        <v>In Service</v>
      </c>
      <c r="K28" s="449" t="str">
        <f t="shared" si="7"/>
        <v>VWC</v>
      </c>
    </row>
    <row r="29" spans="1:11">
      <c r="A29" s="430">
        <f>Plan!$AF$3</f>
        <v>42960</v>
      </c>
      <c r="B29" s="431">
        <f>Plan!$AF$5</f>
        <v>221101</v>
      </c>
      <c r="C29" s="431" t="str">
        <f>Plan!$AF$6</f>
        <v>C3</v>
      </c>
      <c r="D29" s="430" t="str">
        <f t="shared" si="0"/>
        <v>C3</v>
      </c>
      <c r="E29" s="430" t="str">
        <f t="shared" si="1"/>
        <v>C</v>
      </c>
      <c r="F29" s="430" t="str">
        <f t="shared" si="2"/>
        <v>Core</v>
      </c>
      <c r="G29" s="402" t="str">
        <f t="shared" si="3"/>
        <v>Overnight</v>
      </c>
      <c r="H29" s="428">
        <f t="shared" si="4"/>
        <v>42960</v>
      </c>
      <c r="I29" s="428">
        <f t="shared" si="5"/>
        <v>42961</v>
      </c>
      <c r="J29" s="402" t="str">
        <f t="shared" si="6"/>
        <v>In Service</v>
      </c>
      <c r="K29" s="449" t="str">
        <f t="shared" si="7"/>
        <v>VWC</v>
      </c>
    </row>
    <row r="30" spans="1:11">
      <c r="A30" s="432">
        <f>Plan!$E$3</f>
        <v>42933</v>
      </c>
      <c r="B30" s="434">
        <f>Plan!$E$13</f>
        <v>220028</v>
      </c>
      <c r="C30" s="433" t="str">
        <f>Plan!$E$14</f>
        <v>C1</v>
      </c>
      <c r="D30" s="430" t="str">
        <f t="shared" si="0"/>
        <v>C1</v>
      </c>
      <c r="E30" s="430" t="str">
        <f t="shared" si="1"/>
        <v>C</v>
      </c>
      <c r="F30" s="430" t="str">
        <f t="shared" si="2"/>
        <v>Core</v>
      </c>
      <c r="G30" s="402" t="str">
        <f t="shared" si="3"/>
        <v>Overnight</v>
      </c>
      <c r="H30" s="428">
        <f t="shared" si="4"/>
        <v>42933</v>
      </c>
      <c r="I30" s="428">
        <f t="shared" si="5"/>
        <v>42934</v>
      </c>
      <c r="J30" s="402" t="str">
        <f t="shared" si="6"/>
        <v>In Service</v>
      </c>
      <c r="K30" s="449" t="str">
        <f t="shared" si="7"/>
        <v>AXC</v>
      </c>
    </row>
    <row r="31" spans="1:11">
      <c r="A31" s="432">
        <f>Plan!$F$3</f>
        <v>42934</v>
      </c>
      <c r="B31" s="434">
        <f>Plan!$F$13</f>
        <v>220019</v>
      </c>
      <c r="C31" s="434" t="str">
        <f>Plan!$F$14</f>
        <v>C4</v>
      </c>
      <c r="D31" s="430" t="str">
        <f t="shared" si="0"/>
        <v>C4</v>
      </c>
      <c r="E31" s="430" t="str">
        <f t="shared" si="1"/>
        <v>C</v>
      </c>
      <c r="F31" s="430" t="str">
        <f t="shared" si="2"/>
        <v>Core</v>
      </c>
      <c r="G31" s="402" t="str">
        <f t="shared" si="3"/>
        <v>Overnight</v>
      </c>
      <c r="H31" s="428">
        <f t="shared" si="4"/>
        <v>42934</v>
      </c>
      <c r="I31" s="428">
        <f t="shared" si="5"/>
        <v>42935</v>
      </c>
      <c r="J31" s="402" t="str">
        <f t="shared" si="6"/>
        <v>In Service</v>
      </c>
      <c r="K31" s="449" t="str">
        <f t="shared" si="7"/>
        <v>AXC</v>
      </c>
    </row>
    <row r="32" spans="1:11">
      <c r="A32" s="432">
        <f>Plan!$G$3</f>
        <v>42935</v>
      </c>
      <c r="B32" s="434">
        <f>Plan!$G$13</f>
        <v>220031</v>
      </c>
      <c r="C32" s="434" t="str">
        <f>Plan!$G$14</f>
        <v>C4</v>
      </c>
      <c r="D32" s="430" t="str">
        <f t="shared" si="0"/>
        <v>C4</v>
      </c>
      <c r="E32" s="430" t="str">
        <f t="shared" si="1"/>
        <v>C</v>
      </c>
      <c r="F32" s="430" t="str">
        <f t="shared" si="2"/>
        <v>Core</v>
      </c>
      <c r="G32" s="402" t="str">
        <f t="shared" si="3"/>
        <v>Overnight</v>
      </c>
      <c r="H32" s="428">
        <f t="shared" si="4"/>
        <v>42935</v>
      </c>
      <c r="I32" s="428">
        <f t="shared" si="5"/>
        <v>42936</v>
      </c>
      <c r="J32" s="402" t="str">
        <f t="shared" si="6"/>
        <v>In Service</v>
      </c>
      <c r="K32" s="449" t="str">
        <f t="shared" si="7"/>
        <v>AXC</v>
      </c>
    </row>
    <row r="33" spans="1:11">
      <c r="A33" s="432">
        <f>Plan!$H$3</f>
        <v>42936</v>
      </c>
      <c r="B33" s="434">
        <f>Plan!$H$13</f>
        <v>220006</v>
      </c>
      <c r="C33" s="434" t="str">
        <f>Plan!$H$14</f>
        <v>C1</v>
      </c>
      <c r="D33" s="430" t="str">
        <f t="shared" si="0"/>
        <v>C1</v>
      </c>
      <c r="E33" s="430" t="str">
        <f t="shared" si="1"/>
        <v>C</v>
      </c>
      <c r="F33" s="430" t="str">
        <f t="shared" si="2"/>
        <v>Core</v>
      </c>
      <c r="G33" s="402" t="str">
        <f t="shared" si="3"/>
        <v>Overnight</v>
      </c>
      <c r="H33" s="428">
        <f t="shared" si="4"/>
        <v>42936</v>
      </c>
      <c r="I33" s="428">
        <f t="shared" si="5"/>
        <v>42937</v>
      </c>
      <c r="J33" s="402" t="str">
        <f t="shared" si="6"/>
        <v>In Service</v>
      </c>
      <c r="K33" s="449" t="str">
        <f t="shared" si="7"/>
        <v>AXC</v>
      </c>
    </row>
    <row r="34" spans="1:11">
      <c r="A34" s="432">
        <f>Plan!$I$3</f>
        <v>42937</v>
      </c>
      <c r="B34" s="434">
        <f>Plan!$I$13</f>
        <v>221134</v>
      </c>
      <c r="C34" s="434" t="str">
        <f>Plan!$I$14</f>
        <v>C1</v>
      </c>
      <c r="D34" s="430" t="str">
        <f t="shared" si="0"/>
        <v>C1</v>
      </c>
      <c r="E34" s="430" t="str">
        <f t="shared" si="1"/>
        <v>C</v>
      </c>
      <c r="F34" s="430" t="str">
        <f t="shared" si="2"/>
        <v>Core</v>
      </c>
      <c r="G34" s="402" t="str">
        <f t="shared" si="3"/>
        <v>Overnight</v>
      </c>
      <c r="H34" s="428">
        <f t="shared" si="4"/>
        <v>42937</v>
      </c>
      <c r="I34" s="428">
        <f t="shared" si="5"/>
        <v>42938</v>
      </c>
      <c r="J34" s="402" t="str">
        <f t="shared" si="6"/>
        <v>In Service</v>
      </c>
      <c r="K34" s="449" t="str">
        <f t="shared" si="7"/>
        <v>AXC</v>
      </c>
    </row>
    <row r="35" spans="1:11">
      <c r="A35" s="432">
        <f>Plan!$J$3</f>
        <v>42938</v>
      </c>
      <c r="B35" s="434">
        <f>Plan!$J$13</f>
        <v>220014</v>
      </c>
      <c r="C35" s="434" t="str">
        <f>Plan!$J$14</f>
        <v>C2</v>
      </c>
      <c r="D35" s="430" t="str">
        <f t="shared" si="0"/>
        <v>C2</v>
      </c>
      <c r="E35" s="430" t="str">
        <f t="shared" si="1"/>
        <v>C</v>
      </c>
      <c r="F35" s="430" t="str">
        <f t="shared" si="2"/>
        <v>Core</v>
      </c>
      <c r="G35" s="402" t="str">
        <f t="shared" si="3"/>
        <v>Overnight</v>
      </c>
      <c r="H35" s="428">
        <f t="shared" si="4"/>
        <v>42938</v>
      </c>
      <c r="I35" s="428">
        <f t="shared" si="5"/>
        <v>42939</v>
      </c>
      <c r="J35" s="402" t="str">
        <f t="shared" si="6"/>
        <v>In Service</v>
      </c>
      <c r="K35" s="449" t="str">
        <f t="shared" si="7"/>
        <v>AXC</v>
      </c>
    </row>
    <row r="36" spans="1:11">
      <c r="A36" s="432">
        <f>Plan!$K$3</f>
        <v>42939</v>
      </c>
      <c r="B36" s="434">
        <f>Plan!$K$13</f>
        <v>221127</v>
      </c>
      <c r="C36" s="434" t="str">
        <f>Plan!$K$14</f>
        <v>C4</v>
      </c>
      <c r="D36" s="430" t="str">
        <f t="shared" si="0"/>
        <v>C4</v>
      </c>
      <c r="E36" s="430" t="str">
        <f t="shared" si="1"/>
        <v>C</v>
      </c>
      <c r="F36" s="430" t="str">
        <f t="shared" si="2"/>
        <v>Core</v>
      </c>
      <c r="G36" s="402" t="str">
        <f t="shared" si="3"/>
        <v>Overnight</v>
      </c>
      <c r="H36" s="428">
        <f t="shared" si="4"/>
        <v>42939</v>
      </c>
      <c r="I36" s="428">
        <f t="shared" si="5"/>
        <v>42940</v>
      </c>
      <c r="J36" s="402" t="str">
        <f t="shared" si="6"/>
        <v>In Service</v>
      </c>
      <c r="K36" s="449" t="str">
        <f t="shared" si="7"/>
        <v>AXC</v>
      </c>
    </row>
    <row r="37" spans="1:11">
      <c r="A37" s="432">
        <f>Plan!$L$3</f>
        <v>42940</v>
      </c>
      <c r="B37" s="434">
        <f>Plan!$L$13</f>
        <v>220013</v>
      </c>
      <c r="C37" s="434" t="str">
        <f>Plan!$L$14</f>
        <v>C3</v>
      </c>
      <c r="D37" s="430" t="str">
        <f t="shared" si="0"/>
        <v>C3</v>
      </c>
      <c r="E37" s="430" t="str">
        <f t="shared" si="1"/>
        <v>C</v>
      </c>
      <c r="F37" s="430" t="str">
        <f t="shared" si="2"/>
        <v>Core</v>
      </c>
      <c r="G37" s="402" t="str">
        <f t="shared" si="3"/>
        <v>Overnight</v>
      </c>
      <c r="H37" s="428">
        <f t="shared" si="4"/>
        <v>42940</v>
      </c>
      <c r="I37" s="428">
        <f t="shared" si="5"/>
        <v>42941</v>
      </c>
      <c r="J37" s="402" t="str">
        <f t="shared" si="6"/>
        <v>In Service</v>
      </c>
      <c r="K37" s="449" t="str">
        <f t="shared" si="7"/>
        <v>AXC</v>
      </c>
    </row>
    <row r="38" spans="1:11">
      <c r="A38" s="432">
        <f>Plan!$M$3</f>
        <v>42941</v>
      </c>
      <c r="B38" s="434">
        <f>Plan!$M$13</f>
        <v>221130</v>
      </c>
      <c r="C38" s="434" t="str">
        <f>Plan!$M$14</f>
        <v>C4</v>
      </c>
      <c r="D38" s="430" t="str">
        <f t="shared" si="0"/>
        <v>C4</v>
      </c>
      <c r="E38" s="430" t="str">
        <f t="shared" si="1"/>
        <v>C</v>
      </c>
      <c r="F38" s="430" t="str">
        <f t="shared" si="2"/>
        <v>Core</v>
      </c>
      <c r="G38" s="402" t="str">
        <f t="shared" si="3"/>
        <v>Overnight</v>
      </c>
      <c r="H38" s="428">
        <f t="shared" si="4"/>
        <v>42941</v>
      </c>
      <c r="I38" s="428">
        <f t="shared" si="5"/>
        <v>42942</v>
      </c>
      <c r="J38" s="402" t="str">
        <f t="shared" si="6"/>
        <v>In Service</v>
      </c>
      <c r="K38" s="449" t="str">
        <f t="shared" si="7"/>
        <v>AXC</v>
      </c>
    </row>
    <row r="39" spans="1:11">
      <c r="A39" s="432">
        <f>Plan!$N$3</f>
        <v>42942</v>
      </c>
      <c r="B39" s="434">
        <f>Plan!$N$13</f>
        <v>220023</v>
      </c>
      <c r="C39" s="434" t="str">
        <f>Plan!$N$14</f>
        <v>C1</v>
      </c>
      <c r="D39" s="430" t="str">
        <f t="shared" si="0"/>
        <v>C1</v>
      </c>
      <c r="E39" s="430" t="str">
        <f t="shared" si="1"/>
        <v>C</v>
      </c>
      <c r="F39" s="430" t="str">
        <f t="shared" si="2"/>
        <v>Core</v>
      </c>
      <c r="G39" s="402" t="str">
        <f t="shared" si="3"/>
        <v>Overnight</v>
      </c>
      <c r="H39" s="428">
        <f t="shared" si="4"/>
        <v>42942</v>
      </c>
      <c r="I39" s="428">
        <f t="shared" si="5"/>
        <v>42943</v>
      </c>
      <c r="J39" s="402" t="str">
        <f t="shared" si="6"/>
        <v>In Service</v>
      </c>
      <c r="K39" s="449" t="str">
        <f t="shared" si="7"/>
        <v>AXC</v>
      </c>
    </row>
    <row r="40" spans="1:11">
      <c r="A40" s="432">
        <f>Plan!$O$3</f>
        <v>42943</v>
      </c>
      <c r="B40" s="434">
        <f>Plan!$O$13</f>
        <v>221120</v>
      </c>
      <c r="C40" s="434" t="str">
        <f>Plan!$O$14</f>
        <v>C3</v>
      </c>
      <c r="D40" s="430" t="str">
        <f t="shared" si="0"/>
        <v>C3</v>
      </c>
      <c r="E40" s="430" t="str">
        <f t="shared" si="1"/>
        <v>C</v>
      </c>
      <c r="F40" s="430" t="str">
        <f t="shared" si="2"/>
        <v>Core</v>
      </c>
      <c r="G40" s="402" t="str">
        <f t="shared" si="3"/>
        <v>Overnight</v>
      </c>
      <c r="H40" s="428">
        <f t="shared" si="4"/>
        <v>42943</v>
      </c>
      <c r="I40" s="428">
        <f t="shared" si="5"/>
        <v>42944</v>
      </c>
      <c r="J40" s="402" t="str">
        <f t="shared" si="6"/>
        <v>In Service</v>
      </c>
      <c r="K40" s="449" t="str">
        <f t="shared" si="7"/>
        <v>AXC</v>
      </c>
    </row>
    <row r="41" spans="1:11">
      <c r="A41" s="432">
        <f>Plan!$P$3</f>
        <v>42944</v>
      </c>
      <c r="B41" s="434">
        <f>Plan!$P$13</f>
        <v>221137</v>
      </c>
      <c r="C41" s="434" t="str">
        <f>Plan!$P$14</f>
        <v>C2</v>
      </c>
      <c r="D41" s="430" t="str">
        <f t="shared" si="0"/>
        <v>C2</v>
      </c>
      <c r="E41" s="430" t="str">
        <f t="shared" si="1"/>
        <v>C</v>
      </c>
      <c r="F41" s="430" t="str">
        <f t="shared" si="2"/>
        <v>Core</v>
      </c>
      <c r="G41" s="402" t="str">
        <f t="shared" si="3"/>
        <v>Overnight</v>
      </c>
      <c r="H41" s="428">
        <f t="shared" si="4"/>
        <v>42944</v>
      </c>
      <c r="I41" s="428">
        <f t="shared" si="5"/>
        <v>42945</v>
      </c>
      <c r="J41" s="402" t="str">
        <f t="shared" si="6"/>
        <v>In Service</v>
      </c>
      <c r="K41" s="449" t="str">
        <f t="shared" si="7"/>
        <v>AXC</v>
      </c>
    </row>
    <row r="42" spans="1:11">
      <c r="A42" s="432">
        <f>Plan!$Q$3</f>
        <v>42945</v>
      </c>
      <c r="B42" s="434">
        <f>Plan!$Q$13</f>
        <v>221139</v>
      </c>
      <c r="C42" s="434" t="str">
        <f>Plan!$Q$14</f>
        <v>C2</v>
      </c>
      <c r="D42" s="430" t="str">
        <f t="shared" si="0"/>
        <v>C2</v>
      </c>
      <c r="E42" s="430" t="str">
        <f t="shared" si="1"/>
        <v>C</v>
      </c>
      <c r="F42" s="430" t="str">
        <f t="shared" si="2"/>
        <v>Core</v>
      </c>
      <c r="G42" s="402" t="str">
        <f t="shared" si="3"/>
        <v>Overnight</v>
      </c>
      <c r="H42" s="428">
        <f t="shared" si="4"/>
        <v>42945</v>
      </c>
      <c r="I42" s="428">
        <f t="shared" si="5"/>
        <v>42946</v>
      </c>
      <c r="J42" s="402" t="str">
        <f t="shared" si="6"/>
        <v>In Service</v>
      </c>
      <c r="K42" s="449" t="str">
        <f t="shared" si="7"/>
        <v>AXC</v>
      </c>
    </row>
    <row r="43" spans="1:11">
      <c r="A43" s="432">
        <f>Plan!$R$3</f>
        <v>42946</v>
      </c>
      <c r="B43" s="434">
        <f>Plan!$R$13</f>
        <v>220024</v>
      </c>
      <c r="C43" s="434" t="str">
        <f>Plan!$R$14</f>
        <v>C1</v>
      </c>
      <c r="D43" s="430" t="str">
        <f t="shared" si="0"/>
        <v>C1</v>
      </c>
      <c r="E43" s="430" t="str">
        <f t="shared" si="1"/>
        <v>C</v>
      </c>
      <c r="F43" s="430" t="str">
        <f t="shared" si="2"/>
        <v>Core</v>
      </c>
      <c r="G43" s="402" t="str">
        <f t="shared" si="3"/>
        <v>Overnight</v>
      </c>
      <c r="H43" s="428">
        <f t="shared" si="4"/>
        <v>42946</v>
      </c>
      <c r="I43" s="428">
        <f t="shared" si="5"/>
        <v>42947</v>
      </c>
      <c r="J43" s="402" t="str">
        <f t="shared" si="6"/>
        <v>In Service</v>
      </c>
      <c r="K43" s="449" t="str">
        <f t="shared" si="7"/>
        <v>AXC</v>
      </c>
    </row>
    <row r="44" spans="1:11">
      <c r="A44" s="432">
        <f>Plan!$S$3</f>
        <v>42947</v>
      </c>
      <c r="B44" s="434">
        <f>Plan!$S$13</f>
        <v>220032</v>
      </c>
      <c r="C44" s="434" t="str">
        <f>Plan!$S$14</f>
        <v>C3</v>
      </c>
      <c r="D44" s="430" t="str">
        <f t="shared" si="0"/>
        <v>C3</v>
      </c>
      <c r="E44" s="430" t="str">
        <f t="shared" si="1"/>
        <v>C</v>
      </c>
      <c r="F44" s="430" t="str">
        <f t="shared" si="2"/>
        <v>Core</v>
      </c>
      <c r="G44" s="402" t="str">
        <f t="shared" si="3"/>
        <v>Overnight</v>
      </c>
      <c r="H44" s="428">
        <f t="shared" si="4"/>
        <v>42947</v>
      </c>
      <c r="I44" s="428">
        <f t="shared" si="5"/>
        <v>42948</v>
      </c>
      <c r="J44" s="402" t="str">
        <f t="shared" si="6"/>
        <v>In Service</v>
      </c>
      <c r="K44" s="449" t="str">
        <f t="shared" si="7"/>
        <v>AXC</v>
      </c>
    </row>
    <row r="45" spans="1:11">
      <c r="A45" s="432">
        <f>Plan!$T$3</f>
        <v>42948</v>
      </c>
      <c r="B45" s="434">
        <f>Plan!$T$13</f>
        <v>221140</v>
      </c>
      <c r="C45" s="434" t="str">
        <f>Plan!$T$14</f>
        <v>C1</v>
      </c>
      <c r="D45" s="430" t="str">
        <f t="shared" si="0"/>
        <v>C1</v>
      </c>
      <c r="E45" s="430" t="str">
        <f t="shared" si="1"/>
        <v>C</v>
      </c>
      <c r="F45" s="430" t="str">
        <f t="shared" si="2"/>
        <v>Core</v>
      </c>
      <c r="G45" s="402" t="str">
        <f t="shared" si="3"/>
        <v>Overnight</v>
      </c>
      <c r="H45" s="428">
        <f t="shared" si="4"/>
        <v>42948</v>
      </c>
      <c r="I45" s="428">
        <f t="shared" si="5"/>
        <v>42949</v>
      </c>
      <c r="J45" s="402" t="str">
        <f t="shared" si="6"/>
        <v>In Service</v>
      </c>
      <c r="K45" s="449" t="str">
        <f t="shared" si="7"/>
        <v>AXC</v>
      </c>
    </row>
    <row r="46" spans="1:11">
      <c r="A46" s="432">
        <f>Plan!$U$3</f>
        <v>42949</v>
      </c>
      <c r="B46" s="434">
        <f>Plan!$U$13</f>
        <v>220007</v>
      </c>
      <c r="C46" s="434" t="str">
        <f>Plan!$U$14</f>
        <v>C1</v>
      </c>
      <c r="D46" s="430" t="str">
        <f t="shared" si="0"/>
        <v>C1</v>
      </c>
      <c r="E46" s="430" t="str">
        <f t="shared" si="1"/>
        <v>C</v>
      </c>
      <c r="F46" s="430" t="str">
        <f t="shared" si="2"/>
        <v>Core</v>
      </c>
      <c r="G46" s="402" t="str">
        <f t="shared" si="3"/>
        <v>Overnight</v>
      </c>
      <c r="H46" s="428">
        <f t="shared" si="4"/>
        <v>42949</v>
      </c>
      <c r="I46" s="428">
        <f t="shared" si="5"/>
        <v>42950</v>
      </c>
      <c r="J46" s="402" t="str">
        <f t="shared" si="6"/>
        <v>In Service</v>
      </c>
      <c r="K46" s="449" t="str">
        <f t="shared" si="7"/>
        <v>AXC</v>
      </c>
    </row>
    <row r="47" spans="1:11">
      <c r="A47" s="432">
        <f>Plan!$V$3</f>
        <v>42950</v>
      </c>
      <c r="B47" s="434">
        <f>Plan!$V$13</f>
        <v>221131</v>
      </c>
      <c r="C47" s="434" t="str">
        <f>Plan!$V$14</f>
        <v>C4</v>
      </c>
      <c r="D47" s="430" t="str">
        <f t="shared" si="0"/>
        <v>C4</v>
      </c>
      <c r="E47" s="430" t="str">
        <f t="shared" si="1"/>
        <v>C</v>
      </c>
      <c r="F47" s="430" t="str">
        <f t="shared" si="2"/>
        <v>Core</v>
      </c>
      <c r="G47" s="402" t="str">
        <f t="shared" si="3"/>
        <v>Overnight</v>
      </c>
      <c r="H47" s="428">
        <f t="shared" si="4"/>
        <v>42950</v>
      </c>
      <c r="I47" s="428">
        <f t="shared" si="5"/>
        <v>42951</v>
      </c>
      <c r="J47" s="402" t="str">
        <f t="shared" si="6"/>
        <v>In Service</v>
      </c>
      <c r="K47" s="449" t="str">
        <f t="shared" si="7"/>
        <v>AXC</v>
      </c>
    </row>
    <row r="48" spans="1:11">
      <c r="A48" s="432">
        <f>Plan!$W$3</f>
        <v>42951</v>
      </c>
      <c r="B48" s="434">
        <f>Plan!$W$13</f>
        <v>221135</v>
      </c>
      <c r="C48" s="434" t="str">
        <f>Plan!$W$14</f>
        <v>C3</v>
      </c>
      <c r="D48" s="430" t="str">
        <f t="shared" si="0"/>
        <v>C3</v>
      </c>
      <c r="E48" s="430" t="str">
        <f t="shared" si="1"/>
        <v>C</v>
      </c>
      <c r="F48" s="430" t="str">
        <f t="shared" si="2"/>
        <v>Core</v>
      </c>
      <c r="G48" s="402" t="str">
        <f t="shared" si="3"/>
        <v>Overnight</v>
      </c>
      <c r="H48" s="428">
        <f t="shared" si="4"/>
        <v>42951</v>
      </c>
      <c r="I48" s="428">
        <f t="shared" si="5"/>
        <v>42952</v>
      </c>
      <c r="J48" s="402" t="str">
        <f t="shared" si="6"/>
        <v>In Service</v>
      </c>
      <c r="K48" s="449" t="str">
        <f t="shared" si="7"/>
        <v>AXC</v>
      </c>
    </row>
    <row r="49" spans="1:11">
      <c r="A49" s="432">
        <f>Plan!$X$3</f>
        <v>42952</v>
      </c>
      <c r="B49" s="434">
        <f>Plan!$X$13</f>
        <v>221125</v>
      </c>
      <c r="C49" s="434" t="str">
        <f>Plan!$X$14</f>
        <v>C4</v>
      </c>
      <c r="D49" s="430" t="str">
        <f t="shared" si="0"/>
        <v>C4</v>
      </c>
      <c r="E49" s="430" t="str">
        <f t="shared" si="1"/>
        <v>C</v>
      </c>
      <c r="F49" s="430" t="str">
        <f t="shared" si="2"/>
        <v>Core</v>
      </c>
      <c r="G49" s="402" t="str">
        <f t="shared" si="3"/>
        <v>Overnight</v>
      </c>
      <c r="H49" s="428">
        <f t="shared" si="4"/>
        <v>42952</v>
      </c>
      <c r="I49" s="428">
        <f t="shared" si="5"/>
        <v>42953</v>
      </c>
      <c r="J49" s="402" t="str">
        <f t="shared" si="6"/>
        <v>In Service</v>
      </c>
      <c r="K49" s="449" t="str">
        <f t="shared" si="7"/>
        <v>AXC</v>
      </c>
    </row>
    <row r="50" spans="1:11">
      <c r="A50" s="432">
        <f>Plan!$Y$3</f>
        <v>42953</v>
      </c>
      <c r="B50" s="434">
        <f>Plan!$Y$13</f>
        <v>220022</v>
      </c>
      <c r="C50" s="434" t="str">
        <f>Plan!$Y$14</f>
        <v>C1</v>
      </c>
      <c r="D50" s="430" t="str">
        <f t="shared" si="0"/>
        <v>C1</v>
      </c>
      <c r="E50" s="430" t="str">
        <f t="shared" si="1"/>
        <v>C</v>
      </c>
      <c r="F50" s="430" t="str">
        <f t="shared" si="2"/>
        <v>Core</v>
      </c>
      <c r="G50" s="402" t="str">
        <f t="shared" si="3"/>
        <v>Overnight</v>
      </c>
      <c r="H50" s="428">
        <f t="shared" si="4"/>
        <v>42953</v>
      </c>
      <c r="I50" s="428">
        <f t="shared" si="5"/>
        <v>42954</v>
      </c>
      <c r="J50" s="402" t="str">
        <f t="shared" si="6"/>
        <v>In Service</v>
      </c>
      <c r="K50" s="449" t="str">
        <f t="shared" si="7"/>
        <v>AXC</v>
      </c>
    </row>
    <row r="51" spans="1:11">
      <c r="A51" s="432">
        <f>Plan!$Z$3</f>
        <v>42954</v>
      </c>
      <c r="B51" s="434">
        <f>Plan!$Z$13</f>
        <v>220002</v>
      </c>
      <c r="C51" s="434" t="str">
        <f>Plan!$Z$14</f>
        <v>C4</v>
      </c>
      <c r="D51" s="430" t="str">
        <f t="shared" si="0"/>
        <v>C4</v>
      </c>
      <c r="E51" s="430" t="str">
        <f t="shared" si="1"/>
        <v>C</v>
      </c>
      <c r="F51" s="430" t="str">
        <f t="shared" si="2"/>
        <v>Core</v>
      </c>
      <c r="G51" s="402" t="str">
        <f t="shared" si="3"/>
        <v>Overnight</v>
      </c>
      <c r="H51" s="428">
        <f t="shared" si="4"/>
        <v>42954</v>
      </c>
      <c r="I51" s="428">
        <f t="shared" si="5"/>
        <v>42955</v>
      </c>
      <c r="J51" s="402" t="str">
        <f t="shared" si="6"/>
        <v>In Service</v>
      </c>
      <c r="K51" s="449" t="str">
        <f t="shared" si="7"/>
        <v>AXC</v>
      </c>
    </row>
    <row r="52" spans="1:11">
      <c r="A52" s="432">
        <f>Plan!AA$3</f>
        <v>42955</v>
      </c>
      <c r="B52" s="433">
        <f>Plan!$AA$13</f>
        <v>221123</v>
      </c>
      <c r="C52" s="434" t="str">
        <f>Plan!$AA$14</f>
        <v>C3</v>
      </c>
      <c r="D52" s="430" t="str">
        <f t="shared" si="0"/>
        <v>C3</v>
      </c>
      <c r="E52" s="430" t="str">
        <f t="shared" si="1"/>
        <v>C</v>
      </c>
      <c r="F52" s="430" t="str">
        <f t="shared" si="2"/>
        <v>Core</v>
      </c>
      <c r="G52" s="402" t="str">
        <f t="shared" si="3"/>
        <v>Overnight</v>
      </c>
      <c r="H52" s="428">
        <f t="shared" si="4"/>
        <v>42955</v>
      </c>
      <c r="I52" s="428">
        <f t="shared" si="5"/>
        <v>42956</v>
      </c>
      <c r="J52" s="402" t="str">
        <f t="shared" si="6"/>
        <v>In Service</v>
      </c>
      <c r="K52" s="449" t="str">
        <f t="shared" si="7"/>
        <v>AXC</v>
      </c>
    </row>
    <row r="53" spans="1:11">
      <c r="A53" s="432">
        <f>Plan!$AB$3</f>
        <v>42956</v>
      </c>
      <c r="B53" s="434">
        <f>Plan!$AB$13</f>
        <v>221124</v>
      </c>
      <c r="C53" s="434" t="str">
        <f>Plan!$AB$14</f>
        <v>C3</v>
      </c>
      <c r="D53" s="430" t="str">
        <f t="shared" si="0"/>
        <v>C3</v>
      </c>
      <c r="E53" s="430" t="str">
        <f t="shared" si="1"/>
        <v>C</v>
      </c>
      <c r="F53" s="430" t="str">
        <f t="shared" si="2"/>
        <v>Core</v>
      </c>
      <c r="G53" s="402" t="str">
        <f t="shared" si="3"/>
        <v>Overnight</v>
      </c>
      <c r="H53" s="428">
        <f t="shared" si="4"/>
        <v>42956</v>
      </c>
      <c r="I53" s="428">
        <f t="shared" si="5"/>
        <v>42957</v>
      </c>
      <c r="J53" s="402" t="str">
        <f t="shared" si="6"/>
        <v>In Service</v>
      </c>
      <c r="K53" s="449" t="str">
        <f t="shared" si="7"/>
        <v>AXC</v>
      </c>
    </row>
    <row r="54" spans="1:11">
      <c r="A54" s="432">
        <f>Plan!$AC$3</f>
        <v>42957</v>
      </c>
      <c r="B54" s="434">
        <f>Plan!$AC$13</f>
        <v>220017</v>
      </c>
      <c r="C54" s="434" t="str">
        <f>Plan!$AC$14</f>
        <v>C4</v>
      </c>
      <c r="D54" s="430" t="str">
        <f t="shared" si="0"/>
        <v>C4</v>
      </c>
      <c r="E54" s="430" t="str">
        <f t="shared" si="1"/>
        <v>C</v>
      </c>
      <c r="F54" s="430" t="str">
        <f t="shared" si="2"/>
        <v>Core</v>
      </c>
      <c r="G54" s="402" t="str">
        <f t="shared" si="3"/>
        <v>Overnight</v>
      </c>
      <c r="H54" s="428">
        <f t="shared" si="4"/>
        <v>42957</v>
      </c>
      <c r="I54" s="428">
        <f t="shared" si="5"/>
        <v>42958</v>
      </c>
      <c r="J54" s="402" t="str">
        <f t="shared" si="6"/>
        <v>In Service</v>
      </c>
      <c r="K54" s="449" t="str">
        <f t="shared" si="7"/>
        <v>AXC</v>
      </c>
    </row>
    <row r="55" spans="1:11">
      <c r="A55" s="432">
        <f>Plan!$AD$3</f>
        <v>42958</v>
      </c>
      <c r="B55" s="434">
        <f>Plan!$AD$13</f>
        <v>220025</v>
      </c>
      <c r="C55" s="434" t="str">
        <f>Plan!$AD$14</f>
        <v>C2</v>
      </c>
      <c r="D55" s="430" t="str">
        <f t="shared" si="0"/>
        <v>C2</v>
      </c>
      <c r="E55" s="430" t="str">
        <f t="shared" si="1"/>
        <v>C</v>
      </c>
      <c r="F55" s="430" t="str">
        <f t="shared" si="2"/>
        <v>Core</v>
      </c>
      <c r="G55" s="402" t="str">
        <f t="shared" si="3"/>
        <v>Overnight</v>
      </c>
      <c r="H55" s="428">
        <f t="shared" si="4"/>
        <v>42958</v>
      </c>
      <c r="I55" s="428">
        <f t="shared" si="5"/>
        <v>42959</v>
      </c>
      <c r="J55" s="402" t="str">
        <f t="shared" si="6"/>
        <v>In Service</v>
      </c>
      <c r="K55" s="449" t="str">
        <f t="shared" si="7"/>
        <v>AXC</v>
      </c>
    </row>
    <row r="56" spans="1:11">
      <c r="A56" s="432">
        <f>Plan!$AE$3</f>
        <v>42959</v>
      </c>
      <c r="B56" s="434">
        <f>Plan!$AE$13</f>
        <v>220033</v>
      </c>
      <c r="C56" s="434" t="str">
        <f>Plan!$AE$14</f>
        <v>C2</v>
      </c>
      <c r="D56" s="430" t="str">
        <f t="shared" si="0"/>
        <v>C2</v>
      </c>
      <c r="E56" s="430" t="str">
        <f t="shared" si="1"/>
        <v>C</v>
      </c>
      <c r="F56" s="430" t="str">
        <f t="shared" si="2"/>
        <v>Core</v>
      </c>
      <c r="G56" s="402" t="str">
        <f t="shared" si="3"/>
        <v>Overnight</v>
      </c>
      <c r="H56" s="428">
        <f t="shared" si="4"/>
        <v>42959</v>
      </c>
      <c r="I56" s="428">
        <f t="shared" si="5"/>
        <v>42960</v>
      </c>
      <c r="J56" s="402" t="str">
        <f t="shared" si="6"/>
        <v>In Service</v>
      </c>
      <c r="K56" s="449" t="str">
        <f t="shared" si="7"/>
        <v>AXC</v>
      </c>
    </row>
    <row r="57" spans="1:11">
      <c r="A57" s="432">
        <f>Plan!$AF$3</f>
        <v>42960</v>
      </c>
      <c r="B57" s="434">
        <f>Plan!$AF$13</f>
        <v>220003</v>
      </c>
      <c r="C57" s="434" t="str">
        <f>Plan!$AF$14</f>
        <v>C4</v>
      </c>
      <c r="D57" s="430" t="str">
        <f t="shared" si="0"/>
        <v>C4</v>
      </c>
      <c r="E57" s="430" t="str">
        <f t="shared" si="1"/>
        <v>C</v>
      </c>
      <c r="F57" s="430" t="str">
        <f t="shared" si="2"/>
        <v>Core</v>
      </c>
      <c r="G57" s="402" t="str">
        <f t="shared" si="3"/>
        <v>Overnight</v>
      </c>
      <c r="H57" s="428">
        <f t="shared" si="4"/>
        <v>42960</v>
      </c>
      <c r="I57" s="428">
        <f t="shared" si="5"/>
        <v>42961</v>
      </c>
      <c r="J57" s="402" t="str">
        <f t="shared" si="6"/>
        <v>In Service</v>
      </c>
      <c r="K57" s="449" t="str">
        <f t="shared" si="7"/>
        <v>AXC</v>
      </c>
    </row>
    <row r="58" spans="1:11">
      <c r="A58" s="435">
        <f>Plan!$E$3</f>
        <v>42933</v>
      </c>
      <c r="B58" s="437">
        <f>Plan!$E$21</f>
        <v>0</v>
      </c>
      <c r="C58" s="436" t="str">
        <f>Plan!$E$22</f>
        <v/>
      </c>
      <c r="D58" s="430" t="str">
        <f t="shared" si="0"/>
        <v/>
      </c>
      <c r="E58" s="430" t="str">
        <f t="shared" si="1"/>
        <v/>
      </c>
      <c r="F58" s="430" t="str">
        <f t="shared" si="2"/>
        <v>No Exam</v>
      </c>
      <c r="G58" s="402" t="str">
        <f t="shared" si="3"/>
        <v>Overnight</v>
      </c>
      <c r="H58" s="428">
        <f t="shared" si="4"/>
        <v>42933</v>
      </c>
      <c r="I58" s="428">
        <f t="shared" si="5"/>
        <v>42934</v>
      </c>
      <c r="J58" s="402" t="str">
        <f t="shared" si="6"/>
        <v>In Service</v>
      </c>
      <c r="K58" s="449" t="str">
        <f t="shared" si="7"/>
        <v>AXC</v>
      </c>
    </row>
    <row r="59" spans="1:11">
      <c r="A59" s="435">
        <f>Plan!$F$3</f>
        <v>42934</v>
      </c>
      <c r="B59" s="437">
        <f>Plan!$F$21</f>
        <v>0</v>
      </c>
      <c r="C59" s="437" t="str">
        <f>Plan!$F$22</f>
        <v/>
      </c>
      <c r="D59" s="430" t="str">
        <f t="shared" si="0"/>
        <v/>
      </c>
      <c r="E59" s="430" t="str">
        <f t="shared" si="1"/>
        <v/>
      </c>
      <c r="F59" s="430" t="str">
        <f t="shared" si="2"/>
        <v>No Exam</v>
      </c>
      <c r="G59" s="402" t="str">
        <f t="shared" si="3"/>
        <v>Overnight</v>
      </c>
      <c r="H59" s="428">
        <f t="shared" si="4"/>
        <v>42934</v>
      </c>
      <c r="I59" s="428">
        <f t="shared" si="5"/>
        <v>42935</v>
      </c>
      <c r="J59" s="402" t="str">
        <f t="shared" si="6"/>
        <v>In Service</v>
      </c>
      <c r="K59" s="449" t="str">
        <f t="shared" si="7"/>
        <v>AXC</v>
      </c>
    </row>
    <row r="60" spans="1:11">
      <c r="A60" s="435">
        <f>Plan!$G$3</f>
        <v>42935</v>
      </c>
      <c r="B60" s="437">
        <f>Plan!$G$21</f>
        <v>0</v>
      </c>
      <c r="C60" s="437" t="str">
        <f>Plan!$G$22</f>
        <v/>
      </c>
      <c r="D60" s="430" t="str">
        <f t="shared" si="0"/>
        <v/>
      </c>
      <c r="E60" s="430" t="str">
        <f t="shared" si="1"/>
        <v/>
      </c>
      <c r="F60" s="430" t="str">
        <f t="shared" si="2"/>
        <v>No Exam</v>
      </c>
      <c r="G60" s="402" t="str">
        <f t="shared" si="3"/>
        <v>Overnight</v>
      </c>
      <c r="H60" s="428">
        <f t="shared" si="4"/>
        <v>42935</v>
      </c>
      <c r="I60" s="428">
        <f t="shared" si="5"/>
        <v>42936</v>
      </c>
      <c r="J60" s="402" t="str">
        <f t="shared" si="6"/>
        <v>In Service</v>
      </c>
      <c r="K60" s="449" t="str">
        <f t="shared" si="7"/>
        <v>AXC</v>
      </c>
    </row>
    <row r="61" spans="1:11">
      <c r="A61" s="435">
        <f>Plan!$H$3</f>
        <v>42936</v>
      </c>
      <c r="B61" s="437">
        <f>Plan!$H$21</f>
        <v>0</v>
      </c>
      <c r="C61" s="437" t="str">
        <f>Plan!$H$22</f>
        <v/>
      </c>
      <c r="D61" s="430" t="str">
        <f t="shared" si="0"/>
        <v/>
      </c>
      <c r="E61" s="430" t="str">
        <f t="shared" si="1"/>
        <v/>
      </c>
      <c r="F61" s="430" t="str">
        <f t="shared" si="2"/>
        <v>No Exam</v>
      </c>
      <c r="G61" s="402" t="str">
        <f t="shared" si="3"/>
        <v>Overnight</v>
      </c>
      <c r="H61" s="428">
        <f t="shared" si="4"/>
        <v>42936</v>
      </c>
      <c r="I61" s="428">
        <f t="shared" si="5"/>
        <v>42937</v>
      </c>
      <c r="J61" s="402" t="str">
        <f t="shared" si="6"/>
        <v>In Service</v>
      </c>
      <c r="K61" s="449" t="str">
        <f t="shared" si="7"/>
        <v>AXC</v>
      </c>
    </row>
    <row r="62" spans="1:11">
      <c r="A62" s="435">
        <f>Plan!$I$3</f>
        <v>42937</v>
      </c>
      <c r="B62" s="437">
        <f>Plan!$I$21</f>
        <v>0</v>
      </c>
      <c r="C62" s="437" t="str">
        <f>Plan!$I$22</f>
        <v/>
      </c>
      <c r="D62" s="430" t="str">
        <f t="shared" si="0"/>
        <v/>
      </c>
      <c r="E62" s="430" t="str">
        <f t="shared" si="1"/>
        <v/>
      </c>
      <c r="F62" s="430" t="str">
        <f t="shared" si="2"/>
        <v>No Exam</v>
      </c>
      <c r="G62" s="402" t="str">
        <f t="shared" si="3"/>
        <v>Overnight</v>
      </c>
      <c r="H62" s="428">
        <f t="shared" si="4"/>
        <v>42937</v>
      </c>
      <c r="I62" s="428">
        <f t="shared" si="5"/>
        <v>42938</v>
      </c>
      <c r="J62" s="402" t="str">
        <f t="shared" si="6"/>
        <v>In Service</v>
      </c>
      <c r="K62" s="449" t="str">
        <f t="shared" si="7"/>
        <v>AXC</v>
      </c>
    </row>
    <row r="63" spans="1:11">
      <c r="A63" s="435">
        <f>Plan!$J$3</f>
        <v>42938</v>
      </c>
      <c r="B63" s="437">
        <f>Plan!$J$21</f>
        <v>0</v>
      </c>
      <c r="C63" s="437" t="str">
        <f>Plan!$J$22</f>
        <v/>
      </c>
      <c r="D63" s="430" t="str">
        <f t="shared" si="0"/>
        <v/>
      </c>
      <c r="E63" s="430" t="str">
        <f t="shared" si="1"/>
        <v/>
      </c>
      <c r="F63" s="430" t="str">
        <f t="shared" si="2"/>
        <v>No Exam</v>
      </c>
      <c r="G63" s="402" t="str">
        <f t="shared" si="3"/>
        <v>Overnight</v>
      </c>
      <c r="H63" s="428">
        <f t="shared" si="4"/>
        <v>42938</v>
      </c>
      <c r="I63" s="428">
        <f t="shared" si="5"/>
        <v>42939</v>
      </c>
      <c r="J63" s="402" t="str">
        <f t="shared" si="6"/>
        <v>In Service</v>
      </c>
      <c r="K63" s="449" t="str">
        <f t="shared" si="7"/>
        <v>AXC</v>
      </c>
    </row>
    <row r="64" spans="1:11">
      <c r="A64" s="435">
        <f>Plan!$K$3</f>
        <v>42939</v>
      </c>
      <c r="B64" s="437">
        <f>Plan!$K$21</f>
        <v>0</v>
      </c>
      <c r="C64" s="437" t="str">
        <f>Plan!$K$22</f>
        <v/>
      </c>
      <c r="D64" s="430" t="str">
        <f t="shared" si="0"/>
        <v/>
      </c>
      <c r="E64" s="430" t="str">
        <f t="shared" si="1"/>
        <v/>
      </c>
      <c r="F64" s="430" t="str">
        <f t="shared" si="2"/>
        <v>No Exam</v>
      </c>
      <c r="G64" s="402" t="str">
        <f t="shared" si="3"/>
        <v>Overnight</v>
      </c>
      <c r="H64" s="428">
        <f t="shared" si="4"/>
        <v>42939</v>
      </c>
      <c r="I64" s="428">
        <f t="shared" si="5"/>
        <v>42940</v>
      </c>
      <c r="J64" s="402" t="str">
        <f t="shared" si="6"/>
        <v>In Service</v>
      </c>
      <c r="K64" s="449" t="str">
        <f t="shared" si="7"/>
        <v>AXC</v>
      </c>
    </row>
    <row r="65" spans="1:11">
      <c r="A65" s="435">
        <f>Plan!$L$3</f>
        <v>42940</v>
      </c>
      <c r="B65" s="437">
        <f>Plan!$L$21</f>
        <v>0</v>
      </c>
      <c r="C65" s="437" t="str">
        <f>Plan!$L$22</f>
        <v/>
      </c>
      <c r="D65" s="430" t="str">
        <f t="shared" si="0"/>
        <v/>
      </c>
      <c r="E65" s="430" t="str">
        <f t="shared" si="1"/>
        <v/>
      </c>
      <c r="F65" s="430" t="str">
        <f t="shared" si="2"/>
        <v>No Exam</v>
      </c>
      <c r="G65" s="402" t="str">
        <f t="shared" si="3"/>
        <v>Overnight</v>
      </c>
      <c r="H65" s="428">
        <f t="shared" si="4"/>
        <v>42940</v>
      </c>
      <c r="I65" s="428">
        <f t="shared" si="5"/>
        <v>42941</v>
      </c>
      <c r="J65" s="402" t="str">
        <f t="shared" si="6"/>
        <v>In Service</v>
      </c>
      <c r="K65" s="449" t="str">
        <f t="shared" si="7"/>
        <v>AXC</v>
      </c>
    </row>
    <row r="66" spans="1:11">
      <c r="A66" s="435">
        <f>Plan!$M$3</f>
        <v>42941</v>
      </c>
      <c r="B66" s="437">
        <f>Plan!$M$21</f>
        <v>0</v>
      </c>
      <c r="C66" s="437" t="str">
        <f>Plan!$M$22</f>
        <v/>
      </c>
      <c r="D66" s="430" t="str">
        <f t="shared" si="0"/>
        <v/>
      </c>
      <c r="E66" s="430" t="str">
        <f t="shared" si="1"/>
        <v/>
      </c>
      <c r="F66" s="430" t="str">
        <f t="shared" si="2"/>
        <v>No Exam</v>
      </c>
      <c r="G66" s="402" t="str">
        <f t="shared" si="3"/>
        <v>Overnight</v>
      </c>
      <c r="H66" s="428">
        <f t="shared" si="4"/>
        <v>42941</v>
      </c>
      <c r="I66" s="428">
        <f t="shared" si="5"/>
        <v>42942</v>
      </c>
      <c r="J66" s="402" t="str">
        <f t="shared" si="6"/>
        <v>In Service</v>
      </c>
      <c r="K66" s="449" t="str">
        <f t="shared" si="7"/>
        <v>AXC</v>
      </c>
    </row>
    <row r="67" spans="1:11">
      <c r="A67" s="435">
        <f>Plan!$N$3</f>
        <v>42942</v>
      </c>
      <c r="B67" s="437">
        <f>Plan!$N$21</f>
        <v>0</v>
      </c>
      <c r="C67" s="437" t="str">
        <f>Plan!$N$22</f>
        <v/>
      </c>
      <c r="D67" s="430" t="str">
        <f t="shared" ref="D67:D130" si="8">LEFT(C67,2)</f>
        <v/>
      </c>
      <c r="E67" s="430" t="str">
        <f t="shared" ref="E67:E130" si="9">LEFT(D67,1)</f>
        <v/>
      </c>
      <c r="F67" s="430" t="str">
        <f t="shared" ref="F67:F130" si="10">IF(E67="","No Exam",IF(E67="C","Core",IF(E67="S","Service","Maint Visit")))</f>
        <v>No Exam</v>
      </c>
      <c r="G67" s="402" t="str">
        <f t="shared" ref="G67:G130" si="11">IF(F67="Maint Visit","To Stop","Overnight")</f>
        <v>Overnight</v>
      </c>
      <c r="H67" s="428">
        <f t="shared" ref="H67:H130" si="12">IF(G67="To Stop",A67+1,A67)</f>
        <v>42942</v>
      </c>
      <c r="I67" s="428">
        <f t="shared" ref="I67:I130" si="13">IF(G67="To Stop",A67+3,A67+1)</f>
        <v>42943</v>
      </c>
      <c r="J67" s="402" t="str">
        <f t="shared" ref="J67:J130" si="14">IF(G67="Overnight","In Service","Stopped")</f>
        <v>In Service</v>
      </c>
      <c r="K67" s="449" t="str">
        <f t="shared" ref="K67:K130" si="15">IF(AND(B67&gt;221000,B67&lt;221119),"VWC",IF(B67&gt;221141,"VWC","AXC"))</f>
        <v>AXC</v>
      </c>
    </row>
    <row r="68" spans="1:11">
      <c r="A68" s="435">
        <f>Plan!$O$3</f>
        <v>42943</v>
      </c>
      <c r="B68" s="437">
        <f>Plan!$O$21</f>
        <v>220029</v>
      </c>
      <c r="C68" s="437" t="str">
        <f>Plan!$O$22</f>
        <v>C4</v>
      </c>
      <c r="D68" s="430" t="str">
        <f t="shared" si="8"/>
        <v>C4</v>
      </c>
      <c r="E68" s="430" t="str">
        <f t="shared" si="9"/>
        <v>C</v>
      </c>
      <c r="F68" s="430" t="str">
        <f t="shared" si="10"/>
        <v>Core</v>
      </c>
      <c r="G68" s="402" t="str">
        <f t="shared" si="11"/>
        <v>Overnight</v>
      </c>
      <c r="H68" s="428">
        <f t="shared" si="12"/>
        <v>42943</v>
      </c>
      <c r="I68" s="428">
        <f t="shared" si="13"/>
        <v>42944</v>
      </c>
      <c r="J68" s="402" t="str">
        <f t="shared" si="14"/>
        <v>In Service</v>
      </c>
      <c r="K68" s="449" t="str">
        <f t="shared" si="15"/>
        <v>AXC</v>
      </c>
    </row>
    <row r="69" spans="1:11">
      <c r="A69" s="435">
        <f>Plan!$P$3</f>
        <v>42944</v>
      </c>
      <c r="B69" s="437">
        <f>Plan!$P$21</f>
        <v>0</v>
      </c>
      <c r="C69" s="437" t="str">
        <f>Plan!$P$22</f>
        <v/>
      </c>
      <c r="D69" s="430" t="str">
        <f t="shared" si="8"/>
        <v/>
      </c>
      <c r="E69" s="430" t="str">
        <f t="shared" si="9"/>
        <v/>
      </c>
      <c r="F69" s="430" t="str">
        <f t="shared" si="10"/>
        <v>No Exam</v>
      </c>
      <c r="G69" s="402" t="str">
        <f t="shared" si="11"/>
        <v>Overnight</v>
      </c>
      <c r="H69" s="428">
        <f t="shared" si="12"/>
        <v>42944</v>
      </c>
      <c r="I69" s="428">
        <f t="shared" si="13"/>
        <v>42945</v>
      </c>
      <c r="J69" s="402" t="str">
        <f t="shared" si="14"/>
        <v>In Service</v>
      </c>
      <c r="K69" s="449" t="str">
        <f t="shared" si="15"/>
        <v>AXC</v>
      </c>
    </row>
    <row r="70" spans="1:11">
      <c r="A70" s="435">
        <f>Plan!$Q$3</f>
        <v>42945</v>
      </c>
      <c r="B70" s="437">
        <f>Plan!$Q$21</f>
        <v>0</v>
      </c>
      <c r="C70" s="437" t="str">
        <f>Plan!$Q$22</f>
        <v/>
      </c>
      <c r="D70" s="430" t="str">
        <f t="shared" si="8"/>
        <v/>
      </c>
      <c r="E70" s="430" t="str">
        <f t="shared" si="9"/>
        <v/>
      </c>
      <c r="F70" s="430" t="str">
        <f t="shared" si="10"/>
        <v>No Exam</v>
      </c>
      <c r="G70" s="402" t="str">
        <f t="shared" si="11"/>
        <v>Overnight</v>
      </c>
      <c r="H70" s="428">
        <f t="shared" si="12"/>
        <v>42945</v>
      </c>
      <c r="I70" s="428">
        <f t="shared" si="13"/>
        <v>42946</v>
      </c>
      <c r="J70" s="402" t="str">
        <f t="shared" si="14"/>
        <v>In Service</v>
      </c>
      <c r="K70" s="449" t="str">
        <f t="shared" si="15"/>
        <v>AXC</v>
      </c>
    </row>
    <row r="71" spans="1:11">
      <c r="A71" s="435">
        <f>Plan!$R$3</f>
        <v>42946</v>
      </c>
      <c r="B71" s="437">
        <f>Plan!$R$21</f>
        <v>0</v>
      </c>
      <c r="C71" s="437" t="str">
        <f>Plan!$R$22</f>
        <v/>
      </c>
      <c r="D71" s="430" t="str">
        <f t="shared" si="8"/>
        <v/>
      </c>
      <c r="E71" s="430" t="str">
        <f t="shared" si="9"/>
        <v/>
      </c>
      <c r="F71" s="430" t="str">
        <f t="shared" si="10"/>
        <v>No Exam</v>
      </c>
      <c r="G71" s="402" t="str">
        <f t="shared" si="11"/>
        <v>Overnight</v>
      </c>
      <c r="H71" s="428">
        <f t="shared" si="12"/>
        <v>42946</v>
      </c>
      <c r="I71" s="428">
        <f t="shared" si="13"/>
        <v>42947</v>
      </c>
      <c r="J71" s="402" t="str">
        <f t="shared" si="14"/>
        <v>In Service</v>
      </c>
      <c r="K71" s="449" t="str">
        <f t="shared" si="15"/>
        <v>AXC</v>
      </c>
    </row>
    <row r="72" spans="1:11">
      <c r="A72" s="435">
        <f>Plan!$S$3</f>
        <v>42947</v>
      </c>
      <c r="B72" s="437">
        <f>Plan!$S$21</f>
        <v>0</v>
      </c>
      <c r="C72" s="437" t="str">
        <f>Plan!$S$22</f>
        <v/>
      </c>
      <c r="D72" s="430" t="str">
        <f t="shared" si="8"/>
        <v/>
      </c>
      <c r="E72" s="430" t="str">
        <f t="shared" si="9"/>
        <v/>
      </c>
      <c r="F72" s="430" t="str">
        <f t="shared" si="10"/>
        <v>No Exam</v>
      </c>
      <c r="G72" s="402" t="str">
        <f t="shared" si="11"/>
        <v>Overnight</v>
      </c>
      <c r="H72" s="428">
        <f t="shared" si="12"/>
        <v>42947</v>
      </c>
      <c r="I72" s="428">
        <f t="shared" si="13"/>
        <v>42948</v>
      </c>
      <c r="J72" s="402" t="str">
        <f t="shared" si="14"/>
        <v>In Service</v>
      </c>
      <c r="K72" s="449" t="str">
        <f t="shared" si="15"/>
        <v>AXC</v>
      </c>
    </row>
    <row r="73" spans="1:11">
      <c r="A73" s="435">
        <f>Plan!$T$3</f>
        <v>42948</v>
      </c>
      <c r="B73" s="437">
        <f>Plan!$T$21</f>
        <v>0</v>
      </c>
      <c r="C73" s="437" t="str">
        <f>Plan!$T$22</f>
        <v/>
      </c>
      <c r="D73" s="430" t="str">
        <f t="shared" si="8"/>
        <v/>
      </c>
      <c r="E73" s="430" t="str">
        <f t="shared" si="9"/>
        <v/>
      </c>
      <c r="F73" s="430" t="str">
        <f t="shared" si="10"/>
        <v>No Exam</v>
      </c>
      <c r="G73" s="402" t="str">
        <f t="shared" si="11"/>
        <v>Overnight</v>
      </c>
      <c r="H73" s="428">
        <f t="shared" si="12"/>
        <v>42948</v>
      </c>
      <c r="I73" s="428">
        <f t="shared" si="13"/>
        <v>42949</v>
      </c>
      <c r="J73" s="402" t="str">
        <f t="shared" si="14"/>
        <v>In Service</v>
      </c>
      <c r="K73" s="449" t="str">
        <f t="shared" si="15"/>
        <v>AXC</v>
      </c>
    </row>
    <row r="74" spans="1:11">
      <c r="A74" s="435">
        <f>Plan!$U$3</f>
        <v>42949</v>
      </c>
      <c r="B74" s="437">
        <f>Plan!$U$21</f>
        <v>220012</v>
      </c>
      <c r="C74" s="437" t="str">
        <f>Plan!$U$22</f>
        <v>C3</v>
      </c>
      <c r="D74" s="430" t="str">
        <f t="shared" si="8"/>
        <v>C3</v>
      </c>
      <c r="E74" s="430" t="str">
        <f t="shared" si="9"/>
        <v>C</v>
      </c>
      <c r="F74" s="430" t="str">
        <f t="shared" si="10"/>
        <v>Core</v>
      </c>
      <c r="G74" s="402" t="str">
        <f t="shared" si="11"/>
        <v>Overnight</v>
      </c>
      <c r="H74" s="428">
        <f t="shared" si="12"/>
        <v>42949</v>
      </c>
      <c r="I74" s="428">
        <f t="shared" si="13"/>
        <v>42950</v>
      </c>
      <c r="J74" s="402" t="str">
        <f t="shared" si="14"/>
        <v>In Service</v>
      </c>
      <c r="K74" s="449" t="str">
        <f t="shared" si="15"/>
        <v>AXC</v>
      </c>
    </row>
    <row r="75" spans="1:11">
      <c r="A75" s="435">
        <f>Plan!$V$3</f>
        <v>42950</v>
      </c>
      <c r="B75" s="437">
        <f>Plan!$V$21</f>
        <v>0</v>
      </c>
      <c r="C75" s="437" t="str">
        <f>Plan!$V$22</f>
        <v/>
      </c>
      <c r="D75" s="430" t="str">
        <f t="shared" si="8"/>
        <v/>
      </c>
      <c r="E75" s="430" t="str">
        <f t="shared" si="9"/>
        <v/>
      </c>
      <c r="F75" s="430" t="str">
        <f t="shared" si="10"/>
        <v>No Exam</v>
      </c>
      <c r="G75" s="402" t="str">
        <f t="shared" si="11"/>
        <v>Overnight</v>
      </c>
      <c r="H75" s="428">
        <f t="shared" si="12"/>
        <v>42950</v>
      </c>
      <c r="I75" s="428">
        <f t="shared" si="13"/>
        <v>42951</v>
      </c>
      <c r="J75" s="402" t="str">
        <f t="shared" si="14"/>
        <v>In Service</v>
      </c>
      <c r="K75" s="449" t="str">
        <f t="shared" si="15"/>
        <v>AXC</v>
      </c>
    </row>
    <row r="76" spans="1:11">
      <c r="A76" s="435">
        <f>Plan!$W$3</f>
        <v>42951</v>
      </c>
      <c r="B76" s="437">
        <f>Plan!$W$21</f>
        <v>0</v>
      </c>
      <c r="C76" s="437" t="str">
        <f>Plan!$W$22</f>
        <v/>
      </c>
      <c r="D76" s="430" t="str">
        <f t="shared" si="8"/>
        <v/>
      </c>
      <c r="E76" s="430" t="str">
        <f t="shared" si="9"/>
        <v/>
      </c>
      <c r="F76" s="430" t="str">
        <f t="shared" si="10"/>
        <v>No Exam</v>
      </c>
      <c r="G76" s="402" t="str">
        <f t="shared" si="11"/>
        <v>Overnight</v>
      </c>
      <c r="H76" s="428">
        <f t="shared" si="12"/>
        <v>42951</v>
      </c>
      <c r="I76" s="428">
        <f t="shared" si="13"/>
        <v>42952</v>
      </c>
      <c r="J76" s="402" t="str">
        <f t="shared" si="14"/>
        <v>In Service</v>
      </c>
      <c r="K76" s="449" t="str">
        <f t="shared" si="15"/>
        <v>AXC</v>
      </c>
    </row>
    <row r="77" spans="1:11">
      <c r="A77" s="435">
        <f>Plan!$X$3</f>
        <v>42952</v>
      </c>
      <c r="B77" s="437">
        <f>Plan!$X$21</f>
        <v>0</v>
      </c>
      <c r="C77" s="437" t="str">
        <f>Plan!$X$22</f>
        <v/>
      </c>
      <c r="D77" s="430" t="str">
        <f t="shared" si="8"/>
        <v/>
      </c>
      <c r="E77" s="430" t="str">
        <f t="shared" si="9"/>
        <v/>
      </c>
      <c r="F77" s="430" t="str">
        <f t="shared" si="10"/>
        <v>No Exam</v>
      </c>
      <c r="G77" s="402" t="str">
        <f t="shared" si="11"/>
        <v>Overnight</v>
      </c>
      <c r="H77" s="428">
        <f t="shared" si="12"/>
        <v>42952</v>
      </c>
      <c r="I77" s="428">
        <f t="shared" si="13"/>
        <v>42953</v>
      </c>
      <c r="J77" s="402" t="str">
        <f t="shared" si="14"/>
        <v>In Service</v>
      </c>
      <c r="K77" s="449" t="str">
        <f t="shared" si="15"/>
        <v>AXC</v>
      </c>
    </row>
    <row r="78" spans="1:11">
      <c r="A78" s="435">
        <f>Plan!$Y$3</f>
        <v>42953</v>
      </c>
      <c r="B78" s="437">
        <f>Plan!$Y$21</f>
        <v>221105</v>
      </c>
      <c r="C78" s="437" t="str">
        <f>Plan!$Y$22</f>
        <v>C1</v>
      </c>
      <c r="D78" s="430" t="str">
        <f t="shared" si="8"/>
        <v>C1</v>
      </c>
      <c r="E78" s="430" t="str">
        <f t="shared" si="9"/>
        <v>C</v>
      </c>
      <c r="F78" s="430" t="str">
        <f t="shared" si="10"/>
        <v>Core</v>
      </c>
      <c r="G78" s="402" t="str">
        <f t="shared" si="11"/>
        <v>Overnight</v>
      </c>
      <c r="H78" s="428">
        <f t="shared" si="12"/>
        <v>42953</v>
      </c>
      <c r="I78" s="428">
        <f t="shared" si="13"/>
        <v>42954</v>
      </c>
      <c r="J78" s="402" t="str">
        <f t="shared" si="14"/>
        <v>In Service</v>
      </c>
      <c r="K78" s="449" t="str">
        <f t="shared" si="15"/>
        <v>VWC</v>
      </c>
    </row>
    <row r="79" spans="1:11">
      <c r="A79" s="435">
        <f>Plan!$Z$3</f>
        <v>42954</v>
      </c>
      <c r="B79" s="437">
        <f>Plan!$Z$21</f>
        <v>221141</v>
      </c>
      <c r="C79" s="437" t="str">
        <f>Plan!$Z$22</f>
        <v>C1</v>
      </c>
      <c r="D79" s="430" t="str">
        <f t="shared" si="8"/>
        <v>C1</v>
      </c>
      <c r="E79" s="430" t="str">
        <f t="shared" si="9"/>
        <v>C</v>
      </c>
      <c r="F79" s="430" t="str">
        <f t="shared" si="10"/>
        <v>Core</v>
      </c>
      <c r="G79" s="402" t="str">
        <f t="shared" si="11"/>
        <v>Overnight</v>
      </c>
      <c r="H79" s="428">
        <f t="shared" si="12"/>
        <v>42954</v>
      </c>
      <c r="I79" s="428">
        <f t="shared" si="13"/>
        <v>42955</v>
      </c>
      <c r="J79" s="402" t="str">
        <f t="shared" si="14"/>
        <v>In Service</v>
      </c>
      <c r="K79" s="449" t="str">
        <f t="shared" si="15"/>
        <v>AXC</v>
      </c>
    </row>
    <row r="80" spans="1:11">
      <c r="A80" s="435">
        <f>Plan!AA$3</f>
        <v>42955</v>
      </c>
      <c r="B80" s="436">
        <f>Plan!$AA$21</f>
        <v>0</v>
      </c>
      <c r="C80" s="437" t="str">
        <f>Plan!$AA$22</f>
        <v/>
      </c>
      <c r="D80" s="430" t="str">
        <f t="shared" si="8"/>
        <v/>
      </c>
      <c r="E80" s="430" t="str">
        <f t="shared" si="9"/>
        <v/>
      </c>
      <c r="F80" s="430" t="str">
        <f t="shared" si="10"/>
        <v>No Exam</v>
      </c>
      <c r="G80" s="402" t="str">
        <f t="shared" si="11"/>
        <v>Overnight</v>
      </c>
      <c r="H80" s="428">
        <f t="shared" si="12"/>
        <v>42955</v>
      </c>
      <c r="I80" s="428">
        <f t="shared" si="13"/>
        <v>42956</v>
      </c>
      <c r="J80" s="402" t="str">
        <f t="shared" si="14"/>
        <v>In Service</v>
      </c>
      <c r="K80" s="449" t="str">
        <f t="shared" si="15"/>
        <v>AXC</v>
      </c>
    </row>
    <row r="81" spans="1:11">
      <c r="A81" s="435">
        <f>Plan!$AB$3</f>
        <v>42956</v>
      </c>
      <c r="B81" s="437">
        <f>Plan!$AB$21</f>
        <v>0</v>
      </c>
      <c r="C81" s="437" t="str">
        <f>Plan!$AB$22</f>
        <v/>
      </c>
      <c r="D81" s="430" t="str">
        <f t="shared" si="8"/>
        <v/>
      </c>
      <c r="E81" s="430" t="str">
        <f t="shared" si="9"/>
        <v/>
      </c>
      <c r="F81" s="430" t="str">
        <f t="shared" si="10"/>
        <v>No Exam</v>
      </c>
      <c r="G81" s="402" t="str">
        <f t="shared" si="11"/>
        <v>Overnight</v>
      </c>
      <c r="H81" s="428">
        <f t="shared" si="12"/>
        <v>42956</v>
      </c>
      <c r="I81" s="428">
        <f t="shared" si="13"/>
        <v>42957</v>
      </c>
      <c r="J81" s="402" t="str">
        <f t="shared" si="14"/>
        <v>In Service</v>
      </c>
      <c r="K81" s="449" t="str">
        <f t="shared" si="15"/>
        <v>AXC</v>
      </c>
    </row>
    <row r="82" spans="1:11">
      <c r="A82" s="435">
        <f>Plan!$AC$3</f>
        <v>42957</v>
      </c>
      <c r="B82" s="437">
        <f>Plan!$AC$21</f>
        <v>0</v>
      </c>
      <c r="C82" s="437" t="str">
        <f>Plan!$AC$22</f>
        <v/>
      </c>
      <c r="D82" s="430" t="str">
        <f t="shared" si="8"/>
        <v/>
      </c>
      <c r="E82" s="430" t="str">
        <f t="shared" si="9"/>
        <v/>
      </c>
      <c r="F82" s="430" t="str">
        <f t="shared" si="10"/>
        <v>No Exam</v>
      </c>
      <c r="G82" s="402" t="str">
        <f t="shared" si="11"/>
        <v>Overnight</v>
      </c>
      <c r="H82" s="428">
        <f t="shared" si="12"/>
        <v>42957</v>
      </c>
      <c r="I82" s="428">
        <f t="shared" si="13"/>
        <v>42958</v>
      </c>
      <c r="J82" s="402" t="str">
        <f t="shared" si="14"/>
        <v>In Service</v>
      </c>
      <c r="K82" s="449" t="str">
        <f t="shared" si="15"/>
        <v>AXC</v>
      </c>
    </row>
    <row r="83" spans="1:11">
      <c r="A83" s="435">
        <f>Plan!$AD$3</f>
        <v>42958</v>
      </c>
      <c r="B83" s="437">
        <f>Plan!$AD$21</f>
        <v>0</v>
      </c>
      <c r="C83" s="437" t="str">
        <f>Plan!$AD$22</f>
        <v/>
      </c>
      <c r="D83" s="430" t="str">
        <f t="shared" si="8"/>
        <v/>
      </c>
      <c r="E83" s="430" t="str">
        <f t="shared" si="9"/>
        <v/>
      </c>
      <c r="F83" s="430" t="str">
        <f t="shared" si="10"/>
        <v>No Exam</v>
      </c>
      <c r="G83" s="402" t="str">
        <f t="shared" si="11"/>
        <v>Overnight</v>
      </c>
      <c r="H83" s="428">
        <f t="shared" si="12"/>
        <v>42958</v>
      </c>
      <c r="I83" s="428">
        <f t="shared" si="13"/>
        <v>42959</v>
      </c>
      <c r="J83" s="402" t="str">
        <f t="shared" si="14"/>
        <v>In Service</v>
      </c>
      <c r="K83" s="449" t="str">
        <f t="shared" si="15"/>
        <v>AXC</v>
      </c>
    </row>
    <row r="84" spans="1:11">
      <c r="A84" s="435">
        <f>Plan!$AE$3</f>
        <v>42959</v>
      </c>
      <c r="B84" s="437">
        <f>Plan!$AE$21</f>
        <v>0</v>
      </c>
      <c r="C84" s="437" t="str">
        <f>Plan!$AE$22</f>
        <v/>
      </c>
      <c r="D84" s="430" t="str">
        <f t="shared" si="8"/>
        <v/>
      </c>
      <c r="E84" s="430" t="str">
        <f t="shared" si="9"/>
        <v/>
      </c>
      <c r="F84" s="430" t="str">
        <f t="shared" si="10"/>
        <v>No Exam</v>
      </c>
      <c r="G84" s="402" t="str">
        <f t="shared" si="11"/>
        <v>Overnight</v>
      </c>
      <c r="H84" s="428">
        <f t="shared" si="12"/>
        <v>42959</v>
      </c>
      <c r="I84" s="428">
        <f t="shared" si="13"/>
        <v>42960</v>
      </c>
      <c r="J84" s="402" t="str">
        <f t="shared" si="14"/>
        <v>In Service</v>
      </c>
      <c r="K84" s="449" t="str">
        <f t="shared" si="15"/>
        <v>AXC</v>
      </c>
    </row>
    <row r="85" spans="1:11">
      <c r="A85" s="435">
        <f>Plan!$AF$3</f>
        <v>42960</v>
      </c>
      <c r="B85" s="437">
        <f>Plan!$AF$21</f>
        <v>220021</v>
      </c>
      <c r="C85" s="437" t="str">
        <f>Plan!$AF$22</f>
        <v>C2</v>
      </c>
      <c r="D85" s="430" t="str">
        <f t="shared" si="8"/>
        <v>C2</v>
      </c>
      <c r="E85" s="430" t="str">
        <f t="shared" si="9"/>
        <v>C</v>
      </c>
      <c r="F85" s="430" t="str">
        <f t="shared" si="10"/>
        <v>Core</v>
      </c>
      <c r="G85" s="402" t="str">
        <f t="shared" si="11"/>
        <v>Overnight</v>
      </c>
      <c r="H85" s="428">
        <f t="shared" si="12"/>
        <v>42960</v>
      </c>
      <c r="I85" s="428">
        <f t="shared" si="13"/>
        <v>42961</v>
      </c>
      <c r="J85" s="402" t="str">
        <f t="shared" si="14"/>
        <v>In Service</v>
      </c>
      <c r="K85" s="449" t="str">
        <f t="shared" si="15"/>
        <v>AXC</v>
      </c>
    </row>
    <row r="86" spans="1:11">
      <c r="A86" s="438">
        <f>Plan!$E$3</f>
        <v>42933</v>
      </c>
      <c r="B86" s="440">
        <f>Plan!$E$29</f>
        <v>221131</v>
      </c>
      <c r="C86" s="439" t="str">
        <f>Plan!$E$30</f>
        <v>MV6</v>
      </c>
      <c r="D86" s="430" t="str">
        <f t="shared" si="8"/>
        <v>MV</v>
      </c>
      <c r="E86" s="430" t="str">
        <f t="shared" si="9"/>
        <v>M</v>
      </c>
      <c r="F86" s="430" t="str">
        <f t="shared" si="10"/>
        <v>Maint Visit</v>
      </c>
      <c r="G86" s="402" t="str">
        <f t="shared" si="11"/>
        <v>To Stop</v>
      </c>
      <c r="H86" s="428">
        <f t="shared" si="12"/>
        <v>42934</v>
      </c>
      <c r="I86" s="428">
        <f t="shared" si="13"/>
        <v>42936</v>
      </c>
      <c r="J86" s="402" t="str">
        <f t="shared" si="14"/>
        <v>Stopped</v>
      </c>
      <c r="K86" s="449" t="str">
        <f t="shared" si="15"/>
        <v>AXC</v>
      </c>
    </row>
    <row r="87" spans="1:11">
      <c r="A87" s="438">
        <f>Plan!$F$3</f>
        <v>42934</v>
      </c>
      <c r="B87" s="440">
        <f>Plan!$F$29</f>
        <v>221125</v>
      </c>
      <c r="C87" s="440" t="str">
        <f>Plan!$F$30</f>
        <v>MV6</v>
      </c>
      <c r="D87" s="430" t="str">
        <f t="shared" si="8"/>
        <v>MV</v>
      </c>
      <c r="E87" s="430" t="str">
        <f t="shared" si="9"/>
        <v>M</v>
      </c>
      <c r="F87" s="430" t="str">
        <f t="shared" si="10"/>
        <v>Maint Visit</v>
      </c>
      <c r="G87" s="402" t="str">
        <f t="shared" si="11"/>
        <v>To Stop</v>
      </c>
      <c r="H87" s="428">
        <f t="shared" si="12"/>
        <v>42935</v>
      </c>
      <c r="I87" s="428">
        <f t="shared" si="13"/>
        <v>42937</v>
      </c>
      <c r="J87" s="402" t="str">
        <f t="shared" si="14"/>
        <v>Stopped</v>
      </c>
      <c r="K87" s="449" t="str">
        <f t="shared" si="15"/>
        <v>AXC</v>
      </c>
    </row>
    <row r="88" spans="1:11">
      <c r="A88" s="438">
        <f>Plan!$G$3</f>
        <v>42935</v>
      </c>
      <c r="B88" s="440">
        <f>Plan!$G$29</f>
        <v>220031</v>
      </c>
      <c r="C88" s="440" t="str">
        <f>Plan!$G$30</f>
        <v>MV1</v>
      </c>
      <c r="D88" s="430" t="str">
        <f t="shared" si="8"/>
        <v>MV</v>
      </c>
      <c r="E88" s="430" t="str">
        <f t="shared" si="9"/>
        <v>M</v>
      </c>
      <c r="F88" s="430" t="str">
        <f t="shared" si="10"/>
        <v>Maint Visit</v>
      </c>
      <c r="G88" s="402" t="str">
        <f t="shared" si="11"/>
        <v>To Stop</v>
      </c>
      <c r="H88" s="428">
        <f t="shared" si="12"/>
        <v>42936</v>
      </c>
      <c r="I88" s="428">
        <f t="shared" si="13"/>
        <v>42938</v>
      </c>
      <c r="J88" s="402" t="str">
        <f t="shared" si="14"/>
        <v>Stopped</v>
      </c>
      <c r="K88" s="449" t="str">
        <f t="shared" si="15"/>
        <v>AXC</v>
      </c>
    </row>
    <row r="89" spans="1:11">
      <c r="A89" s="438">
        <f>Plan!$H$3</f>
        <v>42936</v>
      </c>
      <c r="B89" s="440">
        <f>Plan!$H$29</f>
        <v>221134</v>
      </c>
      <c r="C89" s="440" t="str">
        <f>Plan!$H$30</f>
        <v>MV5</v>
      </c>
      <c r="D89" s="430" t="str">
        <f t="shared" si="8"/>
        <v>MV</v>
      </c>
      <c r="E89" s="430" t="str">
        <f t="shared" si="9"/>
        <v>M</v>
      </c>
      <c r="F89" s="430" t="str">
        <f t="shared" si="10"/>
        <v>Maint Visit</v>
      </c>
      <c r="G89" s="402" t="str">
        <f t="shared" si="11"/>
        <v>To Stop</v>
      </c>
      <c r="H89" s="428">
        <f t="shared" si="12"/>
        <v>42937</v>
      </c>
      <c r="I89" s="428">
        <f t="shared" si="13"/>
        <v>42939</v>
      </c>
      <c r="J89" s="402" t="str">
        <f t="shared" si="14"/>
        <v>Stopped</v>
      </c>
      <c r="K89" s="449" t="str">
        <f t="shared" si="15"/>
        <v>AXC</v>
      </c>
    </row>
    <row r="90" spans="1:11">
      <c r="A90" s="438">
        <f>Plan!$I$3</f>
        <v>42937</v>
      </c>
      <c r="B90" s="440">
        <f>Plan!$I$29</f>
        <v>221104</v>
      </c>
      <c r="C90" s="440" t="str">
        <f>Plan!$I$30</f>
        <v>MV8</v>
      </c>
      <c r="D90" s="430" t="str">
        <f t="shared" si="8"/>
        <v>MV</v>
      </c>
      <c r="E90" s="430" t="str">
        <f t="shared" si="9"/>
        <v>M</v>
      </c>
      <c r="F90" s="430" t="str">
        <f t="shared" si="10"/>
        <v>Maint Visit</v>
      </c>
      <c r="G90" s="402" t="str">
        <f t="shared" si="11"/>
        <v>To Stop</v>
      </c>
      <c r="H90" s="428">
        <f t="shared" si="12"/>
        <v>42938</v>
      </c>
      <c r="I90" s="428">
        <f t="shared" si="13"/>
        <v>42940</v>
      </c>
      <c r="J90" s="402" t="str">
        <f t="shared" si="14"/>
        <v>Stopped</v>
      </c>
      <c r="K90" s="449" t="str">
        <f t="shared" si="15"/>
        <v>VWC</v>
      </c>
    </row>
    <row r="91" spans="1:11">
      <c r="A91" s="438">
        <f>Plan!$J$3</f>
        <v>42938</v>
      </c>
      <c r="B91" s="440">
        <f>Plan!$J$29</f>
        <v>220010</v>
      </c>
      <c r="C91" s="440" t="str">
        <f>Plan!$J$30</f>
        <v>MV1</v>
      </c>
      <c r="D91" s="430" t="str">
        <f t="shared" si="8"/>
        <v>MV</v>
      </c>
      <c r="E91" s="430" t="str">
        <f t="shared" si="9"/>
        <v>M</v>
      </c>
      <c r="F91" s="430" t="str">
        <f t="shared" si="10"/>
        <v>Maint Visit</v>
      </c>
      <c r="G91" s="402" t="str">
        <f t="shared" si="11"/>
        <v>To Stop</v>
      </c>
      <c r="H91" s="428">
        <f t="shared" si="12"/>
        <v>42939</v>
      </c>
      <c r="I91" s="428">
        <f t="shared" si="13"/>
        <v>42941</v>
      </c>
      <c r="J91" s="402" t="str">
        <f t="shared" si="14"/>
        <v>Stopped</v>
      </c>
      <c r="K91" s="449" t="str">
        <f t="shared" si="15"/>
        <v>AXC</v>
      </c>
    </row>
    <row r="92" spans="1:11">
      <c r="A92" s="438">
        <f>Plan!$K$3</f>
        <v>42939</v>
      </c>
      <c r="B92" s="440">
        <f>Plan!$K$29</f>
        <v>221114</v>
      </c>
      <c r="C92" s="440" t="str">
        <f>Plan!$K$30</f>
        <v>MV1</v>
      </c>
      <c r="D92" s="430" t="str">
        <f t="shared" si="8"/>
        <v>MV</v>
      </c>
      <c r="E92" s="430" t="str">
        <f t="shared" si="9"/>
        <v>M</v>
      </c>
      <c r="F92" s="430" t="str">
        <f t="shared" si="10"/>
        <v>Maint Visit</v>
      </c>
      <c r="G92" s="402" t="str">
        <f t="shared" si="11"/>
        <v>To Stop</v>
      </c>
      <c r="H92" s="428">
        <f t="shared" si="12"/>
        <v>42940</v>
      </c>
      <c r="I92" s="428">
        <f t="shared" si="13"/>
        <v>42942</v>
      </c>
      <c r="J92" s="402" t="str">
        <f t="shared" si="14"/>
        <v>Stopped</v>
      </c>
      <c r="K92" s="449" t="str">
        <f t="shared" si="15"/>
        <v>VWC</v>
      </c>
    </row>
    <row r="93" spans="1:11">
      <c r="A93" s="438">
        <f>Plan!$L$3</f>
        <v>42940</v>
      </c>
      <c r="B93" s="440">
        <f>Plan!$L$29</f>
        <v>220021</v>
      </c>
      <c r="C93" s="440" t="str">
        <f>Plan!$L$30</f>
        <v>MV2</v>
      </c>
      <c r="D93" s="430" t="str">
        <f t="shared" si="8"/>
        <v>MV</v>
      </c>
      <c r="E93" s="430" t="str">
        <f t="shared" si="9"/>
        <v>M</v>
      </c>
      <c r="F93" s="430" t="str">
        <f t="shared" si="10"/>
        <v>Maint Visit</v>
      </c>
      <c r="G93" s="402" t="str">
        <f t="shared" si="11"/>
        <v>To Stop</v>
      </c>
      <c r="H93" s="428">
        <f t="shared" si="12"/>
        <v>42941</v>
      </c>
      <c r="I93" s="428">
        <f t="shared" si="13"/>
        <v>42943</v>
      </c>
      <c r="J93" s="402" t="str">
        <f t="shared" si="14"/>
        <v>Stopped</v>
      </c>
      <c r="K93" s="449" t="str">
        <f t="shared" si="15"/>
        <v>AXC</v>
      </c>
    </row>
    <row r="94" spans="1:11">
      <c r="A94" s="438">
        <f>Plan!$M$3</f>
        <v>42941</v>
      </c>
      <c r="B94" s="440">
        <f>Plan!$M$29</f>
        <v>220029</v>
      </c>
      <c r="C94" s="440" t="str">
        <f>Plan!$M$30</f>
        <v>MV1</v>
      </c>
      <c r="D94" s="430" t="str">
        <f t="shared" si="8"/>
        <v>MV</v>
      </c>
      <c r="E94" s="430" t="str">
        <f t="shared" si="9"/>
        <v>M</v>
      </c>
      <c r="F94" s="430" t="str">
        <f t="shared" si="10"/>
        <v>Maint Visit</v>
      </c>
      <c r="G94" s="402" t="str">
        <f t="shared" si="11"/>
        <v>To Stop</v>
      </c>
      <c r="H94" s="428">
        <f t="shared" si="12"/>
        <v>42942</v>
      </c>
      <c r="I94" s="428">
        <f t="shared" si="13"/>
        <v>42944</v>
      </c>
      <c r="J94" s="402" t="str">
        <f t="shared" si="14"/>
        <v>Stopped</v>
      </c>
      <c r="K94" s="449" t="str">
        <f t="shared" si="15"/>
        <v>AXC</v>
      </c>
    </row>
    <row r="95" spans="1:11">
      <c r="A95" s="438">
        <f>Plan!$N$3</f>
        <v>42942</v>
      </c>
      <c r="B95" s="440">
        <f>Plan!$N$29</f>
        <v>220033</v>
      </c>
      <c r="C95" s="440" t="str">
        <f>Plan!$N$30</f>
        <v>MV8</v>
      </c>
      <c r="D95" s="430" t="str">
        <f t="shared" si="8"/>
        <v>MV</v>
      </c>
      <c r="E95" s="430" t="str">
        <f t="shared" si="9"/>
        <v>M</v>
      </c>
      <c r="F95" s="430" t="str">
        <f t="shared" si="10"/>
        <v>Maint Visit</v>
      </c>
      <c r="G95" s="402" t="str">
        <f t="shared" si="11"/>
        <v>To Stop</v>
      </c>
      <c r="H95" s="428">
        <f t="shared" si="12"/>
        <v>42943</v>
      </c>
      <c r="I95" s="428">
        <f t="shared" si="13"/>
        <v>42945</v>
      </c>
      <c r="J95" s="402" t="str">
        <f t="shared" si="14"/>
        <v>Stopped</v>
      </c>
      <c r="K95" s="449" t="str">
        <f t="shared" si="15"/>
        <v>AXC</v>
      </c>
    </row>
    <row r="96" spans="1:11">
      <c r="A96" s="438">
        <f>Plan!$O$3</f>
        <v>42943</v>
      </c>
      <c r="B96" s="440">
        <f>Plan!$O$29</f>
        <v>0</v>
      </c>
      <c r="C96" s="440" t="str">
        <f>Plan!$O$30</f>
        <v/>
      </c>
      <c r="D96" s="430" t="str">
        <f t="shared" si="8"/>
        <v/>
      </c>
      <c r="E96" s="430" t="str">
        <f t="shared" si="9"/>
        <v/>
      </c>
      <c r="F96" s="430" t="str">
        <f t="shared" si="10"/>
        <v>No Exam</v>
      </c>
      <c r="G96" s="402" t="str">
        <f t="shared" si="11"/>
        <v>Overnight</v>
      </c>
      <c r="H96" s="428">
        <f t="shared" si="12"/>
        <v>42943</v>
      </c>
      <c r="I96" s="428">
        <f t="shared" si="13"/>
        <v>42944</v>
      </c>
      <c r="J96" s="402" t="str">
        <f t="shared" si="14"/>
        <v>In Service</v>
      </c>
      <c r="K96" s="449" t="str">
        <f t="shared" si="15"/>
        <v>AXC</v>
      </c>
    </row>
    <row r="97" spans="1:11">
      <c r="A97" s="438">
        <f>Plan!$P$3</f>
        <v>42944</v>
      </c>
      <c r="B97" s="440">
        <f>Plan!$P$29</f>
        <v>221111</v>
      </c>
      <c r="C97" s="440" t="str">
        <f>Plan!$P$30</f>
        <v>MV8</v>
      </c>
      <c r="D97" s="430" t="str">
        <f t="shared" si="8"/>
        <v>MV</v>
      </c>
      <c r="E97" s="430" t="str">
        <f t="shared" si="9"/>
        <v>M</v>
      </c>
      <c r="F97" s="430" t="str">
        <f t="shared" si="10"/>
        <v>Maint Visit</v>
      </c>
      <c r="G97" s="402" t="str">
        <f t="shared" si="11"/>
        <v>To Stop</v>
      </c>
      <c r="H97" s="428">
        <f t="shared" si="12"/>
        <v>42945</v>
      </c>
      <c r="I97" s="428">
        <f t="shared" si="13"/>
        <v>42947</v>
      </c>
      <c r="J97" s="402" t="str">
        <f t="shared" si="14"/>
        <v>Stopped</v>
      </c>
      <c r="K97" s="449" t="str">
        <f t="shared" si="15"/>
        <v>VWC</v>
      </c>
    </row>
    <row r="98" spans="1:11">
      <c r="A98" s="438">
        <f>Plan!$Q$3</f>
        <v>42945</v>
      </c>
      <c r="B98" s="440">
        <f>Plan!$Q$29</f>
        <v>220020</v>
      </c>
      <c r="C98" s="440" t="str">
        <f>Plan!$Q$30</f>
        <v>MV2</v>
      </c>
      <c r="D98" s="430" t="str">
        <f t="shared" si="8"/>
        <v>MV</v>
      </c>
      <c r="E98" s="430" t="str">
        <f t="shared" si="9"/>
        <v>M</v>
      </c>
      <c r="F98" s="430" t="str">
        <f t="shared" si="10"/>
        <v>Maint Visit</v>
      </c>
      <c r="G98" s="402" t="str">
        <f t="shared" si="11"/>
        <v>To Stop</v>
      </c>
      <c r="H98" s="428">
        <f t="shared" si="12"/>
        <v>42946</v>
      </c>
      <c r="I98" s="428">
        <f t="shared" si="13"/>
        <v>42948</v>
      </c>
      <c r="J98" s="402" t="str">
        <f t="shared" si="14"/>
        <v>Stopped</v>
      </c>
      <c r="K98" s="449" t="str">
        <f t="shared" si="15"/>
        <v>AXC</v>
      </c>
    </row>
    <row r="99" spans="1:11">
      <c r="A99" s="438">
        <f>Plan!$R$3</f>
        <v>42946</v>
      </c>
      <c r="B99" s="440">
        <f>Plan!$R$29</f>
        <v>221119</v>
      </c>
      <c r="C99" s="440" t="str">
        <f>Plan!$R$30</f>
        <v>MV7</v>
      </c>
      <c r="D99" s="430" t="str">
        <f t="shared" si="8"/>
        <v>MV</v>
      </c>
      <c r="E99" s="430" t="str">
        <f t="shared" si="9"/>
        <v>M</v>
      </c>
      <c r="F99" s="430" t="str">
        <f t="shared" si="10"/>
        <v>Maint Visit</v>
      </c>
      <c r="G99" s="402" t="str">
        <f t="shared" si="11"/>
        <v>To Stop</v>
      </c>
      <c r="H99" s="428">
        <f t="shared" si="12"/>
        <v>42947</v>
      </c>
      <c r="I99" s="428">
        <f t="shared" si="13"/>
        <v>42949</v>
      </c>
      <c r="J99" s="402" t="str">
        <f t="shared" si="14"/>
        <v>Stopped</v>
      </c>
      <c r="K99" s="449" t="str">
        <f t="shared" si="15"/>
        <v>AXC</v>
      </c>
    </row>
    <row r="100" spans="1:11">
      <c r="A100" s="438">
        <f>Plan!$S$3</f>
        <v>42947</v>
      </c>
      <c r="B100" s="440">
        <f>Plan!$S$29</f>
        <v>221102</v>
      </c>
      <c r="C100" s="440" t="str">
        <f>Plan!$S$30</f>
        <v>MV1</v>
      </c>
      <c r="D100" s="430" t="str">
        <f t="shared" si="8"/>
        <v>MV</v>
      </c>
      <c r="E100" s="430" t="str">
        <f t="shared" si="9"/>
        <v>M</v>
      </c>
      <c r="F100" s="430" t="str">
        <f t="shared" si="10"/>
        <v>Maint Visit</v>
      </c>
      <c r="G100" s="402" t="str">
        <f t="shared" si="11"/>
        <v>To Stop</v>
      </c>
      <c r="H100" s="428">
        <f t="shared" si="12"/>
        <v>42948</v>
      </c>
      <c r="I100" s="428">
        <f t="shared" si="13"/>
        <v>42950</v>
      </c>
      <c r="J100" s="402" t="str">
        <f t="shared" si="14"/>
        <v>Stopped</v>
      </c>
      <c r="K100" s="449" t="str">
        <f t="shared" si="15"/>
        <v>VWC</v>
      </c>
    </row>
    <row r="101" spans="1:11">
      <c r="A101" s="438">
        <f>Plan!$T$3</f>
        <v>42948</v>
      </c>
      <c r="B101" s="440">
        <f>Plan!$T$29</f>
        <v>221140</v>
      </c>
      <c r="C101" s="440" t="str">
        <f>Plan!$T$30</f>
        <v>MV5</v>
      </c>
      <c r="D101" s="430" t="str">
        <f t="shared" si="8"/>
        <v>MV</v>
      </c>
      <c r="E101" s="430" t="str">
        <f t="shared" si="9"/>
        <v>M</v>
      </c>
      <c r="F101" s="430" t="str">
        <f t="shared" si="10"/>
        <v>Maint Visit</v>
      </c>
      <c r="G101" s="402" t="str">
        <f t="shared" si="11"/>
        <v>To Stop</v>
      </c>
      <c r="H101" s="428">
        <f t="shared" si="12"/>
        <v>42949</v>
      </c>
      <c r="I101" s="428">
        <f t="shared" si="13"/>
        <v>42951</v>
      </c>
      <c r="J101" s="402" t="str">
        <f t="shared" si="14"/>
        <v>Stopped</v>
      </c>
      <c r="K101" s="449" t="str">
        <f t="shared" si="15"/>
        <v>AXC</v>
      </c>
    </row>
    <row r="102" spans="1:11">
      <c r="A102" s="438">
        <f>Plan!$U$3</f>
        <v>42949</v>
      </c>
      <c r="B102" s="440">
        <f>Plan!$U$29</f>
        <v>0</v>
      </c>
      <c r="C102" s="440" t="str">
        <f>Plan!$U$30</f>
        <v/>
      </c>
      <c r="D102" s="430" t="str">
        <f t="shared" si="8"/>
        <v/>
      </c>
      <c r="E102" s="430" t="str">
        <f t="shared" si="9"/>
        <v/>
      </c>
      <c r="F102" s="430" t="str">
        <f t="shared" si="10"/>
        <v>No Exam</v>
      </c>
      <c r="G102" s="402" t="str">
        <f t="shared" si="11"/>
        <v>Overnight</v>
      </c>
      <c r="H102" s="428">
        <f t="shared" si="12"/>
        <v>42949</v>
      </c>
      <c r="I102" s="428">
        <f t="shared" si="13"/>
        <v>42950</v>
      </c>
      <c r="J102" s="402" t="str">
        <f t="shared" si="14"/>
        <v>In Service</v>
      </c>
      <c r="K102" s="449" t="str">
        <f t="shared" si="15"/>
        <v>AXC</v>
      </c>
    </row>
    <row r="103" spans="1:11">
      <c r="A103" s="438">
        <f>Plan!$V$3</f>
        <v>42950</v>
      </c>
      <c r="B103" s="440">
        <f>Plan!$V$29</f>
        <v>220015</v>
      </c>
      <c r="C103" s="440" t="str">
        <f>Plan!$V$30</f>
        <v>MV8</v>
      </c>
      <c r="D103" s="430" t="str">
        <f t="shared" si="8"/>
        <v>MV</v>
      </c>
      <c r="E103" s="430" t="str">
        <f t="shared" si="9"/>
        <v>M</v>
      </c>
      <c r="F103" s="430" t="str">
        <f t="shared" si="10"/>
        <v>Maint Visit</v>
      </c>
      <c r="G103" s="402" t="str">
        <f t="shared" si="11"/>
        <v>To Stop</v>
      </c>
      <c r="H103" s="428">
        <f t="shared" si="12"/>
        <v>42951</v>
      </c>
      <c r="I103" s="428">
        <f t="shared" si="13"/>
        <v>42953</v>
      </c>
      <c r="J103" s="402" t="str">
        <f t="shared" si="14"/>
        <v>Stopped</v>
      </c>
      <c r="K103" s="449" t="str">
        <f t="shared" si="15"/>
        <v>AXC</v>
      </c>
    </row>
    <row r="104" spans="1:11">
      <c r="A104" s="438">
        <f>Plan!$W$3</f>
        <v>42951</v>
      </c>
      <c r="B104" s="440">
        <f>Plan!$W$29</f>
        <v>221141</v>
      </c>
      <c r="C104" s="440" t="str">
        <f>Plan!$W$30</f>
        <v>MV5</v>
      </c>
      <c r="D104" s="430" t="str">
        <f t="shared" si="8"/>
        <v>MV</v>
      </c>
      <c r="E104" s="430" t="str">
        <f t="shared" si="9"/>
        <v>M</v>
      </c>
      <c r="F104" s="430" t="str">
        <f t="shared" si="10"/>
        <v>Maint Visit</v>
      </c>
      <c r="G104" s="402" t="str">
        <f t="shared" si="11"/>
        <v>To Stop</v>
      </c>
      <c r="H104" s="428">
        <f t="shared" si="12"/>
        <v>42952</v>
      </c>
      <c r="I104" s="428">
        <f t="shared" si="13"/>
        <v>42954</v>
      </c>
      <c r="J104" s="402" t="str">
        <f t="shared" si="14"/>
        <v>Stopped</v>
      </c>
      <c r="K104" s="449" t="str">
        <f t="shared" si="15"/>
        <v>AXC</v>
      </c>
    </row>
    <row r="105" spans="1:11">
      <c r="A105" s="438">
        <f>Plan!$X$3</f>
        <v>42952</v>
      </c>
      <c r="B105" s="440">
        <f>Plan!$X$29</f>
        <v>220002</v>
      </c>
      <c r="C105" s="440" t="str">
        <f>Plan!$X$30</f>
        <v>MV3</v>
      </c>
      <c r="D105" s="430" t="str">
        <f t="shared" si="8"/>
        <v>MV</v>
      </c>
      <c r="E105" s="430" t="str">
        <f t="shared" si="9"/>
        <v>M</v>
      </c>
      <c r="F105" s="430" t="str">
        <f t="shared" si="10"/>
        <v>Maint Visit</v>
      </c>
      <c r="G105" s="402" t="str">
        <f t="shared" si="11"/>
        <v>To Stop</v>
      </c>
      <c r="H105" s="428">
        <f t="shared" si="12"/>
        <v>42953</v>
      </c>
      <c r="I105" s="428">
        <f t="shared" si="13"/>
        <v>42955</v>
      </c>
      <c r="J105" s="402" t="str">
        <f t="shared" si="14"/>
        <v>Stopped</v>
      </c>
      <c r="K105" s="449" t="str">
        <f t="shared" si="15"/>
        <v>AXC</v>
      </c>
    </row>
    <row r="106" spans="1:11">
      <c r="A106" s="438">
        <f>Plan!$Y$3</f>
        <v>42953</v>
      </c>
      <c r="B106" s="440">
        <f>Plan!$Y$29</f>
        <v>220006</v>
      </c>
      <c r="C106" s="440" t="str">
        <f>Plan!$Y$30</f>
        <v>MV2</v>
      </c>
      <c r="D106" s="430" t="str">
        <f t="shared" si="8"/>
        <v>MV</v>
      </c>
      <c r="E106" s="430" t="str">
        <f t="shared" si="9"/>
        <v>M</v>
      </c>
      <c r="F106" s="430" t="str">
        <f t="shared" si="10"/>
        <v>Maint Visit</v>
      </c>
      <c r="G106" s="402" t="str">
        <f t="shared" si="11"/>
        <v>To Stop</v>
      </c>
      <c r="H106" s="428">
        <f t="shared" si="12"/>
        <v>42954</v>
      </c>
      <c r="I106" s="428">
        <f t="shared" si="13"/>
        <v>42956</v>
      </c>
      <c r="J106" s="402" t="str">
        <f t="shared" si="14"/>
        <v>Stopped</v>
      </c>
      <c r="K106" s="449" t="str">
        <f t="shared" si="15"/>
        <v>AXC</v>
      </c>
    </row>
    <row r="107" spans="1:11">
      <c r="A107" s="438">
        <f>Plan!$Z$3</f>
        <v>42954</v>
      </c>
      <c r="B107" s="440">
        <f>Plan!$Z$29</f>
        <v>0</v>
      </c>
      <c r="C107" s="440" t="str">
        <f>Plan!$Z$30</f>
        <v/>
      </c>
      <c r="D107" s="430" t="str">
        <f t="shared" si="8"/>
        <v/>
      </c>
      <c r="E107" s="430" t="str">
        <f t="shared" si="9"/>
        <v/>
      </c>
      <c r="F107" s="430" t="str">
        <f t="shared" si="10"/>
        <v>No Exam</v>
      </c>
      <c r="G107" s="402" t="str">
        <f t="shared" si="11"/>
        <v>Overnight</v>
      </c>
      <c r="H107" s="428">
        <f t="shared" si="12"/>
        <v>42954</v>
      </c>
      <c r="I107" s="428">
        <f t="shared" si="13"/>
        <v>42955</v>
      </c>
      <c r="J107" s="402" t="str">
        <f t="shared" si="14"/>
        <v>In Service</v>
      </c>
      <c r="K107" s="449" t="str">
        <f t="shared" si="15"/>
        <v>AXC</v>
      </c>
    </row>
    <row r="108" spans="1:11">
      <c r="A108" s="438">
        <f>Plan!$AA$3</f>
        <v>42955</v>
      </c>
      <c r="B108" s="440">
        <f>Plan!$AA$29</f>
        <v>220017</v>
      </c>
      <c r="C108" s="440" t="str">
        <f>Plan!$AA$30</f>
        <v>MV3</v>
      </c>
      <c r="D108" s="430" t="str">
        <f t="shared" si="8"/>
        <v>MV</v>
      </c>
      <c r="E108" s="430" t="str">
        <f t="shared" si="9"/>
        <v>M</v>
      </c>
      <c r="F108" s="430" t="str">
        <f t="shared" si="10"/>
        <v>Maint Visit</v>
      </c>
      <c r="G108" s="402" t="str">
        <f t="shared" si="11"/>
        <v>To Stop</v>
      </c>
      <c r="H108" s="428">
        <f t="shared" si="12"/>
        <v>42956</v>
      </c>
      <c r="I108" s="428">
        <f t="shared" si="13"/>
        <v>42958</v>
      </c>
      <c r="J108" s="402" t="str">
        <f t="shared" si="14"/>
        <v>Stopped</v>
      </c>
      <c r="K108" s="449" t="str">
        <f t="shared" si="15"/>
        <v>AXC</v>
      </c>
    </row>
    <row r="109" spans="1:11">
      <c r="A109" s="438">
        <f>Plan!$AB$3</f>
        <v>42956</v>
      </c>
      <c r="B109" s="440">
        <f>Plan!$AB$29</f>
        <v>221138</v>
      </c>
      <c r="C109" s="440" t="str">
        <f>Plan!$AB$30</f>
        <v>MV5</v>
      </c>
      <c r="D109" s="430" t="str">
        <f t="shared" si="8"/>
        <v>MV</v>
      </c>
      <c r="E109" s="430" t="str">
        <f t="shared" si="9"/>
        <v>M</v>
      </c>
      <c r="F109" s="430" t="str">
        <f t="shared" si="10"/>
        <v>Maint Visit</v>
      </c>
      <c r="G109" s="402" t="str">
        <f t="shared" si="11"/>
        <v>To Stop</v>
      </c>
      <c r="H109" s="428">
        <f t="shared" si="12"/>
        <v>42957</v>
      </c>
      <c r="I109" s="428">
        <f t="shared" si="13"/>
        <v>42959</v>
      </c>
      <c r="J109" s="402" t="str">
        <f t="shared" si="14"/>
        <v>Stopped</v>
      </c>
      <c r="K109" s="449" t="str">
        <f t="shared" si="15"/>
        <v>AXC</v>
      </c>
    </row>
    <row r="110" spans="1:11">
      <c r="A110" s="438">
        <f>Plan!$AC$3</f>
        <v>42957</v>
      </c>
      <c r="B110" s="440">
        <f>Plan!$AC$29</f>
        <v>220034</v>
      </c>
      <c r="C110" s="440" t="str">
        <f>Plan!$AC$30</f>
        <v>MV8</v>
      </c>
      <c r="D110" s="430" t="str">
        <f t="shared" si="8"/>
        <v>MV</v>
      </c>
      <c r="E110" s="430" t="str">
        <f t="shared" si="9"/>
        <v>M</v>
      </c>
      <c r="F110" s="430" t="str">
        <f t="shared" si="10"/>
        <v>Maint Visit</v>
      </c>
      <c r="G110" s="402" t="str">
        <f t="shared" si="11"/>
        <v>To Stop</v>
      </c>
      <c r="H110" s="428">
        <f t="shared" si="12"/>
        <v>42958</v>
      </c>
      <c r="I110" s="428">
        <f t="shared" si="13"/>
        <v>42960</v>
      </c>
      <c r="J110" s="402" t="str">
        <f t="shared" si="14"/>
        <v>Stopped</v>
      </c>
      <c r="K110" s="449" t="str">
        <f t="shared" si="15"/>
        <v>AXC</v>
      </c>
    </row>
    <row r="111" spans="1:11">
      <c r="A111" s="438">
        <f>Plan!$AD$3</f>
        <v>42958</v>
      </c>
      <c r="B111" s="440">
        <f>Plan!$AD$29</f>
        <v>221103</v>
      </c>
      <c r="C111" s="440" t="str">
        <f>Plan!$AD$30</f>
        <v>MV1</v>
      </c>
      <c r="D111" s="430" t="str">
        <f t="shared" si="8"/>
        <v>MV</v>
      </c>
      <c r="E111" s="430" t="str">
        <f t="shared" si="9"/>
        <v>M</v>
      </c>
      <c r="F111" s="430" t="str">
        <f t="shared" si="10"/>
        <v>Maint Visit</v>
      </c>
      <c r="G111" s="402" t="str">
        <f t="shared" si="11"/>
        <v>To Stop</v>
      </c>
      <c r="H111" s="428">
        <f t="shared" si="12"/>
        <v>42959</v>
      </c>
      <c r="I111" s="428">
        <f t="shared" si="13"/>
        <v>42961</v>
      </c>
      <c r="J111" s="402" t="str">
        <f t="shared" si="14"/>
        <v>Stopped</v>
      </c>
      <c r="K111" s="449" t="str">
        <f t="shared" si="15"/>
        <v>VWC</v>
      </c>
    </row>
    <row r="112" spans="1:11">
      <c r="A112" s="438">
        <f>Plan!$AE$3</f>
        <v>42959</v>
      </c>
      <c r="B112" s="440">
        <f>Plan!$AE$29</f>
        <v>221135</v>
      </c>
      <c r="C112" s="440" t="str">
        <f>Plan!$AE$30</f>
        <v>MV6</v>
      </c>
      <c r="D112" s="430" t="str">
        <f t="shared" si="8"/>
        <v>MV</v>
      </c>
      <c r="E112" s="430" t="str">
        <f t="shared" si="9"/>
        <v>M</v>
      </c>
      <c r="F112" s="430" t="str">
        <f t="shared" si="10"/>
        <v>Maint Visit</v>
      </c>
      <c r="G112" s="402" t="str">
        <f t="shared" si="11"/>
        <v>To Stop</v>
      </c>
      <c r="H112" s="428">
        <f t="shared" si="12"/>
        <v>42960</v>
      </c>
      <c r="I112" s="428">
        <f t="shared" si="13"/>
        <v>42962</v>
      </c>
      <c r="J112" s="402" t="str">
        <f t="shared" si="14"/>
        <v>Stopped</v>
      </c>
      <c r="K112" s="449" t="str">
        <f t="shared" si="15"/>
        <v>AXC</v>
      </c>
    </row>
    <row r="113" spans="1:11">
      <c r="A113" s="438">
        <f>Plan!$AF$3</f>
        <v>42960</v>
      </c>
      <c r="B113" s="440">
        <f>Plan!$AF$29</f>
        <v>221112</v>
      </c>
      <c r="C113" s="440" t="str">
        <f>Plan!$AF$30</f>
        <v>MV8</v>
      </c>
      <c r="D113" s="430" t="str">
        <f t="shared" si="8"/>
        <v>MV</v>
      </c>
      <c r="E113" s="430" t="str">
        <f t="shared" si="9"/>
        <v>M</v>
      </c>
      <c r="F113" s="430" t="str">
        <f t="shared" si="10"/>
        <v>Maint Visit</v>
      </c>
      <c r="G113" s="402" t="str">
        <f t="shared" si="11"/>
        <v>To Stop</v>
      </c>
      <c r="H113" s="428">
        <f t="shared" si="12"/>
        <v>42961</v>
      </c>
      <c r="I113" s="428">
        <f t="shared" si="13"/>
        <v>42963</v>
      </c>
      <c r="J113" s="402" t="str">
        <f t="shared" si="14"/>
        <v>Stopped</v>
      </c>
      <c r="K113" s="449" t="str">
        <f t="shared" si="15"/>
        <v>VWC</v>
      </c>
    </row>
    <row r="114" spans="1:11">
      <c r="A114" s="432">
        <f>Plan!$E$3</f>
        <v>42933</v>
      </c>
      <c r="B114" s="434">
        <f>Plan!$E$37</f>
        <v>220008</v>
      </c>
      <c r="C114" s="432" t="str">
        <f>Plan!$E$38</f>
        <v>S1A</v>
      </c>
      <c r="D114" s="430" t="str">
        <f t="shared" si="8"/>
        <v>S1</v>
      </c>
      <c r="E114" s="430" t="str">
        <f t="shared" si="9"/>
        <v>S</v>
      </c>
      <c r="F114" s="430" t="str">
        <f t="shared" si="10"/>
        <v>Service</v>
      </c>
      <c r="G114" s="402" t="str">
        <f t="shared" si="11"/>
        <v>Overnight</v>
      </c>
      <c r="H114" s="428">
        <f t="shared" si="12"/>
        <v>42933</v>
      </c>
      <c r="I114" s="428">
        <f t="shared" si="13"/>
        <v>42934</v>
      </c>
      <c r="J114" s="402" t="str">
        <f t="shared" si="14"/>
        <v>In Service</v>
      </c>
      <c r="K114" s="449" t="str">
        <f t="shared" si="15"/>
        <v>AXC</v>
      </c>
    </row>
    <row r="115" spans="1:11">
      <c r="A115" s="432">
        <f>Plan!$F$3</f>
        <v>42934</v>
      </c>
      <c r="B115" s="434">
        <f>Plan!$F$37</f>
        <v>221119</v>
      </c>
      <c r="C115" s="432" t="str">
        <f>Plan!$F$38</f>
        <v>S4A</v>
      </c>
      <c r="D115" s="430" t="str">
        <f t="shared" si="8"/>
        <v>S4</v>
      </c>
      <c r="E115" s="430" t="str">
        <f t="shared" si="9"/>
        <v>S</v>
      </c>
      <c r="F115" s="430" t="str">
        <f t="shared" si="10"/>
        <v>Service</v>
      </c>
      <c r="G115" s="402" t="str">
        <f t="shared" si="11"/>
        <v>Overnight</v>
      </c>
      <c r="H115" s="428">
        <f t="shared" si="12"/>
        <v>42934</v>
      </c>
      <c r="I115" s="428">
        <f t="shared" si="13"/>
        <v>42935</v>
      </c>
      <c r="J115" s="402" t="str">
        <f t="shared" si="14"/>
        <v>In Service</v>
      </c>
      <c r="K115" s="449" t="str">
        <f t="shared" si="15"/>
        <v>AXC</v>
      </c>
    </row>
    <row r="116" spans="1:11">
      <c r="A116" s="432">
        <f>Plan!$G$3</f>
        <v>42935</v>
      </c>
      <c r="B116" s="434">
        <f>Plan!$G$37</f>
        <v>221114</v>
      </c>
      <c r="C116" s="432" t="str">
        <f>Plan!$G$38</f>
        <v>S8A</v>
      </c>
      <c r="D116" s="430" t="str">
        <f t="shared" si="8"/>
        <v>S8</v>
      </c>
      <c r="E116" s="430" t="str">
        <f t="shared" si="9"/>
        <v>S</v>
      </c>
      <c r="F116" s="430" t="str">
        <f t="shared" si="10"/>
        <v>Service</v>
      </c>
      <c r="G116" s="402" t="str">
        <f t="shared" si="11"/>
        <v>Overnight</v>
      </c>
      <c r="H116" s="428">
        <f t="shared" si="12"/>
        <v>42935</v>
      </c>
      <c r="I116" s="428">
        <f t="shared" si="13"/>
        <v>42936</v>
      </c>
      <c r="J116" s="402" t="str">
        <f t="shared" si="14"/>
        <v>In Service</v>
      </c>
      <c r="K116" s="449" t="str">
        <f t="shared" si="15"/>
        <v>VWC</v>
      </c>
    </row>
    <row r="117" spans="1:11">
      <c r="A117" s="432">
        <f>Plan!$H$3</f>
        <v>42936</v>
      </c>
      <c r="B117" s="434">
        <f>Plan!$H$37</f>
        <v>221117</v>
      </c>
      <c r="C117" s="432" t="str">
        <f>Plan!$H$38</f>
        <v>S1A</v>
      </c>
      <c r="D117" s="430" t="str">
        <f t="shared" si="8"/>
        <v>S1</v>
      </c>
      <c r="E117" s="430" t="str">
        <f t="shared" si="9"/>
        <v>S</v>
      </c>
      <c r="F117" s="430" t="str">
        <f t="shared" si="10"/>
        <v>Service</v>
      </c>
      <c r="G117" s="402" t="str">
        <f t="shared" si="11"/>
        <v>Overnight</v>
      </c>
      <c r="H117" s="428">
        <f t="shared" si="12"/>
        <v>42936</v>
      </c>
      <c r="I117" s="428">
        <f t="shared" si="13"/>
        <v>42937</v>
      </c>
      <c r="J117" s="402" t="str">
        <f t="shared" si="14"/>
        <v>In Service</v>
      </c>
      <c r="K117" s="449" t="str">
        <f t="shared" si="15"/>
        <v>VWC</v>
      </c>
    </row>
    <row r="118" spans="1:11">
      <c r="A118" s="432">
        <f>Plan!$I$3</f>
        <v>42937</v>
      </c>
      <c r="B118" s="434">
        <f>Plan!$I$37</f>
        <v>220006</v>
      </c>
      <c r="C118" s="432" t="str">
        <f>Plan!$I$38</f>
        <v>S2A</v>
      </c>
      <c r="D118" s="430" t="str">
        <f t="shared" si="8"/>
        <v>S2</v>
      </c>
      <c r="E118" s="430" t="str">
        <f t="shared" si="9"/>
        <v>S</v>
      </c>
      <c r="F118" s="430" t="str">
        <f t="shared" si="10"/>
        <v>Service</v>
      </c>
      <c r="G118" s="402" t="str">
        <f t="shared" si="11"/>
        <v>Overnight</v>
      </c>
      <c r="H118" s="428">
        <f t="shared" si="12"/>
        <v>42937</v>
      </c>
      <c r="I118" s="428">
        <f t="shared" si="13"/>
        <v>42938</v>
      </c>
      <c r="J118" s="402" t="str">
        <f t="shared" si="14"/>
        <v>In Service</v>
      </c>
      <c r="K118" s="449" t="str">
        <f t="shared" si="15"/>
        <v>AXC</v>
      </c>
    </row>
    <row r="119" spans="1:11">
      <c r="A119" s="432">
        <f>Plan!$J$3</f>
        <v>42938</v>
      </c>
      <c r="B119" s="434">
        <f>Plan!$J$37</f>
        <v>221101</v>
      </c>
      <c r="C119" s="432" t="str">
        <f>Plan!$J$38</f>
        <v>S3A</v>
      </c>
      <c r="D119" s="430" t="str">
        <f t="shared" si="8"/>
        <v>S3</v>
      </c>
      <c r="E119" s="430" t="str">
        <f t="shared" si="9"/>
        <v>S</v>
      </c>
      <c r="F119" s="430" t="str">
        <f t="shared" si="10"/>
        <v>Service</v>
      </c>
      <c r="G119" s="402" t="str">
        <f t="shared" si="11"/>
        <v>Overnight</v>
      </c>
      <c r="H119" s="428">
        <f t="shared" si="12"/>
        <v>42938</v>
      </c>
      <c r="I119" s="428">
        <f t="shared" si="13"/>
        <v>42939</v>
      </c>
      <c r="J119" s="402" t="str">
        <f t="shared" si="14"/>
        <v>In Service</v>
      </c>
      <c r="K119" s="449" t="str">
        <f t="shared" si="15"/>
        <v>VWC</v>
      </c>
    </row>
    <row r="120" spans="1:11">
      <c r="A120" s="432">
        <f>Plan!$K$3</f>
        <v>42939</v>
      </c>
      <c r="B120" s="434">
        <f>Plan!$K$37</f>
        <v>221136</v>
      </c>
      <c r="C120" s="432" t="str">
        <f>Plan!$K$38</f>
        <v>S2A</v>
      </c>
      <c r="D120" s="430" t="str">
        <f t="shared" si="8"/>
        <v>S2</v>
      </c>
      <c r="E120" s="430" t="str">
        <f t="shared" si="9"/>
        <v>S</v>
      </c>
      <c r="F120" s="430" t="str">
        <f t="shared" si="10"/>
        <v>Service</v>
      </c>
      <c r="G120" s="402" t="str">
        <f t="shared" si="11"/>
        <v>Overnight</v>
      </c>
      <c r="H120" s="428">
        <f t="shared" si="12"/>
        <v>42939</v>
      </c>
      <c r="I120" s="428">
        <f t="shared" si="13"/>
        <v>42940</v>
      </c>
      <c r="J120" s="402" t="str">
        <f t="shared" si="14"/>
        <v>In Service</v>
      </c>
      <c r="K120" s="449" t="str">
        <f t="shared" si="15"/>
        <v>AXC</v>
      </c>
    </row>
    <row r="121" spans="1:11">
      <c r="A121" s="432">
        <f>Plan!$L$3</f>
        <v>42940</v>
      </c>
      <c r="B121" s="434">
        <f>Plan!$L$37</f>
        <v>221140</v>
      </c>
      <c r="C121" s="432" t="str">
        <f>Plan!$L$38</f>
        <v>S1A</v>
      </c>
      <c r="D121" s="430" t="str">
        <f t="shared" si="8"/>
        <v>S1</v>
      </c>
      <c r="E121" s="430" t="str">
        <f t="shared" si="9"/>
        <v>S</v>
      </c>
      <c r="F121" s="430" t="str">
        <f t="shared" si="10"/>
        <v>Service</v>
      </c>
      <c r="G121" s="402" t="str">
        <f t="shared" si="11"/>
        <v>Overnight</v>
      </c>
      <c r="H121" s="428">
        <f t="shared" si="12"/>
        <v>42940</v>
      </c>
      <c r="I121" s="428">
        <f t="shared" si="13"/>
        <v>42941</v>
      </c>
      <c r="J121" s="402" t="str">
        <f t="shared" si="14"/>
        <v>In Service</v>
      </c>
      <c r="K121" s="449" t="str">
        <f t="shared" si="15"/>
        <v>AXC</v>
      </c>
    </row>
    <row r="122" spans="1:11">
      <c r="A122" s="432">
        <f>Plan!$M$3</f>
        <v>42941</v>
      </c>
      <c r="B122" s="434">
        <f>Plan!$M$37</f>
        <v>221116</v>
      </c>
      <c r="C122" s="432" t="str">
        <f>Plan!$M$38</f>
        <v>S7A</v>
      </c>
      <c r="D122" s="430" t="str">
        <f t="shared" si="8"/>
        <v>S7</v>
      </c>
      <c r="E122" s="430" t="str">
        <f t="shared" si="9"/>
        <v>S</v>
      </c>
      <c r="F122" s="430" t="str">
        <f t="shared" si="10"/>
        <v>Service</v>
      </c>
      <c r="G122" s="402" t="str">
        <f t="shared" si="11"/>
        <v>Overnight</v>
      </c>
      <c r="H122" s="428">
        <f t="shared" si="12"/>
        <v>42941</v>
      </c>
      <c r="I122" s="428">
        <f t="shared" si="13"/>
        <v>42942</v>
      </c>
      <c r="J122" s="402" t="str">
        <f t="shared" si="14"/>
        <v>In Service</v>
      </c>
      <c r="K122" s="449" t="str">
        <f t="shared" si="15"/>
        <v>VWC</v>
      </c>
    </row>
    <row r="123" spans="1:11">
      <c r="A123" s="432">
        <f>Plan!$N$3</f>
        <v>42942</v>
      </c>
      <c r="B123" s="434">
        <f>Plan!$N$37</f>
        <v>221102</v>
      </c>
      <c r="C123" s="432" t="str">
        <f>Plan!$N$38</f>
        <v>S8A</v>
      </c>
      <c r="D123" s="430" t="str">
        <f t="shared" si="8"/>
        <v>S8</v>
      </c>
      <c r="E123" s="430" t="str">
        <f t="shared" si="9"/>
        <v>S</v>
      </c>
      <c r="F123" s="430" t="str">
        <f t="shared" si="10"/>
        <v>Service</v>
      </c>
      <c r="G123" s="402" t="str">
        <f t="shared" si="11"/>
        <v>Overnight</v>
      </c>
      <c r="H123" s="428">
        <f t="shared" si="12"/>
        <v>42942</v>
      </c>
      <c r="I123" s="428">
        <f t="shared" si="13"/>
        <v>42943</v>
      </c>
      <c r="J123" s="402" t="str">
        <f t="shared" si="14"/>
        <v>In Service</v>
      </c>
      <c r="K123" s="449" t="str">
        <f t="shared" si="15"/>
        <v>VWC</v>
      </c>
    </row>
    <row r="124" spans="1:11">
      <c r="A124" s="432">
        <f>Plan!$O$3</f>
        <v>42943</v>
      </c>
      <c r="B124" s="434">
        <f>Plan!$O$37</f>
        <v>221141</v>
      </c>
      <c r="C124" s="432" t="str">
        <f>Plan!$O$38</f>
        <v>S1A</v>
      </c>
      <c r="D124" s="430" t="str">
        <f t="shared" si="8"/>
        <v>S1</v>
      </c>
      <c r="E124" s="430" t="str">
        <f t="shared" si="9"/>
        <v>S</v>
      </c>
      <c r="F124" s="430" t="str">
        <f t="shared" si="10"/>
        <v>Service</v>
      </c>
      <c r="G124" s="402" t="str">
        <f t="shared" si="11"/>
        <v>Overnight</v>
      </c>
      <c r="H124" s="428">
        <f t="shared" si="12"/>
        <v>42943</v>
      </c>
      <c r="I124" s="428">
        <f t="shared" si="13"/>
        <v>42944</v>
      </c>
      <c r="J124" s="402" t="str">
        <f t="shared" si="14"/>
        <v>In Service</v>
      </c>
      <c r="K124" s="449" t="str">
        <f t="shared" si="15"/>
        <v>AXC</v>
      </c>
    </row>
    <row r="125" spans="1:11">
      <c r="A125" s="432">
        <f>Plan!$P$3</f>
        <v>42944</v>
      </c>
      <c r="B125" s="434">
        <f>Plan!$P$37</f>
        <v>220004</v>
      </c>
      <c r="C125" s="432" t="str">
        <f>Plan!$P$38</f>
        <v>S3A</v>
      </c>
      <c r="D125" s="430" t="str">
        <f t="shared" si="8"/>
        <v>S3</v>
      </c>
      <c r="E125" s="430" t="str">
        <f t="shared" si="9"/>
        <v>S</v>
      </c>
      <c r="F125" s="430" t="str">
        <f t="shared" si="10"/>
        <v>Service</v>
      </c>
      <c r="G125" s="402" t="str">
        <f t="shared" si="11"/>
        <v>Overnight</v>
      </c>
      <c r="H125" s="428">
        <f t="shared" si="12"/>
        <v>42944</v>
      </c>
      <c r="I125" s="428">
        <f t="shared" si="13"/>
        <v>42945</v>
      </c>
      <c r="J125" s="402" t="str">
        <f t="shared" si="14"/>
        <v>In Service</v>
      </c>
      <c r="K125" s="449" t="str">
        <f t="shared" si="15"/>
        <v>AXC</v>
      </c>
    </row>
    <row r="126" spans="1:11">
      <c r="A126" s="432">
        <f>Plan!$Q$3</f>
        <v>42945</v>
      </c>
      <c r="B126" s="434">
        <f>Plan!$Q$37</f>
        <v>221120</v>
      </c>
      <c r="C126" s="432" t="str">
        <f>Plan!$Q$38</f>
        <v>S5A</v>
      </c>
      <c r="D126" s="430" t="str">
        <f t="shared" si="8"/>
        <v>S5</v>
      </c>
      <c r="E126" s="430" t="str">
        <f t="shared" si="9"/>
        <v>S</v>
      </c>
      <c r="F126" s="430" t="str">
        <f t="shared" si="10"/>
        <v>Service</v>
      </c>
      <c r="G126" s="402" t="str">
        <f t="shared" si="11"/>
        <v>Overnight</v>
      </c>
      <c r="H126" s="428">
        <f t="shared" si="12"/>
        <v>42945</v>
      </c>
      <c r="I126" s="428">
        <f t="shared" si="13"/>
        <v>42946</v>
      </c>
      <c r="J126" s="402" t="str">
        <f t="shared" si="14"/>
        <v>In Service</v>
      </c>
      <c r="K126" s="449" t="str">
        <f t="shared" si="15"/>
        <v>AXC</v>
      </c>
    </row>
    <row r="127" spans="1:11">
      <c r="A127" s="432">
        <f>Plan!$R$3</f>
        <v>42946</v>
      </c>
      <c r="B127" s="434">
        <f>Plan!$R$37</f>
        <v>221112</v>
      </c>
      <c r="C127" s="432" t="str">
        <f>Plan!$R$38</f>
        <v>S6A</v>
      </c>
      <c r="D127" s="430" t="str">
        <f t="shared" si="8"/>
        <v>S6</v>
      </c>
      <c r="E127" s="430" t="str">
        <f t="shared" si="9"/>
        <v>S</v>
      </c>
      <c r="F127" s="430" t="str">
        <f t="shared" si="10"/>
        <v>Service</v>
      </c>
      <c r="G127" s="402" t="str">
        <f t="shared" si="11"/>
        <v>Overnight</v>
      </c>
      <c r="H127" s="428">
        <f t="shared" si="12"/>
        <v>42946</v>
      </c>
      <c r="I127" s="428">
        <f t="shared" si="13"/>
        <v>42947</v>
      </c>
      <c r="J127" s="402" t="str">
        <f t="shared" si="14"/>
        <v>In Service</v>
      </c>
      <c r="K127" s="449" t="str">
        <f t="shared" si="15"/>
        <v>VWC</v>
      </c>
    </row>
    <row r="128" spans="1:11">
      <c r="A128" s="432">
        <f>Plan!$S$3</f>
        <v>42947</v>
      </c>
      <c r="B128" s="434">
        <f>Plan!$S$37</f>
        <v>220026</v>
      </c>
      <c r="C128" s="432" t="str">
        <f>Plan!$S$38</f>
        <v>S3A</v>
      </c>
      <c r="D128" s="430" t="str">
        <f t="shared" si="8"/>
        <v>S3</v>
      </c>
      <c r="E128" s="430" t="str">
        <f t="shared" si="9"/>
        <v>S</v>
      </c>
      <c r="F128" s="430" t="str">
        <f t="shared" si="10"/>
        <v>Service</v>
      </c>
      <c r="G128" s="402" t="str">
        <f t="shared" si="11"/>
        <v>Overnight</v>
      </c>
      <c r="H128" s="428">
        <f t="shared" si="12"/>
        <v>42947</v>
      </c>
      <c r="I128" s="428">
        <f t="shared" si="13"/>
        <v>42948</v>
      </c>
      <c r="J128" s="402" t="str">
        <f t="shared" si="14"/>
        <v>In Service</v>
      </c>
      <c r="K128" s="449" t="str">
        <f t="shared" si="15"/>
        <v>AXC</v>
      </c>
    </row>
    <row r="129" spans="1:11">
      <c r="A129" s="432">
        <f>Plan!$T$3</f>
        <v>42948</v>
      </c>
      <c r="B129" s="434">
        <f>Plan!$T$37</f>
        <v>221118</v>
      </c>
      <c r="C129" s="432" t="str">
        <f>Plan!$T$38</f>
        <v>S7A</v>
      </c>
      <c r="D129" s="430" t="str">
        <f t="shared" si="8"/>
        <v>S7</v>
      </c>
      <c r="E129" s="430" t="str">
        <f t="shared" si="9"/>
        <v>S</v>
      </c>
      <c r="F129" s="430" t="str">
        <f t="shared" si="10"/>
        <v>Service</v>
      </c>
      <c r="G129" s="402" t="str">
        <f t="shared" si="11"/>
        <v>Overnight</v>
      </c>
      <c r="H129" s="428">
        <f t="shared" si="12"/>
        <v>42948</v>
      </c>
      <c r="I129" s="428">
        <f t="shared" si="13"/>
        <v>42949</v>
      </c>
      <c r="J129" s="402" t="str">
        <f t="shared" si="14"/>
        <v>In Service</v>
      </c>
      <c r="K129" s="449" t="str">
        <f t="shared" si="15"/>
        <v>VWC</v>
      </c>
    </row>
    <row r="130" spans="1:11">
      <c r="A130" s="432">
        <f>Plan!$U$3</f>
        <v>42949</v>
      </c>
      <c r="B130" s="434">
        <f>Plan!$U$37</f>
        <v>221103</v>
      </c>
      <c r="C130" s="432" t="str">
        <f>Plan!$U$38</f>
        <v>S8A</v>
      </c>
      <c r="D130" s="430" t="str">
        <f t="shared" si="8"/>
        <v>S8</v>
      </c>
      <c r="E130" s="430" t="str">
        <f t="shared" si="9"/>
        <v>S</v>
      </c>
      <c r="F130" s="430" t="str">
        <f t="shared" si="10"/>
        <v>Service</v>
      </c>
      <c r="G130" s="402" t="str">
        <f t="shared" si="11"/>
        <v>Overnight</v>
      </c>
      <c r="H130" s="428">
        <f t="shared" si="12"/>
        <v>42949</v>
      </c>
      <c r="I130" s="428">
        <f t="shared" si="13"/>
        <v>42950</v>
      </c>
      <c r="J130" s="402" t="str">
        <f t="shared" si="14"/>
        <v>In Service</v>
      </c>
      <c r="K130" s="449" t="str">
        <f t="shared" si="15"/>
        <v>VWC</v>
      </c>
    </row>
    <row r="131" spans="1:11">
      <c r="A131" s="432">
        <f>Plan!$V$3</f>
        <v>42950</v>
      </c>
      <c r="B131" s="434">
        <f>Plan!$V$37</f>
        <v>221135</v>
      </c>
      <c r="C131" s="432" t="str">
        <f>Plan!$V$38</f>
        <v>S2A</v>
      </c>
      <c r="D131" s="430" t="str">
        <f t="shared" ref="D131:D169" si="16">LEFT(C131,2)</f>
        <v>S2</v>
      </c>
      <c r="E131" s="430" t="str">
        <f t="shared" ref="E131:E169" si="17">LEFT(D131,1)</f>
        <v>S</v>
      </c>
      <c r="F131" s="430" t="str">
        <f t="shared" ref="F131:F169" si="18">IF(E131="","No Exam",IF(E131="C","Core",IF(E131="S","Service","Maint Visit")))</f>
        <v>Service</v>
      </c>
      <c r="G131" s="402" t="str">
        <f t="shared" ref="G131:G169" si="19">IF(F131="Maint Visit","To Stop","Overnight")</f>
        <v>Overnight</v>
      </c>
      <c r="H131" s="428">
        <f t="shared" ref="H131:H169" si="20">IF(G131="To Stop",A131+1,A131)</f>
        <v>42950</v>
      </c>
      <c r="I131" s="428">
        <f t="shared" ref="I131:I169" si="21">IF(G131="To Stop",A131+3,A131+1)</f>
        <v>42951</v>
      </c>
      <c r="J131" s="402" t="str">
        <f t="shared" ref="J131:J169" si="22">IF(G131="Overnight","In Service","Stopped")</f>
        <v>In Service</v>
      </c>
      <c r="K131" s="449" t="str">
        <f t="shared" ref="K131:K169" si="23">IF(AND(B131&gt;221000,B131&lt;221119),"VWC",IF(B131&gt;221141,"VWC","AXC"))</f>
        <v>AXC</v>
      </c>
    </row>
    <row r="132" spans="1:11">
      <c r="A132" s="432">
        <f>Plan!$W$3</f>
        <v>42951</v>
      </c>
      <c r="B132" s="434">
        <f>Plan!$W$37</f>
        <v>221142</v>
      </c>
      <c r="C132" s="432" t="str">
        <f>Plan!$W$38</f>
        <v>S2A</v>
      </c>
      <c r="D132" s="430" t="str">
        <f t="shared" si="16"/>
        <v>S2</v>
      </c>
      <c r="E132" s="430" t="str">
        <f t="shared" si="17"/>
        <v>S</v>
      </c>
      <c r="F132" s="430" t="str">
        <f t="shared" si="18"/>
        <v>Service</v>
      </c>
      <c r="G132" s="402" t="str">
        <f t="shared" si="19"/>
        <v>Overnight</v>
      </c>
      <c r="H132" s="428">
        <f t="shared" si="20"/>
        <v>42951</v>
      </c>
      <c r="I132" s="428">
        <f t="shared" si="21"/>
        <v>42952</v>
      </c>
      <c r="J132" s="402" t="str">
        <f t="shared" si="22"/>
        <v>In Service</v>
      </c>
      <c r="K132" s="449" t="str">
        <f t="shared" si="23"/>
        <v>VWC</v>
      </c>
    </row>
    <row r="133" spans="1:11">
      <c r="A133" s="432">
        <f>Plan!$X$3</f>
        <v>42952</v>
      </c>
      <c r="B133" s="434">
        <f>Plan!$X$37</f>
        <v>221143</v>
      </c>
      <c r="C133" s="432" t="str">
        <f>Plan!$X$38</f>
        <v>S1A</v>
      </c>
      <c r="D133" s="430" t="str">
        <f t="shared" si="16"/>
        <v>S1</v>
      </c>
      <c r="E133" s="430" t="str">
        <f t="shared" si="17"/>
        <v>S</v>
      </c>
      <c r="F133" s="430" t="str">
        <f t="shared" si="18"/>
        <v>Service</v>
      </c>
      <c r="G133" s="402" t="str">
        <f t="shared" si="19"/>
        <v>Overnight</v>
      </c>
      <c r="H133" s="428">
        <f t="shared" si="20"/>
        <v>42952</v>
      </c>
      <c r="I133" s="428">
        <f t="shared" si="21"/>
        <v>42953</v>
      </c>
      <c r="J133" s="402" t="str">
        <f t="shared" si="22"/>
        <v>In Service</v>
      </c>
      <c r="K133" s="449" t="str">
        <f t="shared" si="23"/>
        <v>VWC</v>
      </c>
    </row>
    <row r="134" spans="1:11">
      <c r="A134" s="432">
        <f>Plan!$Y$3</f>
        <v>42953</v>
      </c>
      <c r="B134" s="434">
        <f>Plan!$Y$37</f>
        <v>221138</v>
      </c>
      <c r="C134" s="432" t="str">
        <f>Plan!$Y$38</f>
        <v>S1A</v>
      </c>
      <c r="D134" s="430" t="str">
        <f t="shared" si="16"/>
        <v>S1</v>
      </c>
      <c r="E134" s="430" t="str">
        <f t="shared" si="17"/>
        <v>S</v>
      </c>
      <c r="F134" s="430" t="str">
        <f t="shared" si="18"/>
        <v>Service</v>
      </c>
      <c r="G134" s="402" t="str">
        <f t="shared" si="19"/>
        <v>Overnight</v>
      </c>
      <c r="H134" s="428">
        <f t="shared" si="20"/>
        <v>42953</v>
      </c>
      <c r="I134" s="428">
        <f t="shared" si="21"/>
        <v>42954</v>
      </c>
      <c r="J134" s="402" t="str">
        <f t="shared" si="22"/>
        <v>In Service</v>
      </c>
      <c r="K134" s="449" t="str">
        <f t="shared" si="23"/>
        <v>AXC</v>
      </c>
    </row>
    <row r="135" spans="1:11">
      <c r="A135" s="432">
        <f>Plan!$Z$3</f>
        <v>42954</v>
      </c>
      <c r="B135" s="434">
        <f>Plan!$Z$37</f>
        <v>220014</v>
      </c>
      <c r="C135" s="432" t="str">
        <f>Plan!$Z$38</f>
        <v>S7A</v>
      </c>
      <c r="D135" s="430" t="str">
        <f t="shared" si="16"/>
        <v>S7</v>
      </c>
      <c r="E135" s="430" t="str">
        <f t="shared" si="17"/>
        <v>S</v>
      </c>
      <c r="F135" s="430" t="str">
        <f t="shared" si="18"/>
        <v>Service</v>
      </c>
      <c r="G135" s="402" t="str">
        <f t="shared" si="19"/>
        <v>Overnight</v>
      </c>
      <c r="H135" s="428">
        <f t="shared" si="20"/>
        <v>42954</v>
      </c>
      <c r="I135" s="428">
        <f t="shared" si="21"/>
        <v>42955</v>
      </c>
      <c r="J135" s="402" t="str">
        <f t="shared" si="22"/>
        <v>In Service</v>
      </c>
      <c r="K135" s="449" t="str">
        <f t="shared" si="23"/>
        <v>AXC</v>
      </c>
    </row>
    <row r="136" spans="1:11">
      <c r="A136" s="432">
        <f>Plan!AA$3</f>
        <v>42955</v>
      </c>
      <c r="B136" s="434">
        <f>Plan!$AA$37</f>
        <v>221132</v>
      </c>
      <c r="C136" s="432" t="str">
        <f>Plan!$AA$38</f>
        <v>S3A</v>
      </c>
      <c r="D136" s="430" t="str">
        <f t="shared" si="16"/>
        <v>S3</v>
      </c>
      <c r="E136" s="430" t="str">
        <f t="shared" si="17"/>
        <v>S</v>
      </c>
      <c r="F136" s="430" t="str">
        <f t="shared" si="18"/>
        <v>Service</v>
      </c>
      <c r="G136" s="402" t="str">
        <f t="shared" si="19"/>
        <v>Overnight</v>
      </c>
      <c r="H136" s="428">
        <f t="shared" si="20"/>
        <v>42955</v>
      </c>
      <c r="I136" s="428">
        <f t="shared" si="21"/>
        <v>42956</v>
      </c>
      <c r="J136" s="402" t="str">
        <f t="shared" si="22"/>
        <v>In Service</v>
      </c>
      <c r="K136" s="449" t="str">
        <f t="shared" si="23"/>
        <v>AXC</v>
      </c>
    </row>
    <row r="137" spans="1:11">
      <c r="A137" s="432">
        <f>Plan!$AB$3</f>
        <v>42956</v>
      </c>
      <c r="B137" s="434">
        <f>Plan!$AB$37</f>
        <v>221107</v>
      </c>
      <c r="C137" s="432" t="str">
        <f>Plan!$AB$38</f>
        <v>S8A</v>
      </c>
      <c r="D137" s="430" t="str">
        <f t="shared" si="16"/>
        <v>S8</v>
      </c>
      <c r="E137" s="430" t="str">
        <f t="shared" si="17"/>
        <v>S</v>
      </c>
      <c r="F137" s="430" t="str">
        <f t="shared" si="18"/>
        <v>Service</v>
      </c>
      <c r="G137" s="402" t="str">
        <f t="shared" si="19"/>
        <v>Overnight</v>
      </c>
      <c r="H137" s="428">
        <f t="shared" si="20"/>
        <v>42956</v>
      </c>
      <c r="I137" s="428">
        <f t="shared" si="21"/>
        <v>42957</v>
      </c>
      <c r="J137" s="402" t="str">
        <f t="shared" si="22"/>
        <v>In Service</v>
      </c>
      <c r="K137" s="449" t="str">
        <f t="shared" si="23"/>
        <v>VWC</v>
      </c>
    </row>
    <row r="138" spans="1:11">
      <c r="A138" s="432">
        <f>Plan!$AC$3</f>
        <v>42957</v>
      </c>
      <c r="B138" s="434">
        <f>Plan!$AC$37</f>
        <v>221130</v>
      </c>
      <c r="C138" s="432" t="str">
        <f>Plan!$AC$38</f>
        <v>S3A</v>
      </c>
      <c r="D138" s="430" t="str">
        <f t="shared" si="16"/>
        <v>S3</v>
      </c>
      <c r="E138" s="430" t="str">
        <f t="shared" si="17"/>
        <v>S</v>
      </c>
      <c r="F138" s="430" t="str">
        <f t="shared" si="18"/>
        <v>Service</v>
      </c>
      <c r="G138" s="402" t="str">
        <f t="shared" si="19"/>
        <v>Overnight</v>
      </c>
      <c r="H138" s="428">
        <f t="shared" si="20"/>
        <v>42957</v>
      </c>
      <c r="I138" s="428">
        <f t="shared" si="21"/>
        <v>42958</v>
      </c>
      <c r="J138" s="402" t="str">
        <f t="shared" si="22"/>
        <v>In Service</v>
      </c>
      <c r="K138" s="449" t="str">
        <f t="shared" si="23"/>
        <v>AXC</v>
      </c>
    </row>
    <row r="139" spans="1:11">
      <c r="A139" s="432">
        <f>Plan!$AD$3</f>
        <v>42958</v>
      </c>
      <c r="B139" s="434">
        <f>Plan!$AD$37</f>
        <v>221109</v>
      </c>
      <c r="C139" s="432" t="str">
        <f>Plan!$AD$38</f>
        <v>S1A</v>
      </c>
      <c r="D139" s="430" t="str">
        <f t="shared" si="16"/>
        <v>S1</v>
      </c>
      <c r="E139" s="430" t="str">
        <f t="shared" si="17"/>
        <v>S</v>
      </c>
      <c r="F139" s="430" t="str">
        <f t="shared" si="18"/>
        <v>Service</v>
      </c>
      <c r="G139" s="402" t="str">
        <f t="shared" si="19"/>
        <v>Overnight</v>
      </c>
      <c r="H139" s="428">
        <f t="shared" si="20"/>
        <v>42958</v>
      </c>
      <c r="I139" s="428">
        <f t="shared" si="21"/>
        <v>42959</v>
      </c>
      <c r="J139" s="402" t="str">
        <f t="shared" si="22"/>
        <v>In Service</v>
      </c>
      <c r="K139" s="449" t="str">
        <f t="shared" si="23"/>
        <v>VWC</v>
      </c>
    </row>
    <row r="140" spans="1:11">
      <c r="A140" s="432">
        <f>Plan!$AE$3</f>
        <v>42959</v>
      </c>
      <c r="B140" s="434">
        <f>Plan!$AE$37</f>
        <v>221122</v>
      </c>
      <c r="C140" s="432" t="str">
        <f>Plan!$AE$38</f>
        <v>S5A</v>
      </c>
      <c r="D140" s="430" t="str">
        <f t="shared" si="16"/>
        <v>S5</v>
      </c>
      <c r="E140" s="430" t="str">
        <f t="shared" si="17"/>
        <v>S</v>
      </c>
      <c r="F140" s="430" t="str">
        <f t="shared" si="18"/>
        <v>Service</v>
      </c>
      <c r="G140" s="402" t="str">
        <f t="shared" si="19"/>
        <v>Overnight</v>
      </c>
      <c r="H140" s="428">
        <f t="shared" si="20"/>
        <v>42959</v>
      </c>
      <c r="I140" s="428">
        <f t="shared" si="21"/>
        <v>42960</v>
      </c>
      <c r="J140" s="402" t="str">
        <f t="shared" si="22"/>
        <v>In Service</v>
      </c>
      <c r="K140" s="449" t="str">
        <f t="shared" si="23"/>
        <v>AXC</v>
      </c>
    </row>
    <row r="141" spans="1:11">
      <c r="A141" s="432">
        <f>Plan!$AF$3</f>
        <v>42960</v>
      </c>
      <c r="B141" s="434">
        <f>Plan!$AF$37</f>
        <v>221108</v>
      </c>
      <c r="C141" s="432" t="str">
        <f>Plan!$AF$38</f>
        <v>S7A</v>
      </c>
      <c r="D141" s="430" t="str">
        <f t="shared" si="16"/>
        <v>S7</v>
      </c>
      <c r="E141" s="430" t="str">
        <f t="shared" si="17"/>
        <v>S</v>
      </c>
      <c r="F141" s="430" t="str">
        <f t="shared" si="18"/>
        <v>Service</v>
      </c>
      <c r="G141" s="402" t="str">
        <f t="shared" si="19"/>
        <v>Overnight</v>
      </c>
      <c r="H141" s="428">
        <f t="shared" si="20"/>
        <v>42960</v>
      </c>
      <c r="I141" s="428">
        <f t="shared" si="21"/>
        <v>42961</v>
      </c>
      <c r="J141" s="402" t="str">
        <f t="shared" si="22"/>
        <v>In Service</v>
      </c>
      <c r="K141" s="449" t="str">
        <f t="shared" si="23"/>
        <v>VWC</v>
      </c>
    </row>
    <row r="142" spans="1:11">
      <c r="A142" s="441">
        <f>Plan!$E$3</f>
        <v>42933</v>
      </c>
      <c r="B142" s="447">
        <f>Plan!$E$42</f>
        <v>0</v>
      </c>
      <c r="C142" s="442" t="str">
        <f>Plan!$E$43</f>
        <v/>
      </c>
      <c r="D142" s="430" t="str">
        <f t="shared" si="16"/>
        <v/>
      </c>
      <c r="E142" s="430" t="str">
        <f t="shared" si="17"/>
        <v/>
      </c>
      <c r="F142" s="430" t="str">
        <f t="shared" si="18"/>
        <v>No Exam</v>
      </c>
      <c r="G142" s="402" t="str">
        <f t="shared" si="19"/>
        <v>Overnight</v>
      </c>
      <c r="H142" s="428">
        <f t="shared" si="20"/>
        <v>42933</v>
      </c>
      <c r="I142" s="428">
        <f t="shared" si="21"/>
        <v>42934</v>
      </c>
      <c r="J142" s="402" t="str">
        <f t="shared" si="22"/>
        <v>In Service</v>
      </c>
      <c r="K142" s="449" t="str">
        <f t="shared" si="23"/>
        <v>AXC</v>
      </c>
    </row>
    <row r="143" spans="1:11">
      <c r="A143" s="441">
        <f>Plan!$F$3</f>
        <v>42934</v>
      </c>
      <c r="B143" s="447">
        <f>Plan!$F$42</f>
        <v>0</v>
      </c>
      <c r="C143" s="442" t="str">
        <f>Plan!$F$43</f>
        <v/>
      </c>
      <c r="D143" s="430" t="str">
        <f t="shared" si="16"/>
        <v/>
      </c>
      <c r="E143" s="430" t="str">
        <f t="shared" si="17"/>
        <v/>
      </c>
      <c r="F143" s="430" t="str">
        <f t="shared" si="18"/>
        <v>No Exam</v>
      </c>
      <c r="G143" s="402" t="str">
        <f t="shared" si="19"/>
        <v>Overnight</v>
      </c>
      <c r="H143" s="428">
        <f t="shared" si="20"/>
        <v>42934</v>
      </c>
      <c r="I143" s="428">
        <f t="shared" si="21"/>
        <v>42935</v>
      </c>
      <c r="J143" s="402" t="str">
        <f t="shared" si="22"/>
        <v>In Service</v>
      </c>
      <c r="K143" s="449" t="str">
        <f t="shared" si="23"/>
        <v>AXC</v>
      </c>
    </row>
    <row r="144" spans="1:11">
      <c r="A144" s="441">
        <f>Plan!$G$3</f>
        <v>42935</v>
      </c>
      <c r="B144" s="447">
        <f>Plan!$G$42</f>
        <v>0</v>
      </c>
      <c r="C144" s="442" t="str">
        <f>Plan!$G$43</f>
        <v/>
      </c>
      <c r="D144" s="430" t="str">
        <f t="shared" si="16"/>
        <v/>
      </c>
      <c r="E144" s="430" t="str">
        <f t="shared" si="17"/>
        <v/>
      </c>
      <c r="F144" s="430" t="str">
        <f t="shared" si="18"/>
        <v>No Exam</v>
      </c>
      <c r="G144" s="402" t="str">
        <f t="shared" si="19"/>
        <v>Overnight</v>
      </c>
      <c r="H144" s="428">
        <f t="shared" si="20"/>
        <v>42935</v>
      </c>
      <c r="I144" s="428">
        <f t="shared" si="21"/>
        <v>42936</v>
      </c>
      <c r="J144" s="402" t="str">
        <f t="shared" si="22"/>
        <v>In Service</v>
      </c>
      <c r="K144" s="449" t="str">
        <f t="shared" si="23"/>
        <v>AXC</v>
      </c>
    </row>
    <row r="145" spans="1:11">
      <c r="A145" s="441">
        <f>Plan!$H$3</f>
        <v>42936</v>
      </c>
      <c r="B145" s="447">
        <f>Plan!$H$42</f>
        <v>220020</v>
      </c>
      <c r="C145" s="442" t="str">
        <f>Plan!$H$43</f>
        <v>S2A</v>
      </c>
      <c r="D145" s="430" t="str">
        <f t="shared" si="16"/>
        <v>S2</v>
      </c>
      <c r="E145" s="430" t="str">
        <f t="shared" si="17"/>
        <v>S</v>
      </c>
      <c r="F145" s="430" t="str">
        <f t="shared" si="18"/>
        <v>Service</v>
      </c>
      <c r="G145" s="402" t="str">
        <f t="shared" si="19"/>
        <v>Overnight</v>
      </c>
      <c r="H145" s="428">
        <f t="shared" si="20"/>
        <v>42936</v>
      </c>
      <c r="I145" s="428">
        <f t="shared" si="21"/>
        <v>42937</v>
      </c>
      <c r="J145" s="402" t="str">
        <f t="shared" si="22"/>
        <v>In Service</v>
      </c>
      <c r="K145" s="449" t="str">
        <f t="shared" si="23"/>
        <v>AXC</v>
      </c>
    </row>
    <row r="146" spans="1:11">
      <c r="A146" s="441">
        <f>Plan!$I$3</f>
        <v>42937</v>
      </c>
      <c r="B146" s="447">
        <f>Plan!$I$42</f>
        <v>221128</v>
      </c>
      <c r="C146" s="442" t="str">
        <f>Plan!$I$43</f>
        <v>S3A</v>
      </c>
      <c r="D146" s="430" t="str">
        <f t="shared" si="16"/>
        <v>S3</v>
      </c>
      <c r="E146" s="430" t="str">
        <f t="shared" si="17"/>
        <v>S</v>
      </c>
      <c r="F146" s="430" t="str">
        <f t="shared" si="18"/>
        <v>Service</v>
      </c>
      <c r="G146" s="402" t="str">
        <f t="shared" si="19"/>
        <v>Overnight</v>
      </c>
      <c r="H146" s="428">
        <f t="shared" si="20"/>
        <v>42937</v>
      </c>
      <c r="I146" s="428">
        <f t="shared" si="21"/>
        <v>42938</v>
      </c>
      <c r="J146" s="402" t="str">
        <f t="shared" si="22"/>
        <v>In Service</v>
      </c>
      <c r="K146" s="449" t="str">
        <f t="shared" si="23"/>
        <v>AXC</v>
      </c>
    </row>
    <row r="147" spans="1:11">
      <c r="A147" s="441">
        <f>Plan!$J$3</f>
        <v>42938</v>
      </c>
      <c r="B147" s="447">
        <f>Plan!$J$42</f>
        <v>220015</v>
      </c>
      <c r="C147" s="442" t="str">
        <f>Plan!$J$43</f>
        <v>S6A</v>
      </c>
      <c r="D147" s="430" t="str">
        <f t="shared" si="16"/>
        <v>S6</v>
      </c>
      <c r="E147" s="430" t="str">
        <f t="shared" si="17"/>
        <v>S</v>
      </c>
      <c r="F147" s="430" t="str">
        <f t="shared" si="18"/>
        <v>Service</v>
      </c>
      <c r="G147" s="402" t="str">
        <f t="shared" si="19"/>
        <v>Overnight</v>
      </c>
      <c r="H147" s="428">
        <f t="shared" si="20"/>
        <v>42938</v>
      </c>
      <c r="I147" s="428">
        <f t="shared" si="21"/>
        <v>42939</v>
      </c>
      <c r="J147" s="402" t="str">
        <f t="shared" si="22"/>
        <v>In Service</v>
      </c>
      <c r="K147" s="449" t="str">
        <f t="shared" si="23"/>
        <v>AXC</v>
      </c>
    </row>
    <row r="148" spans="1:11">
      <c r="A148" s="441">
        <f>Plan!$K$3</f>
        <v>42939</v>
      </c>
      <c r="B148" s="447">
        <f>Plan!$K$42</f>
        <v>0</v>
      </c>
      <c r="C148" s="442" t="str">
        <f>Plan!$K$43</f>
        <v/>
      </c>
      <c r="D148" s="430" t="str">
        <f t="shared" si="16"/>
        <v/>
      </c>
      <c r="E148" s="430" t="str">
        <f t="shared" si="17"/>
        <v/>
      </c>
      <c r="F148" s="430" t="str">
        <f t="shared" si="18"/>
        <v>No Exam</v>
      </c>
      <c r="G148" s="402" t="str">
        <f t="shared" si="19"/>
        <v>Overnight</v>
      </c>
      <c r="H148" s="428">
        <f t="shared" si="20"/>
        <v>42939</v>
      </c>
      <c r="I148" s="428">
        <f t="shared" si="21"/>
        <v>42940</v>
      </c>
      <c r="J148" s="402" t="str">
        <f t="shared" si="22"/>
        <v>In Service</v>
      </c>
      <c r="K148" s="449" t="str">
        <f t="shared" si="23"/>
        <v>AXC</v>
      </c>
    </row>
    <row r="149" spans="1:11">
      <c r="A149" s="441">
        <f>Plan!$L$3</f>
        <v>42940</v>
      </c>
      <c r="B149" s="447">
        <f>Plan!$L$42</f>
        <v>220029</v>
      </c>
      <c r="C149" s="442" t="str">
        <f>Plan!$L$43</f>
        <v>S8A</v>
      </c>
      <c r="D149" s="430" t="str">
        <f t="shared" si="16"/>
        <v>S8</v>
      </c>
      <c r="E149" s="430" t="str">
        <f t="shared" si="17"/>
        <v>S</v>
      </c>
      <c r="F149" s="430" t="str">
        <f t="shared" si="18"/>
        <v>Service</v>
      </c>
      <c r="G149" s="402" t="str">
        <f t="shared" si="19"/>
        <v>Overnight</v>
      </c>
      <c r="H149" s="428">
        <f t="shared" si="20"/>
        <v>42940</v>
      </c>
      <c r="I149" s="428">
        <f t="shared" si="21"/>
        <v>42941</v>
      </c>
      <c r="J149" s="402" t="str">
        <f t="shared" si="22"/>
        <v>In Service</v>
      </c>
      <c r="K149" s="449" t="str">
        <f t="shared" si="23"/>
        <v>AXC</v>
      </c>
    </row>
    <row r="150" spans="1:11">
      <c r="A150" s="441">
        <f>Plan!$M$3</f>
        <v>42941</v>
      </c>
      <c r="B150" s="447">
        <f>Plan!$M$42</f>
        <v>220019</v>
      </c>
      <c r="C150" s="442" t="str">
        <f>Plan!$M$43</f>
        <v>S6A</v>
      </c>
      <c r="D150" s="430" t="str">
        <f t="shared" si="16"/>
        <v>S6</v>
      </c>
      <c r="E150" s="430" t="str">
        <f t="shared" si="17"/>
        <v>S</v>
      </c>
      <c r="F150" s="430" t="str">
        <f t="shared" si="18"/>
        <v>Service</v>
      </c>
      <c r="G150" s="402" t="str">
        <f t="shared" si="19"/>
        <v>Overnight</v>
      </c>
      <c r="H150" s="428">
        <f t="shared" si="20"/>
        <v>42941</v>
      </c>
      <c r="I150" s="428">
        <f t="shared" si="21"/>
        <v>42942</v>
      </c>
      <c r="J150" s="402" t="str">
        <f t="shared" si="22"/>
        <v>In Service</v>
      </c>
      <c r="K150" s="449" t="str">
        <f t="shared" si="23"/>
        <v>AXC</v>
      </c>
    </row>
    <row r="151" spans="1:11">
      <c r="A151" s="441">
        <f>Plan!$N$3</f>
        <v>42942</v>
      </c>
      <c r="B151" s="447">
        <f>Plan!$N$42</f>
        <v>220028</v>
      </c>
      <c r="C151" s="442" t="str">
        <f>Plan!$N$43</f>
        <v>S1A</v>
      </c>
      <c r="D151" s="430" t="str">
        <f t="shared" si="16"/>
        <v>S1</v>
      </c>
      <c r="E151" s="430" t="str">
        <f t="shared" si="17"/>
        <v>S</v>
      </c>
      <c r="F151" s="430" t="str">
        <f t="shared" si="18"/>
        <v>Service</v>
      </c>
      <c r="G151" s="402" t="str">
        <f t="shared" si="19"/>
        <v>Overnight</v>
      </c>
      <c r="H151" s="428">
        <f t="shared" si="20"/>
        <v>42942</v>
      </c>
      <c r="I151" s="428">
        <f t="shared" si="21"/>
        <v>42943</v>
      </c>
      <c r="J151" s="402" t="str">
        <f t="shared" si="22"/>
        <v>In Service</v>
      </c>
      <c r="K151" s="449" t="str">
        <f t="shared" si="23"/>
        <v>AXC</v>
      </c>
    </row>
    <row r="152" spans="1:11">
      <c r="A152" s="441">
        <f>Plan!$O$3</f>
        <v>42943</v>
      </c>
      <c r="B152" s="447">
        <f>Plan!$O$42</f>
        <v>221137</v>
      </c>
      <c r="C152" s="442" t="str">
        <f>Plan!$O$43</f>
        <v>S2A</v>
      </c>
      <c r="D152" s="430" t="str">
        <f t="shared" si="16"/>
        <v>S2</v>
      </c>
      <c r="E152" s="430" t="str">
        <f t="shared" si="17"/>
        <v>S</v>
      </c>
      <c r="F152" s="430" t="str">
        <f t="shared" si="18"/>
        <v>Service</v>
      </c>
      <c r="G152" s="402" t="str">
        <f t="shared" si="19"/>
        <v>Overnight</v>
      </c>
      <c r="H152" s="428">
        <f t="shared" si="20"/>
        <v>42943</v>
      </c>
      <c r="I152" s="428">
        <f t="shared" si="21"/>
        <v>42944</v>
      </c>
      <c r="J152" s="402" t="str">
        <f t="shared" si="22"/>
        <v>In Service</v>
      </c>
      <c r="K152" s="449" t="str">
        <f t="shared" si="23"/>
        <v>AXC</v>
      </c>
    </row>
    <row r="153" spans="1:11">
      <c r="A153" s="441">
        <f>Plan!$P$3</f>
        <v>42944</v>
      </c>
      <c r="B153" s="447">
        <f>Plan!$P$42</f>
        <v>220002</v>
      </c>
      <c r="C153" s="442" t="str">
        <f>Plan!$P$43</f>
        <v>S4A</v>
      </c>
      <c r="D153" s="430" t="str">
        <f t="shared" si="16"/>
        <v>S4</v>
      </c>
      <c r="E153" s="430" t="str">
        <f t="shared" si="17"/>
        <v>S</v>
      </c>
      <c r="F153" s="430" t="str">
        <f t="shared" si="18"/>
        <v>Service</v>
      </c>
      <c r="G153" s="402" t="str">
        <f t="shared" si="19"/>
        <v>Overnight</v>
      </c>
      <c r="H153" s="428">
        <f t="shared" si="20"/>
        <v>42944</v>
      </c>
      <c r="I153" s="428">
        <f t="shared" si="21"/>
        <v>42945</v>
      </c>
      <c r="J153" s="402" t="str">
        <f t="shared" si="22"/>
        <v>In Service</v>
      </c>
      <c r="K153" s="449" t="str">
        <f t="shared" si="23"/>
        <v>AXC</v>
      </c>
    </row>
    <row r="154" spans="1:11">
      <c r="A154" s="441">
        <f>Plan!$Q$3</f>
        <v>42945</v>
      </c>
      <c r="B154" s="447">
        <f>Plan!$Q$42</f>
        <v>220017</v>
      </c>
      <c r="C154" s="442" t="str">
        <f>Plan!$Q$43</f>
        <v>S4A</v>
      </c>
      <c r="D154" s="430" t="str">
        <f t="shared" si="16"/>
        <v>S4</v>
      </c>
      <c r="E154" s="430" t="str">
        <f t="shared" si="17"/>
        <v>S</v>
      </c>
      <c r="F154" s="430" t="str">
        <f t="shared" si="18"/>
        <v>Service</v>
      </c>
      <c r="G154" s="402" t="str">
        <f t="shared" si="19"/>
        <v>Overnight</v>
      </c>
      <c r="H154" s="428">
        <f t="shared" si="20"/>
        <v>42945</v>
      </c>
      <c r="I154" s="428">
        <f t="shared" si="21"/>
        <v>42946</v>
      </c>
      <c r="J154" s="402" t="str">
        <f t="shared" si="22"/>
        <v>In Service</v>
      </c>
      <c r="K154" s="449" t="str">
        <f t="shared" si="23"/>
        <v>AXC</v>
      </c>
    </row>
    <row r="155" spans="1:11">
      <c r="A155" s="441">
        <f>Plan!$R$3</f>
        <v>42946</v>
      </c>
      <c r="B155" s="447">
        <f>Plan!$R$42</f>
        <v>221121</v>
      </c>
      <c r="C155" s="442" t="str">
        <f>Plan!$R$43</f>
        <v>S3A</v>
      </c>
      <c r="D155" s="430" t="str">
        <f t="shared" si="16"/>
        <v>S3</v>
      </c>
      <c r="E155" s="430" t="str">
        <f t="shared" si="17"/>
        <v>S</v>
      </c>
      <c r="F155" s="430" t="str">
        <f t="shared" si="18"/>
        <v>Service</v>
      </c>
      <c r="G155" s="402" t="str">
        <f t="shared" si="19"/>
        <v>Overnight</v>
      </c>
      <c r="H155" s="428">
        <f t="shared" si="20"/>
        <v>42946</v>
      </c>
      <c r="I155" s="428">
        <f t="shared" si="21"/>
        <v>42947</v>
      </c>
      <c r="J155" s="402" t="str">
        <f t="shared" si="22"/>
        <v>In Service</v>
      </c>
      <c r="K155" s="449" t="str">
        <f t="shared" si="23"/>
        <v>AXC</v>
      </c>
    </row>
    <row r="156" spans="1:11">
      <c r="A156" s="441">
        <f>Plan!$S$3</f>
        <v>42947</v>
      </c>
      <c r="B156" s="447">
        <f>Plan!$S$42</f>
        <v>220034</v>
      </c>
      <c r="C156" s="442" t="str">
        <f>Plan!$S$43</f>
        <v>S6A</v>
      </c>
      <c r="D156" s="430" t="str">
        <f t="shared" si="16"/>
        <v>S6</v>
      </c>
      <c r="E156" s="430" t="str">
        <f t="shared" si="17"/>
        <v>S</v>
      </c>
      <c r="F156" s="430" t="str">
        <f t="shared" si="18"/>
        <v>Service</v>
      </c>
      <c r="G156" s="402" t="str">
        <f t="shared" si="19"/>
        <v>Overnight</v>
      </c>
      <c r="H156" s="428">
        <f t="shared" si="20"/>
        <v>42947</v>
      </c>
      <c r="I156" s="428">
        <f t="shared" si="21"/>
        <v>42948</v>
      </c>
      <c r="J156" s="402" t="str">
        <f t="shared" si="22"/>
        <v>In Service</v>
      </c>
      <c r="K156" s="449" t="str">
        <f t="shared" si="23"/>
        <v>AXC</v>
      </c>
    </row>
    <row r="157" spans="1:11">
      <c r="A157" s="441">
        <f>Plan!$T$3</f>
        <v>42948</v>
      </c>
      <c r="B157" s="447">
        <f>Plan!$T$42</f>
        <v>221139</v>
      </c>
      <c r="C157" s="442" t="str">
        <f>Plan!$T$43</f>
        <v>S2A</v>
      </c>
      <c r="D157" s="430" t="str">
        <f t="shared" si="16"/>
        <v>S2</v>
      </c>
      <c r="E157" s="430" t="str">
        <f t="shared" si="17"/>
        <v>S</v>
      </c>
      <c r="F157" s="430" t="str">
        <f t="shared" si="18"/>
        <v>Service</v>
      </c>
      <c r="G157" s="402" t="str">
        <f t="shared" si="19"/>
        <v>Overnight</v>
      </c>
      <c r="H157" s="428">
        <f t="shared" si="20"/>
        <v>42948</v>
      </c>
      <c r="I157" s="428">
        <f t="shared" si="21"/>
        <v>42949</v>
      </c>
      <c r="J157" s="402" t="str">
        <f t="shared" si="22"/>
        <v>In Service</v>
      </c>
      <c r="K157" s="449" t="str">
        <f t="shared" si="23"/>
        <v>AXC</v>
      </c>
    </row>
    <row r="158" spans="1:11">
      <c r="A158" s="441">
        <f>Plan!$U$3</f>
        <v>42949</v>
      </c>
      <c r="B158" s="447">
        <f>Plan!$U$42</f>
        <v>220023</v>
      </c>
      <c r="C158" s="442" t="str">
        <f>Plan!$U$43</f>
        <v>S1A</v>
      </c>
      <c r="D158" s="430" t="str">
        <f t="shared" si="16"/>
        <v>S1</v>
      </c>
      <c r="E158" s="430" t="str">
        <f t="shared" si="17"/>
        <v>S</v>
      </c>
      <c r="F158" s="430" t="str">
        <f t="shared" si="18"/>
        <v>Service</v>
      </c>
      <c r="G158" s="402" t="str">
        <f t="shared" si="19"/>
        <v>Overnight</v>
      </c>
      <c r="H158" s="428">
        <f t="shared" si="20"/>
        <v>42949</v>
      </c>
      <c r="I158" s="428">
        <f t="shared" si="21"/>
        <v>42950</v>
      </c>
      <c r="J158" s="402" t="str">
        <f t="shared" si="22"/>
        <v>In Service</v>
      </c>
      <c r="K158" s="449" t="str">
        <f t="shared" si="23"/>
        <v>AXC</v>
      </c>
    </row>
    <row r="159" spans="1:11">
      <c r="A159" s="441">
        <f>Plan!$V$3</f>
        <v>42950</v>
      </c>
      <c r="B159" s="447">
        <f>Plan!$V$42</f>
        <v>220024</v>
      </c>
      <c r="C159" s="442" t="str">
        <f>Plan!$V$43</f>
        <v>S1A</v>
      </c>
      <c r="D159" s="430" t="str">
        <f t="shared" si="16"/>
        <v>S1</v>
      </c>
      <c r="E159" s="430" t="str">
        <f t="shared" si="17"/>
        <v>S</v>
      </c>
      <c r="F159" s="430" t="str">
        <f t="shared" si="18"/>
        <v>Service</v>
      </c>
      <c r="G159" s="402" t="str">
        <f t="shared" si="19"/>
        <v>Overnight</v>
      </c>
      <c r="H159" s="428">
        <f t="shared" si="20"/>
        <v>42950</v>
      </c>
      <c r="I159" s="428">
        <f t="shared" si="21"/>
        <v>42951</v>
      </c>
      <c r="J159" s="402" t="str">
        <f t="shared" si="22"/>
        <v>In Service</v>
      </c>
      <c r="K159" s="449" t="str">
        <f t="shared" si="23"/>
        <v>AXC</v>
      </c>
    </row>
    <row r="160" spans="1:11">
      <c r="A160" s="441">
        <f>Plan!$W$3</f>
        <v>42951</v>
      </c>
      <c r="B160" s="447">
        <f>Plan!$W$42</f>
        <v>221127</v>
      </c>
      <c r="C160" s="442" t="str">
        <f>Plan!$W$43</f>
        <v>S3A</v>
      </c>
      <c r="D160" s="430" t="str">
        <f t="shared" si="16"/>
        <v>S3</v>
      </c>
      <c r="E160" s="430" t="str">
        <f t="shared" si="17"/>
        <v>S</v>
      </c>
      <c r="F160" s="430" t="str">
        <f t="shared" si="18"/>
        <v>Service</v>
      </c>
      <c r="G160" s="402" t="str">
        <f t="shared" si="19"/>
        <v>Overnight</v>
      </c>
      <c r="H160" s="428">
        <f t="shared" si="20"/>
        <v>42951</v>
      </c>
      <c r="I160" s="428">
        <f t="shared" si="21"/>
        <v>42952</v>
      </c>
      <c r="J160" s="402" t="str">
        <f t="shared" si="22"/>
        <v>In Service</v>
      </c>
      <c r="K160" s="449" t="str">
        <f t="shared" si="23"/>
        <v>AXC</v>
      </c>
    </row>
    <row r="161" spans="1:11">
      <c r="A161" s="441">
        <f>Plan!$X$3</f>
        <v>42952</v>
      </c>
      <c r="B161" s="447">
        <f>Plan!$X$42</f>
        <v>220001</v>
      </c>
      <c r="C161" s="442" t="str">
        <f>Plan!$X$43</f>
        <v>S4A</v>
      </c>
      <c r="D161" s="430" t="str">
        <f t="shared" si="16"/>
        <v>S4</v>
      </c>
      <c r="E161" s="430" t="str">
        <f t="shared" si="17"/>
        <v>S</v>
      </c>
      <c r="F161" s="430" t="str">
        <f t="shared" si="18"/>
        <v>Service</v>
      </c>
      <c r="G161" s="402" t="str">
        <f t="shared" si="19"/>
        <v>Overnight</v>
      </c>
      <c r="H161" s="428">
        <f t="shared" si="20"/>
        <v>42952</v>
      </c>
      <c r="I161" s="428">
        <f t="shared" si="21"/>
        <v>42953</v>
      </c>
      <c r="J161" s="402" t="str">
        <f t="shared" si="22"/>
        <v>In Service</v>
      </c>
      <c r="K161" s="449" t="str">
        <f t="shared" si="23"/>
        <v>AXC</v>
      </c>
    </row>
    <row r="162" spans="1:11">
      <c r="A162" s="441">
        <f>Plan!$Y$3</f>
        <v>42953</v>
      </c>
      <c r="B162" s="447">
        <f>Plan!$Y$42</f>
        <v>220009</v>
      </c>
      <c r="C162" s="442" t="str">
        <f>Plan!$Y$43</f>
        <v>S1A</v>
      </c>
      <c r="D162" s="430" t="str">
        <f t="shared" si="16"/>
        <v>S1</v>
      </c>
      <c r="E162" s="430" t="str">
        <f t="shared" si="17"/>
        <v>S</v>
      </c>
      <c r="F162" s="430" t="str">
        <f t="shared" si="18"/>
        <v>Service</v>
      </c>
      <c r="G162" s="402" t="str">
        <f t="shared" si="19"/>
        <v>Overnight</v>
      </c>
      <c r="H162" s="428">
        <f t="shared" si="20"/>
        <v>42953</v>
      </c>
      <c r="I162" s="428">
        <f t="shared" si="21"/>
        <v>42954</v>
      </c>
      <c r="J162" s="402" t="str">
        <f t="shared" si="22"/>
        <v>In Service</v>
      </c>
      <c r="K162" s="449" t="str">
        <f t="shared" si="23"/>
        <v>AXC</v>
      </c>
    </row>
    <row r="163" spans="1:11">
      <c r="A163" s="441">
        <f>Plan!$Z$3</f>
        <v>42954</v>
      </c>
      <c r="B163" s="447">
        <f>Plan!$Z$42</f>
        <v>0</v>
      </c>
      <c r="C163" s="442" t="str">
        <f>Plan!$Z$43</f>
        <v/>
      </c>
      <c r="D163" s="430" t="str">
        <f t="shared" si="16"/>
        <v/>
      </c>
      <c r="E163" s="430" t="str">
        <f t="shared" si="17"/>
        <v/>
      </c>
      <c r="F163" s="430" t="str">
        <f t="shared" si="18"/>
        <v>No Exam</v>
      </c>
      <c r="G163" s="402" t="str">
        <f t="shared" si="19"/>
        <v>Overnight</v>
      </c>
      <c r="H163" s="428">
        <f t="shared" si="20"/>
        <v>42954</v>
      </c>
      <c r="I163" s="428">
        <f t="shared" si="21"/>
        <v>42955</v>
      </c>
      <c r="J163" s="402" t="str">
        <f t="shared" si="22"/>
        <v>In Service</v>
      </c>
      <c r="K163" s="449" t="str">
        <f t="shared" si="23"/>
        <v>AXC</v>
      </c>
    </row>
    <row r="164" spans="1:11">
      <c r="A164" s="441">
        <f>Plan!AA$3</f>
        <v>42955</v>
      </c>
      <c r="B164" s="448">
        <f>Plan!$AA$42</f>
        <v>220003</v>
      </c>
      <c r="C164" s="442" t="str">
        <f>Plan!$AA$43</f>
        <v>S4A</v>
      </c>
      <c r="D164" s="430" t="str">
        <f t="shared" si="16"/>
        <v>S4</v>
      </c>
      <c r="E164" s="430" t="str">
        <f t="shared" si="17"/>
        <v>S</v>
      </c>
      <c r="F164" s="430" t="str">
        <f t="shared" si="18"/>
        <v>Service</v>
      </c>
      <c r="G164" s="402" t="str">
        <f t="shared" si="19"/>
        <v>Overnight</v>
      </c>
      <c r="H164" s="428">
        <f t="shared" si="20"/>
        <v>42955</v>
      </c>
      <c r="I164" s="428">
        <f t="shared" si="21"/>
        <v>42956</v>
      </c>
      <c r="J164" s="402" t="str">
        <f t="shared" si="22"/>
        <v>In Service</v>
      </c>
      <c r="K164" s="449" t="str">
        <f t="shared" si="23"/>
        <v>AXC</v>
      </c>
    </row>
    <row r="165" spans="1:11">
      <c r="A165" s="441">
        <f>Plan!$AB$3</f>
        <v>42956</v>
      </c>
      <c r="B165" s="447">
        <f>Plan!$AB$42</f>
        <v>0</v>
      </c>
      <c r="C165" s="442" t="str">
        <f>Plan!$AB$43</f>
        <v/>
      </c>
      <c r="D165" s="430" t="str">
        <f t="shared" si="16"/>
        <v/>
      </c>
      <c r="E165" s="430" t="str">
        <f t="shared" si="17"/>
        <v/>
      </c>
      <c r="F165" s="430" t="str">
        <f t="shared" si="18"/>
        <v>No Exam</v>
      </c>
      <c r="G165" s="402" t="str">
        <f t="shared" si="19"/>
        <v>Overnight</v>
      </c>
      <c r="H165" s="428">
        <f t="shared" si="20"/>
        <v>42956</v>
      </c>
      <c r="I165" s="428">
        <f t="shared" si="21"/>
        <v>42957</v>
      </c>
      <c r="J165" s="402" t="str">
        <f t="shared" si="22"/>
        <v>In Service</v>
      </c>
      <c r="K165" s="449" t="str">
        <f t="shared" si="23"/>
        <v>AXC</v>
      </c>
    </row>
    <row r="166" spans="1:11">
      <c r="A166" s="441">
        <f>Plan!$AC$3</f>
        <v>42957</v>
      </c>
      <c r="B166" s="447">
        <f>Plan!$AC$42</f>
        <v>220022</v>
      </c>
      <c r="C166" s="442" t="str">
        <f>Plan!$AC$43</f>
        <v>S2A</v>
      </c>
      <c r="D166" s="430" t="str">
        <f t="shared" si="16"/>
        <v>S2</v>
      </c>
      <c r="E166" s="430" t="str">
        <f t="shared" si="17"/>
        <v>S</v>
      </c>
      <c r="F166" s="430" t="str">
        <f t="shared" si="18"/>
        <v>Service</v>
      </c>
      <c r="G166" s="402" t="str">
        <f t="shared" si="19"/>
        <v>Overnight</v>
      </c>
      <c r="H166" s="428">
        <f t="shared" si="20"/>
        <v>42957</v>
      </c>
      <c r="I166" s="428">
        <f t="shared" si="21"/>
        <v>42958</v>
      </c>
      <c r="J166" s="402" t="str">
        <f t="shared" si="22"/>
        <v>In Service</v>
      </c>
      <c r="K166" s="449" t="str">
        <f t="shared" si="23"/>
        <v>AXC</v>
      </c>
    </row>
    <row r="167" spans="1:11">
      <c r="A167" s="441">
        <f>Plan!$AD$3</f>
        <v>42958</v>
      </c>
      <c r="B167" s="447">
        <f>Plan!$AD$42</f>
        <v>220005</v>
      </c>
      <c r="C167" s="442" t="str">
        <f>Plan!$AD$43</f>
        <v>S4A</v>
      </c>
      <c r="D167" s="430" t="str">
        <f t="shared" si="16"/>
        <v>S4</v>
      </c>
      <c r="E167" s="430" t="str">
        <f t="shared" si="17"/>
        <v>S</v>
      </c>
      <c r="F167" s="430" t="str">
        <f t="shared" si="18"/>
        <v>Service</v>
      </c>
      <c r="G167" s="402" t="str">
        <f t="shared" si="19"/>
        <v>Overnight</v>
      </c>
      <c r="H167" s="428">
        <f t="shared" si="20"/>
        <v>42958</v>
      </c>
      <c r="I167" s="428">
        <f t="shared" si="21"/>
        <v>42959</v>
      </c>
      <c r="J167" s="402" t="str">
        <f t="shared" si="22"/>
        <v>In Service</v>
      </c>
      <c r="K167" s="449" t="str">
        <f t="shared" si="23"/>
        <v>AXC</v>
      </c>
    </row>
    <row r="168" spans="1:11">
      <c r="A168" s="441">
        <f>Plan!$AE$3</f>
        <v>42959</v>
      </c>
      <c r="B168" s="447">
        <f>Plan!$AE$42</f>
        <v>220011</v>
      </c>
      <c r="C168" s="442" t="str">
        <f>Plan!$AE$43</f>
        <v>S8A</v>
      </c>
      <c r="D168" s="430" t="str">
        <f t="shared" si="16"/>
        <v>S8</v>
      </c>
      <c r="E168" s="430" t="str">
        <f t="shared" si="17"/>
        <v>S</v>
      </c>
      <c r="F168" s="430" t="str">
        <f t="shared" si="18"/>
        <v>Service</v>
      </c>
      <c r="G168" s="402" t="str">
        <f t="shared" si="19"/>
        <v>Overnight</v>
      </c>
      <c r="H168" s="428">
        <f t="shared" si="20"/>
        <v>42959</v>
      </c>
      <c r="I168" s="428">
        <f t="shared" si="21"/>
        <v>42960</v>
      </c>
      <c r="J168" s="402" t="str">
        <f t="shared" si="22"/>
        <v>In Service</v>
      </c>
      <c r="K168" s="449" t="str">
        <f t="shared" si="23"/>
        <v>AXC</v>
      </c>
    </row>
    <row r="169" spans="1:11">
      <c r="A169" s="441">
        <f>Plan!$AF$3</f>
        <v>42960</v>
      </c>
      <c r="B169" s="447">
        <f>Plan!$AF$42</f>
        <v>0</v>
      </c>
      <c r="C169" s="442" t="str">
        <f>Plan!$AF$43</f>
        <v/>
      </c>
      <c r="D169" s="430" t="str">
        <f t="shared" si="16"/>
        <v/>
      </c>
      <c r="E169" s="430" t="str">
        <f t="shared" si="17"/>
        <v/>
      </c>
      <c r="F169" s="430" t="str">
        <f t="shared" si="18"/>
        <v>No Exam</v>
      </c>
      <c r="G169" s="402" t="str">
        <f t="shared" si="19"/>
        <v>Overnight</v>
      </c>
      <c r="H169" s="428">
        <f t="shared" si="20"/>
        <v>42960</v>
      </c>
      <c r="I169" s="428">
        <f t="shared" si="21"/>
        <v>42961</v>
      </c>
      <c r="J169" s="402" t="str">
        <f t="shared" si="22"/>
        <v>In Service</v>
      </c>
      <c r="K169" s="449" t="str">
        <f t="shared" si="23"/>
        <v>AXC</v>
      </c>
    </row>
  </sheetData>
  <phoneticPr fontId="96" type="noConversion"/>
  <pageMargins left="0.7" right="0.7" top="0.75" bottom="0.75" header="0.3" footer="0.3"/>
  <pageSetup paperSize="8"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11</vt:i4>
      </vt:variant>
      <vt:variant>
        <vt:lpstr>Named Ranges</vt:lpstr>
      </vt:variant>
      <vt:variant>
        <vt:i4>17</vt:i4>
      </vt:variant>
    </vt:vector>
  </HeadingPairs>
  <TitlesOfParts>
    <vt:vector size="28" baseType="lpstr">
      <vt:lpstr>Planning Slots and Rules</vt:lpstr>
      <vt:lpstr>Mileages EOD</vt:lpstr>
      <vt:lpstr>WC Planning Sheet</vt:lpstr>
      <vt:lpstr>Planning Sheet</vt:lpstr>
      <vt:lpstr>Plan</vt:lpstr>
      <vt:lpstr>220</vt:lpstr>
      <vt:lpstr>Pad Planner - DO NOT AMEND</vt:lpstr>
      <vt:lpstr>Pad Positions - DO NOT AMEND</vt:lpstr>
      <vt:lpstr>Brake Pad Workorders</vt:lpstr>
      <vt:lpstr>Exam Workorders</vt:lpstr>
      <vt:lpstr>QlikExtract</vt:lpstr>
      <vt:lpstr>Plan!All</vt:lpstr>
      <vt:lpstr>'Mileages EOD'!DATE</vt:lpstr>
      <vt:lpstr>'Brake Pad Workorders'!ExternalData_14</vt:lpstr>
      <vt:lpstr>'Exam Workorders'!ExternalData_14</vt:lpstr>
      <vt:lpstr>'220'!Print_Area</vt:lpstr>
      <vt:lpstr>'Mileages EOD'!Print_Area</vt:lpstr>
      <vt:lpstr>Plan!Print_Area</vt:lpstr>
      <vt:lpstr>'Planning Sheet'!Print_Area</vt:lpstr>
      <vt:lpstr>'Planning Slots and Rules'!Print_Area</vt:lpstr>
      <vt:lpstr>'WC Planning Sheet'!Print_Area</vt:lpstr>
      <vt:lpstr>'220'!Print_Titles</vt:lpstr>
      <vt:lpstr>Plan!Print_Titles</vt:lpstr>
      <vt:lpstr>'220'!Query_from_MS_Access_Database_1</vt:lpstr>
      <vt:lpstr>'220'!Query_from_MS_Access_Database_2</vt:lpstr>
      <vt:lpstr>'220'!Query_from_MS_Access_Database_3</vt:lpstr>
      <vt:lpstr>SUPER_VOYAGER</vt:lpstr>
      <vt:lpstr>VOYAGER</vt:lpstr>
    </vt:vector>
  </TitlesOfParts>
  <Manager>martyn.gall@rail.bombardier.com</Manager>
  <Company>Bombardier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martyn.gall@rail.bombardier.com</dc:creator>
  <cp:lastModifiedBy>Martyn Gall</cp:lastModifiedBy>
  <cp:lastPrinted>2017-07-17T06:06:28Z</cp:lastPrinted>
  <dcterms:created xsi:type="dcterms:W3CDTF">2004-01-21T08:08:52Z</dcterms:created>
  <dcterms:modified xsi:type="dcterms:W3CDTF">2017-07-17T14:18:10Z</dcterms:modified>
</cp:coreProperties>
</file>