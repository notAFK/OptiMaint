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K\CZ\Birmingham SDC\MISC\AXC Voyager Planning\Weekly Allocation Sheets\2017\11 NOVEMBER\"/>
    </mc:Choice>
  </mc:AlternateContent>
  <bookViews>
    <workbookView xWindow="15" yWindow="15" windowWidth="11985" windowHeight="5640" activeTab="2"/>
  </bookViews>
  <sheets>
    <sheet name="DEPT BAL" sheetId="8" r:id="rId1"/>
    <sheet name="Fri-Sat" sheetId="2" r:id="rId2"/>
    <sheet name="Sat-Sun" sheetId="12" r:id="rId3"/>
    <sheet name="Sun-Mon" sheetId="3" r:id="rId4"/>
    <sheet name="Mon-Tue" sheetId="4" r:id="rId5"/>
    <sheet name="Tue-Wed" sheetId="5" r:id="rId6"/>
    <sheet name="Wed-Thur" sheetId="6" r:id="rId7"/>
    <sheet name="Thur-Fri" sheetId="7" r:id="rId8"/>
    <sheet name="DAYTIME STABLING" sheetId="9" r:id="rId9"/>
    <sheet name="Vehicles" sheetId="15" r:id="rId10"/>
    <sheet name="Balance Check" sheetId="16" r:id="rId11"/>
    <sheet name="InsertDataRefs" sheetId="14" r:id="rId12"/>
  </sheets>
  <externalReferences>
    <externalReference r:id="rId13"/>
  </externalReferences>
  <definedNames>
    <definedName name="_xlnm._FilterDatabase" localSheetId="0" hidden="1">'DEPT BAL'!$A$3:$H$13</definedName>
    <definedName name="Allerton" localSheetId="4">'Mon-Tue'!#REF!</definedName>
    <definedName name="Allerton" localSheetId="3">'Sun-Mon'!#REF!</definedName>
    <definedName name="Allerton" localSheetId="7">'Thur-Fri'!$A$59:$A$59</definedName>
    <definedName name="Allerton" localSheetId="5">'Tue-Wed'!#REF!</definedName>
    <definedName name="Allerton" localSheetId="6">'Wed-Thur'!#REF!</definedName>
    <definedName name="BartonHill" localSheetId="4">'Mon-Tue'!$A$79:$A$87</definedName>
    <definedName name="BartonHill" localSheetId="3">'Sun-Mon'!$A$82:$A$90</definedName>
    <definedName name="BartonHill" localSheetId="7">'Thur-Fri'!$A$79:$A$87</definedName>
    <definedName name="BartonHill" localSheetId="5">'Tue-Wed'!$A$79:$A$87</definedName>
    <definedName name="BartonHill" localSheetId="6">'Wed-Thur'!$A$79:$A$87</definedName>
    <definedName name="CentralRivers" localSheetId="4">'Mon-Tue'!$A$59:$A$62</definedName>
    <definedName name="CentralRivers" localSheetId="3">'Sun-Mon'!$A$59:$A$65</definedName>
    <definedName name="CentralRivers" localSheetId="7">'Thur-Fri'!$A$60:$A$62</definedName>
    <definedName name="CentralRivers" localSheetId="5">'Tue-Wed'!$A$59:$A$62</definedName>
    <definedName name="CentralRivers" localSheetId="6">'Wed-Thur'!$A$59:$A$62</definedName>
    <definedName name="Craigentinny" localSheetId="4">'Mon-Tue'!$A$2</definedName>
    <definedName name="Craigentinny" localSheetId="3">'Sun-Mon'!$A$2</definedName>
    <definedName name="Craigentinny" localSheetId="7">'Thur-Fri'!$A$2</definedName>
    <definedName name="Craigentinny" localSheetId="5">'Tue-Wed'!$A$2</definedName>
    <definedName name="Craigentinny" localSheetId="6">'Wed-Thur'!$A$2</definedName>
    <definedName name="Crofton" localSheetId="4">'Mon-Tue'!$A$32:$A$41</definedName>
    <definedName name="Crofton" localSheetId="3">'Sun-Mon'!$A$33:$A$42</definedName>
    <definedName name="Crofton" localSheetId="7">'Thur-Fri'!$A$32:$A$41</definedName>
    <definedName name="Crofton" localSheetId="5">'Tue-Wed'!$A$32:$A$41</definedName>
    <definedName name="Crofton" localSheetId="6">'Wed-Thur'!$A$32:$A$41</definedName>
    <definedName name="Data">#REF!</definedName>
    <definedName name="Eastleigh" localSheetId="4">'Mon-Tue'!$A$120:$A$131</definedName>
    <definedName name="Eastleigh" localSheetId="3">'Sun-Mon'!$A$114:$A$125</definedName>
    <definedName name="Eastleigh" localSheetId="7">'Thur-Fri'!$A$120:$A$131</definedName>
    <definedName name="Eastleigh" localSheetId="5">'Tue-Wed'!$A$120:$A$131</definedName>
    <definedName name="Eastleigh" localSheetId="6">'Wed-Thur'!$A$120:$A$131</definedName>
    <definedName name="Laira" localSheetId="4">'Mon-Tue'!$A$91:$A$102</definedName>
    <definedName name="Laira" localSheetId="3">'Sun-Mon'!$A$92:$A$96</definedName>
    <definedName name="Laira" localSheetId="7">'Thur-Fri'!$A$91:$A$102</definedName>
    <definedName name="Laira" localSheetId="5">'Tue-Wed'!$A$91:$A$102</definedName>
    <definedName name="Laira" localSheetId="6">'Wed-Thur'!$A$91:$A$102</definedName>
    <definedName name="Longsight" localSheetId="4">'Mon-Tue'!$A$44:$A$55</definedName>
    <definedName name="Longsight" localSheetId="3">'Sun-Mon'!$A$46:$A$57</definedName>
    <definedName name="Longsight" localSheetId="7">'Thur-Fri'!$A$44:$A$55</definedName>
    <definedName name="Longsight" localSheetId="5">'Tue-Wed'!$A$44:$A$55</definedName>
    <definedName name="Longsight" localSheetId="6">'Wed-Thur'!$A$44:$A$55</definedName>
    <definedName name="OldOak" localSheetId="4">'Mon-Tue'!$A$66:$A$75</definedName>
    <definedName name="OldOak" localSheetId="3">'Sun-Mon'!$A$69:$A$78</definedName>
    <definedName name="OldOak" localSheetId="7">'Thur-Fri'!$A$66:$A$75</definedName>
    <definedName name="OldOak" localSheetId="5">'Tue-Wed'!$A$66:$A$75</definedName>
    <definedName name="OldOak" localSheetId="6">'Wed-Thur'!$A$66:$A$75</definedName>
    <definedName name="Penzance" localSheetId="4">'Mon-Tue'!$A$106:$A$116</definedName>
    <definedName name="Penzance" localSheetId="3">'Sun-Mon'!$A$100:$A$110</definedName>
    <definedName name="Penzance" localSheetId="7">'Thur-Fri'!$A$106:$A$116</definedName>
    <definedName name="Penzance" localSheetId="5">'Tue-Wed'!$A$106:$A$116</definedName>
    <definedName name="Penzance" localSheetId="6">'Wed-Thur'!$A$106:$A$116</definedName>
    <definedName name="Polmadie" localSheetId="4">'Mon-Tue'!$A$19</definedName>
    <definedName name="Polmadie" localSheetId="3">'Sun-Mon'!$A$19</definedName>
    <definedName name="Polmadie" localSheetId="7">'Thur-Fri'!$A$19</definedName>
    <definedName name="Polmadie" localSheetId="5">'Tue-Wed'!$A$19</definedName>
    <definedName name="Polmadie" localSheetId="6">'Wed-Thur'!$A$19</definedName>
    <definedName name="_xlnm.Print_Area" localSheetId="1">'Fri-Sat'!$A$1:$R$190</definedName>
    <definedName name="_xlnm.Print_Area" localSheetId="4">'Mon-Tue'!$A$1:$R$190</definedName>
    <definedName name="_xlnm.Print_Area" localSheetId="2">'Sat-Sun'!$A$1:$R$190</definedName>
    <definedName name="_xlnm.Print_Area" localSheetId="3">'Sun-Mon'!$A$1:$R$190</definedName>
    <definedName name="_xlnm.Print_Area" localSheetId="7">'Thur-Fri'!$A$1:$R$190</definedName>
    <definedName name="_xlnm.Print_Area" localSheetId="5">'Tue-Wed'!$A$1:$R$190</definedName>
    <definedName name="_xlnm.Print_Area" localSheetId="6">'Wed-Thur'!$A$1:$R$190</definedName>
    <definedName name="ThreeBridges" localSheetId="4">'Mon-Tue'!$A$135:$A$144</definedName>
    <definedName name="ThreeBridges" localSheetId="3">'Sun-Mon'!$A$129:$A$138</definedName>
    <definedName name="ThreeBridges" localSheetId="7">'Thur-Fri'!$A$135:$A$144</definedName>
    <definedName name="ThreeBridges" localSheetId="5">'Tue-Wed'!$A$135:$A$144</definedName>
    <definedName name="ThreeBridges" localSheetId="6">'Wed-Thur'!$A$135:$A$144</definedName>
    <definedName name="TyneYard" localSheetId="4">'Mon-Tue'!#REF!</definedName>
    <definedName name="TyneYard" localSheetId="3">'Sun-Mon'!#REF!</definedName>
    <definedName name="TyneYard" localSheetId="7">'Thur-Fri'!#REF!</definedName>
    <definedName name="TyneYard" localSheetId="5">'Tue-Wed'!#REF!</definedName>
    <definedName name="TyneYard" localSheetId="6">'Wed-Thur'!#REF!</definedName>
  </definedNames>
  <calcPr calcId="171027"/>
</workbook>
</file>

<file path=xl/calcChain.xml><?xml version="1.0" encoding="utf-8"?>
<calcChain xmlns="http://schemas.openxmlformats.org/spreadsheetml/2006/main">
  <c r="A149" i="3" l="1"/>
  <c r="D135" i="3"/>
  <c r="D124" i="3"/>
  <c r="D108" i="3"/>
  <c r="D94" i="3"/>
  <c r="D61" i="3"/>
  <c r="D47" i="3"/>
  <c r="D35" i="3"/>
  <c r="D23" i="3"/>
  <c r="I149" i="12"/>
  <c r="L135" i="12"/>
  <c r="L124" i="12"/>
  <c r="L108" i="12"/>
  <c r="L94" i="12"/>
  <c r="L61" i="12"/>
  <c r="L47" i="12"/>
  <c r="L35" i="12"/>
  <c r="L23" i="12"/>
  <c r="J154" i="12" l="1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53" i="12"/>
  <c r="J153" i="3"/>
  <c r="J153" i="4"/>
  <c r="J153" i="5"/>
  <c r="J153" i="6"/>
  <c r="J153" i="7"/>
  <c r="J153" i="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53" i="12"/>
  <c r="G153" i="3"/>
  <c r="G153" i="4"/>
  <c r="G153" i="5"/>
  <c r="G153" i="6"/>
  <c r="G153" i="7"/>
  <c r="G153" i="2"/>
  <c r="E187" i="3" l="1"/>
  <c r="E187" i="4"/>
  <c r="E187" i="5"/>
  <c r="E187" i="6"/>
  <c r="E187" i="7"/>
  <c r="E187" i="2"/>
  <c r="D187" i="12"/>
  <c r="D187" i="3"/>
  <c r="D187" i="4"/>
  <c r="D187" i="5"/>
  <c r="D187" i="6"/>
  <c r="D187" i="7"/>
  <c r="D187" i="2"/>
  <c r="C4" i="8"/>
  <c r="D4" i="8"/>
  <c r="E4" i="8" s="1"/>
  <c r="B4" i="16"/>
  <c r="A4" i="16" s="1"/>
  <c r="H67" i="7"/>
  <c r="E185" i="7"/>
  <c r="H68" i="7"/>
  <c r="H69" i="7"/>
  <c r="H70" i="7"/>
  <c r="E176" i="7"/>
  <c r="H71" i="7"/>
  <c r="E180" i="7"/>
  <c r="H72" i="7"/>
  <c r="H73" i="7"/>
  <c r="L159" i="7"/>
  <c r="H74" i="7"/>
  <c r="E155" i="7"/>
  <c r="H75" i="7"/>
  <c r="E169" i="7"/>
  <c r="H76" i="7"/>
  <c r="H77" i="7"/>
  <c r="H78" i="7"/>
  <c r="H79" i="7"/>
  <c r="H80" i="7"/>
  <c r="H81" i="7"/>
  <c r="D135" i="2"/>
  <c r="L135" i="2"/>
  <c r="D124" i="2"/>
  <c r="L124" i="2" s="1"/>
  <c r="D108" i="2"/>
  <c r="D94" i="2"/>
  <c r="L94" i="2" s="1"/>
  <c r="D61" i="2"/>
  <c r="L61" i="2" s="1"/>
  <c r="D47" i="2"/>
  <c r="L47" i="2" s="1"/>
  <c r="D35" i="2"/>
  <c r="L35" i="2"/>
  <c r="D23" i="2"/>
  <c r="L23" i="2" s="1"/>
  <c r="D3" i="2"/>
  <c r="L3" i="2"/>
  <c r="I149" i="3"/>
  <c r="I149" i="4"/>
  <c r="I149" i="5"/>
  <c r="I149" i="6"/>
  <c r="I149" i="7"/>
  <c r="I149" i="2"/>
  <c r="A149" i="12"/>
  <c r="A149" i="4"/>
  <c r="A149" i="5"/>
  <c r="A149" i="6"/>
  <c r="A149" i="7"/>
  <c r="A149" i="2"/>
  <c r="H100" i="12"/>
  <c r="L162" i="12"/>
  <c r="H38" i="12"/>
  <c r="E186" i="12" s="1"/>
  <c r="H99" i="12"/>
  <c r="E156" i="12" s="1"/>
  <c r="H65" i="12"/>
  <c r="E175" i="12" s="1"/>
  <c r="H40" i="12"/>
  <c r="H39" i="12"/>
  <c r="E154" i="12" s="1"/>
  <c r="H137" i="12"/>
  <c r="L163" i="12" s="1"/>
  <c r="H69" i="12"/>
  <c r="E153" i="12"/>
  <c r="H51" i="12"/>
  <c r="E184" i="12" s="1"/>
  <c r="H76" i="12"/>
  <c r="E169" i="12" s="1"/>
  <c r="H63" i="12"/>
  <c r="E179" i="12"/>
  <c r="H27" i="12"/>
  <c r="E166" i="12" s="1"/>
  <c r="H142" i="12"/>
  <c r="H112" i="12"/>
  <c r="L157" i="12" s="1"/>
  <c r="H28" i="12"/>
  <c r="E162" i="12" s="1"/>
  <c r="H71" i="12"/>
  <c r="H8" i="12"/>
  <c r="L168" i="12" s="1"/>
  <c r="H52" i="12"/>
  <c r="E165" i="12" s="1"/>
  <c r="H73" i="12"/>
  <c r="E158" i="12" s="1"/>
  <c r="H116" i="12"/>
  <c r="H37" i="12"/>
  <c r="L169" i="12" s="1"/>
  <c r="H141" i="12"/>
  <c r="E161" i="12" s="1"/>
  <c r="L171" i="12"/>
  <c r="H74" i="12"/>
  <c r="E159" i="12"/>
  <c r="H50" i="12"/>
  <c r="E176" i="12" s="1"/>
  <c r="H72" i="12"/>
  <c r="E171" i="12" s="1"/>
  <c r="H26" i="12"/>
  <c r="E182" i="12"/>
  <c r="H66" i="12"/>
  <c r="E157" i="12"/>
  <c r="H10" i="12"/>
  <c r="H5" i="12"/>
  <c r="L165" i="12"/>
  <c r="H7" i="12"/>
  <c r="L159" i="12" s="1"/>
  <c r="H67" i="12"/>
  <c r="E181" i="12"/>
  <c r="H70" i="3"/>
  <c r="E180" i="3"/>
  <c r="H138" i="3"/>
  <c r="E161" i="3"/>
  <c r="H71" i="3"/>
  <c r="E174" i="3"/>
  <c r="H74" i="3"/>
  <c r="L154" i="3"/>
  <c r="H49" i="3"/>
  <c r="E153" i="3"/>
  <c r="H7" i="3"/>
  <c r="L163" i="3"/>
  <c r="H6" i="3"/>
  <c r="E154" i="3"/>
  <c r="H51" i="3"/>
  <c r="L156" i="3"/>
  <c r="H65" i="3"/>
  <c r="H39" i="3"/>
  <c r="H141" i="3"/>
  <c r="E181" i="3"/>
  <c r="H77" i="3"/>
  <c r="E169" i="3"/>
  <c r="H115" i="3"/>
  <c r="H142" i="3"/>
  <c r="H96" i="3"/>
  <c r="E158" i="3"/>
  <c r="H113" i="3"/>
  <c r="L153" i="3"/>
  <c r="H64" i="3"/>
  <c r="H40" i="3"/>
  <c r="H38" i="3"/>
  <c r="E163" i="3"/>
  <c r="H97" i="3"/>
  <c r="H27" i="3"/>
  <c r="L164" i="3"/>
  <c r="H52" i="3"/>
  <c r="E156" i="3"/>
  <c r="H68" i="3"/>
  <c r="E178" i="3"/>
  <c r="H67" i="3"/>
  <c r="E166" i="3"/>
  <c r="H111" i="3"/>
  <c r="H114" i="3"/>
  <c r="L167" i="3"/>
  <c r="H76" i="3"/>
  <c r="E160" i="3"/>
  <c r="H10" i="3"/>
  <c r="L169" i="3"/>
  <c r="H75" i="3"/>
  <c r="E185" i="3"/>
  <c r="H70" i="4"/>
  <c r="E176" i="4"/>
  <c r="H138" i="4"/>
  <c r="E161" i="4"/>
  <c r="H71" i="4"/>
  <c r="E180" i="4"/>
  <c r="H74" i="4"/>
  <c r="E155" i="4"/>
  <c r="H49" i="4"/>
  <c r="E153" i="4"/>
  <c r="H7" i="4"/>
  <c r="L162" i="4"/>
  <c r="H6" i="4"/>
  <c r="H51" i="4"/>
  <c r="L156" i="4"/>
  <c r="H63" i="4"/>
  <c r="E171" i="4"/>
  <c r="H39" i="4"/>
  <c r="H76" i="4"/>
  <c r="E160" i="4"/>
  <c r="H114" i="4"/>
  <c r="L167" i="4"/>
  <c r="H141" i="4"/>
  <c r="E181" i="4"/>
  <c r="H96" i="4"/>
  <c r="H112" i="4"/>
  <c r="L155" i="4"/>
  <c r="H66" i="4"/>
  <c r="L159" i="4"/>
  <c r="H40" i="4"/>
  <c r="H38" i="4"/>
  <c r="H97" i="4"/>
  <c r="E184" i="4"/>
  <c r="H27" i="4"/>
  <c r="L164" i="4"/>
  <c r="H52" i="4"/>
  <c r="E156" i="4"/>
  <c r="H79" i="4"/>
  <c r="H68" i="4"/>
  <c r="E166" i="4"/>
  <c r="H67" i="4"/>
  <c r="H111" i="4"/>
  <c r="H113" i="4"/>
  <c r="E174" i="4"/>
  <c r="H78" i="4"/>
  <c r="H10" i="4"/>
  <c r="L170" i="4"/>
  <c r="H75" i="4"/>
  <c r="L154" i="4"/>
  <c r="H80" i="5"/>
  <c r="H70" i="5"/>
  <c r="E176" i="5"/>
  <c r="H138" i="5"/>
  <c r="E161" i="5"/>
  <c r="H71" i="5"/>
  <c r="H74" i="5"/>
  <c r="E155" i="5"/>
  <c r="H49" i="5"/>
  <c r="E153" i="5"/>
  <c r="H7" i="5"/>
  <c r="H6" i="5"/>
  <c r="L163" i="5"/>
  <c r="H51" i="5"/>
  <c r="H63" i="5"/>
  <c r="E171" i="5"/>
  <c r="H39" i="5"/>
  <c r="H76" i="5"/>
  <c r="H114" i="5"/>
  <c r="L167" i="5"/>
  <c r="H141" i="5"/>
  <c r="E181" i="5"/>
  <c r="H96" i="5"/>
  <c r="E158" i="5"/>
  <c r="H112" i="5"/>
  <c r="L155" i="5"/>
  <c r="H66" i="5"/>
  <c r="L159" i="5"/>
  <c r="L172" i="5"/>
  <c r="H40" i="5"/>
  <c r="H38" i="5"/>
  <c r="L157" i="5"/>
  <c r="H97" i="5"/>
  <c r="H27" i="5"/>
  <c r="L164" i="5"/>
  <c r="H52" i="5"/>
  <c r="H79" i="5"/>
  <c r="H68" i="5"/>
  <c r="H67" i="5"/>
  <c r="E185" i="5"/>
  <c r="H111" i="5"/>
  <c r="H113" i="5"/>
  <c r="E174" i="5"/>
  <c r="H78" i="5"/>
  <c r="E165" i="5"/>
  <c r="H10" i="5"/>
  <c r="L170" i="5"/>
  <c r="H75" i="5"/>
  <c r="H80" i="6"/>
  <c r="H70" i="6"/>
  <c r="E176" i="6"/>
  <c r="H138" i="6"/>
  <c r="E161" i="6" s="1"/>
  <c r="H71" i="6"/>
  <c r="H74" i="6"/>
  <c r="E155" i="6"/>
  <c r="H49" i="6"/>
  <c r="E153" i="6" s="1"/>
  <c r="H7" i="6"/>
  <c r="L162" i="6"/>
  <c r="H6" i="6"/>
  <c r="L163" i="6" s="1"/>
  <c r="H51" i="6"/>
  <c r="L156" i="6" s="1"/>
  <c r="H63" i="6"/>
  <c r="E171" i="6"/>
  <c r="H39" i="6"/>
  <c r="H76" i="6"/>
  <c r="E160" i="6"/>
  <c r="H114" i="6"/>
  <c r="H141" i="6"/>
  <c r="E181" i="6"/>
  <c r="H96" i="6"/>
  <c r="E158" i="6"/>
  <c r="H112" i="6"/>
  <c r="L155" i="6"/>
  <c r="H66" i="6"/>
  <c r="H40" i="6"/>
  <c r="H38" i="6"/>
  <c r="E163" i="6"/>
  <c r="H97" i="6"/>
  <c r="E184" i="6"/>
  <c r="H27" i="6"/>
  <c r="L164" i="6"/>
  <c r="H52" i="6"/>
  <c r="E156" i="6"/>
  <c r="H79" i="6"/>
  <c r="H68" i="6"/>
  <c r="E166" i="6"/>
  <c r="H10" i="6"/>
  <c r="L170" i="6" s="1"/>
  <c r="H67" i="6"/>
  <c r="H111" i="6"/>
  <c r="H113" i="6"/>
  <c r="E174" i="6"/>
  <c r="H9" i="6"/>
  <c r="H78" i="6"/>
  <c r="E165" i="6"/>
  <c r="H75" i="6"/>
  <c r="L154" i="6" s="1"/>
  <c r="H138" i="7"/>
  <c r="E161" i="7"/>
  <c r="H49" i="7"/>
  <c r="E153" i="7"/>
  <c r="H7" i="7"/>
  <c r="E157" i="7"/>
  <c r="H6" i="7"/>
  <c r="H51" i="7"/>
  <c r="H63" i="7"/>
  <c r="E171" i="7"/>
  <c r="H39" i="7"/>
  <c r="E163" i="7"/>
  <c r="H114" i="7"/>
  <c r="L167" i="7"/>
  <c r="H141" i="7"/>
  <c r="E181" i="7"/>
  <c r="H96" i="7"/>
  <c r="E158" i="7"/>
  <c r="H112" i="7"/>
  <c r="H66" i="7"/>
  <c r="E167" i="7"/>
  <c r="H40" i="7"/>
  <c r="H38" i="7"/>
  <c r="H97" i="7"/>
  <c r="E184" i="7"/>
  <c r="L172" i="7"/>
  <c r="H27" i="7"/>
  <c r="L164" i="7"/>
  <c r="H52" i="7"/>
  <c r="E156" i="7"/>
  <c r="H111" i="7"/>
  <c r="L155" i="7"/>
  <c r="H113" i="7"/>
  <c r="H10" i="7"/>
  <c r="L170" i="7"/>
  <c r="H70" i="2"/>
  <c r="E178" i="2"/>
  <c r="H38" i="2"/>
  <c r="H66" i="2"/>
  <c r="H69" i="2"/>
  <c r="L166" i="2"/>
  <c r="H78" i="2"/>
  <c r="H137" i="2"/>
  <c r="E169" i="2"/>
  <c r="H64" i="2"/>
  <c r="L159" i="2"/>
  <c r="H52" i="2"/>
  <c r="E181" i="2"/>
  <c r="H50" i="2"/>
  <c r="L165" i="2"/>
  <c r="H8" i="2"/>
  <c r="H5" i="2"/>
  <c r="E173" i="2"/>
  <c r="H97" i="2"/>
  <c r="L172" i="2"/>
  <c r="H114" i="2"/>
  <c r="L157" i="2"/>
  <c r="H77" i="2"/>
  <c r="E157" i="2"/>
  <c r="H51" i="2"/>
  <c r="L154" i="2"/>
  <c r="H110" i="2"/>
  <c r="E159" i="2"/>
  <c r="H68" i="2"/>
  <c r="E180" i="2"/>
  <c r="H140" i="2"/>
  <c r="L153" i="2"/>
  <c r="H37" i="2"/>
  <c r="H67" i="2"/>
  <c r="E158" i="2"/>
  <c r="H96" i="2"/>
  <c r="H26" i="2"/>
  <c r="H63" i="2"/>
  <c r="L162" i="2"/>
  <c r="H65" i="2"/>
  <c r="E161" i="2"/>
  <c r="H79" i="2"/>
  <c r="H116" i="2"/>
  <c r="H10" i="2"/>
  <c r="E153" i="2"/>
  <c r="H71" i="2"/>
  <c r="H113" i="2"/>
  <c r="H40" i="2"/>
  <c r="A4" i="8"/>
  <c r="B5" i="16"/>
  <c r="C5" i="16"/>
  <c r="D5" i="16"/>
  <c r="E5" i="16"/>
  <c r="F5" i="16"/>
  <c r="G5" i="16"/>
  <c r="H5" i="16"/>
  <c r="B6" i="16"/>
  <c r="C6" i="16"/>
  <c r="D6" i="16"/>
  <c r="E6" i="16"/>
  <c r="F6" i="16"/>
  <c r="G6" i="16"/>
  <c r="H6" i="16"/>
  <c r="B7" i="16"/>
  <c r="C7" i="16"/>
  <c r="D7" i="16"/>
  <c r="E7" i="16"/>
  <c r="F7" i="16"/>
  <c r="G7" i="16"/>
  <c r="H7" i="16"/>
  <c r="B8" i="16"/>
  <c r="C8" i="16"/>
  <c r="D8" i="16"/>
  <c r="E8" i="16"/>
  <c r="F8" i="16"/>
  <c r="G8" i="16"/>
  <c r="H8" i="16"/>
  <c r="B9" i="16"/>
  <c r="C9" i="16"/>
  <c r="D9" i="16"/>
  <c r="E9" i="16"/>
  <c r="F9" i="16"/>
  <c r="G9" i="16"/>
  <c r="H9" i="16"/>
  <c r="B10" i="16"/>
  <c r="C10" i="16"/>
  <c r="D10" i="16"/>
  <c r="E10" i="16"/>
  <c r="F10" i="16"/>
  <c r="G10" i="16"/>
  <c r="H10" i="16"/>
  <c r="B11" i="16"/>
  <c r="C11" i="16"/>
  <c r="D11" i="16"/>
  <c r="E11" i="16"/>
  <c r="F11" i="16"/>
  <c r="G11" i="16"/>
  <c r="H11" i="16"/>
  <c r="B12" i="16"/>
  <c r="C12" i="16"/>
  <c r="D12" i="16"/>
  <c r="E12" i="16"/>
  <c r="F12" i="16"/>
  <c r="G12" i="16"/>
  <c r="H12" i="16"/>
  <c r="B13" i="16"/>
  <c r="C13" i="16"/>
  <c r="D13" i="16"/>
  <c r="E13" i="16"/>
  <c r="F13" i="16"/>
  <c r="G13" i="16"/>
  <c r="H13" i="16"/>
  <c r="B4" i="15"/>
  <c r="A4" i="15"/>
  <c r="H13" i="15"/>
  <c r="G13" i="15"/>
  <c r="F13" i="15"/>
  <c r="E13" i="15"/>
  <c r="D13" i="15"/>
  <c r="C13" i="15"/>
  <c r="B13" i="15"/>
  <c r="H12" i="15"/>
  <c r="G12" i="15"/>
  <c r="F12" i="15"/>
  <c r="E12" i="15"/>
  <c r="D12" i="15"/>
  <c r="C12" i="15"/>
  <c r="B12" i="15"/>
  <c r="H11" i="15"/>
  <c r="G11" i="15"/>
  <c r="F11" i="15"/>
  <c r="E11" i="15"/>
  <c r="D11" i="15"/>
  <c r="C11" i="15"/>
  <c r="B11" i="15"/>
  <c r="H10" i="15"/>
  <c r="G10" i="15"/>
  <c r="F10" i="15"/>
  <c r="E10" i="15"/>
  <c r="D10" i="15"/>
  <c r="C10" i="15"/>
  <c r="B10" i="15"/>
  <c r="H9" i="15"/>
  <c r="G9" i="15"/>
  <c r="F9" i="15"/>
  <c r="E9" i="15"/>
  <c r="D9" i="15"/>
  <c r="C9" i="15"/>
  <c r="B9" i="15"/>
  <c r="H8" i="15"/>
  <c r="G8" i="15"/>
  <c r="F8" i="15"/>
  <c r="E8" i="15"/>
  <c r="D8" i="15"/>
  <c r="C8" i="15"/>
  <c r="B8" i="15"/>
  <c r="H7" i="15"/>
  <c r="G7" i="15"/>
  <c r="F7" i="15"/>
  <c r="E7" i="15"/>
  <c r="D7" i="15"/>
  <c r="C7" i="15"/>
  <c r="B7" i="15"/>
  <c r="H6" i="15"/>
  <c r="G6" i="15"/>
  <c r="F6" i="15"/>
  <c r="E6" i="15"/>
  <c r="D6" i="15"/>
  <c r="C6" i="15"/>
  <c r="B6" i="15"/>
  <c r="H5" i="15"/>
  <c r="G5" i="15"/>
  <c r="F5" i="15"/>
  <c r="E5" i="15"/>
  <c r="D5" i="15"/>
  <c r="C5" i="15"/>
  <c r="B5" i="15"/>
  <c r="D186" i="12"/>
  <c r="D185" i="12"/>
  <c r="D184" i="12"/>
  <c r="D183" i="12"/>
  <c r="D182" i="12"/>
  <c r="D181" i="12"/>
  <c r="D180" i="12"/>
  <c r="D179" i="12"/>
  <c r="D178" i="12"/>
  <c r="D177" i="12"/>
  <c r="D176" i="12"/>
  <c r="D175" i="12"/>
  <c r="D174" i="12"/>
  <c r="D173" i="12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M180" i="12"/>
  <c r="M179" i="12"/>
  <c r="M178" i="12"/>
  <c r="M177" i="12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55" i="12"/>
  <c r="M154" i="12"/>
  <c r="M153" i="12"/>
  <c r="M186" i="12"/>
  <c r="M185" i="12"/>
  <c r="M184" i="12"/>
  <c r="M183" i="12"/>
  <c r="M182" i="12"/>
  <c r="M181" i="12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86" i="3"/>
  <c r="M185" i="3"/>
  <c r="M184" i="3"/>
  <c r="M183" i="3"/>
  <c r="M182" i="3"/>
  <c r="M181" i="3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86" i="4"/>
  <c r="M185" i="4"/>
  <c r="M184" i="4"/>
  <c r="M183" i="4"/>
  <c r="M182" i="4"/>
  <c r="M181" i="4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M180" i="5"/>
  <c r="M179" i="5"/>
  <c r="M178" i="5"/>
  <c r="M177" i="5"/>
  <c r="M176" i="5"/>
  <c r="M175" i="5"/>
  <c r="M174" i="5"/>
  <c r="M173" i="5"/>
  <c r="M172" i="5"/>
  <c r="M171" i="5"/>
  <c r="M170" i="5"/>
  <c r="M169" i="5"/>
  <c r="M168" i="5"/>
  <c r="M167" i="5"/>
  <c r="M166" i="5"/>
  <c r="M165" i="5"/>
  <c r="M164" i="5"/>
  <c r="M163" i="5"/>
  <c r="M162" i="5"/>
  <c r="M161" i="5"/>
  <c r="M160" i="5"/>
  <c r="M159" i="5"/>
  <c r="M158" i="5"/>
  <c r="M157" i="5"/>
  <c r="M156" i="5"/>
  <c r="M155" i="5"/>
  <c r="M154" i="5"/>
  <c r="M153" i="5"/>
  <c r="M186" i="5"/>
  <c r="M185" i="5"/>
  <c r="M184" i="5"/>
  <c r="M183" i="5"/>
  <c r="M182" i="5"/>
  <c r="M181" i="5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86" i="6"/>
  <c r="M185" i="6"/>
  <c r="M184" i="6"/>
  <c r="M183" i="6"/>
  <c r="M182" i="6"/>
  <c r="M181" i="6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86" i="7"/>
  <c r="M185" i="7"/>
  <c r="M184" i="7"/>
  <c r="M183" i="7"/>
  <c r="M182" i="7"/>
  <c r="M181" i="7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86" i="2"/>
  <c r="M185" i="2"/>
  <c r="M184" i="2"/>
  <c r="M183" i="2"/>
  <c r="M182" i="2"/>
  <c r="M181" i="2"/>
  <c r="H68" i="12"/>
  <c r="E185" i="12"/>
  <c r="H126" i="12"/>
  <c r="E167" i="12" s="1"/>
  <c r="H6" i="12"/>
  <c r="L156" i="12"/>
  <c r="H98" i="12"/>
  <c r="L170" i="12" s="1"/>
  <c r="H64" i="12"/>
  <c r="L153" i="12" s="1"/>
  <c r="H114" i="12"/>
  <c r="L155" i="12"/>
  <c r="H110" i="12"/>
  <c r="H97" i="12"/>
  <c r="E177" i="12" s="1"/>
  <c r="H115" i="12"/>
  <c r="H139" i="12"/>
  <c r="E180" i="12" s="1"/>
  <c r="H75" i="12"/>
  <c r="E168" i="12" s="1"/>
  <c r="H96" i="12"/>
  <c r="H113" i="12"/>
  <c r="E178" i="12" s="1"/>
  <c r="H138" i="12"/>
  <c r="L161" i="12" s="1"/>
  <c r="H70" i="12"/>
  <c r="L160" i="12" s="1"/>
  <c r="L158" i="12"/>
  <c r="H25" i="12"/>
  <c r="E174" i="12"/>
  <c r="H140" i="12"/>
  <c r="E183" i="12"/>
  <c r="H49" i="12"/>
  <c r="L167" i="12"/>
  <c r="H111" i="12"/>
  <c r="E170" i="12"/>
  <c r="H9" i="12"/>
  <c r="E172" i="12"/>
  <c r="H139" i="3"/>
  <c r="L161" i="3"/>
  <c r="H73" i="3"/>
  <c r="H140" i="3"/>
  <c r="E175" i="3"/>
  <c r="H63" i="3"/>
  <c r="E171" i="3"/>
  <c r="E162" i="3"/>
  <c r="H66" i="3"/>
  <c r="H110" i="3"/>
  <c r="E173" i="3"/>
  <c r="H78" i="3"/>
  <c r="E165" i="3"/>
  <c r="H25" i="3"/>
  <c r="E179" i="3"/>
  <c r="H50" i="3"/>
  <c r="H37" i="3"/>
  <c r="E164" i="3"/>
  <c r="H116" i="3"/>
  <c r="H126" i="3"/>
  <c r="L168" i="3"/>
  <c r="H72" i="3"/>
  <c r="E167" i="3"/>
  <c r="H98" i="3"/>
  <c r="H112" i="3"/>
  <c r="L155" i="3"/>
  <c r="H69" i="3"/>
  <c r="E176" i="3"/>
  <c r="H5" i="3"/>
  <c r="E170" i="3"/>
  <c r="H137" i="3"/>
  <c r="E168" i="3"/>
  <c r="H9" i="3"/>
  <c r="E159" i="3"/>
  <c r="H8" i="3"/>
  <c r="L162" i="3"/>
  <c r="H26" i="3"/>
  <c r="L157" i="3"/>
  <c r="H139" i="4"/>
  <c r="H73" i="4"/>
  <c r="E167" i="4"/>
  <c r="H140" i="4"/>
  <c r="E175" i="4"/>
  <c r="H65" i="4"/>
  <c r="L166" i="4"/>
  <c r="H64" i="4"/>
  <c r="H110" i="4"/>
  <c r="E173" i="4"/>
  <c r="H77" i="4"/>
  <c r="E169" i="4"/>
  <c r="H25" i="4"/>
  <c r="E179" i="4"/>
  <c r="H50" i="4"/>
  <c r="E182" i="4"/>
  <c r="H37" i="4"/>
  <c r="E164" i="4"/>
  <c r="H115" i="4"/>
  <c r="H126" i="4"/>
  <c r="H72" i="4"/>
  <c r="L153" i="4"/>
  <c r="H98" i="4"/>
  <c r="L165" i="4"/>
  <c r="H127" i="4"/>
  <c r="H69" i="4"/>
  <c r="E178" i="4"/>
  <c r="H5" i="4"/>
  <c r="E170" i="4"/>
  <c r="H137" i="4"/>
  <c r="E168" i="4"/>
  <c r="H9" i="4"/>
  <c r="E157" i="4"/>
  <c r="H8" i="4"/>
  <c r="H26" i="4"/>
  <c r="E154" i="4"/>
  <c r="H139" i="5"/>
  <c r="L161" i="5"/>
  <c r="H73" i="5"/>
  <c r="E167" i="5"/>
  <c r="H140" i="5"/>
  <c r="H65" i="5"/>
  <c r="L166" i="5"/>
  <c r="H64" i="5"/>
  <c r="L169" i="5"/>
  <c r="H110" i="5"/>
  <c r="H77" i="5"/>
  <c r="E169" i="5"/>
  <c r="H25" i="5"/>
  <c r="E179" i="5"/>
  <c r="H50" i="5"/>
  <c r="E184" i="5"/>
  <c r="H37" i="5"/>
  <c r="E164" i="5"/>
  <c r="H115" i="5"/>
  <c r="H126" i="5"/>
  <c r="L168" i="5"/>
  <c r="H72" i="5"/>
  <c r="E180" i="5"/>
  <c r="H98" i="5"/>
  <c r="L165" i="5"/>
  <c r="H127" i="5"/>
  <c r="L160" i="5"/>
  <c r="H69" i="5"/>
  <c r="E178" i="5"/>
  <c r="E166" i="5"/>
  <c r="H5" i="5"/>
  <c r="E170" i="5"/>
  <c r="H137" i="5"/>
  <c r="E168" i="5"/>
  <c r="H9" i="5"/>
  <c r="E157" i="5"/>
  <c r="H8" i="5"/>
  <c r="E159" i="5"/>
  <c r="H26" i="5"/>
  <c r="E154" i="5"/>
  <c r="H139" i="6"/>
  <c r="L161" i="6" s="1"/>
  <c r="H73" i="6"/>
  <c r="E167" i="6"/>
  <c r="H140" i="6"/>
  <c r="E175" i="6" s="1"/>
  <c r="H65" i="6"/>
  <c r="L166" i="6"/>
  <c r="H64" i="6"/>
  <c r="L169" i="6"/>
  <c r="H110" i="6"/>
  <c r="E173" i="6"/>
  <c r="H77" i="6"/>
  <c r="E169" i="6"/>
  <c r="H25" i="6"/>
  <c r="E179" i="6"/>
  <c r="H50" i="6"/>
  <c r="H37" i="6"/>
  <c r="E164" i="6" s="1"/>
  <c r="H115" i="6"/>
  <c r="H126" i="6"/>
  <c r="L168" i="6"/>
  <c r="H72" i="6"/>
  <c r="L153" i="6" s="1"/>
  <c r="H98" i="6"/>
  <c r="L165" i="6"/>
  <c r="H127" i="6"/>
  <c r="L160" i="6" s="1"/>
  <c r="H69" i="6"/>
  <c r="E178" i="6"/>
  <c r="H5" i="6"/>
  <c r="E170" i="6" s="1"/>
  <c r="H137" i="6"/>
  <c r="E168" i="6"/>
  <c r="H8" i="6"/>
  <c r="E159" i="6" s="1"/>
  <c r="H26" i="6"/>
  <c r="E154" i="6"/>
  <c r="H139" i="7"/>
  <c r="L161" i="7"/>
  <c r="H140" i="7"/>
  <c r="H65" i="7"/>
  <c r="H64" i="7"/>
  <c r="L169" i="7"/>
  <c r="H110" i="7"/>
  <c r="H25" i="7"/>
  <c r="E179" i="7"/>
  <c r="H50" i="7"/>
  <c r="E182" i="7"/>
  <c r="H37" i="7"/>
  <c r="E164" i="7"/>
  <c r="H115" i="7"/>
  <c r="H126" i="7"/>
  <c r="L168" i="7"/>
  <c r="H98" i="7"/>
  <c r="L165" i="7"/>
  <c r="H127" i="7"/>
  <c r="L160" i="7"/>
  <c r="H5" i="7"/>
  <c r="L163" i="7"/>
  <c r="E170" i="7"/>
  <c r="H137" i="7"/>
  <c r="E168" i="7"/>
  <c r="H9" i="7"/>
  <c r="H8" i="7"/>
  <c r="E159" i="7"/>
  <c r="H26" i="7"/>
  <c r="E154" i="7"/>
  <c r="H138" i="2"/>
  <c r="E163" i="2"/>
  <c r="H9" i="2"/>
  <c r="E167" i="2"/>
  <c r="H49" i="2"/>
  <c r="E156" i="2"/>
  <c r="H141" i="2"/>
  <c r="L171" i="2"/>
  <c r="H115" i="2"/>
  <c r="H111" i="2"/>
  <c r="E174" i="2"/>
  <c r="H75" i="2"/>
  <c r="E168" i="2"/>
  <c r="H25" i="2"/>
  <c r="E179" i="2"/>
  <c r="H7" i="2"/>
  <c r="L170" i="2"/>
  <c r="H112" i="2"/>
  <c r="E171" i="2"/>
  <c r="L156" i="2"/>
  <c r="H73" i="2"/>
  <c r="E160" i="2"/>
  <c r="H139" i="2"/>
  <c r="E162" i="2"/>
  <c r="H98" i="2"/>
  <c r="E184" i="2"/>
  <c r="H76" i="2"/>
  <c r="L169" i="2"/>
  <c r="E172" i="2"/>
  <c r="H126" i="2"/>
  <c r="L164" i="2"/>
  <c r="H99" i="2"/>
  <c r="E170" i="2"/>
  <c r="H72" i="2"/>
  <c r="E177" i="2"/>
  <c r="H39" i="2"/>
  <c r="H74" i="2"/>
  <c r="E164" i="2"/>
  <c r="H6" i="2"/>
  <c r="H27" i="2"/>
  <c r="L168" i="2"/>
  <c r="B6" i="8"/>
  <c r="C6" i="8"/>
  <c r="D6" i="8"/>
  <c r="E6" i="8"/>
  <c r="F6" i="8"/>
  <c r="G6" i="8"/>
  <c r="H6" i="8"/>
  <c r="B7" i="8"/>
  <c r="C7" i="8"/>
  <c r="D7" i="8"/>
  <c r="E7" i="8"/>
  <c r="F7" i="8"/>
  <c r="G7" i="8"/>
  <c r="H7" i="8"/>
  <c r="B8" i="8"/>
  <c r="C8" i="8"/>
  <c r="D8" i="8"/>
  <c r="E8" i="8"/>
  <c r="F8" i="8"/>
  <c r="G8" i="8"/>
  <c r="H8" i="8"/>
  <c r="B9" i="8"/>
  <c r="C9" i="8"/>
  <c r="D9" i="8"/>
  <c r="E9" i="8"/>
  <c r="F9" i="8"/>
  <c r="G9" i="8"/>
  <c r="H9" i="8"/>
  <c r="B10" i="8"/>
  <c r="C10" i="8"/>
  <c r="D10" i="8"/>
  <c r="E10" i="8"/>
  <c r="F10" i="8"/>
  <c r="G10" i="8"/>
  <c r="H10" i="8"/>
  <c r="B11" i="8"/>
  <c r="C11" i="8"/>
  <c r="D11" i="8"/>
  <c r="E11" i="8"/>
  <c r="F11" i="8"/>
  <c r="G11" i="8"/>
  <c r="H11" i="8"/>
  <c r="B12" i="8"/>
  <c r="C12" i="8"/>
  <c r="D12" i="8"/>
  <c r="E12" i="8"/>
  <c r="F12" i="8"/>
  <c r="G12" i="8"/>
  <c r="H12" i="8"/>
  <c r="B13" i="8"/>
  <c r="C13" i="8"/>
  <c r="D13" i="8"/>
  <c r="E13" i="8"/>
  <c r="F13" i="8"/>
  <c r="G13" i="8"/>
  <c r="H13" i="8"/>
  <c r="B5" i="8"/>
  <c r="C5" i="8"/>
  <c r="D5" i="8"/>
  <c r="E5" i="8"/>
  <c r="F5" i="8"/>
  <c r="G5" i="8"/>
  <c r="H5" i="8"/>
  <c r="S145" i="2"/>
  <c r="S144" i="2"/>
  <c r="S143" i="2"/>
  <c r="S142" i="2"/>
  <c r="S141" i="2"/>
  <c r="S140" i="2"/>
  <c r="S139" i="2"/>
  <c r="S138" i="2"/>
  <c r="S137" i="2"/>
  <c r="S130" i="2"/>
  <c r="S128" i="2"/>
  <c r="S129" i="2"/>
  <c r="S127" i="2"/>
  <c r="S126" i="2"/>
  <c r="S119" i="2"/>
  <c r="S118" i="2"/>
  <c r="S117" i="2"/>
  <c r="S116" i="2"/>
  <c r="S115" i="2"/>
  <c r="S114" i="2"/>
  <c r="S113" i="2"/>
  <c r="S112" i="2"/>
  <c r="S111" i="2"/>
  <c r="S110" i="2"/>
  <c r="S103" i="2"/>
  <c r="S98" i="2"/>
  <c r="S99" i="2"/>
  <c r="S100" i="2"/>
  <c r="S101" i="2"/>
  <c r="S102" i="2"/>
  <c r="S97" i="2"/>
  <c r="S96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56" i="2"/>
  <c r="S55" i="2"/>
  <c r="S54" i="2"/>
  <c r="S53" i="2"/>
  <c r="S52" i="2"/>
  <c r="S51" i="2"/>
  <c r="S50" i="2"/>
  <c r="S49" i="2"/>
  <c r="S42" i="2"/>
  <c r="S39" i="2"/>
  <c r="S40" i="2"/>
  <c r="S41" i="2"/>
  <c r="S38" i="2"/>
  <c r="S37" i="2"/>
  <c r="S30" i="2"/>
  <c r="S29" i="2"/>
  <c r="S28" i="2"/>
  <c r="S27" i="2"/>
  <c r="S26" i="2"/>
  <c r="S25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L180" i="2"/>
  <c r="L181" i="2"/>
  <c r="L182" i="2"/>
  <c r="L183" i="2"/>
  <c r="L184" i="2"/>
  <c r="L185" i="2"/>
  <c r="L186" i="2"/>
  <c r="L158" i="2"/>
  <c r="H127" i="2"/>
  <c r="L160" i="2"/>
  <c r="L161" i="2"/>
  <c r="L163" i="2"/>
  <c r="L173" i="2"/>
  <c r="L174" i="2"/>
  <c r="L175" i="2"/>
  <c r="L176" i="2"/>
  <c r="L177" i="2"/>
  <c r="L178" i="2"/>
  <c r="L179" i="2"/>
  <c r="H142" i="2"/>
  <c r="E175" i="2"/>
  <c r="E185" i="2"/>
  <c r="E186" i="2"/>
  <c r="H143" i="2"/>
  <c r="L155" i="2"/>
  <c r="H144" i="2"/>
  <c r="E183" i="2"/>
  <c r="H145" i="2"/>
  <c r="H128" i="2"/>
  <c r="H129" i="2"/>
  <c r="H130" i="2"/>
  <c r="H117" i="2"/>
  <c r="H118" i="2"/>
  <c r="H119" i="2"/>
  <c r="H100" i="2"/>
  <c r="H101" i="2"/>
  <c r="H102" i="2"/>
  <c r="H103" i="2"/>
  <c r="H80" i="2"/>
  <c r="L167" i="2"/>
  <c r="H81" i="2"/>
  <c r="H82" i="2"/>
  <c r="H83" i="2"/>
  <c r="H84" i="2"/>
  <c r="H85" i="2"/>
  <c r="H86" i="2"/>
  <c r="H87" i="2"/>
  <c r="H88" i="2"/>
  <c r="H89" i="2"/>
  <c r="H53" i="2"/>
  <c r="H54" i="2"/>
  <c r="H55" i="2"/>
  <c r="H56" i="2"/>
  <c r="H41" i="2"/>
  <c r="H42" i="2"/>
  <c r="H28" i="2"/>
  <c r="E154" i="2"/>
  <c r="H29" i="2"/>
  <c r="H30" i="2"/>
  <c r="H11" i="2"/>
  <c r="H12" i="2"/>
  <c r="H13" i="2"/>
  <c r="H14" i="2"/>
  <c r="H15" i="2"/>
  <c r="H16" i="2"/>
  <c r="H17" i="2"/>
  <c r="E155" i="2"/>
  <c r="E165" i="2"/>
  <c r="E166" i="2"/>
  <c r="E176" i="2"/>
  <c r="E182" i="2"/>
  <c r="G150" i="2"/>
  <c r="L108" i="2"/>
  <c r="S145" i="12"/>
  <c r="S144" i="12"/>
  <c r="S143" i="12"/>
  <c r="S142" i="12"/>
  <c r="S141" i="12"/>
  <c r="S140" i="12"/>
  <c r="S139" i="12"/>
  <c r="S138" i="12"/>
  <c r="S137" i="12"/>
  <c r="S130" i="12"/>
  <c r="S129" i="12"/>
  <c r="S128" i="12"/>
  <c r="S127" i="12"/>
  <c r="S126" i="12"/>
  <c r="S119" i="12"/>
  <c r="S118" i="12"/>
  <c r="S117" i="12"/>
  <c r="S116" i="12"/>
  <c r="S115" i="12"/>
  <c r="S114" i="12"/>
  <c r="S113" i="12"/>
  <c r="S112" i="12"/>
  <c r="S111" i="12"/>
  <c r="S110" i="12"/>
  <c r="S103" i="12"/>
  <c r="S102" i="12"/>
  <c r="S101" i="12"/>
  <c r="S100" i="12"/>
  <c r="S99" i="12"/>
  <c r="S98" i="12"/>
  <c r="S97" i="12"/>
  <c r="S96" i="12"/>
  <c r="S56" i="12"/>
  <c r="S55" i="12"/>
  <c r="S54" i="12"/>
  <c r="S53" i="12"/>
  <c r="S52" i="12"/>
  <c r="S51" i="12"/>
  <c r="S50" i="12"/>
  <c r="S49" i="12"/>
  <c r="S42" i="12"/>
  <c r="S41" i="12"/>
  <c r="S40" i="12"/>
  <c r="S39" i="12"/>
  <c r="S38" i="12"/>
  <c r="S37" i="12"/>
  <c r="S30" i="12"/>
  <c r="S29" i="12"/>
  <c r="S28" i="12"/>
  <c r="S27" i="12"/>
  <c r="S26" i="12"/>
  <c r="S25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30" i="3"/>
  <c r="S29" i="3"/>
  <c r="S28" i="3"/>
  <c r="S27" i="3"/>
  <c r="S26" i="3"/>
  <c r="S25" i="3"/>
  <c r="S42" i="3"/>
  <c r="S41" i="3"/>
  <c r="S40" i="3"/>
  <c r="S39" i="3"/>
  <c r="S38" i="3"/>
  <c r="S37" i="3"/>
  <c r="S56" i="3"/>
  <c r="S55" i="3"/>
  <c r="S54" i="3"/>
  <c r="S53" i="3"/>
  <c r="S52" i="3"/>
  <c r="S51" i="3"/>
  <c r="S50" i="3"/>
  <c r="S49" i="3"/>
  <c r="S103" i="3"/>
  <c r="S102" i="3"/>
  <c r="S101" i="3"/>
  <c r="S100" i="3"/>
  <c r="S99" i="3"/>
  <c r="S98" i="3"/>
  <c r="S97" i="3"/>
  <c r="S96" i="3"/>
  <c r="S130" i="3"/>
  <c r="S129" i="3"/>
  <c r="S128" i="3"/>
  <c r="S127" i="3"/>
  <c r="S126" i="3"/>
  <c r="S145" i="3"/>
  <c r="S144" i="3"/>
  <c r="S143" i="3"/>
  <c r="S142" i="3"/>
  <c r="S141" i="3"/>
  <c r="S140" i="3"/>
  <c r="S139" i="3"/>
  <c r="S138" i="3"/>
  <c r="S137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119" i="3"/>
  <c r="S118" i="3"/>
  <c r="S117" i="3"/>
  <c r="S116" i="3"/>
  <c r="S115" i="3"/>
  <c r="S114" i="3"/>
  <c r="S113" i="3"/>
  <c r="S112" i="3"/>
  <c r="S111" i="3"/>
  <c r="S110" i="3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30" i="4"/>
  <c r="S29" i="4"/>
  <c r="S28" i="4"/>
  <c r="S27" i="4"/>
  <c r="S26" i="4"/>
  <c r="S25" i="4"/>
  <c r="S42" i="4"/>
  <c r="S41" i="4"/>
  <c r="S40" i="4"/>
  <c r="S39" i="4"/>
  <c r="S38" i="4"/>
  <c r="S37" i="4"/>
  <c r="S56" i="4"/>
  <c r="S55" i="4"/>
  <c r="S54" i="4"/>
  <c r="S53" i="4"/>
  <c r="S52" i="4"/>
  <c r="S51" i="4"/>
  <c r="S50" i="4"/>
  <c r="S49" i="4"/>
  <c r="S103" i="4"/>
  <c r="S102" i="4"/>
  <c r="S101" i="4"/>
  <c r="S100" i="4"/>
  <c r="S99" i="4"/>
  <c r="S98" i="4"/>
  <c r="S97" i="4"/>
  <c r="S96" i="4"/>
  <c r="S119" i="4"/>
  <c r="S118" i="4"/>
  <c r="S117" i="4"/>
  <c r="S116" i="4"/>
  <c r="S115" i="4"/>
  <c r="S114" i="4"/>
  <c r="S113" i="4"/>
  <c r="S112" i="4"/>
  <c r="S111" i="4"/>
  <c r="S110" i="4"/>
  <c r="S130" i="4"/>
  <c r="S129" i="4"/>
  <c r="S128" i="4"/>
  <c r="S127" i="4"/>
  <c r="S126" i="4"/>
  <c r="S145" i="4"/>
  <c r="S144" i="4"/>
  <c r="S143" i="4"/>
  <c r="S142" i="4"/>
  <c r="S141" i="4"/>
  <c r="S140" i="4"/>
  <c r="S139" i="4"/>
  <c r="S138" i="4"/>
  <c r="S137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30" i="5"/>
  <c r="S29" i="5"/>
  <c r="S28" i="5"/>
  <c r="S27" i="5"/>
  <c r="S26" i="5"/>
  <c r="S25" i="5"/>
  <c r="S56" i="5"/>
  <c r="S55" i="5"/>
  <c r="S54" i="5"/>
  <c r="S53" i="5"/>
  <c r="S52" i="5"/>
  <c r="S51" i="5"/>
  <c r="S50" i="5"/>
  <c r="S49" i="5"/>
  <c r="S103" i="5"/>
  <c r="S102" i="5"/>
  <c r="S101" i="5"/>
  <c r="S100" i="5"/>
  <c r="S99" i="5"/>
  <c r="S98" i="5"/>
  <c r="S97" i="5"/>
  <c r="S96" i="5"/>
  <c r="S119" i="5"/>
  <c r="S118" i="5"/>
  <c r="S117" i="5"/>
  <c r="S116" i="5"/>
  <c r="S115" i="5"/>
  <c r="S114" i="5"/>
  <c r="S113" i="5"/>
  <c r="S112" i="5"/>
  <c r="S111" i="5"/>
  <c r="S110" i="5"/>
  <c r="S130" i="5"/>
  <c r="S129" i="5"/>
  <c r="S128" i="5"/>
  <c r="S127" i="5"/>
  <c r="S126" i="5"/>
  <c r="S145" i="5"/>
  <c r="S144" i="5"/>
  <c r="S143" i="5"/>
  <c r="S142" i="5"/>
  <c r="S141" i="5"/>
  <c r="S140" i="5"/>
  <c r="S139" i="5"/>
  <c r="S138" i="5"/>
  <c r="S137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42" i="5"/>
  <c r="S41" i="5"/>
  <c r="S40" i="5"/>
  <c r="S39" i="5"/>
  <c r="S38" i="5"/>
  <c r="S37" i="5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30" i="6"/>
  <c r="S29" i="6"/>
  <c r="S28" i="6"/>
  <c r="S27" i="6"/>
  <c r="S26" i="6"/>
  <c r="S25" i="6"/>
  <c r="S56" i="6"/>
  <c r="S55" i="6"/>
  <c r="S54" i="6"/>
  <c r="S53" i="6"/>
  <c r="S52" i="6"/>
  <c r="S51" i="6"/>
  <c r="S50" i="6"/>
  <c r="S49" i="6"/>
  <c r="S103" i="6"/>
  <c r="S102" i="6"/>
  <c r="S101" i="6"/>
  <c r="S100" i="6"/>
  <c r="S99" i="6"/>
  <c r="S98" i="6"/>
  <c r="S97" i="6"/>
  <c r="S96" i="6"/>
  <c r="S119" i="6"/>
  <c r="S118" i="6"/>
  <c r="S117" i="6"/>
  <c r="S116" i="6"/>
  <c r="S115" i="6"/>
  <c r="S114" i="6"/>
  <c r="S113" i="6"/>
  <c r="S112" i="6"/>
  <c r="S111" i="6"/>
  <c r="S110" i="6"/>
  <c r="S130" i="6"/>
  <c r="S129" i="6"/>
  <c r="S128" i="6"/>
  <c r="S127" i="6"/>
  <c r="S126" i="6"/>
  <c r="S145" i="6"/>
  <c r="S144" i="6"/>
  <c r="S143" i="6"/>
  <c r="S142" i="6"/>
  <c r="S141" i="6"/>
  <c r="S140" i="6"/>
  <c r="S139" i="6"/>
  <c r="S138" i="6"/>
  <c r="S137" i="6"/>
  <c r="S89" i="6"/>
  <c r="S88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42" i="6"/>
  <c r="S41" i="6"/>
  <c r="S40" i="6"/>
  <c r="S39" i="6"/>
  <c r="S38" i="6"/>
  <c r="S37" i="6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30" i="7"/>
  <c r="S29" i="7"/>
  <c r="S28" i="7"/>
  <c r="S27" i="7"/>
  <c r="S26" i="7"/>
  <c r="S25" i="7"/>
  <c r="S42" i="7"/>
  <c r="S41" i="7"/>
  <c r="S40" i="7"/>
  <c r="S39" i="7"/>
  <c r="S38" i="7"/>
  <c r="S37" i="7"/>
  <c r="S56" i="7"/>
  <c r="S55" i="7"/>
  <c r="S54" i="7"/>
  <c r="S53" i="7"/>
  <c r="S52" i="7"/>
  <c r="S51" i="7"/>
  <c r="S50" i="7"/>
  <c r="S49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103" i="7"/>
  <c r="S102" i="7"/>
  <c r="S101" i="7"/>
  <c r="S100" i="7"/>
  <c r="S99" i="7"/>
  <c r="S98" i="7"/>
  <c r="S97" i="7"/>
  <c r="S96" i="7"/>
  <c r="S119" i="7"/>
  <c r="S118" i="7"/>
  <c r="S117" i="7"/>
  <c r="S116" i="7"/>
  <c r="S115" i="7"/>
  <c r="S114" i="7"/>
  <c r="S113" i="7"/>
  <c r="S112" i="7"/>
  <c r="S111" i="7"/>
  <c r="S110" i="7"/>
  <c r="S130" i="7"/>
  <c r="S129" i="7"/>
  <c r="S128" i="7"/>
  <c r="S127" i="7"/>
  <c r="S126" i="7"/>
  <c r="S145" i="7"/>
  <c r="S144" i="7"/>
  <c r="S143" i="7"/>
  <c r="S142" i="7"/>
  <c r="S141" i="7"/>
  <c r="S140" i="7"/>
  <c r="S139" i="7"/>
  <c r="S138" i="7"/>
  <c r="S137" i="7"/>
  <c r="H145" i="4"/>
  <c r="H144" i="4"/>
  <c r="E183" i="4"/>
  <c r="H143" i="4"/>
  <c r="E172" i="4"/>
  <c r="H142" i="4"/>
  <c r="E162" i="4"/>
  <c r="H130" i="4"/>
  <c r="H129" i="4"/>
  <c r="H128" i="4"/>
  <c r="H119" i="4"/>
  <c r="H118" i="4"/>
  <c r="H117" i="4"/>
  <c r="H116" i="4"/>
  <c r="H103" i="4"/>
  <c r="H102" i="4"/>
  <c r="H101" i="4"/>
  <c r="H100" i="4"/>
  <c r="H99" i="4"/>
  <c r="L158" i="4"/>
  <c r="L171" i="4"/>
  <c r="H89" i="4"/>
  <c r="H88" i="4"/>
  <c r="H87" i="4"/>
  <c r="H86" i="4"/>
  <c r="H85" i="4"/>
  <c r="H56" i="4"/>
  <c r="H55" i="4"/>
  <c r="H54" i="4"/>
  <c r="H53" i="4"/>
  <c r="H42" i="4"/>
  <c r="H41" i="4"/>
  <c r="H30" i="4"/>
  <c r="H29" i="4"/>
  <c r="H28" i="4"/>
  <c r="E177" i="4"/>
  <c r="H17" i="4"/>
  <c r="H16" i="4"/>
  <c r="H15" i="4"/>
  <c r="H14" i="4"/>
  <c r="H13" i="4"/>
  <c r="H12" i="4"/>
  <c r="H11" i="4"/>
  <c r="L182" i="4"/>
  <c r="L183" i="4"/>
  <c r="L184" i="4"/>
  <c r="L185" i="4"/>
  <c r="L186" i="4"/>
  <c r="L157" i="4"/>
  <c r="L160" i="4"/>
  <c r="L161" i="4"/>
  <c r="L163" i="4"/>
  <c r="L168" i="4"/>
  <c r="L169" i="4"/>
  <c r="L172" i="4"/>
  <c r="L173" i="4"/>
  <c r="L174" i="4"/>
  <c r="L175" i="4"/>
  <c r="L176" i="4"/>
  <c r="L177" i="4"/>
  <c r="L178" i="4"/>
  <c r="L179" i="4"/>
  <c r="L180" i="4"/>
  <c r="L181" i="4"/>
  <c r="E185" i="4"/>
  <c r="E186" i="4"/>
  <c r="E158" i="4"/>
  <c r="E159" i="4"/>
  <c r="E163" i="4"/>
  <c r="E165" i="4"/>
  <c r="G150" i="4"/>
  <c r="H145" i="12"/>
  <c r="H144" i="12"/>
  <c r="H143" i="12"/>
  <c r="H130" i="12"/>
  <c r="H129" i="12"/>
  <c r="H128" i="12"/>
  <c r="H127" i="12"/>
  <c r="E164" i="12"/>
  <c r="H119" i="12"/>
  <c r="H118" i="12"/>
  <c r="H117" i="12"/>
  <c r="H103" i="12"/>
  <c r="H102" i="12"/>
  <c r="H101" i="12"/>
  <c r="H85" i="12"/>
  <c r="H84" i="12"/>
  <c r="H83" i="12"/>
  <c r="H82" i="12"/>
  <c r="H81" i="12"/>
  <c r="H80" i="12"/>
  <c r="H79" i="12"/>
  <c r="E187" i="12" s="1"/>
  <c r="H78" i="12"/>
  <c r="E155" i="12"/>
  <c r="H77" i="12"/>
  <c r="E163" i="12" s="1"/>
  <c r="H56" i="12"/>
  <c r="H55" i="12"/>
  <c r="H54" i="12"/>
  <c r="H53" i="12"/>
  <c r="E160" i="12"/>
  <c r="H42" i="12"/>
  <c r="H41" i="12"/>
  <c r="H30" i="12"/>
  <c r="H29" i="12"/>
  <c r="H17" i="12"/>
  <c r="H16" i="12"/>
  <c r="H15" i="12"/>
  <c r="H14" i="12"/>
  <c r="H13" i="12"/>
  <c r="H12" i="12"/>
  <c r="H11" i="12"/>
  <c r="L164" i="12"/>
  <c r="L182" i="12"/>
  <c r="L183" i="12"/>
  <c r="L184" i="12"/>
  <c r="L185" i="12"/>
  <c r="L186" i="12"/>
  <c r="L154" i="12"/>
  <c r="L166" i="12"/>
  <c r="L172" i="12"/>
  <c r="L173" i="12"/>
  <c r="L174" i="12"/>
  <c r="L175" i="12"/>
  <c r="L176" i="12"/>
  <c r="L177" i="12"/>
  <c r="L178" i="12"/>
  <c r="L179" i="12"/>
  <c r="L180" i="12"/>
  <c r="L181" i="12"/>
  <c r="E173" i="12"/>
  <c r="G150" i="12"/>
  <c r="H145" i="3"/>
  <c r="H144" i="3"/>
  <c r="E183" i="3"/>
  <c r="H143" i="3"/>
  <c r="E172" i="3"/>
  <c r="H130" i="3"/>
  <c r="H129" i="3"/>
  <c r="H128" i="3"/>
  <c r="H127" i="3"/>
  <c r="L159" i="3"/>
  <c r="H119" i="3"/>
  <c r="H118" i="3"/>
  <c r="H117" i="3"/>
  <c r="H103" i="3"/>
  <c r="H102" i="3"/>
  <c r="H101" i="3"/>
  <c r="H100" i="3"/>
  <c r="H99" i="3"/>
  <c r="L158" i="3"/>
  <c r="L171" i="3"/>
  <c r="H89" i="3"/>
  <c r="H88" i="3"/>
  <c r="H87" i="3"/>
  <c r="H86" i="3"/>
  <c r="H85" i="3"/>
  <c r="H84" i="3"/>
  <c r="H83" i="3"/>
  <c r="H56" i="3"/>
  <c r="H55" i="3"/>
  <c r="H54" i="3"/>
  <c r="H53" i="3"/>
  <c r="H42" i="3"/>
  <c r="H41" i="3"/>
  <c r="H30" i="3"/>
  <c r="H29" i="3"/>
  <c r="H28" i="3"/>
  <c r="E177" i="3"/>
  <c r="H17" i="3"/>
  <c r="H16" i="3"/>
  <c r="H15" i="3"/>
  <c r="H14" i="3"/>
  <c r="H13" i="3"/>
  <c r="H12" i="3"/>
  <c r="H11" i="3"/>
  <c r="L170" i="3"/>
  <c r="L182" i="3"/>
  <c r="L183" i="3"/>
  <c r="L184" i="3"/>
  <c r="L185" i="3"/>
  <c r="L186" i="3"/>
  <c r="L160" i="3"/>
  <c r="L165" i="3"/>
  <c r="L166" i="3"/>
  <c r="L172" i="3"/>
  <c r="L173" i="3"/>
  <c r="L174" i="3"/>
  <c r="L175" i="3"/>
  <c r="L176" i="3"/>
  <c r="L177" i="3"/>
  <c r="L178" i="3"/>
  <c r="L179" i="3"/>
  <c r="L180" i="3"/>
  <c r="L181" i="3"/>
  <c r="E186" i="3"/>
  <c r="E155" i="3"/>
  <c r="E157" i="3"/>
  <c r="E182" i="3"/>
  <c r="E184" i="3"/>
  <c r="G150" i="3"/>
  <c r="H145" i="7"/>
  <c r="H144" i="7"/>
  <c r="E183" i="7"/>
  <c r="H143" i="7"/>
  <c r="E172" i="7"/>
  <c r="H142" i="7"/>
  <c r="E162" i="7"/>
  <c r="H130" i="7"/>
  <c r="H129" i="7"/>
  <c r="H128" i="7"/>
  <c r="H119" i="7"/>
  <c r="H118" i="7"/>
  <c r="H117" i="7"/>
  <c r="H116" i="7"/>
  <c r="H103" i="7"/>
  <c r="H102" i="7"/>
  <c r="H101" i="7"/>
  <c r="H100" i="7"/>
  <c r="H99" i="7"/>
  <c r="L158" i="7"/>
  <c r="L171" i="7"/>
  <c r="H89" i="7"/>
  <c r="H88" i="7"/>
  <c r="H87" i="7"/>
  <c r="H86" i="7"/>
  <c r="H85" i="7"/>
  <c r="H84" i="7"/>
  <c r="H83" i="7"/>
  <c r="H82" i="7"/>
  <c r="H56" i="7"/>
  <c r="H55" i="7"/>
  <c r="H54" i="7"/>
  <c r="H53" i="7"/>
  <c r="H42" i="7"/>
  <c r="H41" i="7"/>
  <c r="H30" i="7"/>
  <c r="H29" i="7"/>
  <c r="H28" i="7"/>
  <c r="H17" i="7"/>
  <c r="H16" i="7"/>
  <c r="H15" i="7"/>
  <c r="H14" i="7"/>
  <c r="H13" i="7"/>
  <c r="H12" i="7"/>
  <c r="H11" i="7"/>
  <c r="L182" i="7"/>
  <c r="L183" i="7"/>
  <c r="L184" i="7"/>
  <c r="L185" i="7"/>
  <c r="L186" i="7"/>
  <c r="L154" i="7"/>
  <c r="L156" i="7"/>
  <c r="L157" i="7"/>
  <c r="L162" i="7"/>
  <c r="L166" i="7"/>
  <c r="L173" i="7"/>
  <c r="L174" i="7"/>
  <c r="L175" i="7"/>
  <c r="L176" i="7"/>
  <c r="L177" i="7"/>
  <c r="L178" i="7"/>
  <c r="L179" i="7"/>
  <c r="L180" i="7"/>
  <c r="L181" i="7"/>
  <c r="L153" i="7"/>
  <c r="E186" i="7"/>
  <c r="E160" i="7"/>
  <c r="E165" i="7"/>
  <c r="E166" i="7"/>
  <c r="E173" i="7"/>
  <c r="E174" i="7"/>
  <c r="E175" i="7"/>
  <c r="E177" i="7"/>
  <c r="E178" i="7"/>
  <c r="G150" i="7"/>
  <c r="H145" i="5"/>
  <c r="H144" i="5"/>
  <c r="E183" i="5"/>
  <c r="H143" i="5"/>
  <c r="E172" i="5"/>
  <c r="H142" i="5"/>
  <c r="E162" i="5"/>
  <c r="H130" i="5"/>
  <c r="H129" i="5"/>
  <c r="H128" i="5"/>
  <c r="H119" i="5"/>
  <c r="H118" i="5"/>
  <c r="H117" i="5"/>
  <c r="H116" i="5"/>
  <c r="H103" i="5"/>
  <c r="H102" i="5"/>
  <c r="H101" i="5"/>
  <c r="H100" i="5"/>
  <c r="H99" i="5"/>
  <c r="L171" i="5"/>
  <c r="H89" i="5"/>
  <c r="H88" i="5"/>
  <c r="H87" i="5"/>
  <c r="H86" i="5"/>
  <c r="H85" i="5"/>
  <c r="H84" i="5"/>
  <c r="H83" i="5"/>
  <c r="H82" i="5"/>
  <c r="H81" i="5"/>
  <c r="H56" i="5"/>
  <c r="H55" i="5"/>
  <c r="H54" i="5"/>
  <c r="H53" i="5"/>
  <c r="H42" i="5"/>
  <c r="H41" i="5"/>
  <c r="H30" i="5"/>
  <c r="H29" i="5"/>
  <c r="H28" i="5"/>
  <c r="E177" i="5"/>
  <c r="H17" i="5"/>
  <c r="H16" i="5"/>
  <c r="H15" i="5"/>
  <c r="H14" i="5"/>
  <c r="H13" i="5"/>
  <c r="H12" i="5"/>
  <c r="H11" i="5"/>
  <c r="L182" i="5"/>
  <c r="L183" i="5"/>
  <c r="L184" i="5"/>
  <c r="L185" i="5"/>
  <c r="L186" i="5"/>
  <c r="L154" i="5"/>
  <c r="L156" i="5"/>
  <c r="L158" i="5"/>
  <c r="L162" i="5"/>
  <c r="L173" i="5"/>
  <c r="L174" i="5"/>
  <c r="L175" i="5"/>
  <c r="L176" i="5"/>
  <c r="L177" i="5"/>
  <c r="L178" i="5"/>
  <c r="L179" i="5"/>
  <c r="L180" i="5"/>
  <c r="L181" i="5"/>
  <c r="L153" i="5"/>
  <c r="E186" i="5"/>
  <c r="E156" i="5"/>
  <c r="E160" i="5"/>
  <c r="E163" i="5"/>
  <c r="E173" i="5"/>
  <c r="E175" i="5"/>
  <c r="E182" i="5"/>
  <c r="G150" i="5"/>
  <c r="H145" i="6"/>
  <c r="H144" i="6"/>
  <c r="E183" i="6" s="1"/>
  <c r="H143" i="6"/>
  <c r="E172" i="6"/>
  <c r="H142" i="6"/>
  <c r="E162" i="6" s="1"/>
  <c r="H130" i="6"/>
  <c r="H129" i="6"/>
  <c r="H128" i="6"/>
  <c r="H119" i="6"/>
  <c r="H118" i="6"/>
  <c r="H117" i="6"/>
  <c r="H116" i="6"/>
  <c r="H103" i="6"/>
  <c r="H102" i="6"/>
  <c r="H101" i="6"/>
  <c r="H100" i="6"/>
  <c r="H99" i="6"/>
  <c r="L171" i="6"/>
  <c r="H89" i="6"/>
  <c r="H88" i="6"/>
  <c r="H87" i="6"/>
  <c r="H86" i="6"/>
  <c r="H85" i="6"/>
  <c r="H84" i="6"/>
  <c r="H83" i="6"/>
  <c r="H82" i="6"/>
  <c r="H81" i="6"/>
  <c r="H56" i="6"/>
  <c r="H55" i="6"/>
  <c r="H54" i="6"/>
  <c r="H53" i="6"/>
  <c r="H42" i="6"/>
  <c r="H41" i="6"/>
  <c r="H30" i="6"/>
  <c r="H29" i="6"/>
  <c r="H28" i="6"/>
  <c r="H17" i="6"/>
  <c r="H16" i="6"/>
  <c r="H15" i="6"/>
  <c r="H14" i="6"/>
  <c r="H13" i="6"/>
  <c r="H12" i="6"/>
  <c r="H11" i="6"/>
  <c r="L182" i="6"/>
  <c r="L183" i="6"/>
  <c r="L184" i="6"/>
  <c r="L185" i="6"/>
  <c r="L186" i="6"/>
  <c r="L157" i="6"/>
  <c r="L158" i="6"/>
  <c r="L159" i="6"/>
  <c r="L167" i="6"/>
  <c r="L172" i="6"/>
  <c r="L173" i="6"/>
  <c r="L174" i="6"/>
  <c r="L175" i="6"/>
  <c r="L176" i="6"/>
  <c r="L177" i="6"/>
  <c r="L178" i="6"/>
  <c r="L179" i="6"/>
  <c r="L180" i="6"/>
  <c r="L181" i="6"/>
  <c r="E185" i="6"/>
  <c r="E186" i="6"/>
  <c r="E157" i="6"/>
  <c r="E177" i="6"/>
  <c r="E180" i="6"/>
  <c r="E182" i="6"/>
  <c r="G150" i="6"/>
  <c r="D108" i="12"/>
  <c r="D3" i="12"/>
  <c r="L3" i="12"/>
  <c r="I150" i="12" s="1"/>
  <c r="D135" i="12"/>
  <c r="D94" i="12"/>
  <c r="D124" i="12"/>
  <c r="D3" i="3"/>
  <c r="L3" i="3" s="1"/>
  <c r="I150" i="3" s="1"/>
  <c r="L135" i="3"/>
  <c r="L61" i="3"/>
  <c r="L35" i="3"/>
  <c r="L124" i="3"/>
  <c r="C5" i="9"/>
  <c r="I150" i="2"/>
  <c r="C4" i="15"/>
  <c r="D4" i="15" s="1"/>
  <c r="E4" i="15" s="1"/>
  <c r="F4" i="15" s="1"/>
  <c r="G4" i="15" s="1"/>
  <c r="H4" i="15" s="1"/>
  <c r="D61" i="12"/>
  <c r="D23" i="12"/>
  <c r="D47" i="12"/>
  <c r="D35" i="12"/>
  <c r="M188" i="5" l="1"/>
  <c r="F20" i="8" s="1"/>
  <c r="F15" i="15"/>
  <c r="H15" i="15"/>
  <c r="J188" i="5"/>
  <c r="D15" i="15"/>
  <c r="D124" i="4"/>
  <c r="L124" i="4" s="1"/>
  <c r="D94" i="4"/>
  <c r="L94" i="4" s="1"/>
  <c r="D135" i="4"/>
  <c r="L135" i="4" s="1"/>
  <c r="F4" i="8"/>
  <c r="D3" i="4"/>
  <c r="L3" i="4" s="1"/>
  <c r="I150" i="4" s="1"/>
  <c r="D35" i="4"/>
  <c r="L35" i="4" s="1"/>
  <c r="D47" i="4"/>
  <c r="L47" i="4" s="1"/>
  <c r="D108" i="4"/>
  <c r="L108" i="4" s="1"/>
  <c r="D61" i="4"/>
  <c r="L61" i="4" s="1"/>
  <c r="D23" i="4"/>
  <c r="L23" i="4" s="1"/>
  <c r="L108" i="3"/>
  <c r="L47" i="3"/>
  <c r="L23" i="3"/>
  <c r="L94" i="3"/>
  <c r="C4" i="16"/>
  <c r="D4" i="16" s="1"/>
  <c r="E4" i="16" s="1"/>
  <c r="F4" i="16" s="1"/>
  <c r="G4" i="16" s="1"/>
  <c r="H4" i="16" s="1"/>
  <c r="M188" i="6"/>
  <c r="G20" i="8" s="1"/>
  <c r="M188" i="7"/>
  <c r="H20" i="8" s="1"/>
  <c r="J188" i="6"/>
  <c r="G15" i="15"/>
  <c r="F188" i="6"/>
  <c r="D188" i="5"/>
  <c r="D189" i="5" s="1"/>
  <c r="F15" i="16"/>
  <c r="F15" i="8"/>
  <c r="E15" i="8"/>
  <c r="J188" i="4"/>
  <c r="D188" i="4"/>
  <c r="E19" i="8" s="1"/>
  <c r="E15" i="15"/>
  <c r="E15" i="16"/>
  <c r="D15" i="8"/>
  <c r="J188" i="3"/>
  <c r="F188" i="3"/>
  <c r="C13" i="9"/>
  <c r="C15" i="15"/>
  <c r="J188" i="12"/>
  <c r="C15" i="16"/>
  <c r="C15" i="8"/>
  <c r="F188" i="12"/>
  <c r="M188" i="12"/>
  <c r="C20" i="8" s="1"/>
  <c r="M188" i="2"/>
  <c r="B20" i="8" s="1"/>
  <c r="H15" i="8"/>
  <c r="H15" i="16"/>
  <c r="J188" i="7"/>
  <c r="D188" i="7"/>
  <c r="H19" i="8" s="1"/>
  <c r="F188" i="7"/>
  <c r="J5" i="16"/>
  <c r="G15" i="8"/>
  <c r="G15" i="16"/>
  <c r="D188" i="6"/>
  <c r="G19" i="8" s="1"/>
  <c r="G21" i="8" s="1"/>
  <c r="J12" i="16"/>
  <c r="F188" i="5"/>
  <c r="J12" i="8"/>
  <c r="J10" i="15"/>
  <c r="J13" i="15"/>
  <c r="J13" i="16"/>
  <c r="J9" i="16"/>
  <c r="J7" i="16"/>
  <c r="F188" i="4"/>
  <c r="M188" i="4"/>
  <c r="E20" i="8" s="1"/>
  <c r="J7" i="15"/>
  <c r="J8" i="8"/>
  <c r="D15" i="16"/>
  <c r="J6" i="15"/>
  <c r="M188" i="3"/>
  <c r="D20" i="8" s="1"/>
  <c r="D188" i="3"/>
  <c r="D19" i="8" s="1"/>
  <c r="J8" i="16"/>
  <c r="D188" i="12"/>
  <c r="J5" i="8"/>
  <c r="J10" i="8"/>
  <c r="J6" i="8"/>
  <c r="J8" i="15"/>
  <c r="J12" i="15"/>
  <c r="J11" i="16"/>
  <c r="J11" i="8"/>
  <c r="J7" i="8"/>
  <c r="J11" i="15"/>
  <c r="J13" i="8"/>
  <c r="J9" i="15"/>
  <c r="J10" i="16"/>
  <c r="B15" i="8"/>
  <c r="J188" i="2"/>
  <c r="F188" i="2"/>
  <c r="B15" i="15"/>
  <c r="B15" i="16"/>
  <c r="D188" i="2"/>
  <c r="J9" i="8"/>
  <c r="J6" i="16"/>
  <c r="J5" i="15"/>
  <c r="F189" i="5" l="1"/>
  <c r="J15" i="15"/>
  <c r="F19" i="8"/>
  <c r="F21" i="8" s="1"/>
  <c r="D21" i="8"/>
  <c r="J15" i="8"/>
  <c r="F189" i="7"/>
  <c r="F189" i="6"/>
  <c r="D3" i="5"/>
  <c r="L3" i="5" s="1"/>
  <c r="I150" i="5" s="1"/>
  <c r="D23" i="5"/>
  <c r="L23" i="5" s="1"/>
  <c r="D61" i="5"/>
  <c r="L61" i="5" s="1"/>
  <c r="D35" i="5"/>
  <c r="L35" i="5" s="1"/>
  <c r="D108" i="5"/>
  <c r="L108" i="5" s="1"/>
  <c r="D94" i="5"/>
  <c r="L94" i="5" s="1"/>
  <c r="D47" i="5"/>
  <c r="L47" i="5" s="1"/>
  <c r="G4" i="8"/>
  <c r="D124" i="5"/>
  <c r="L124" i="5" s="1"/>
  <c r="D135" i="5"/>
  <c r="L135" i="5" s="1"/>
  <c r="F189" i="3"/>
  <c r="H21" i="8"/>
  <c r="D189" i="6"/>
  <c r="J15" i="16"/>
  <c r="F189" i="4"/>
  <c r="A3" i="8" a="1"/>
  <c r="A3" i="8" s="1"/>
  <c r="F189" i="12"/>
  <c r="F189" i="2"/>
  <c r="D189" i="7"/>
  <c r="J20" i="8"/>
  <c r="E21" i="8"/>
  <c r="D189" i="4"/>
  <c r="D189" i="3"/>
  <c r="D189" i="12"/>
  <c r="C19" i="8"/>
  <c r="C21" i="8" s="1"/>
  <c r="D189" i="2"/>
  <c r="B19" i="8"/>
  <c r="D47" i="6" l="1"/>
  <c r="L47" i="6" s="1"/>
  <c r="D135" i="6"/>
  <c r="L135" i="6" s="1"/>
  <c r="D108" i="6"/>
  <c r="L108" i="6" s="1"/>
  <c r="H4" i="8"/>
  <c r="D94" i="6"/>
  <c r="L94" i="6" s="1"/>
  <c r="D124" i="6"/>
  <c r="L124" i="6" s="1"/>
  <c r="D61" i="6"/>
  <c r="L61" i="6" s="1"/>
  <c r="D3" i="6"/>
  <c r="L3" i="6" s="1"/>
  <c r="I150" i="6" s="1"/>
  <c r="D35" i="6"/>
  <c r="L35" i="6" s="1"/>
  <c r="D23" i="6"/>
  <c r="L23" i="6" s="1"/>
  <c r="J19" i="8"/>
  <c r="B21" i="8"/>
  <c r="J21" i="8" s="1"/>
  <c r="D108" i="7" l="1"/>
  <c r="L108" i="7" s="1"/>
  <c r="D35" i="7"/>
  <c r="L35" i="7" s="1"/>
  <c r="D61" i="7"/>
  <c r="L61" i="7" s="1"/>
  <c r="D135" i="7"/>
  <c r="L135" i="7" s="1"/>
  <c r="D47" i="7"/>
  <c r="L47" i="7" s="1"/>
  <c r="D124" i="7"/>
  <c r="L124" i="7" s="1"/>
  <c r="D3" i="7"/>
  <c r="L3" i="7" s="1"/>
  <c r="I150" i="7" s="1"/>
  <c r="D23" i="7"/>
  <c r="L23" i="7" s="1"/>
  <c r="D94" i="7"/>
  <c r="L94" i="7" s="1"/>
</calcChain>
</file>

<file path=xl/sharedStrings.xml><?xml version="1.0" encoding="utf-8"?>
<sst xmlns="http://schemas.openxmlformats.org/spreadsheetml/2006/main" count="5640" uniqueCount="655">
  <si>
    <t>Arrivals for Saturday</t>
  </si>
  <si>
    <t>Diagram</t>
  </si>
  <si>
    <t>H/C</t>
  </si>
  <si>
    <t>From</t>
  </si>
  <si>
    <t>Arr
Time</t>
  </si>
  <si>
    <t>Unit</t>
  </si>
  <si>
    <t>Exam</t>
  </si>
  <si>
    <t>Departures for Sunday</t>
  </si>
  <si>
    <t>Start
Time</t>
  </si>
  <si>
    <t>Finish
Depot</t>
  </si>
  <si>
    <t>Time</t>
  </si>
  <si>
    <t>Diag
Miles</t>
  </si>
  <si>
    <t>Comments</t>
  </si>
  <si>
    <t>Signed (Depot representative) :</t>
  </si>
  <si>
    <t>Print:</t>
  </si>
  <si>
    <t>Tyne Yard (038 2027 + 2052)</t>
  </si>
  <si>
    <t>Central Rivers (01283 714699 + 714697)</t>
  </si>
  <si>
    <t>Penzance (076 2862)</t>
  </si>
  <si>
    <t>Eastleigh (089 8817)</t>
  </si>
  <si>
    <t>4 Car</t>
  </si>
  <si>
    <t>5 Car</t>
  </si>
  <si>
    <t>XC 501</t>
  </si>
  <si>
    <t>XC 502</t>
  </si>
  <si>
    <t>XC 503</t>
  </si>
  <si>
    <t>XC 504</t>
  </si>
  <si>
    <t>XC 505</t>
  </si>
  <si>
    <t>XC 506</t>
  </si>
  <si>
    <t>XC 507</t>
  </si>
  <si>
    <t>XC 508</t>
  </si>
  <si>
    <t>XC 509</t>
  </si>
  <si>
    <t>XC 510</t>
  </si>
  <si>
    <t>XC 511</t>
  </si>
  <si>
    <t>XC 512</t>
  </si>
  <si>
    <t>XC 513</t>
  </si>
  <si>
    <t>XC 401</t>
  </si>
  <si>
    <t>XC 402</t>
  </si>
  <si>
    <t>XC 403</t>
  </si>
  <si>
    <t>XC 404</t>
  </si>
  <si>
    <t>XC 405</t>
  </si>
  <si>
    <t>XC 406</t>
  </si>
  <si>
    <t>XC 407</t>
  </si>
  <si>
    <t>XC 408</t>
  </si>
  <si>
    <t>XC 409</t>
  </si>
  <si>
    <t>XC 410</t>
  </si>
  <si>
    <t>XC 411</t>
  </si>
  <si>
    <t>XC 412</t>
  </si>
  <si>
    <t>XC 413</t>
  </si>
  <si>
    <t>XC 414</t>
  </si>
  <si>
    <t>XC 415</t>
  </si>
  <si>
    <t>XC 416</t>
  </si>
  <si>
    <t>XC 417</t>
  </si>
  <si>
    <t>XC 418</t>
  </si>
  <si>
    <t>XC 419</t>
  </si>
  <si>
    <t>XC 420</t>
  </si>
  <si>
    <t>XC 421</t>
  </si>
  <si>
    <t>MA</t>
  </si>
  <si>
    <t>CZ</t>
  </si>
  <si>
    <t>BK</t>
  </si>
  <si>
    <t>LA</t>
  </si>
  <si>
    <t>EH</t>
  </si>
  <si>
    <t>XW</t>
  </si>
  <si>
    <t>PZ</t>
  </si>
  <si>
    <t>EC</t>
  </si>
  <si>
    <t>Crofton (01924 866601)</t>
  </si>
  <si>
    <t>XC 422</t>
  </si>
  <si>
    <t>XC 423</t>
  </si>
  <si>
    <t>TY</t>
  </si>
  <si>
    <t>Craigentinny</t>
  </si>
  <si>
    <t>Tyne Yard</t>
  </si>
  <si>
    <t>Crofton</t>
  </si>
  <si>
    <t>Longsight</t>
  </si>
  <si>
    <t>Central Rivers</t>
  </si>
  <si>
    <t>Barton Hill</t>
  </si>
  <si>
    <t>Laira</t>
  </si>
  <si>
    <t>Penzance</t>
  </si>
  <si>
    <t>Eastleigh</t>
  </si>
  <si>
    <t>Saturday</t>
  </si>
  <si>
    <t>Depot</t>
  </si>
  <si>
    <t>Number</t>
  </si>
  <si>
    <t>Stabled</t>
  </si>
  <si>
    <t>Arrival Time</t>
  </si>
  <si>
    <t>Headcode ON</t>
  </si>
  <si>
    <t>Headcode OFF</t>
  </si>
  <si>
    <t>Departure Time</t>
  </si>
  <si>
    <t>Sunday</t>
  </si>
  <si>
    <t>XC 424</t>
  </si>
  <si>
    <t>XC 425</t>
  </si>
  <si>
    <t>XC 426</t>
  </si>
  <si>
    <t>XC 428</t>
  </si>
  <si>
    <t>XC 427</t>
  </si>
  <si>
    <t>XC 429</t>
  </si>
  <si>
    <t>DIAGRAM MILES</t>
  </si>
  <si>
    <t>220 miles</t>
  </si>
  <si>
    <t>221 miles</t>
  </si>
  <si>
    <t>Barton Hill (074 2198)</t>
  </si>
  <si>
    <t>Issue No   1   2   3   4   5   6   7   8   9   10    Time:…………………..</t>
  </si>
  <si>
    <t>Please note: Any coupler information shown on this sheet is for planning purposes only, and should not be relied on as accurate or complete.</t>
  </si>
  <si>
    <t>Longsight (0161 216 2025)</t>
  </si>
  <si>
    <t>Miles</t>
  </si>
  <si>
    <t>On Time?</t>
  </si>
  <si>
    <t>Total Booked Departures for each day</t>
  </si>
  <si>
    <t>Arrivals for Friday</t>
  </si>
  <si>
    <t>Departures for Saturday</t>
  </si>
  <si>
    <t>XC 517</t>
  </si>
  <si>
    <t>XC 515</t>
  </si>
  <si>
    <t>XC 518</t>
  </si>
  <si>
    <t>XC 516</t>
  </si>
  <si>
    <t>XC 514</t>
  </si>
  <si>
    <t>XC 519</t>
  </si>
  <si>
    <t>Arrivals for Sunday</t>
  </si>
  <si>
    <t>Departures for Monday</t>
  </si>
  <si>
    <t>Arrivals for Thursday</t>
  </si>
  <si>
    <t>Departures for Friday</t>
  </si>
  <si>
    <t>Arrivals for Wednesday</t>
  </si>
  <si>
    <t>Departures for Thursday</t>
  </si>
  <si>
    <t>Arrivals for Tuesday</t>
  </si>
  <si>
    <t>Departures for Wednesday</t>
  </si>
  <si>
    <t>Arrivals for Monday</t>
  </si>
  <si>
    <t>Departures for Tuesday</t>
  </si>
  <si>
    <t>XC 520</t>
  </si>
  <si>
    <t>XC 521</t>
  </si>
  <si>
    <t>Craigentinny (0131 5502030)</t>
  </si>
  <si>
    <t>Laira (076 2470)</t>
  </si>
  <si>
    <t>Cell Ref for Date</t>
  </si>
  <si>
    <t>D3</t>
  </si>
  <si>
    <t>Depot row ranges</t>
  </si>
  <si>
    <t>start</t>
  </si>
  <si>
    <t>end</t>
  </si>
  <si>
    <t>Arrival column range</t>
  </si>
  <si>
    <t>Depart column range</t>
  </si>
  <si>
    <t>EDB</t>
  </si>
  <si>
    <t>DEE</t>
  </si>
  <si>
    <t>23+44</t>
  </si>
  <si>
    <t>PLY</t>
  </si>
  <si>
    <t>NCL</t>
  </si>
  <si>
    <t>5E52</t>
  </si>
  <si>
    <t>LDS</t>
  </si>
  <si>
    <t>YRK</t>
  </si>
  <si>
    <t>5V43</t>
  </si>
  <si>
    <t>5D98</t>
  </si>
  <si>
    <t>XC 522</t>
  </si>
  <si>
    <t>XC 524</t>
  </si>
  <si>
    <t>XC 523</t>
  </si>
  <si>
    <t>00+34</t>
  </si>
  <si>
    <t>5M18</t>
  </si>
  <si>
    <t>21+48</t>
  </si>
  <si>
    <t>XC 430</t>
  </si>
  <si>
    <t>XC 431</t>
  </si>
  <si>
    <t>XC 432</t>
  </si>
  <si>
    <t>Couples In Traffic</t>
  </si>
  <si>
    <t>5D00</t>
  </si>
  <si>
    <t>5S53</t>
  </si>
  <si>
    <t>5B61</t>
  </si>
  <si>
    <t>5V71</t>
  </si>
  <si>
    <t>05+05</t>
  </si>
  <si>
    <t>Voyager</t>
  </si>
  <si>
    <t>Fri-Sat</t>
  </si>
  <si>
    <t>Sat-Sun</t>
  </si>
  <si>
    <t>Sun-Mon</t>
  </si>
  <si>
    <t>Mon-Tue</t>
  </si>
  <si>
    <t>Tue-Wed</t>
  </si>
  <si>
    <t>Wed-Thu</t>
  </si>
  <si>
    <t>Thu-Fri</t>
  </si>
  <si>
    <t>Week</t>
  </si>
  <si>
    <t>XC 433</t>
  </si>
  <si>
    <t>XC 434</t>
  </si>
  <si>
    <t>XC 525</t>
  </si>
  <si>
    <t>XC 526</t>
  </si>
  <si>
    <t>XC 527</t>
  </si>
  <si>
    <t>XC 528</t>
  </si>
  <si>
    <t>Voyager Arrivals</t>
  </si>
  <si>
    <t>Voyager Departures</t>
  </si>
  <si>
    <t>Arrival-Departures for each day</t>
  </si>
  <si>
    <t>06+32</t>
  </si>
  <si>
    <t>RDG</t>
  </si>
  <si>
    <t>23+48</t>
  </si>
  <si>
    <t>5V69</t>
  </si>
  <si>
    <t>5D99</t>
  </si>
  <si>
    <t>22+24</t>
  </si>
  <si>
    <t>5D77</t>
  </si>
  <si>
    <t>5D76</t>
  </si>
  <si>
    <t>5D78</t>
  </si>
  <si>
    <t>5C99</t>
  </si>
  <si>
    <t>5S47</t>
  </si>
  <si>
    <t>00+20</t>
  </si>
  <si>
    <t>01+00</t>
  </si>
  <si>
    <t>5M69</t>
  </si>
  <si>
    <t>5M70</t>
  </si>
  <si>
    <t>23+05</t>
  </si>
  <si>
    <t>5M74</t>
  </si>
  <si>
    <t>5H99</t>
  </si>
  <si>
    <t>5E63</t>
  </si>
  <si>
    <t>5E64</t>
  </si>
  <si>
    <t>5E67</t>
  </si>
  <si>
    <t>5E68</t>
  </si>
  <si>
    <t>5C11</t>
  </si>
  <si>
    <t>05+30</t>
  </si>
  <si>
    <t>5M21</t>
  </si>
  <si>
    <t>5H09</t>
  </si>
  <si>
    <t>04+30</t>
  </si>
  <si>
    <t>5M22</t>
  </si>
  <si>
    <t>5M30</t>
  </si>
  <si>
    <t>5S31</t>
  </si>
  <si>
    <t>5S35</t>
  </si>
  <si>
    <t>5S43</t>
  </si>
  <si>
    <t>5D79</t>
  </si>
  <si>
    <t>5M66</t>
  </si>
  <si>
    <t>5D91</t>
  </si>
  <si>
    <t>GFD</t>
  </si>
  <si>
    <t>04+25</t>
  </si>
  <si>
    <t>5V41</t>
  </si>
  <si>
    <t>5V52</t>
  </si>
  <si>
    <t>5M34</t>
  </si>
  <si>
    <t>5O30</t>
  </si>
  <si>
    <t>5D71</t>
  </si>
  <si>
    <t>5D92</t>
  </si>
  <si>
    <t>05+02</t>
  </si>
  <si>
    <t>06+20</t>
  </si>
  <si>
    <t>04+41</t>
  </si>
  <si>
    <t>5M26</t>
  </si>
  <si>
    <t>05+23</t>
  </si>
  <si>
    <t>06+48</t>
  </si>
  <si>
    <t>04+58</t>
  </si>
  <si>
    <t>04+16</t>
  </si>
  <si>
    <t>BRI</t>
  </si>
  <si>
    <t>BHM</t>
  </si>
  <si>
    <t>BMH</t>
  </si>
  <si>
    <t>SOU</t>
  </si>
  <si>
    <t>MAN</t>
  </si>
  <si>
    <t>22+54</t>
  </si>
  <si>
    <t>04+53</t>
  </si>
  <si>
    <t>5S39</t>
  </si>
  <si>
    <t>5S55</t>
  </si>
  <si>
    <t>5C09</t>
  </si>
  <si>
    <t>5V70</t>
  </si>
  <si>
    <t>5D96</t>
  </si>
  <si>
    <t>5O24</t>
  </si>
  <si>
    <t>5O28</t>
  </si>
  <si>
    <t>5V94</t>
  </si>
  <si>
    <t>5V64</t>
  </si>
  <si>
    <t>22+59</t>
  </si>
  <si>
    <t>5V66</t>
  </si>
  <si>
    <t>5V68</t>
  </si>
  <si>
    <t>5V62</t>
  </si>
  <si>
    <t>5E56</t>
  </si>
  <si>
    <t>5O06</t>
  </si>
  <si>
    <t>5E34</t>
  </si>
  <si>
    <t>5E38</t>
  </si>
  <si>
    <t>5E42</t>
  </si>
  <si>
    <t>5V81</t>
  </si>
  <si>
    <t>5A01</t>
  </si>
  <si>
    <t>5V85</t>
  </si>
  <si>
    <t>5S33</t>
  </si>
  <si>
    <t>5O04</t>
  </si>
  <si>
    <t>00+09</t>
  </si>
  <si>
    <t>5V45</t>
  </si>
  <si>
    <t>5V83</t>
  </si>
  <si>
    <t>5V48</t>
  </si>
  <si>
    <t>5O84</t>
  </si>
  <si>
    <t>5V46</t>
  </si>
  <si>
    <t>5O82</t>
  </si>
  <si>
    <t>22+51</t>
  </si>
  <si>
    <t>5S41</t>
  </si>
  <si>
    <t>5O08</t>
  </si>
  <si>
    <t>5V58</t>
  </si>
  <si>
    <t>5V54</t>
  </si>
  <si>
    <t>22+41</t>
  </si>
  <si>
    <t>05+24</t>
  </si>
  <si>
    <t>05+25</t>
  </si>
  <si>
    <t>05+58</t>
  </si>
  <si>
    <t>04+36</t>
  </si>
  <si>
    <t>06+40</t>
  </si>
  <si>
    <t>5H14</t>
  </si>
  <si>
    <t>5S49</t>
  </si>
  <si>
    <t>07+54</t>
  </si>
  <si>
    <t>5E80</t>
  </si>
  <si>
    <t>5A00</t>
  </si>
  <si>
    <t>05+31</t>
  </si>
  <si>
    <t>06+15</t>
  </si>
  <si>
    <t>5S52</t>
  </si>
  <si>
    <t>05+07</t>
  </si>
  <si>
    <t>23+55</t>
  </si>
  <si>
    <t>22+46</t>
  </si>
  <si>
    <t>00+07</t>
  </si>
  <si>
    <t>5O80</t>
  </si>
  <si>
    <t>23+32</t>
  </si>
  <si>
    <t>05+57</t>
  </si>
  <si>
    <t>23+14</t>
  </si>
  <si>
    <t>23+37</t>
  </si>
  <si>
    <t>23+13</t>
  </si>
  <si>
    <t>STABLD</t>
  </si>
  <si>
    <t/>
  </si>
  <si>
    <t>04+34</t>
  </si>
  <si>
    <t>06+56</t>
  </si>
  <si>
    <t>08+55</t>
  </si>
  <si>
    <t>22+16</t>
  </si>
  <si>
    <t>22+27</t>
  </si>
  <si>
    <t>06+02</t>
  </si>
  <si>
    <t>04+13</t>
  </si>
  <si>
    <t>22+29</t>
  </si>
  <si>
    <t>01+19</t>
  </si>
  <si>
    <t>5V60</t>
  </si>
  <si>
    <t>00+55</t>
  </si>
  <si>
    <t>5M29</t>
  </si>
  <si>
    <t>04+46</t>
  </si>
  <si>
    <t>06+57</t>
  </si>
  <si>
    <t>08+45</t>
  </si>
  <si>
    <t>08+58</t>
  </si>
  <si>
    <t>5E73</t>
  </si>
  <si>
    <t>07+55</t>
  </si>
  <si>
    <t>04+57</t>
  </si>
  <si>
    <t>23+50</t>
  </si>
  <si>
    <t>03+07</t>
  </si>
  <si>
    <t>23+29</t>
  </si>
  <si>
    <t>09+05</t>
  </si>
  <si>
    <t>21+06</t>
  </si>
  <si>
    <t>5M64</t>
  </si>
  <si>
    <t>GCR</t>
  </si>
  <si>
    <t>22+07</t>
  </si>
  <si>
    <t>00+06</t>
  </si>
  <si>
    <t>PNZ</t>
  </si>
  <si>
    <t>22+08</t>
  </si>
  <si>
    <t>21+09</t>
  </si>
  <si>
    <t>00+19</t>
  </si>
  <si>
    <t>22+40</t>
  </si>
  <si>
    <t>05+50</t>
  </si>
  <si>
    <t>06+00</t>
  </si>
  <si>
    <t>22+03</t>
  </si>
  <si>
    <t>08+00</t>
  </si>
  <si>
    <t>00+24</t>
  </si>
  <si>
    <t>06+31</t>
  </si>
  <si>
    <t>06+07</t>
  </si>
  <si>
    <t>5O40</t>
  </si>
  <si>
    <t>20+37</t>
  </si>
  <si>
    <t>5O94</t>
  </si>
  <si>
    <t>00+15</t>
  </si>
  <si>
    <t>04+55</t>
  </si>
  <si>
    <t>5O02</t>
  </si>
  <si>
    <t>05+03</t>
  </si>
  <si>
    <t>22+53</t>
  </si>
  <si>
    <t>05+08</t>
  </si>
  <si>
    <t>05+18</t>
  </si>
  <si>
    <t>05+41</t>
  </si>
  <si>
    <t>21+55</t>
  </si>
  <si>
    <t>06+05</t>
  </si>
  <si>
    <t>06+10</t>
  </si>
  <si>
    <t>23+26</t>
  </si>
  <si>
    <t>05+38</t>
  </si>
  <si>
    <t>05+17</t>
  </si>
  <si>
    <t>PGN</t>
  </si>
  <si>
    <t>5D81</t>
  </si>
  <si>
    <t>5E60</t>
  </si>
  <si>
    <t>08+05</t>
  </si>
  <si>
    <t>09+38</t>
  </si>
  <si>
    <t>5V82</t>
  </si>
  <si>
    <t>5E86</t>
  </si>
  <si>
    <t>20+05</t>
  </si>
  <si>
    <t>5D70</t>
  </si>
  <si>
    <t>22+31</t>
  </si>
  <si>
    <t>23+22</t>
  </si>
  <si>
    <t>00+43</t>
  </si>
  <si>
    <t>03+09</t>
  </si>
  <si>
    <t>20+35</t>
  </si>
  <si>
    <t>00+31</t>
  </si>
  <si>
    <t>07+14</t>
  </si>
  <si>
    <t>07+48</t>
  </si>
  <si>
    <t>01+06</t>
  </si>
  <si>
    <t>05+19</t>
  </si>
  <si>
    <t>04+11</t>
  </si>
  <si>
    <t>5I98</t>
  </si>
  <si>
    <t>5C00</t>
  </si>
  <si>
    <t>22+58</t>
  </si>
  <si>
    <t>00+39</t>
  </si>
  <si>
    <t>21+54</t>
  </si>
  <si>
    <t>01+24</t>
  </si>
  <si>
    <t>00+49</t>
  </si>
  <si>
    <t>23+06</t>
  </si>
  <si>
    <t>5P00</t>
  </si>
  <si>
    <t>00+04</t>
  </si>
  <si>
    <t>00+48</t>
  </si>
  <si>
    <t>21+08</t>
  </si>
  <si>
    <t>22+09</t>
  </si>
  <si>
    <t>00+03</t>
  </si>
  <si>
    <t>05+47</t>
  </si>
  <si>
    <t>23+19</t>
  </si>
  <si>
    <t>22+48</t>
  </si>
  <si>
    <t>02+20</t>
  </si>
  <si>
    <t>5C59</t>
  </si>
  <si>
    <t>04+18</t>
  </si>
  <si>
    <t>23+04</t>
  </si>
  <si>
    <t>XC 435</t>
  </si>
  <si>
    <t>20+24</t>
  </si>
  <si>
    <t>06+30</t>
  </si>
  <si>
    <t>07+01</t>
  </si>
  <si>
    <t>20+39</t>
  </si>
  <si>
    <t>22+36</t>
  </si>
  <si>
    <t>5C80</t>
  </si>
  <si>
    <t>5Y99</t>
  </si>
  <si>
    <t>09+43</t>
  </si>
  <si>
    <t>09+10</t>
  </si>
  <si>
    <t>05+29</t>
  </si>
  <si>
    <t>21+33</t>
  </si>
  <si>
    <t>04+24</t>
  </si>
  <si>
    <t>5E79</t>
  </si>
  <si>
    <t>04+43</t>
  </si>
  <si>
    <t>5E82</t>
  </si>
  <si>
    <t>05+21</t>
  </si>
  <si>
    <t>06+24</t>
  </si>
  <si>
    <t>07+10</t>
  </si>
  <si>
    <t>5G99</t>
  </si>
  <si>
    <t>21+41</t>
  </si>
  <si>
    <t>5E48</t>
  </si>
  <si>
    <t>23+58</t>
  </si>
  <si>
    <t>06+08</t>
  </si>
  <si>
    <t>CDF</t>
  </si>
  <si>
    <t>22+38</t>
  </si>
  <si>
    <t>23+46</t>
  </si>
  <si>
    <t>08+20</t>
  </si>
  <si>
    <t>08+15</t>
  </si>
  <si>
    <t>5D67</t>
  </si>
  <si>
    <t>CIT</t>
  </si>
  <si>
    <t>5M25</t>
  </si>
  <si>
    <t>05+26</t>
  </si>
  <si>
    <t>05+40</t>
  </si>
  <si>
    <t>22+56</t>
  </si>
  <si>
    <t>05+45</t>
  </si>
  <si>
    <t>00+35</t>
  </si>
  <si>
    <t>22+42</t>
  </si>
  <si>
    <t>23+18</t>
  </si>
  <si>
    <t>5V50</t>
  </si>
  <si>
    <t>05+42</t>
  </si>
  <si>
    <t>20+42</t>
  </si>
  <si>
    <t>21+49</t>
  </si>
  <si>
    <t>00+05</t>
  </si>
  <si>
    <t>23+40</t>
  </si>
  <si>
    <t>21+25</t>
  </si>
  <si>
    <t>DBY</t>
  </si>
  <si>
    <t>5Z83</t>
  </si>
  <si>
    <t>NUN</t>
  </si>
  <si>
    <t>08+09</t>
  </si>
  <si>
    <t>19+06</t>
  </si>
  <si>
    <t>08+16</t>
  </si>
  <si>
    <t>09+41</t>
  </si>
  <si>
    <t>11+10</t>
  </si>
  <si>
    <t>04+44</t>
  </si>
  <si>
    <t>19+07</t>
  </si>
  <si>
    <t>XC 928</t>
  </si>
  <si>
    <t>5Z57</t>
  </si>
  <si>
    <t>XC 958</t>
  </si>
  <si>
    <t>XC 929</t>
  </si>
  <si>
    <t>5Z61</t>
  </si>
  <si>
    <t>11+42</t>
  </si>
  <si>
    <t>22+00</t>
  </si>
  <si>
    <t>XC 959</t>
  </si>
  <si>
    <t>XC 960</t>
  </si>
  <si>
    <t>13+41</t>
  </si>
  <si>
    <t>19+50</t>
  </si>
  <si>
    <t>XC 930</t>
  </si>
  <si>
    <t>XC 926</t>
  </si>
  <si>
    <t>5Z53</t>
  </si>
  <si>
    <t>19+29</t>
  </si>
  <si>
    <t>XC 927</t>
  </si>
  <si>
    <t>XC 923</t>
  </si>
  <si>
    <t>5Z50</t>
  </si>
  <si>
    <t>20+56</t>
  </si>
  <si>
    <t>XC 957</t>
  </si>
  <si>
    <t>XC 924</t>
  </si>
  <si>
    <t>5Z52</t>
  </si>
  <si>
    <t>21+02</t>
  </si>
  <si>
    <t>XC 925</t>
  </si>
  <si>
    <t>XC 950</t>
  </si>
  <si>
    <t>5Z10</t>
  </si>
  <si>
    <t>20+45</t>
  </si>
  <si>
    <t>XC 909</t>
  </si>
  <si>
    <t>5Z12</t>
  </si>
  <si>
    <t>19+42</t>
  </si>
  <si>
    <t>XC 910</t>
  </si>
  <si>
    <t>XC 911</t>
  </si>
  <si>
    <t>5Z14</t>
  </si>
  <si>
    <t>19+58</t>
  </si>
  <si>
    <t>XC 912</t>
  </si>
  <si>
    <t>XC 952</t>
  </si>
  <si>
    <t>5Z08</t>
  </si>
  <si>
    <t>19+18</t>
  </si>
  <si>
    <t>XC 904</t>
  </si>
  <si>
    <t>XC 906</t>
  </si>
  <si>
    <t>19+45</t>
  </si>
  <si>
    <t>XC 916</t>
  </si>
  <si>
    <t>5E37</t>
  </si>
  <si>
    <t>20+29</t>
  </si>
  <si>
    <t>XC 954</t>
  </si>
  <si>
    <t>XC 920</t>
  </si>
  <si>
    <t>5Z46</t>
  </si>
  <si>
    <t>08+40</t>
  </si>
  <si>
    <t>XC 921</t>
  </si>
  <si>
    <t>XC 939</t>
  </si>
  <si>
    <t>XC 922</t>
  </si>
  <si>
    <t>5Z48</t>
  </si>
  <si>
    <t>08+50</t>
  </si>
  <si>
    <t>21+27</t>
  </si>
  <si>
    <t>XC 953</t>
  </si>
  <si>
    <t>XC 907</t>
  </si>
  <si>
    <t>20+18</t>
  </si>
  <si>
    <t>XC 908</t>
  </si>
  <si>
    <t>XC 918</t>
  </si>
  <si>
    <t>13+48</t>
  </si>
  <si>
    <t>XC 919</t>
  </si>
  <si>
    <t>5E41</t>
  </si>
  <si>
    <t>10+10</t>
  </si>
  <si>
    <t>20+10</t>
  </si>
  <si>
    <t>XC 917</t>
  </si>
  <si>
    <t>5E43</t>
  </si>
  <si>
    <t>11+15</t>
  </si>
  <si>
    <t>17+27</t>
  </si>
  <si>
    <t>XC 905</t>
  </si>
  <si>
    <t>5Z38</t>
  </si>
  <si>
    <t>12+14</t>
  </si>
  <si>
    <t>XC 915</t>
  </si>
  <si>
    <t>5Z20</t>
  </si>
  <si>
    <t>20+00</t>
  </si>
  <si>
    <t>XC 955</t>
  </si>
  <si>
    <t>XC 914</t>
  </si>
  <si>
    <t>5Z22</t>
  </si>
  <si>
    <t>19+27</t>
  </si>
  <si>
    <t>XC 956</t>
  </si>
  <si>
    <t>5Z43</t>
  </si>
  <si>
    <t>XC 961</t>
  </si>
  <si>
    <t>5E45</t>
  </si>
  <si>
    <t>XC 962</t>
  </si>
  <si>
    <t>5Z47</t>
  </si>
  <si>
    <t>09+45</t>
  </si>
  <si>
    <t>XC 951</t>
  </si>
  <si>
    <t>5Z30</t>
  </si>
  <si>
    <t>19+34</t>
  </si>
  <si>
    <t>XC 901</t>
  </si>
  <si>
    <t>XC 902</t>
  </si>
  <si>
    <t>5Z34</t>
  </si>
  <si>
    <t>20+34</t>
  </si>
  <si>
    <t>XC 903</t>
  </si>
  <si>
    <t>XC 913</t>
  </si>
  <si>
    <t>5Z42</t>
  </si>
  <si>
    <t>XC 4XX</t>
  </si>
  <si>
    <t>XC 5XX</t>
  </si>
  <si>
    <t>5Z51</t>
  </si>
  <si>
    <t>5E53</t>
  </si>
  <si>
    <t>5E39</t>
  </si>
  <si>
    <t>5E55</t>
  </si>
  <si>
    <t>5Z54</t>
  </si>
  <si>
    <t>5Z58</t>
  </si>
  <si>
    <t>5Z63</t>
  </si>
  <si>
    <t>5Z62</t>
  </si>
  <si>
    <t>5Z28</t>
  </si>
  <si>
    <t>5D66</t>
  </si>
  <si>
    <t>5G67</t>
  </si>
  <si>
    <t>5Z67</t>
  </si>
  <si>
    <t>5Z66</t>
  </si>
  <si>
    <t>5D73</t>
  </si>
  <si>
    <t>5Z64</t>
  </si>
  <si>
    <t>5B77</t>
  </si>
  <si>
    <t>EXD</t>
  </si>
  <si>
    <t>5Z24</t>
  </si>
  <si>
    <t>5Z26</t>
  </si>
  <si>
    <t>5Z89</t>
  </si>
  <si>
    <t>C2 SUN</t>
  </si>
  <si>
    <t>BB108</t>
  </si>
  <si>
    <t>TOILET MON</t>
  </si>
  <si>
    <t>INDUCTOR MON</t>
  </si>
  <si>
    <t>U/C</t>
  </si>
  <si>
    <t>HST</t>
  </si>
  <si>
    <t>S2A MON</t>
  </si>
  <si>
    <t>C1</t>
  </si>
  <si>
    <t>C2</t>
  </si>
  <si>
    <t>UAT</t>
  </si>
  <si>
    <t>S7A</t>
  </si>
  <si>
    <t>COUPLER</t>
  </si>
  <si>
    <t>ACIC MON</t>
  </si>
  <si>
    <t>F/D OIL</t>
  </si>
  <si>
    <t>AXLES</t>
  </si>
  <si>
    <t>W EXAM SUN</t>
  </si>
  <si>
    <t>DOOR REPS MON</t>
  </si>
  <si>
    <r>
      <rPr>
        <b/>
        <sz val="12"/>
        <color rgb="FFFF0000"/>
        <rFont val="Arial"/>
        <family val="2"/>
      </rPr>
      <t>MUST BE 5 CAR!!!</t>
    </r>
    <r>
      <rPr>
        <b/>
        <sz val="12"/>
        <rFont val="Arial"/>
        <family val="2"/>
      </rPr>
      <t>DOOR REPS MON</t>
    </r>
  </si>
  <si>
    <t>C2 SAT</t>
  </si>
  <si>
    <t>MV3 SUN</t>
  </si>
  <si>
    <t>AXLE MON</t>
  </si>
  <si>
    <t>S1A SUN</t>
  </si>
  <si>
    <t>COUP SAT</t>
  </si>
  <si>
    <t>S1A</t>
  </si>
  <si>
    <t>W EXAM</t>
  </si>
  <si>
    <t>FRB</t>
  </si>
  <si>
    <t>ACIC</t>
  </si>
  <si>
    <t>S2A</t>
  </si>
  <si>
    <t>MV3</t>
  </si>
  <si>
    <t>AXLE</t>
  </si>
  <si>
    <t>REPS</t>
  </si>
  <si>
    <t>INDUCTOR</t>
  </si>
  <si>
    <t>DOORS</t>
  </si>
  <si>
    <t>MV4 MON</t>
  </si>
  <si>
    <t>MV4</t>
  </si>
  <si>
    <t>AVIS 8</t>
  </si>
  <si>
    <t>AVIS 9</t>
  </si>
  <si>
    <t>F/D OIL SAT</t>
  </si>
  <si>
    <t>MV2</t>
  </si>
  <si>
    <t>WATER FROM ROOF</t>
  </si>
  <si>
    <t>FATALITY</t>
  </si>
  <si>
    <t>VSTP</t>
  </si>
  <si>
    <t>22+45</t>
  </si>
  <si>
    <t>CET</t>
  </si>
  <si>
    <t>ISSUE 1</t>
  </si>
  <si>
    <t>5Z65</t>
  </si>
  <si>
    <t>20+55</t>
  </si>
  <si>
    <t>FRB SAT</t>
  </si>
  <si>
    <t>PACK SAT</t>
  </si>
  <si>
    <t>AXLE SUN</t>
  </si>
  <si>
    <t>COUPLER MON</t>
  </si>
  <si>
    <t>C2 TUE</t>
  </si>
  <si>
    <t>MV2 TUE</t>
  </si>
  <si>
    <t>S4A TUE</t>
  </si>
  <si>
    <t>S4A</t>
  </si>
  <si>
    <t>F/D OIL TUE</t>
  </si>
  <si>
    <t>ENGINES</t>
  </si>
  <si>
    <t>SANDERS</t>
  </si>
  <si>
    <t>ISSUE 2</t>
  </si>
  <si>
    <t>5M00</t>
  </si>
  <si>
    <t>ROLLOVER SET</t>
  </si>
  <si>
    <t>BRAKE PIPE</t>
  </si>
  <si>
    <t>CABLE  604</t>
  </si>
  <si>
    <t>FAILED</t>
  </si>
  <si>
    <t>604 NORTH</t>
  </si>
  <si>
    <t>TRACTION</t>
  </si>
  <si>
    <t>COUP MON</t>
  </si>
  <si>
    <t>SANDS</t>
  </si>
  <si>
    <t>ROOF REPS</t>
  </si>
  <si>
    <t>S5A</t>
  </si>
  <si>
    <t>DOOR MON</t>
  </si>
  <si>
    <t>PACK MV2 TUE</t>
  </si>
  <si>
    <t>FINAL DRIVE OIL</t>
  </si>
  <si>
    <t>PIM TUE</t>
  </si>
  <si>
    <t>PIM</t>
  </si>
  <si>
    <t>F/D OILS</t>
  </si>
  <si>
    <t>C2 WED</t>
  </si>
  <si>
    <t>MV1 WED</t>
  </si>
  <si>
    <t>MV1</t>
  </si>
  <si>
    <t>S1A WED</t>
  </si>
  <si>
    <t>ENG WED</t>
  </si>
  <si>
    <t>ENGINE CMD</t>
  </si>
  <si>
    <t>UAT WED</t>
  </si>
  <si>
    <t>CAB WED</t>
  </si>
  <si>
    <t>CAB CHECK WED</t>
  </si>
  <si>
    <t>CAB CHECK</t>
  </si>
  <si>
    <t>AVIS</t>
  </si>
  <si>
    <t xml:space="preserve">TOILET C2 TUE </t>
  </si>
  <si>
    <t>Issue No   1 Time:  12:00</t>
  </si>
  <si>
    <t>ROLLOVER</t>
  </si>
  <si>
    <t>221 140</t>
  </si>
  <si>
    <t>221 136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</si>
</sst>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"/>
  </numFmts>
  <fonts count="18" x14ac:knownFonts="1">
    <font>
      <sz val="10"/>
      <name val="Arial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Terminal"/>
      <family val="3"/>
      <charset val="255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2"/>
      <color indexed="9"/>
      <name val="Arial"/>
      <family val="2"/>
    </font>
    <font>
      <b/>
      <sz val="2"/>
      <color indexed="9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8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5" fontId="4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0" fontId="2" fillId="0" borderId="6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20" fontId="3" fillId="0" borderId="9" xfId="0" applyNumberFormat="1" applyFont="1" applyBorder="1" applyAlignment="1">
      <alignment horizontal="center" vertical="center"/>
    </xf>
    <xf numFmtId="20" fontId="2" fillId="0" borderId="9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20" fontId="3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4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0" fontId="3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20" fontId="3" fillId="0" borderId="15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20" fontId="2" fillId="0" borderId="14" xfId="0" applyNumberFormat="1" applyFont="1" applyBorder="1" applyAlignment="1">
      <alignment horizontal="center" vertical="center"/>
    </xf>
    <xf numFmtId="20" fontId="2" fillId="0" borderId="15" xfId="0" applyNumberFormat="1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/>
    </xf>
    <xf numFmtId="0" fontId="11" fillId="2" borderId="1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0" fontId="8" fillId="2" borderId="6" xfId="0" applyNumberFormat="1" applyFont="1" applyFill="1" applyBorder="1" applyAlignment="1">
      <alignment horizontal="center"/>
    </xf>
    <xf numFmtId="20" fontId="8" fillId="2" borderId="7" xfId="0" applyNumberFormat="1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20" fontId="8" fillId="3" borderId="12" xfId="0" applyNumberFormat="1" applyFont="1" applyFill="1" applyBorder="1" applyAlignment="1">
      <alignment horizontal="center"/>
    </xf>
    <xf numFmtId="20" fontId="8" fillId="3" borderId="13" xfId="0" applyNumberFormat="1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20" fontId="8" fillId="3" borderId="6" xfId="0" applyNumberFormat="1" applyFont="1" applyFill="1" applyBorder="1" applyAlignment="1">
      <alignment horizontal="center"/>
    </xf>
    <xf numFmtId="20" fontId="8" fillId="3" borderId="7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0" fontId="3" fillId="0" borderId="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  <xf numFmtId="20" fontId="2" fillId="0" borderId="9" xfId="0" applyNumberFormat="1" applyFont="1" applyFill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20" fontId="3" fillId="0" borderId="14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20" fontId="3" fillId="0" borderId="12" xfId="0" applyNumberFormat="1" applyFont="1" applyBorder="1" applyAlignment="1">
      <alignment horizontal="center" vertical="center"/>
    </xf>
    <xf numFmtId="20" fontId="2" fillId="0" borderId="12" xfId="0" applyNumberFormat="1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6" fillId="0" borderId="0" xfId="0" quotePrefix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8" xfId="0" applyFont="1" applyFill="1" applyBorder="1" applyAlignment="1">
      <alignment horizontal="center" vertical="center"/>
    </xf>
    <xf numFmtId="20" fontId="2" fillId="0" borderId="14" xfId="0" applyNumberFormat="1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2" fontId="2" fillId="0" borderId="14" xfId="0" applyNumberFormat="1" applyFont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14" xfId="0" applyNumberFormat="1" applyFont="1" applyFill="1" applyBorder="1" applyAlignment="1">
      <alignment horizontal="center" vertical="center"/>
    </xf>
    <xf numFmtId="20" fontId="2" fillId="0" borderId="2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20" fontId="4" fillId="0" borderId="10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4" xfId="0" applyNumberFormat="1" applyFont="1" applyFill="1" applyBorder="1" applyAlignment="1">
      <alignment horizontal="center" vertical="center"/>
    </xf>
    <xf numFmtId="20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0" fontId="2" fillId="0" borderId="0" xfId="0" quotePrefix="1" applyFont="1" applyAlignment="1">
      <alignment horizontal="right" vertical="center"/>
    </xf>
    <xf numFmtId="0" fontId="2" fillId="0" borderId="11" xfId="0" applyFont="1" applyFill="1" applyBorder="1" applyAlignment="1">
      <alignment horizontal="center" vertical="center"/>
    </xf>
    <xf numFmtId="49" fontId="2" fillId="0" borderId="12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14" xfId="0" applyNumberFormat="1" applyFont="1" applyFill="1" applyBorder="1" applyAlignment="1">
      <alignment horizontal="center" vertical="center"/>
    </xf>
    <xf numFmtId="49" fontId="2" fillId="0" borderId="16" xfId="0" applyNumberFormat="1" applyFont="1" applyFill="1" applyBorder="1" applyAlignment="1">
      <alignment horizontal="center" vertical="center"/>
    </xf>
    <xf numFmtId="20" fontId="2" fillId="0" borderId="6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20" fontId="2" fillId="0" borderId="16" xfId="0" applyNumberFormat="1" applyFont="1" applyBorder="1" applyAlignment="1">
      <alignment horizontal="center" vertical="center"/>
    </xf>
    <xf numFmtId="2" fontId="2" fillId="0" borderId="16" xfId="0" applyNumberFormat="1" applyFont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20" fontId="2" fillId="0" borderId="12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49" fontId="2" fillId="0" borderId="12" xfId="0" quotePrefix="1" applyNumberFormat="1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49" fontId="3" fillId="0" borderId="9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15" fontId="8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right"/>
    </xf>
    <xf numFmtId="4" fontId="1" fillId="0" borderId="0" xfId="0" applyNumberFormat="1" applyFont="1" applyFill="1"/>
    <xf numFmtId="0" fontId="0" fillId="0" borderId="30" xfId="0" applyFill="1" applyBorder="1" applyAlignment="1">
      <alignment horizontal="right"/>
    </xf>
    <xf numFmtId="4" fontId="1" fillId="0" borderId="30" xfId="0" applyNumberFormat="1" applyFont="1" applyFill="1" applyBorder="1"/>
    <xf numFmtId="0" fontId="0" fillId="0" borderId="0" xfId="0" applyFill="1" applyBorder="1" applyAlignment="1">
      <alignment horizontal="right"/>
    </xf>
    <xf numFmtId="0" fontId="2" fillId="0" borderId="31" xfId="0" applyFont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49" fontId="3" fillId="0" borderId="14" xfId="0" quotePrefix="1" applyNumberFormat="1" applyFont="1" applyBorder="1" applyAlignment="1">
      <alignment horizontal="center" vertical="center"/>
    </xf>
    <xf numFmtId="49" fontId="3" fillId="0" borderId="9" xfId="0" quotePrefix="1" applyNumberFormat="1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2" fillId="0" borderId="3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49" fontId="2" fillId="0" borderId="9" xfId="0" quotePrefix="1" applyNumberFormat="1" applyFont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164" fontId="8" fillId="0" borderId="0" xfId="0" applyNumberFormat="1" applyFont="1" applyFill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20" fontId="2" fillId="0" borderId="20" xfId="0" applyNumberFormat="1" applyFont="1" applyBorder="1" applyAlignment="1">
      <alignment horizontal="center" vertical="center"/>
    </xf>
    <xf numFmtId="0" fontId="14" fillId="0" borderId="10" xfId="0" applyFont="1" applyFill="1" applyBorder="1" applyAlignment="1">
      <alignment horizontal="center" vertical="center"/>
    </xf>
    <xf numFmtId="49" fontId="3" fillId="0" borderId="6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49" fontId="3" fillId="0" borderId="36" xfId="0" applyNumberFormat="1" applyFont="1" applyBorder="1" applyAlignment="1">
      <alignment horizontal="center" vertical="center"/>
    </xf>
    <xf numFmtId="2" fontId="5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horizontal="right" vertical="center"/>
    </xf>
    <xf numFmtId="0" fontId="2" fillId="0" borderId="19" xfId="0" applyFont="1" applyFill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15" fillId="0" borderId="1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4" fontId="1" fillId="0" borderId="0" xfId="0" applyNumberFormat="1" applyFont="1" applyFill="1" applyBorder="1"/>
    <xf numFmtId="164" fontId="8" fillId="0" borderId="0" xfId="0" applyNumberFormat="1" applyFont="1" applyFill="1" applyAlignment="1">
      <alignment horizontal="right"/>
    </xf>
    <xf numFmtId="0" fontId="16" fillId="0" borderId="0" xfId="0" applyFont="1" applyFill="1"/>
    <xf numFmtId="49" fontId="3" fillId="0" borderId="16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49" fontId="3" fillId="0" borderId="22" xfId="0" applyNumberFormat="1" applyFont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 wrapText="1"/>
    </xf>
    <xf numFmtId="49" fontId="3" fillId="0" borderId="9" xfId="0" applyNumberFormat="1" applyFont="1" applyBorder="1" applyAlignment="1">
      <alignment horizontal="center" vertical="center" wrapText="1"/>
    </xf>
    <xf numFmtId="2" fontId="5" fillId="0" borderId="0" xfId="0" applyNumberFormat="1" applyFont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/>
    </xf>
    <xf numFmtId="2" fontId="5" fillId="0" borderId="14" xfId="0" applyNumberFormat="1" applyFont="1" applyBorder="1" applyAlignment="1">
      <alignment horizontal="right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1" xfId="0" applyFont="1" applyFill="1" applyBorder="1" applyAlignment="1">
      <alignment horizontal="center" vertical="center"/>
    </xf>
    <xf numFmtId="0" fontId="3" fillId="0" borderId="36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/>
    </xf>
    <xf numFmtId="0" fontId="1" fillId="0" borderId="48" xfId="0" applyFont="1" applyBorder="1" applyAlignment="1">
      <alignment horizontal="center" vertical="center" wrapText="1"/>
    </xf>
    <xf numFmtId="2" fontId="2" fillId="0" borderId="43" xfId="0" applyNumberFormat="1" applyFont="1" applyBorder="1" applyAlignment="1">
      <alignment horizontal="center" vertical="center"/>
    </xf>
    <xf numFmtId="2" fontId="2" fillId="0" borderId="41" xfId="0" applyNumberFormat="1" applyFont="1" applyBorder="1" applyAlignment="1">
      <alignment horizontal="center" vertical="center"/>
    </xf>
    <xf numFmtId="2" fontId="2" fillId="0" borderId="36" xfId="0" applyNumberFormat="1" applyFont="1" applyFill="1" applyBorder="1" applyAlignment="1">
      <alignment horizontal="center" vertical="center"/>
    </xf>
    <xf numFmtId="2" fontId="2" fillId="0" borderId="36" xfId="0" applyNumberFormat="1" applyFont="1" applyBorder="1" applyAlignment="1">
      <alignment horizontal="center" vertical="center"/>
    </xf>
    <xf numFmtId="2" fontId="2" fillId="0" borderId="44" xfId="0" applyNumberFormat="1" applyFont="1" applyBorder="1" applyAlignment="1">
      <alignment horizontal="center" vertical="center"/>
    </xf>
    <xf numFmtId="2" fontId="2" fillId="0" borderId="43" xfId="0" applyNumberFormat="1" applyFont="1" applyFill="1" applyBorder="1" applyAlignment="1">
      <alignment horizontal="center" vertical="center"/>
    </xf>
    <xf numFmtId="2" fontId="2" fillId="0" borderId="41" xfId="0" applyNumberFormat="1" applyFont="1" applyFill="1" applyBorder="1" applyAlignment="1">
      <alignment horizontal="center" vertical="center"/>
    </xf>
    <xf numFmtId="15" fontId="2" fillId="0" borderId="4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0" borderId="10" xfId="0" applyNumberFormat="1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8" fillId="5" borderId="37" xfId="0" quotePrefix="1" applyFont="1" applyFill="1" applyBorder="1" applyAlignment="1">
      <alignment horizontal="center"/>
    </xf>
    <xf numFmtId="0" fontId="8" fillId="5" borderId="0" xfId="0" quotePrefix="1" applyFont="1" applyFill="1" applyBorder="1" applyAlignment="1">
      <alignment horizontal="center"/>
    </xf>
    <xf numFmtId="0" fontId="8" fillId="6" borderId="37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15" fontId="2" fillId="0" borderId="4" xfId="0" applyNumberFormat="1" applyFont="1" applyBorder="1" applyAlignment="1">
      <alignment horizontal="center" vertical="center"/>
    </xf>
    <xf numFmtId="15" fontId="3" fillId="0" borderId="0" xfId="0" applyNumberFormat="1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5" fontId="4" fillId="0" borderId="4" xfId="0" applyNumberFormat="1" applyFont="1" applyFill="1" applyBorder="1" applyAlignment="1">
      <alignment horizontal="center" vertical="center"/>
    </xf>
    <xf numFmtId="15" fontId="2" fillId="0" borderId="4" xfId="0" applyNumberFormat="1" applyFont="1" applyFill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12" xfId="0" applyNumberFormat="1" applyFont="1" applyFill="1" applyBorder="1" applyAlignment="1">
      <alignment horizontal="center"/>
    </xf>
    <xf numFmtId="20" fontId="8" fillId="2" borderId="13" xfId="0" applyNumberFormat="1" applyFont="1" applyFill="1" applyBorder="1" applyAlignment="1">
      <alignment horizontal="center"/>
    </xf>
    <xf numFmtId="0" fontId="9" fillId="2" borderId="38" xfId="0" applyFont="1" applyFill="1" applyBorder="1" applyAlignment="1">
      <alignment horizontal="center"/>
    </xf>
    <xf numFmtId="0" fontId="9" fillId="2" borderId="39" xfId="0" applyFont="1" applyFill="1" applyBorder="1" applyAlignment="1">
      <alignment horizontal="center"/>
    </xf>
    <xf numFmtId="0" fontId="9" fillId="2" borderId="40" xfId="0" applyFont="1" applyFill="1" applyBorder="1" applyAlignment="1">
      <alignment horizontal="center"/>
    </xf>
    <xf numFmtId="15" fontId="10" fillId="2" borderId="41" xfId="0" applyNumberFormat="1" applyFont="1" applyFill="1" applyBorder="1" applyAlignment="1">
      <alignment horizontal="center"/>
    </xf>
    <xf numFmtId="15" fontId="10" fillId="2" borderId="30" xfId="0" applyNumberFormat="1" applyFont="1" applyFill="1" applyBorder="1" applyAlignment="1">
      <alignment horizontal="center"/>
    </xf>
    <xf numFmtId="15" fontId="10" fillId="2" borderId="42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20" fontId="4" fillId="0" borderId="10" xfId="0" applyNumberFormat="1" applyFont="1" applyFill="1" applyBorder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2" fontId="17" fillId="0" borderId="14" xfId="0" applyNumberFormat="1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3" fillId="0" borderId="49" xfId="0" applyFont="1" applyFill="1" applyBorder="1" applyAlignment="1">
      <alignment horizontal="center" vertical="center"/>
    </xf>
  </cellXfs>
  <cellStyles count="1">
    <cellStyle name="Normal" xfId="0" builtinId="0"/>
  </cellStyles>
  <dxfs count="1362">
    <dxf>
      <fill>
        <patternFill>
          <bgColor rgb="FF85EBE6"/>
        </patternFill>
      </fill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ill>
        <patternFill>
          <bgColor rgb="FF85EBE6"/>
        </patternFill>
      </fill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</dxfs>
  <tableStyles count="0" defaultTableStyle="TableStyleMedium9" defaultPivotStyle="PivotStyleLight16"/>
  <colors>
    <mruColors>
      <color rgb="FF85EBE6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agramProcessing\2009ABC_Dec2008\FleetSimplifier\XCsimplifier%20STP%2009%2002%2028%20experiment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T BAL"/>
      <sheetName val="Fri-Sat"/>
      <sheetName val="Sat-Sun"/>
      <sheetName val="Sun-Mon"/>
      <sheetName val="Mon-Tue"/>
      <sheetName val="Tue-Wed"/>
      <sheetName val="Wed-Thur"/>
      <sheetName val="Thur-Fri"/>
      <sheetName val="DAYTIME STABLING"/>
      <sheetName val="Vehicles"/>
      <sheetName val="Balance Check"/>
      <sheetName val="InsertDataRefs"/>
    </sheetNames>
    <sheetDataSet>
      <sheetData sheetId="0">
        <row r="4">
          <cell r="D4">
            <v>43066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22"/>
  <sheetViews>
    <sheetView showGridLines="0" workbookViewId="0">
      <selection activeCell="G42" sqref="G42"/>
    </sheetView>
  </sheetViews>
  <sheetFormatPr defaultRowHeight="12.75" x14ac:dyDescent="0.2"/>
  <cols>
    <col min="1" max="1" width="17.7109375" style="155" customWidth="1"/>
    <col min="2" max="8" width="10.8554687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247" t="s">
        <v>100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208" t="str">
        <f t="array" ref="A3">IF(SUM(ABS('Balance Check'!B5:H16))&gt;0,"Check Balances!!!","")</f>
        <v>Check Balances!!!</v>
      </c>
      <c r="B3" s="182" t="s">
        <v>156</v>
      </c>
      <c r="C3" s="182" t="s">
        <v>157</v>
      </c>
      <c r="D3" s="182" t="s">
        <v>158</v>
      </c>
      <c r="E3" s="182" t="s">
        <v>159</v>
      </c>
      <c r="F3" s="182" t="s">
        <v>160</v>
      </c>
      <c r="G3" s="182" t="s">
        <v>161</v>
      </c>
      <c r="H3" s="182" t="s">
        <v>162</v>
      </c>
      <c r="I3" s="182"/>
      <c r="J3" s="207" t="s">
        <v>163</v>
      </c>
      <c r="K3" s="156"/>
    </row>
    <row r="4" spans="1:11" x14ac:dyDescent="0.2">
      <c r="A4" s="205" t="str">
        <f>IF(WEEKDAY(B4)=7,"","Not a Saturday!!!")</f>
        <v/>
      </c>
      <c r="B4" s="157">
        <v>43064</v>
      </c>
      <c r="C4" s="157">
        <f t="shared" ref="C4:H4" si="0">B4+1</f>
        <v>43065</v>
      </c>
      <c r="D4" s="157">
        <f t="shared" si="0"/>
        <v>43066</v>
      </c>
      <c r="E4" s="157">
        <f t="shared" si="0"/>
        <v>43067</v>
      </c>
      <c r="F4" s="157">
        <f t="shared" si="0"/>
        <v>43068</v>
      </c>
      <c r="G4" s="157">
        <f t="shared" si="0"/>
        <v>43069</v>
      </c>
      <c r="H4" s="157">
        <f t="shared" si="0"/>
        <v>43070</v>
      </c>
      <c r="I4" s="157"/>
      <c r="J4" s="157"/>
      <c r="K4" s="156"/>
    </row>
    <row r="5" spans="1:11" x14ac:dyDescent="0.2">
      <c r="A5" s="158" t="s">
        <v>67</v>
      </c>
      <c r="B5" s="156">
        <f>(COUNTIF('Fri-Sat'!$I$5:$I$17,"XC 4*"))+(COUNTIF('Fri-Sat'!$I$5:$I$17,"XC 5*"))</f>
        <v>6</v>
      </c>
      <c r="C5" s="156">
        <f>(COUNTIF('Sat-Sun'!$I$5:$I$17,"XC 4*"))+(COUNTIF('Sat-Sun'!$I$5:$I$17,"XC 5*"))</f>
        <v>0</v>
      </c>
      <c r="D5" s="156">
        <f>(COUNTIF('Sun-Mon'!$I$5:$I$17,"XC 4*"))+(COUNTIF('Sun-Mon'!$I$5:$I$17,"XC 5*"))</f>
        <v>6</v>
      </c>
      <c r="E5" s="156">
        <f>(COUNTIF('Mon-Tue'!$I$5:$I$17,"XC 4*"))+(COUNTIF('Mon-Tue'!$I$5:$I$17,"XC 5*"))</f>
        <v>6</v>
      </c>
      <c r="F5" s="156">
        <f>(COUNTIF('Tue-Wed'!$I$5:$I$17,"XC 4*"))+(COUNTIF('Tue-Wed'!$I$5:$I$17,"XC 5*"))</f>
        <v>6</v>
      </c>
      <c r="G5" s="156">
        <f>(COUNTIF('Wed-Thur'!$I$5:$I$17,"XC 4*"))+(COUNTIF('Wed-Thur'!$I$5:$I$17,"XC 5*"))</f>
        <v>6</v>
      </c>
      <c r="H5" s="156">
        <f>(COUNTIF('Thur-Fri'!$I$5:$I$17,"XC 4*"))+(COUNTIF('Thur-Fri'!$I$5:$I$17,"XC 5*"))</f>
        <v>6</v>
      </c>
      <c r="I5" s="156"/>
      <c r="J5" s="156">
        <f>SUM(B5:I5)</f>
        <v>36</v>
      </c>
      <c r="K5" s="156"/>
    </row>
    <row r="6" spans="1:11" x14ac:dyDescent="0.2">
      <c r="A6" s="158" t="s">
        <v>68</v>
      </c>
      <c r="B6" s="156">
        <f>(COUNTIF('Fri-Sat'!$I$25:$I$30,"XC 4*"))+(COUNTIF('Fri-Sat'!$I$25:$I$30,"XC 5*"))</f>
        <v>5</v>
      </c>
      <c r="C6" s="156">
        <f>(COUNTIF('Sat-Sun'!$I$25:$I$30,"XC 4*"))+(COUNTIF('Sat-Sun'!$I$25:$I$30,"XC 5*"))</f>
        <v>2</v>
      </c>
      <c r="D6" s="156">
        <f>(COUNTIF('Sun-Mon'!$I$25:$I$30,"XC 4*"))+(COUNTIF('Sun-Mon'!$I$25:$I$30,"XC 5*"))</f>
        <v>4</v>
      </c>
      <c r="E6" s="156">
        <f>(COUNTIF('Mon-Tue'!$I$25:$I$30,"XC 4*"))+(COUNTIF('Mon-Tue'!$I$25:$I$30,"XC 5*"))</f>
        <v>4</v>
      </c>
      <c r="F6" s="156">
        <f>(COUNTIF('Tue-Wed'!$I$25:$I$30,"XC 4*"))+(COUNTIF('Tue-Wed'!$I$25:$I$30,"XC 5*"))</f>
        <v>4</v>
      </c>
      <c r="G6" s="156">
        <f>(COUNTIF('Wed-Thur'!$I$25:$I$30,"XC 4*"))+(COUNTIF('Wed-Thur'!$I$25:$I$30,"XC 5*"))</f>
        <v>4</v>
      </c>
      <c r="H6" s="156">
        <f>(COUNTIF('Thur-Fri'!$I$25:$I$30,"XC 4*"))+(COUNTIF('Thur-Fri'!$I$25:$I$30,"XC 5*"))</f>
        <v>4</v>
      </c>
      <c r="I6" s="156"/>
      <c r="J6" s="156">
        <f t="shared" ref="J6:J15" si="1">SUM(B6:I6)</f>
        <v>27</v>
      </c>
      <c r="K6" s="156"/>
    </row>
    <row r="7" spans="1:11" x14ac:dyDescent="0.2">
      <c r="A7" s="158" t="s">
        <v>69</v>
      </c>
      <c r="B7" s="156">
        <f>(COUNTIF('Fri-Sat'!$I$37:$I$42,"XC 4*"))+(COUNTIF('Fri-Sat'!$I$37:$I$42,"XC 5*"))</f>
        <v>3</v>
      </c>
      <c r="C7" s="156">
        <f>(COUNTIF('Sat-Sun'!$I$37:$I$42,"XC 4*"))+(COUNTIF('Sat-Sun'!$I$37:$I$42,"XC 5*"))</f>
        <v>0</v>
      </c>
      <c r="D7" s="156">
        <f>(COUNTIF('Sun-Mon'!$I$37:$I$42,"XC 4*"))+(COUNTIF('Sun-Mon'!$I$37:$I$42,"XC 5*"))</f>
        <v>3</v>
      </c>
      <c r="E7" s="156">
        <f>(COUNTIF('Mon-Tue'!$I$37:$I$42,"XC 4*"))+(COUNTIF('Mon-Tue'!$I$37:$I$42,"XC 5*"))</f>
        <v>4</v>
      </c>
      <c r="F7" s="156">
        <f>(COUNTIF('Tue-Wed'!$I$37:$I$42,"XC 4*"))+(COUNTIF('Tue-Wed'!$I$37:$I$42,"XC 5*"))</f>
        <v>4</v>
      </c>
      <c r="G7" s="156">
        <f>(COUNTIF('Wed-Thur'!$I$37:$I$42,"XC 4*"))+(COUNTIF('Wed-Thur'!$I$37:$I$42,"XC 5*"))</f>
        <v>4</v>
      </c>
      <c r="H7" s="156">
        <f>(COUNTIF('Thur-Fri'!$I$37:$I$42,"XC 4*"))+(COUNTIF('Thur-Fri'!$I$37:$I$42,"XC 5*"))</f>
        <v>4</v>
      </c>
      <c r="I7" s="156"/>
      <c r="J7" s="156">
        <f t="shared" si="1"/>
        <v>22</v>
      </c>
      <c r="K7" s="156"/>
    </row>
    <row r="8" spans="1:11" x14ac:dyDescent="0.2">
      <c r="A8" s="158" t="s">
        <v>70</v>
      </c>
      <c r="B8" s="156">
        <f>(COUNTIF('Fri-Sat'!$I$49:$I$56,"XC 4*"))+(COUNTIF('Fri-Sat'!$I$49:$I$56,"XC 5*"))</f>
        <v>4</v>
      </c>
      <c r="C8" s="156">
        <f>(COUNTIF('Sat-Sun'!$I$49:$I$56,"XC 4*"))+(COUNTIF('Sat-Sun'!$I$49:$I$56,"XC 5*"))</f>
        <v>0</v>
      </c>
      <c r="D8" s="156">
        <f>(COUNTIF('Sun-Mon'!$I$49:$I$56,"XC 4*"))+(COUNTIF('Sun-Mon'!$I$49:$I$56,"XC 5*"))</f>
        <v>4</v>
      </c>
      <c r="E8" s="156">
        <f>(COUNTIF('Mon-Tue'!$I$49:$I$56,"XC 4*"))+(COUNTIF('Mon-Tue'!$I$49:$I$56,"XC 5*"))</f>
        <v>4</v>
      </c>
      <c r="F8" s="156">
        <f>(COUNTIF('Tue-Wed'!$I$49:$I$56,"XC 4*"))+(COUNTIF('Tue-Wed'!$I$49:$I$56,"XC 5*"))</f>
        <v>4</v>
      </c>
      <c r="G8" s="156">
        <f>(COUNTIF('Wed-Thur'!$I$49:$I$56,"XC 4*"))+(COUNTIF('Wed-Thur'!$I$49:$I$56,"XC 5*"))</f>
        <v>4</v>
      </c>
      <c r="H8" s="156">
        <f>(COUNTIF('Thur-Fri'!$I$49:$I$56,"XC 4*"))+(COUNTIF('Thur-Fri'!$I$49:$I$56,"XC 5*"))</f>
        <v>4</v>
      </c>
      <c r="I8" s="156"/>
      <c r="J8" s="156">
        <f t="shared" si="1"/>
        <v>24</v>
      </c>
      <c r="K8" s="156"/>
    </row>
    <row r="9" spans="1:11" x14ac:dyDescent="0.2">
      <c r="A9" s="158" t="s">
        <v>71</v>
      </c>
      <c r="B9" s="156">
        <f>(COUNTIF('Fri-Sat'!$I$63:$I$89,"XC 4*"))+(COUNTIF('Fri-Sat'!$I$63:$I$89,"XC 5*"))</f>
        <v>16</v>
      </c>
      <c r="C9" s="156">
        <f>(COUNTIF('Sat-Sun'!$I$63:$I$89,"XC 4*"))+(COUNTIF('Sat-Sun'!$I$63:$I$89,"XC 5*"))</f>
        <v>0</v>
      </c>
      <c r="D9" s="156">
        <f>(COUNTIF('Sun-Mon'!$I$63:$I$89,"XC 4*"))+(COUNTIF('Sun-Mon'!$I$63:$I$89,"XC 5*"))</f>
        <v>17</v>
      </c>
      <c r="E9" s="156">
        <f>(COUNTIF('Mon-Tue'!$I$63:$I$89,"XC 4*"))+(COUNTIF('Mon-Tue'!$I$63:$I$89,"XC 5*"))</f>
        <v>16</v>
      </c>
      <c r="F9" s="156">
        <f>(COUNTIF('Tue-Wed'!$I$63:$I$89,"XC 4*"))+(COUNTIF('Tue-Wed'!$I$63:$I$89,"XC 5*"))</f>
        <v>16</v>
      </c>
      <c r="G9" s="156">
        <f>(COUNTIF('Wed-Thur'!$I$63:$I$89,"XC 4*"))+(COUNTIF('Wed-Thur'!$I$63:$I$89,"XC 5*"))</f>
        <v>16</v>
      </c>
      <c r="H9" s="156">
        <f>(COUNTIF('Thur-Fri'!$I$63:$I$89,"XC 4*"))+(COUNTIF('Thur-Fri'!$I$63:$I$89,"XC 5*"))</f>
        <v>16</v>
      </c>
      <c r="I9" s="156"/>
      <c r="J9" s="156">
        <f t="shared" si="1"/>
        <v>97</v>
      </c>
      <c r="K9" s="156"/>
    </row>
    <row r="10" spans="1:11" x14ac:dyDescent="0.2">
      <c r="A10" s="158" t="s">
        <v>72</v>
      </c>
      <c r="B10" s="156">
        <f>(COUNTIF('Fri-Sat'!$I$96:$I$103,"XC 4*"))+(COUNTIF('Fri-Sat'!$I$96:$I$103,"XC 5*"))</f>
        <v>4</v>
      </c>
      <c r="C10" s="156">
        <f>(COUNTIF('Sat-Sun'!$I$96:$I$103,"XC 4*"))+(COUNTIF('Sat-Sun'!$I$96:$I$103,"XC 5*"))</f>
        <v>0</v>
      </c>
      <c r="D10" s="156">
        <f>(COUNTIF('Sun-Mon'!$I$96:$I$103,"XC 4*"))+(COUNTIF('Sun-Mon'!$I$96:$I$103,"XC 5*"))</f>
        <v>4</v>
      </c>
      <c r="E10" s="156">
        <f>(COUNTIF('Mon-Tue'!$I$96:$I$103,"XC 4*"))+(COUNTIF('Mon-Tue'!$I$96:$I$103,"XC 5*"))</f>
        <v>4</v>
      </c>
      <c r="F10" s="156">
        <f>(COUNTIF('Tue-Wed'!$I$96:$I$103,"XC 4*"))+(COUNTIF('Tue-Wed'!$I$96:$I$103,"XC 5*"))</f>
        <v>4</v>
      </c>
      <c r="G10" s="156">
        <f>(COUNTIF('Wed-Thur'!$I$96:$I$103,"XC 4*"))+(COUNTIF('Wed-Thur'!$I$96:$I$103,"XC 5*"))</f>
        <v>4</v>
      </c>
      <c r="H10" s="156">
        <f>(COUNTIF('Thur-Fri'!$I$96:$I$103,"XC 4*"))+(COUNTIF('Thur-Fri'!$I$96:$I$103,"XC 5*"))</f>
        <v>4</v>
      </c>
      <c r="I10" s="156"/>
      <c r="J10" s="156">
        <f t="shared" si="1"/>
        <v>24</v>
      </c>
      <c r="K10" s="156"/>
    </row>
    <row r="11" spans="1:11" x14ac:dyDescent="0.2">
      <c r="A11" s="158" t="s">
        <v>73</v>
      </c>
      <c r="B11" s="156">
        <f>(COUNTIF('Fri-Sat'!$I$110:$I$119,"XC 4*"))+(COUNTIF('Fri-Sat'!$I$110:$I$119,"XC 5*"))</f>
        <v>5</v>
      </c>
      <c r="C11" s="156">
        <f>(COUNTIF('Sat-Sun'!$I$110:$I$119,"XC 4*"))+(COUNTIF('Sat-Sun'!$I$110:$I$119,"XC 5*"))</f>
        <v>3</v>
      </c>
      <c r="D11" s="156">
        <f>(COUNTIF('Sun-Mon'!$I$110:$I$119,"XC 4*"))+(COUNTIF('Sun-Mon'!$I$110:$I$119,"XC 5*"))</f>
        <v>5</v>
      </c>
      <c r="E11" s="156">
        <f>(COUNTIF('Mon-Tue'!$I$110:$I$119,"XC 4*"))+(COUNTIF('Mon-Tue'!$I$110:$I$119,"XC 5*"))</f>
        <v>5</v>
      </c>
      <c r="F11" s="156">
        <f>(COUNTIF('Tue-Wed'!$I$110:$I$119,"XC 4*"))+(COUNTIF('Tue-Wed'!$I$110:$I$119,"XC 5*"))</f>
        <v>5</v>
      </c>
      <c r="G11" s="156">
        <f>(COUNTIF('Wed-Thur'!$I$110:$I$119,"XC 4*"))+(COUNTIF('Wed-Thur'!$I$110:$I$119,"XC 5*"))</f>
        <v>5</v>
      </c>
      <c r="H11" s="156">
        <f>(COUNTIF('Thur-Fri'!$I$110:$I$119,"XC 4*"))+(COUNTIF('Thur-Fri'!$I$110:$I$119,"XC 5*"))</f>
        <v>5</v>
      </c>
      <c r="I11" s="156"/>
      <c r="J11" s="156">
        <f t="shared" si="1"/>
        <v>33</v>
      </c>
      <c r="K11" s="156"/>
    </row>
    <row r="12" spans="1:11" x14ac:dyDescent="0.2">
      <c r="A12" s="158" t="s">
        <v>74</v>
      </c>
      <c r="B12" s="156">
        <f>(COUNTIF('Fri-Sat'!$I$126:$I$130,"XC 4*"))+(COUNTIF('Fri-Sat'!$I$126:$I$130,"XC 5*"))</f>
        <v>2</v>
      </c>
      <c r="C12" s="156">
        <f>(COUNTIF('Sat-Sun'!$I$126:$I$130,"XC 4*"))+(COUNTIF('Sat-Sun'!$I$126:$I$130,"XC 5*"))</f>
        <v>2</v>
      </c>
      <c r="D12" s="156">
        <f>(COUNTIF('Sun-Mon'!$I$126:$I$130,"XC 4*"))+(COUNTIF('Sun-Mon'!$I$126:$I$130,"XC 5*"))</f>
        <v>2</v>
      </c>
      <c r="E12" s="156">
        <f>(COUNTIF('Mon-Tue'!$I$126:$I$130,"XC 4*"))+(COUNTIF('Mon-Tue'!$I$126:$I$130,"XC 5*"))</f>
        <v>2</v>
      </c>
      <c r="F12" s="156">
        <f>(COUNTIF('Tue-Wed'!$I$126:$I$130,"XC 4*"))+(COUNTIF('Tue-Wed'!$I$126:$I$130,"XC 5*"))</f>
        <v>2</v>
      </c>
      <c r="G12" s="156">
        <f>(COUNTIF('Wed-Thur'!$I$126:$I$130,"XC 4*"))+(COUNTIF('Wed-Thur'!$I$126:$I$130,"XC 5*"))</f>
        <v>2</v>
      </c>
      <c r="H12" s="156">
        <f>(COUNTIF('Thur-Fri'!$I$126:$I$130,"XC 4*"))+(COUNTIF('Thur-Fri'!$I$126:$I$130,"XC 5*"))</f>
        <v>2</v>
      </c>
      <c r="I12" s="156"/>
      <c r="J12" s="156">
        <f t="shared" si="1"/>
        <v>14</v>
      </c>
      <c r="K12" s="156"/>
    </row>
    <row r="13" spans="1:11" x14ac:dyDescent="0.2">
      <c r="A13" s="158" t="s">
        <v>75</v>
      </c>
      <c r="B13" s="156">
        <f>(COUNTIF('Fri-Sat'!$I$137:$I$145,"XC 4*"))+(COUNTIF('Fri-Sat'!$I$137:$I$145,"XC 5*"))</f>
        <v>8</v>
      </c>
      <c r="C13" s="156">
        <f>(COUNTIF('Sat-Sun'!$I$137:$I$145,"XC 4*"))+(COUNTIF('Sat-Sun'!$I$137:$I$145,"XC 5*"))</f>
        <v>2</v>
      </c>
      <c r="D13" s="156">
        <f>(COUNTIF('Sun-Mon'!$I$137:$I$145,"XC 4*"))+(COUNTIF('Sun-Mon'!$I$137:$I$145,"XC 5*"))</f>
        <v>8</v>
      </c>
      <c r="E13" s="156">
        <f>(COUNTIF('Mon-Tue'!$I$137:$I$145,"XC 4*"))+(COUNTIF('Mon-Tue'!$I$137:$I$145,"XC 5*"))</f>
        <v>8</v>
      </c>
      <c r="F13" s="156">
        <f>(COUNTIF('Tue-Wed'!$I$137:$I$145,"XC 4*"))+(COUNTIF('Tue-Wed'!$I$137:$I$145,"XC 5*"))</f>
        <v>8</v>
      </c>
      <c r="G13" s="156">
        <f>(COUNTIF('Wed-Thur'!$I$137:$I$145,"XC 4*"))+(COUNTIF('Wed-Thur'!$I$137:$I$145,"XC 5*"))</f>
        <v>8</v>
      </c>
      <c r="H13" s="156">
        <f>(COUNTIF('Thur-Fri'!$I$137:$I$145,"XC 4*"))+(COUNTIF('Thur-Fri'!$I$137:$I$145,"XC 5*"))</f>
        <v>8</v>
      </c>
      <c r="I13" s="156"/>
      <c r="J13" s="156">
        <f t="shared" si="1"/>
        <v>50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4" t="s">
        <v>155</v>
      </c>
      <c r="B15" s="156">
        <f t="shared" ref="B15:H15" si="2">SUM(B5:B13)</f>
        <v>53</v>
      </c>
      <c r="C15" s="156">
        <f t="shared" si="2"/>
        <v>9</v>
      </c>
      <c r="D15" s="156">
        <f t="shared" si="2"/>
        <v>53</v>
      </c>
      <c r="E15" s="156">
        <f t="shared" si="2"/>
        <v>53</v>
      </c>
      <c r="F15" s="156">
        <f t="shared" si="2"/>
        <v>53</v>
      </c>
      <c r="G15" s="156">
        <f t="shared" si="2"/>
        <v>53</v>
      </c>
      <c r="H15" s="156">
        <f t="shared" si="2"/>
        <v>53</v>
      </c>
      <c r="I15" s="156"/>
      <c r="J15" s="156">
        <f t="shared" si="1"/>
        <v>327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  <row r="17" spans="1:11" ht="8.25" customHeight="1" x14ac:dyDescent="0.2">
      <c r="A17" s="156"/>
      <c r="B17" s="156"/>
      <c r="C17" s="156"/>
      <c r="D17" s="156"/>
      <c r="E17" s="156"/>
      <c r="F17" s="156"/>
      <c r="G17" s="156"/>
      <c r="H17" s="156"/>
      <c r="I17" s="156"/>
      <c r="J17" s="156"/>
      <c r="K17" s="156"/>
    </row>
    <row r="18" spans="1:11" x14ac:dyDescent="0.2">
      <c r="A18" s="249" t="s">
        <v>91</v>
      </c>
      <c r="B18" s="250"/>
      <c r="C18" s="250"/>
      <c r="D18" s="250"/>
      <c r="E18" s="250"/>
      <c r="F18" s="250"/>
      <c r="G18" s="250"/>
      <c r="H18" s="250"/>
      <c r="I18" s="250"/>
      <c r="J18" s="250"/>
      <c r="K18" s="250"/>
    </row>
    <row r="19" spans="1:11" x14ac:dyDescent="0.2">
      <c r="A19" s="158">
        <v>220</v>
      </c>
      <c r="B19" s="159">
        <f>SUM('Fri-Sat'!D188)</f>
        <v>29009.219999999998</v>
      </c>
      <c r="C19" s="159">
        <f>SUM('Sat-Sun'!D188)</f>
        <v>16379.720000000001</v>
      </c>
      <c r="D19" s="159">
        <f>SUM('Sun-Mon'!D188)</f>
        <v>28660.3</v>
      </c>
      <c r="E19" s="159">
        <f>SUM('Mon-Tue'!D188)</f>
        <v>29642.959999999999</v>
      </c>
      <c r="F19" s="159">
        <f>SUM('Tue-Wed'!D188)</f>
        <v>29687.159999999996</v>
      </c>
      <c r="G19" s="159">
        <f>SUM('Wed-Thur'!D188)</f>
        <v>29687.159999999996</v>
      </c>
      <c r="H19" s="159">
        <f>SUM('Thur-Fri'!D188)</f>
        <v>29026.799999999996</v>
      </c>
      <c r="I19" s="159"/>
      <c r="J19" s="159">
        <f>SUM(B19:H19)</f>
        <v>192093.32</v>
      </c>
      <c r="K19" s="156"/>
    </row>
    <row r="20" spans="1:11" x14ac:dyDescent="0.2">
      <c r="A20" s="158">
        <v>221</v>
      </c>
      <c r="B20" s="159">
        <f>SUM('Fri-Sat'!M188)</f>
        <v>15901.44</v>
      </c>
      <c r="C20" s="159">
        <f>SUM('Sat-Sun'!M188)</f>
        <v>7587.8399999999992</v>
      </c>
      <c r="D20" s="159">
        <f>SUM('Sun-Mon'!M188)</f>
        <v>16117.209999999997</v>
      </c>
      <c r="E20" s="159">
        <f>SUM('Mon-Tue'!M188)</f>
        <v>16059.859999999999</v>
      </c>
      <c r="F20" s="159">
        <f>SUM('Tue-Wed'!M188)</f>
        <v>16059.56</v>
      </c>
      <c r="G20" s="159">
        <f>SUM('Wed-Thur'!M188)</f>
        <v>16059.56</v>
      </c>
      <c r="H20" s="159">
        <f>SUM('Thur-Fri'!M188)</f>
        <v>16001.459999999997</v>
      </c>
      <c r="I20" s="159"/>
      <c r="J20" s="159">
        <f>SUM(B20:H20)</f>
        <v>103786.93</v>
      </c>
      <c r="K20" s="156"/>
    </row>
    <row r="21" spans="1:11" x14ac:dyDescent="0.2">
      <c r="A21" s="160" t="s">
        <v>155</v>
      </c>
      <c r="B21" s="161">
        <f t="shared" ref="B21:H21" si="3">SUM(B19:B20)</f>
        <v>44910.659999999996</v>
      </c>
      <c r="C21" s="161">
        <f t="shared" si="3"/>
        <v>23967.56</v>
      </c>
      <c r="D21" s="161">
        <f t="shared" si="3"/>
        <v>44777.509999999995</v>
      </c>
      <c r="E21" s="161">
        <f t="shared" si="3"/>
        <v>45702.82</v>
      </c>
      <c r="F21" s="161">
        <f t="shared" si="3"/>
        <v>45746.719999999994</v>
      </c>
      <c r="G21" s="161">
        <f t="shared" si="3"/>
        <v>45746.719999999994</v>
      </c>
      <c r="H21" s="161">
        <f t="shared" si="3"/>
        <v>45028.259999999995</v>
      </c>
      <c r="I21" s="206"/>
      <c r="J21" s="161">
        <f>SUM(B21:H21)</f>
        <v>295880.25</v>
      </c>
      <c r="K21" s="156"/>
    </row>
    <row r="22" spans="1:11" x14ac:dyDescent="0.2">
      <c r="A22" s="162"/>
      <c r="B22" s="206"/>
      <c r="C22" s="206"/>
      <c r="D22" s="206"/>
      <c r="E22" s="206"/>
      <c r="F22" s="206"/>
      <c r="G22" s="206"/>
      <c r="H22" s="206"/>
      <c r="I22" s="206"/>
      <c r="J22" s="206"/>
      <c r="K22" s="156"/>
    </row>
  </sheetData>
  <autoFilter ref="A3:H13"/>
  <mergeCells count="2">
    <mergeCell ref="A1:K1"/>
    <mergeCell ref="A18:K18"/>
  </mergeCells>
  <phoneticPr fontId="0" type="noConversion"/>
  <conditionalFormatting sqref="B5:I13">
    <cfRule type="cellIs" dxfId="1361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90"/>
  <sheetViews>
    <sheetView view="pageBreakPreview" topLeftCell="A61" zoomScaleNormal="70" zoomScaleSheetLayoutView="100" workbookViewId="0">
      <selection activeCell="E66" sqref="E66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101</v>
      </c>
      <c r="B3" s="118"/>
      <c r="C3" s="9"/>
      <c r="D3" s="255">
        <f>'DEPT BAL'!$B$4-1</f>
        <v>43063</v>
      </c>
      <c r="E3" s="255"/>
      <c r="I3" s="8" t="s">
        <v>102</v>
      </c>
      <c r="J3" s="118"/>
      <c r="L3" s="252">
        <f>D3+1</f>
        <v>43064</v>
      </c>
      <c r="M3" s="252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420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4" t="s">
        <v>86</v>
      </c>
      <c r="B5" s="121" t="s">
        <v>279</v>
      </c>
      <c r="C5" s="15" t="s">
        <v>130</v>
      </c>
      <c r="D5" s="18" t="s">
        <v>373</v>
      </c>
      <c r="E5" s="40">
        <v>220025</v>
      </c>
      <c r="F5" s="135"/>
      <c r="G5" s="12"/>
      <c r="H5" s="174" t="str">
        <f>$I$2</f>
        <v>EC</v>
      </c>
      <c r="I5" s="145" t="s">
        <v>29</v>
      </c>
      <c r="J5" s="120" t="s">
        <v>250</v>
      </c>
      <c r="K5" s="209" t="s">
        <v>199</v>
      </c>
      <c r="L5" s="34" t="s">
        <v>61</v>
      </c>
      <c r="M5" s="146" t="s">
        <v>327</v>
      </c>
      <c r="N5" s="147">
        <v>920.67</v>
      </c>
      <c r="O5" s="40"/>
      <c r="P5" s="107"/>
      <c r="Q5" s="40">
        <v>220014</v>
      </c>
      <c r="R5" s="230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151</v>
      </c>
      <c r="C6" s="15" t="s">
        <v>130</v>
      </c>
      <c r="D6" s="18" t="s">
        <v>266</v>
      </c>
      <c r="E6" s="40">
        <v>220014</v>
      </c>
      <c r="F6" s="135"/>
      <c r="G6" s="17"/>
      <c r="H6" s="174" t="str">
        <f t="shared" ref="H6:H17" si="0">$I$2</f>
        <v>EC</v>
      </c>
      <c r="I6" s="14" t="s">
        <v>54</v>
      </c>
      <c r="J6" s="126" t="s">
        <v>211</v>
      </c>
      <c r="K6" s="135" t="s">
        <v>292</v>
      </c>
      <c r="L6" s="15" t="s">
        <v>60</v>
      </c>
      <c r="M6" s="19" t="s">
        <v>385</v>
      </c>
      <c r="N6" s="79">
        <v>1019.97</v>
      </c>
      <c r="O6" s="40"/>
      <c r="P6" s="108" t="s">
        <v>149</v>
      </c>
      <c r="Q6" s="40">
        <v>220025</v>
      </c>
      <c r="R6" s="223" t="s">
        <v>616</v>
      </c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182</v>
      </c>
      <c r="C7" s="15" t="s">
        <v>130</v>
      </c>
      <c r="D7" s="18" t="s">
        <v>261</v>
      </c>
      <c r="E7" s="40">
        <v>220023</v>
      </c>
      <c r="F7" s="135"/>
      <c r="G7" s="17" t="s">
        <v>600</v>
      </c>
      <c r="H7" s="174" t="str">
        <f t="shared" si="0"/>
        <v>EC</v>
      </c>
      <c r="I7" s="14" t="s">
        <v>31</v>
      </c>
      <c r="J7" s="126" t="s">
        <v>429</v>
      </c>
      <c r="K7" s="135" t="s">
        <v>430</v>
      </c>
      <c r="L7" s="15" t="s">
        <v>60</v>
      </c>
      <c r="M7" s="19" t="s">
        <v>289</v>
      </c>
      <c r="N7" s="79">
        <v>962.11</v>
      </c>
      <c r="O7" s="40"/>
      <c r="P7" s="108" t="s">
        <v>149</v>
      </c>
      <c r="Q7" s="40">
        <v>220008</v>
      </c>
      <c r="R7" s="223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232</v>
      </c>
      <c r="C8" s="30" t="s">
        <v>130</v>
      </c>
      <c r="D8" s="18" t="s">
        <v>288</v>
      </c>
      <c r="E8" s="40">
        <v>220008</v>
      </c>
      <c r="F8" s="135"/>
      <c r="G8" s="17"/>
      <c r="H8" s="174" t="str">
        <f t="shared" si="0"/>
        <v>EC</v>
      </c>
      <c r="I8" s="14" t="s">
        <v>34</v>
      </c>
      <c r="J8" s="217" t="s">
        <v>177</v>
      </c>
      <c r="K8" s="218" t="s">
        <v>269</v>
      </c>
      <c r="L8" s="27" t="s">
        <v>56</v>
      </c>
      <c r="M8" s="128" t="s">
        <v>339</v>
      </c>
      <c r="N8" s="129">
        <v>924.59</v>
      </c>
      <c r="O8" s="40"/>
      <c r="P8" s="108"/>
      <c r="Q8" s="40">
        <v>220023</v>
      </c>
      <c r="R8" s="17" t="s">
        <v>600</v>
      </c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273</v>
      </c>
      <c r="C9" s="32" t="s">
        <v>131</v>
      </c>
      <c r="D9" s="18" t="s">
        <v>175</v>
      </c>
      <c r="E9" s="40">
        <v>220024</v>
      </c>
      <c r="F9" s="135"/>
      <c r="G9" s="17"/>
      <c r="H9" s="174" t="str">
        <f>$I$2</f>
        <v>EC</v>
      </c>
      <c r="I9" s="14" t="s">
        <v>48</v>
      </c>
      <c r="J9" s="126" t="s">
        <v>251</v>
      </c>
      <c r="K9" s="135" t="s">
        <v>392</v>
      </c>
      <c r="L9" s="15" t="s">
        <v>56</v>
      </c>
      <c r="M9" s="77" t="s">
        <v>346</v>
      </c>
      <c r="N9" s="98">
        <v>964.97</v>
      </c>
      <c r="O9" s="40"/>
      <c r="P9" s="108" t="s">
        <v>149</v>
      </c>
      <c r="Q9" s="40">
        <v>220024</v>
      </c>
      <c r="R9" s="223"/>
      <c r="S9" s="116" t="str">
        <f t="shared" si="1"/>
        <v>Yes</v>
      </c>
    </row>
    <row r="10" spans="1:19" ht="21.75" customHeight="1" x14ac:dyDescent="0.2">
      <c r="A10" s="68" t="s">
        <v>33</v>
      </c>
      <c r="B10" s="126" t="s">
        <v>152</v>
      </c>
      <c r="C10" s="15" t="s">
        <v>130</v>
      </c>
      <c r="D10" s="18" t="s">
        <v>184</v>
      </c>
      <c r="E10" s="40">
        <v>221122</v>
      </c>
      <c r="F10" s="135"/>
      <c r="G10" s="17"/>
      <c r="H10" s="174" t="str">
        <f t="shared" si="0"/>
        <v>EC</v>
      </c>
      <c r="I10" s="14" t="s">
        <v>105</v>
      </c>
      <c r="J10" s="126" t="s">
        <v>150</v>
      </c>
      <c r="K10" s="135" t="s">
        <v>393</v>
      </c>
      <c r="L10" s="30" t="s">
        <v>58</v>
      </c>
      <c r="M10" s="35" t="s">
        <v>386</v>
      </c>
      <c r="N10" s="97">
        <v>842.41</v>
      </c>
      <c r="O10" s="40"/>
      <c r="P10" s="108"/>
      <c r="Q10" s="40">
        <v>221122</v>
      </c>
      <c r="R10" s="224" t="s">
        <v>598</v>
      </c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68"/>
      <c r="J11" s="126"/>
      <c r="K11" s="135"/>
      <c r="L11" s="30"/>
      <c r="M11" s="35"/>
      <c r="N11" s="97"/>
      <c r="O11" s="40"/>
      <c r="P11" s="108"/>
      <c r="Q11" s="40"/>
      <c r="R11" s="224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93"/>
      <c r="J12" s="180"/>
      <c r="K12" s="154"/>
      <c r="L12" s="81"/>
      <c r="M12" s="94"/>
      <c r="N12" s="99"/>
      <c r="O12" s="40"/>
      <c r="P12" s="108"/>
      <c r="Q12" s="40"/>
      <c r="R12" s="224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93"/>
      <c r="J13" s="180"/>
      <c r="K13" s="154"/>
      <c r="L13" s="81"/>
      <c r="M13" s="94"/>
      <c r="N13" s="99"/>
      <c r="O13" s="40"/>
      <c r="P13" s="108"/>
      <c r="Q13" s="40"/>
      <c r="R13" s="224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4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4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4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5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 t="s">
        <v>607</v>
      </c>
      <c r="G19" s="269">
        <v>0.52083333333333337</v>
      </c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101</v>
      </c>
      <c r="B23" s="118"/>
      <c r="C23" s="9"/>
      <c r="D23" s="255">
        <f>'DEPT BAL'!$B$4-1</f>
        <v>43063</v>
      </c>
      <c r="E23" s="255"/>
      <c r="F23" s="138"/>
      <c r="I23" s="8" t="s">
        <v>102</v>
      </c>
      <c r="J23" s="118"/>
      <c r="L23" s="252">
        <f>D23+1</f>
        <v>43064</v>
      </c>
      <c r="M23" s="252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420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40</v>
      </c>
      <c r="B25" s="120" t="s">
        <v>411</v>
      </c>
      <c r="C25" s="11" t="s">
        <v>134</v>
      </c>
      <c r="D25" s="25" t="s">
        <v>440</v>
      </c>
      <c r="E25" s="39">
        <v>220021</v>
      </c>
      <c r="F25" s="134"/>
      <c r="G25" s="12"/>
      <c r="H25" s="174" t="str">
        <f t="shared" ref="H25:H30" si="2">$I$22</f>
        <v>TY</v>
      </c>
      <c r="I25" s="10" t="s">
        <v>89</v>
      </c>
      <c r="J25" s="120" t="s">
        <v>256</v>
      </c>
      <c r="K25" s="209" t="s">
        <v>347</v>
      </c>
      <c r="L25" s="11" t="s">
        <v>59</v>
      </c>
      <c r="M25" s="13" t="s">
        <v>433</v>
      </c>
      <c r="N25" s="78">
        <v>966.82</v>
      </c>
      <c r="O25" s="39"/>
      <c r="P25" s="107"/>
      <c r="Q25" s="39">
        <v>220021</v>
      </c>
      <c r="R25" s="222"/>
      <c r="S25" s="115" t="str">
        <f t="shared" ref="S25:S30" si="3">IF(N25&gt;0,"Yes","")</f>
        <v>Yes</v>
      </c>
    </row>
    <row r="26" spans="1:19" ht="21.75" customHeight="1" x14ac:dyDescent="0.2">
      <c r="A26" s="14" t="s">
        <v>47</v>
      </c>
      <c r="B26" s="121" t="s">
        <v>244</v>
      </c>
      <c r="C26" s="30" t="s">
        <v>134</v>
      </c>
      <c r="D26" s="18" t="s">
        <v>322</v>
      </c>
      <c r="E26" s="40">
        <v>220017</v>
      </c>
      <c r="F26" s="135"/>
      <c r="G26" s="17"/>
      <c r="H26" s="174" t="str">
        <f t="shared" si="2"/>
        <v>TY</v>
      </c>
      <c r="I26" s="14" t="s">
        <v>106</v>
      </c>
      <c r="J26" s="121" t="s">
        <v>257</v>
      </c>
      <c r="K26" s="140" t="s">
        <v>278</v>
      </c>
      <c r="L26" s="15" t="s">
        <v>62</v>
      </c>
      <c r="M26" s="19" t="s">
        <v>434</v>
      </c>
      <c r="N26" s="79">
        <v>1009.6</v>
      </c>
      <c r="O26" s="40"/>
      <c r="P26" s="108" t="s">
        <v>149</v>
      </c>
      <c r="Q26" s="40">
        <v>221128</v>
      </c>
      <c r="R26" s="17" t="s">
        <v>565</v>
      </c>
      <c r="S26" s="116" t="str">
        <f t="shared" si="3"/>
        <v>Yes</v>
      </c>
    </row>
    <row r="27" spans="1:19" ht="21.75" customHeight="1" x14ac:dyDescent="0.2">
      <c r="A27" s="14" t="s">
        <v>106</v>
      </c>
      <c r="B27" s="121" t="s">
        <v>275</v>
      </c>
      <c r="C27" s="15" t="s">
        <v>134</v>
      </c>
      <c r="D27" s="18" t="s">
        <v>295</v>
      </c>
      <c r="E27" s="40">
        <v>221128</v>
      </c>
      <c r="F27" s="135" t="s">
        <v>564</v>
      </c>
      <c r="G27" s="17" t="s">
        <v>565</v>
      </c>
      <c r="H27" s="174" t="str">
        <f t="shared" si="2"/>
        <v>TY</v>
      </c>
      <c r="I27" s="14" t="s">
        <v>49</v>
      </c>
      <c r="J27" s="181"/>
      <c r="K27" s="210"/>
      <c r="L27" s="15" t="s">
        <v>60</v>
      </c>
      <c r="M27" s="19" t="s">
        <v>289</v>
      </c>
      <c r="N27" s="79">
        <v>839.53</v>
      </c>
      <c r="O27" s="40"/>
      <c r="P27" s="112" t="s">
        <v>149</v>
      </c>
      <c r="Q27" s="40">
        <v>220017</v>
      </c>
      <c r="R27" s="223"/>
      <c r="S27" s="116" t="str">
        <f t="shared" si="3"/>
        <v>Yes</v>
      </c>
    </row>
    <row r="28" spans="1:19" ht="21.75" customHeight="1" x14ac:dyDescent="0.2">
      <c r="A28" s="14" t="s">
        <v>87</v>
      </c>
      <c r="B28" s="181"/>
      <c r="C28" s="15" t="s">
        <v>134</v>
      </c>
      <c r="D28" s="18" t="s">
        <v>295</v>
      </c>
      <c r="E28" s="40">
        <v>220027</v>
      </c>
      <c r="F28" s="135"/>
      <c r="G28" s="112"/>
      <c r="H28" s="174" t="str">
        <f t="shared" si="2"/>
        <v>TY</v>
      </c>
      <c r="I28" s="14" t="s">
        <v>85</v>
      </c>
      <c r="J28" s="121" t="s">
        <v>258</v>
      </c>
      <c r="K28" s="140" t="s">
        <v>293</v>
      </c>
      <c r="L28" s="15" t="s">
        <v>61</v>
      </c>
      <c r="M28" s="19" t="s">
        <v>287</v>
      </c>
      <c r="N28" s="79">
        <v>888.56</v>
      </c>
      <c r="O28" s="40"/>
      <c r="P28" s="108"/>
      <c r="Q28" s="40">
        <v>220027</v>
      </c>
      <c r="R28" s="223"/>
      <c r="S28" s="116" t="str">
        <f t="shared" si="3"/>
        <v>Yes</v>
      </c>
    </row>
    <row r="29" spans="1:19" ht="21.75" customHeight="1" x14ac:dyDescent="0.2">
      <c r="A29" s="14" t="s">
        <v>49</v>
      </c>
      <c r="B29" s="126" t="s">
        <v>192</v>
      </c>
      <c r="C29" s="15" t="s">
        <v>134</v>
      </c>
      <c r="D29" s="16" t="s">
        <v>289</v>
      </c>
      <c r="E29" s="40">
        <v>220004</v>
      </c>
      <c r="F29" s="135"/>
      <c r="G29" s="17"/>
      <c r="H29" s="174" t="str">
        <f t="shared" si="2"/>
        <v>TY</v>
      </c>
      <c r="I29" s="14" t="s">
        <v>35</v>
      </c>
      <c r="J29" s="181"/>
      <c r="K29" s="210"/>
      <c r="L29" s="15" t="s">
        <v>66</v>
      </c>
      <c r="M29" s="19" t="s">
        <v>391</v>
      </c>
      <c r="N29" s="79">
        <v>721.56</v>
      </c>
      <c r="O29" s="40"/>
      <c r="P29" s="108"/>
      <c r="Q29" s="40">
        <v>220004</v>
      </c>
      <c r="R29" s="223"/>
      <c r="S29" s="116" t="str">
        <f t="shared" si="3"/>
        <v>Yes</v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5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 t="s">
        <v>607</v>
      </c>
      <c r="G32" s="269">
        <v>0.52083333333333337</v>
      </c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101</v>
      </c>
      <c r="B35" s="118"/>
      <c r="C35" s="9"/>
      <c r="D35" s="255">
        <f>'DEPT BAL'!$B$4-1</f>
        <v>43063</v>
      </c>
      <c r="E35" s="255"/>
      <c r="F35" s="138"/>
      <c r="I35" s="8" t="s">
        <v>102</v>
      </c>
      <c r="J35" s="118"/>
      <c r="L35" s="252">
        <f>D35+1</f>
        <v>43064</v>
      </c>
      <c r="M35" s="252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420</v>
      </c>
      <c r="Q36" s="280" t="s">
        <v>5</v>
      </c>
      <c r="R36" s="281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308</v>
      </c>
      <c r="C37" s="15" t="s">
        <v>136</v>
      </c>
      <c r="D37" s="18" t="s">
        <v>378</v>
      </c>
      <c r="E37" s="39">
        <v>220026</v>
      </c>
      <c r="F37" s="134"/>
      <c r="G37" s="193"/>
      <c r="H37" s="174" t="str">
        <f t="shared" ref="H37:H42" si="4">$I$34</f>
        <v>XW</v>
      </c>
      <c r="I37" s="10" t="s">
        <v>53</v>
      </c>
      <c r="J37" s="120" t="s">
        <v>259</v>
      </c>
      <c r="K37" s="209" t="s">
        <v>280</v>
      </c>
      <c r="L37" s="11" t="s">
        <v>62</v>
      </c>
      <c r="M37" s="13" t="s">
        <v>395</v>
      </c>
      <c r="N37" s="78">
        <v>962.11</v>
      </c>
      <c r="O37" s="39"/>
      <c r="P37" s="275" t="s">
        <v>149</v>
      </c>
      <c r="Q37" s="40" t="s">
        <v>567</v>
      </c>
      <c r="R37" s="40"/>
      <c r="S37" s="278" t="str">
        <f t="shared" ref="S37:S42" si="5">IF(N37&gt;0,"Yes","")</f>
        <v>Yes</v>
      </c>
    </row>
    <row r="38" spans="1:19" ht="21.75" customHeight="1" x14ac:dyDescent="0.2">
      <c r="A38" s="14" t="s">
        <v>36</v>
      </c>
      <c r="B38" s="126" t="s">
        <v>194</v>
      </c>
      <c r="C38" s="15" t="s">
        <v>137</v>
      </c>
      <c r="D38" s="18" t="s">
        <v>323</v>
      </c>
      <c r="E38" s="40">
        <v>220007</v>
      </c>
      <c r="F38" s="135"/>
      <c r="G38" s="90"/>
      <c r="H38" s="174" t="str">
        <f t="shared" si="4"/>
        <v>XW</v>
      </c>
      <c r="I38" s="14" t="s">
        <v>390</v>
      </c>
      <c r="J38" s="181"/>
      <c r="K38" s="210"/>
      <c r="L38" s="70" t="s">
        <v>56</v>
      </c>
      <c r="M38" s="19" t="s">
        <v>435</v>
      </c>
      <c r="N38" s="79">
        <v>672.19</v>
      </c>
      <c r="O38" s="40"/>
      <c r="P38" s="276" t="s">
        <v>149</v>
      </c>
      <c r="Q38" s="40">
        <v>220007</v>
      </c>
      <c r="R38" s="29"/>
      <c r="S38" s="279" t="str">
        <f t="shared" si="5"/>
        <v>Yes</v>
      </c>
    </row>
    <row r="39" spans="1:19" ht="21.75" customHeight="1" x14ac:dyDescent="0.2">
      <c r="A39" s="14" t="s">
        <v>390</v>
      </c>
      <c r="B39" s="126" t="s">
        <v>290</v>
      </c>
      <c r="C39" s="15"/>
      <c r="D39" s="16"/>
      <c r="E39" s="40" t="s">
        <v>567</v>
      </c>
      <c r="F39" s="135"/>
      <c r="G39" s="90"/>
      <c r="H39" s="174" t="str">
        <f t="shared" si="4"/>
        <v>XW</v>
      </c>
      <c r="I39" s="14" t="s">
        <v>46</v>
      </c>
      <c r="J39" s="126" t="s">
        <v>260</v>
      </c>
      <c r="K39" s="135" t="s">
        <v>348</v>
      </c>
      <c r="L39" s="15" t="s">
        <v>56</v>
      </c>
      <c r="M39" s="19" t="s">
        <v>311</v>
      </c>
      <c r="N39" s="79">
        <v>911.21</v>
      </c>
      <c r="O39" s="40"/>
      <c r="P39" s="227"/>
      <c r="Q39" s="40">
        <v>221124</v>
      </c>
      <c r="R39" s="40" t="s">
        <v>610</v>
      </c>
      <c r="S39" s="279" t="str">
        <f t="shared" si="5"/>
        <v>Yes</v>
      </c>
    </row>
    <row r="40" spans="1:19" ht="21.75" customHeight="1" x14ac:dyDescent="0.2">
      <c r="A40" s="14" t="s">
        <v>604</v>
      </c>
      <c r="B40" s="126" t="s">
        <v>193</v>
      </c>
      <c r="C40" s="15"/>
      <c r="D40" s="16" t="s">
        <v>605</v>
      </c>
      <c r="E40" s="40">
        <v>221124</v>
      </c>
      <c r="F40" s="135"/>
      <c r="G40" s="90"/>
      <c r="H40" s="174" t="str">
        <f t="shared" si="4"/>
        <v>XW</v>
      </c>
      <c r="I40" s="14"/>
      <c r="J40" s="126" t="s">
        <v>622</v>
      </c>
      <c r="K40" s="135" t="s">
        <v>196</v>
      </c>
      <c r="L40" s="15" t="s">
        <v>56</v>
      </c>
      <c r="M40" s="19"/>
      <c r="N40" s="79"/>
      <c r="O40" s="40"/>
      <c r="P40" s="227"/>
      <c r="Q40" s="40">
        <v>220026</v>
      </c>
      <c r="R40" s="40" t="s">
        <v>623</v>
      </c>
      <c r="S40" s="279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277"/>
      <c r="Q41" s="40"/>
      <c r="R41" s="40"/>
      <c r="S41" s="279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85"/>
      <c r="R42" s="226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 t="s">
        <v>621</v>
      </c>
      <c r="G44" s="274">
        <v>0.91666666666666663</v>
      </c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101</v>
      </c>
      <c r="B47" s="118"/>
      <c r="C47" s="9"/>
      <c r="D47" s="255">
        <f>'DEPT BAL'!$B$4-1</f>
        <v>43063</v>
      </c>
      <c r="E47" s="255"/>
      <c r="F47" s="138"/>
      <c r="I47" s="8" t="s">
        <v>102</v>
      </c>
      <c r="J47" s="118"/>
      <c r="L47" s="252">
        <f>D47+1</f>
        <v>43064</v>
      </c>
      <c r="M47" s="252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420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0" t="s">
        <v>186</v>
      </c>
      <c r="C49" s="34" t="s">
        <v>228</v>
      </c>
      <c r="D49" s="18" t="s">
        <v>178</v>
      </c>
      <c r="E49" s="40">
        <v>221138</v>
      </c>
      <c r="F49" s="134"/>
      <c r="G49" s="12"/>
      <c r="H49" s="174" t="str">
        <f t="shared" ref="H49:H56" si="6">$I$46</f>
        <v>MA</v>
      </c>
      <c r="I49" s="10" t="s">
        <v>37</v>
      </c>
      <c r="J49" s="120" t="s">
        <v>253</v>
      </c>
      <c r="K49" s="211" t="s">
        <v>209</v>
      </c>
      <c r="L49" s="11" t="s">
        <v>56</v>
      </c>
      <c r="M49" s="13" t="s">
        <v>339</v>
      </c>
      <c r="N49" s="144">
        <v>816.9</v>
      </c>
      <c r="O49" s="40"/>
      <c r="P49" s="167"/>
      <c r="Q49" s="40">
        <v>220032</v>
      </c>
      <c r="R49" s="223" t="s">
        <v>569</v>
      </c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187</v>
      </c>
      <c r="C50" s="15" t="s">
        <v>228</v>
      </c>
      <c r="D50" s="18" t="s">
        <v>188</v>
      </c>
      <c r="E50" s="40">
        <v>220032</v>
      </c>
      <c r="F50" s="135"/>
      <c r="G50" s="223" t="s">
        <v>569</v>
      </c>
      <c r="H50" s="174" t="str">
        <f t="shared" si="6"/>
        <v>MA</v>
      </c>
      <c r="I50" s="68" t="s">
        <v>33</v>
      </c>
      <c r="J50" s="126" t="s">
        <v>138</v>
      </c>
      <c r="K50" s="135" t="s">
        <v>154</v>
      </c>
      <c r="L50" s="30" t="s">
        <v>55</v>
      </c>
      <c r="M50" s="35" t="s">
        <v>254</v>
      </c>
      <c r="N50" s="97">
        <v>862.34</v>
      </c>
      <c r="O50" s="40"/>
      <c r="P50" s="108"/>
      <c r="Q50" s="40">
        <v>221135</v>
      </c>
      <c r="R50" s="223" t="s">
        <v>563</v>
      </c>
      <c r="S50" s="116" t="str">
        <f t="shared" si="7"/>
        <v>Yes</v>
      </c>
    </row>
    <row r="51" spans="1:19" ht="21.75" customHeight="1" x14ac:dyDescent="0.2">
      <c r="A51" s="14" t="s">
        <v>146</v>
      </c>
      <c r="B51" s="126" t="s">
        <v>189</v>
      </c>
      <c r="C51" s="15" t="s">
        <v>228</v>
      </c>
      <c r="D51" s="18" t="s">
        <v>319</v>
      </c>
      <c r="E51" s="40">
        <v>220034</v>
      </c>
      <c r="F51" s="135"/>
      <c r="G51" s="17"/>
      <c r="H51" s="174" t="str">
        <f t="shared" si="6"/>
        <v>MA</v>
      </c>
      <c r="I51" s="14" t="s">
        <v>22</v>
      </c>
      <c r="J51" s="127" t="s">
        <v>255</v>
      </c>
      <c r="K51" s="141" t="s">
        <v>173</v>
      </c>
      <c r="L51" s="29" t="s">
        <v>58</v>
      </c>
      <c r="M51" s="77" t="s">
        <v>426</v>
      </c>
      <c r="N51" s="98">
        <v>817.99</v>
      </c>
      <c r="O51" s="40"/>
      <c r="P51" s="112"/>
      <c r="Q51" s="40">
        <v>221138</v>
      </c>
      <c r="R51" s="223"/>
      <c r="S51" s="116" t="str">
        <f t="shared" si="7"/>
        <v>Yes</v>
      </c>
    </row>
    <row r="52" spans="1:19" ht="21.75" customHeight="1" x14ac:dyDescent="0.2">
      <c r="A52" s="68" t="s">
        <v>30</v>
      </c>
      <c r="B52" s="126" t="s">
        <v>190</v>
      </c>
      <c r="C52" s="83" t="s">
        <v>228</v>
      </c>
      <c r="D52" s="18" t="s">
        <v>375</v>
      </c>
      <c r="E52" s="40">
        <v>221135</v>
      </c>
      <c r="F52" s="135"/>
      <c r="G52" s="189" t="s">
        <v>563</v>
      </c>
      <c r="H52" s="174" t="str">
        <f t="shared" si="6"/>
        <v>MA</v>
      </c>
      <c r="I52" s="14" t="s">
        <v>90</v>
      </c>
      <c r="J52" s="181"/>
      <c r="K52" s="210"/>
      <c r="L52" s="15" t="s">
        <v>56</v>
      </c>
      <c r="M52" s="19" t="s">
        <v>313</v>
      </c>
      <c r="N52" s="79">
        <v>804.67</v>
      </c>
      <c r="O52" s="40"/>
      <c r="P52" s="108"/>
      <c r="Q52" s="40">
        <v>220034</v>
      </c>
      <c r="R52" s="223"/>
      <c r="S52" s="116" t="str">
        <f t="shared" si="7"/>
        <v>Yes</v>
      </c>
    </row>
    <row r="53" spans="1:19" ht="21.75" customHeight="1" x14ac:dyDescent="0.2">
      <c r="A53" s="68"/>
      <c r="B53" s="126"/>
      <c r="C53" s="83"/>
      <c r="D53" s="18"/>
      <c r="E53" s="40"/>
      <c r="F53" s="135"/>
      <c r="G53" s="17"/>
      <c r="H53" s="174" t="str">
        <f t="shared" si="6"/>
        <v>MA</v>
      </c>
      <c r="I53" s="14"/>
      <c r="J53" s="126"/>
      <c r="K53" s="135"/>
      <c r="L53" s="15"/>
      <c r="M53" s="19"/>
      <c r="N53" s="79"/>
      <c r="O53" s="40"/>
      <c r="P53" s="108"/>
      <c r="Q53" s="40"/>
      <c r="R53" s="223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0"/>
      <c r="K54" s="154"/>
      <c r="L54" s="81"/>
      <c r="M54" s="94"/>
      <c r="N54" s="99"/>
      <c r="O54" s="69"/>
      <c r="P54" s="114"/>
      <c r="Q54" s="69"/>
      <c r="R54" s="224"/>
      <c r="S54" s="116" t="str">
        <f t="shared" si="7"/>
        <v/>
      </c>
    </row>
    <row r="55" spans="1:19" ht="21.75" customHeight="1" x14ac:dyDescent="0.2">
      <c r="A55" s="14"/>
      <c r="B55" s="180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4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5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 t="s">
        <v>607</v>
      </c>
      <c r="G58" s="269">
        <v>0.52083333333333337</v>
      </c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101</v>
      </c>
      <c r="B61" s="118"/>
      <c r="C61" s="9"/>
      <c r="D61" s="255">
        <f>'DEPT BAL'!$B$4-1</f>
        <v>43063</v>
      </c>
      <c r="E61" s="255"/>
      <c r="F61" s="138"/>
      <c r="I61" s="8" t="s">
        <v>102</v>
      </c>
      <c r="J61" s="118"/>
      <c r="L61" s="252">
        <f>D61+1</f>
        <v>43064</v>
      </c>
      <c r="M61" s="252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420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44</v>
      </c>
      <c r="B63" s="120" t="s">
        <v>357</v>
      </c>
      <c r="C63" s="11" t="s">
        <v>225</v>
      </c>
      <c r="D63" s="25" t="s">
        <v>358</v>
      </c>
      <c r="E63" s="39">
        <v>220002</v>
      </c>
      <c r="F63" s="192" t="s">
        <v>570</v>
      </c>
      <c r="G63" s="193"/>
      <c r="H63" s="272" t="str">
        <f>$I$60</f>
        <v>CZ</v>
      </c>
      <c r="I63" s="148" t="s">
        <v>47</v>
      </c>
      <c r="J63" s="127" t="s">
        <v>198</v>
      </c>
      <c r="K63" s="141" t="s">
        <v>336</v>
      </c>
      <c r="L63" s="198" t="s">
        <v>59</v>
      </c>
      <c r="M63" s="77" t="s">
        <v>360</v>
      </c>
      <c r="N63" s="98">
        <v>896.55</v>
      </c>
      <c r="O63" s="39"/>
      <c r="P63" s="167"/>
      <c r="Q63" s="39">
        <v>220016</v>
      </c>
      <c r="R63" s="226"/>
      <c r="S63" s="115" t="str">
        <f>IF(N63&gt;0,"Yes","")</f>
        <v>Yes</v>
      </c>
    </row>
    <row r="64" spans="1:19" ht="21.75" customHeight="1" x14ac:dyDescent="0.2">
      <c r="A64" s="14" t="s">
        <v>50</v>
      </c>
      <c r="B64" s="122"/>
      <c r="C64" s="30" t="s">
        <v>225</v>
      </c>
      <c r="D64" s="18" t="s">
        <v>358</v>
      </c>
      <c r="E64" s="40">
        <v>220006</v>
      </c>
      <c r="F64" s="154" t="s">
        <v>572</v>
      </c>
      <c r="G64" s="90"/>
      <c r="H64" s="272" t="str">
        <f t="shared" ref="H64:H89" si="8">$I$60</f>
        <v>CZ</v>
      </c>
      <c r="I64" s="93" t="s">
        <v>38</v>
      </c>
      <c r="J64" s="215"/>
      <c r="K64" s="199"/>
      <c r="L64" s="198" t="s">
        <v>58</v>
      </c>
      <c r="M64" s="77" t="s">
        <v>426</v>
      </c>
      <c r="N64" s="98">
        <v>1053.7</v>
      </c>
      <c r="O64" s="40"/>
      <c r="P64" s="113"/>
      <c r="Q64" s="40">
        <v>220005</v>
      </c>
      <c r="R64" s="223"/>
      <c r="S64" s="116" t="str">
        <f>IF(N64&gt;0,"Yes","")</f>
        <v>Yes</v>
      </c>
    </row>
    <row r="65" spans="1:19" ht="21.75" customHeight="1" x14ac:dyDescent="0.2">
      <c r="A65" s="14" t="s">
        <v>41</v>
      </c>
      <c r="B65" s="181"/>
      <c r="C65" s="30" t="s">
        <v>225</v>
      </c>
      <c r="D65" s="18" t="s">
        <v>358</v>
      </c>
      <c r="E65" s="40">
        <v>220012</v>
      </c>
      <c r="F65" s="154"/>
      <c r="G65" s="90"/>
      <c r="H65" s="272" t="str">
        <f t="shared" si="8"/>
        <v>CZ</v>
      </c>
      <c r="I65" s="148" t="s">
        <v>42</v>
      </c>
      <c r="J65" s="127" t="s">
        <v>337</v>
      </c>
      <c r="K65" s="141" t="s">
        <v>338</v>
      </c>
      <c r="L65" s="29" t="s">
        <v>57</v>
      </c>
      <c r="M65" s="77" t="s">
        <v>296</v>
      </c>
      <c r="N65" s="98">
        <v>795.67</v>
      </c>
      <c r="O65" s="40"/>
      <c r="P65" s="113"/>
      <c r="Q65" s="270">
        <v>220033</v>
      </c>
      <c r="R65" s="223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179</v>
      </c>
      <c r="C66" s="32" t="s">
        <v>225</v>
      </c>
      <c r="D66" s="18" t="s">
        <v>282</v>
      </c>
      <c r="E66" s="40">
        <v>220028</v>
      </c>
      <c r="F66" s="154"/>
      <c r="G66" s="191"/>
      <c r="H66" s="272" t="str">
        <f t="shared" si="8"/>
        <v>CZ</v>
      </c>
      <c r="I66" s="148" t="s">
        <v>36</v>
      </c>
      <c r="J66" s="215"/>
      <c r="K66" s="199"/>
      <c r="L66" s="29" t="s">
        <v>55</v>
      </c>
      <c r="M66" s="77" t="s">
        <v>324</v>
      </c>
      <c r="N66" s="98">
        <v>804.67</v>
      </c>
      <c r="O66" s="40"/>
      <c r="P66" s="113"/>
      <c r="Q66" s="40">
        <v>221137</v>
      </c>
      <c r="R66" s="189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235</v>
      </c>
      <c r="C67" s="30" t="s">
        <v>225</v>
      </c>
      <c r="D67" s="18" t="s">
        <v>287</v>
      </c>
      <c r="E67" s="40">
        <v>221123</v>
      </c>
      <c r="F67" s="154" t="s">
        <v>571</v>
      </c>
      <c r="G67" s="90"/>
      <c r="H67" s="272" t="str">
        <f t="shared" si="8"/>
        <v>CZ</v>
      </c>
      <c r="I67" s="148" t="s">
        <v>39</v>
      </c>
      <c r="J67" s="180" t="s">
        <v>247</v>
      </c>
      <c r="K67" s="154" t="s">
        <v>340</v>
      </c>
      <c r="L67" s="81" t="s">
        <v>66</v>
      </c>
      <c r="M67" s="94" t="s">
        <v>380</v>
      </c>
      <c r="N67" s="99">
        <v>853.28</v>
      </c>
      <c r="O67" s="40"/>
      <c r="P67" s="113"/>
      <c r="Q67" s="40">
        <v>220012</v>
      </c>
      <c r="R67" s="223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214</v>
      </c>
      <c r="C68" s="32" t="s">
        <v>225</v>
      </c>
      <c r="D68" s="18" t="s">
        <v>359</v>
      </c>
      <c r="E68" s="40">
        <v>220019</v>
      </c>
      <c r="F68" s="154"/>
      <c r="G68" s="90"/>
      <c r="H68" s="272" t="str">
        <f t="shared" si="8"/>
        <v>CZ</v>
      </c>
      <c r="I68" s="148" t="s">
        <v>88</v>
      </c>
      <c r="J68" s="180" t="s">
        <v>245</v>
      </c>
      <c r="K68" s="154" t="s">
        <v>341</v>
      </c>
      <c r="L68" s="81" t="s">
        <v>57</v>
      </c>
      <c r="M68" s="94" t="s">
        <v>427</v>
      </c>
      <c r="N68" s="99">
        <v>771.58</v>
      </c>
      <c r="O68" s="40"/>
      <c r="P68" s="113"/>
      <c r="Q68" s="40">
        <v>220028</v>
      </c>
      <c r="S68" s="116" t="str">
        <f t="shared" si="9"/>
        <v>Yes</v>
      </c>
    </row>
    <row r="69" spans="1:19" ht="21.75" customHeight="1" x14ac:dyDescent="0.2">
      <c r="A69" s="14" t="s">
        <v>164</v>
      </c>
      <c r="B69" s="126" t="s">
        <v>177</v>
      </c>
      <c r="C69" s="15" t="s">
        <v>225</v>
      </c>
      <c r="D69" s="18" t="s">
        <v>313</v>
      </c>
      <c r="E69" s="40" t="s">
        <v>567</v>
      </c>
      <c r="F69" s="154"/>
      <c r="G69" s="201"/>
      <c r="H69" s="272" t="str">
        <f t="shared" si="8"/>
        <v>CZ</v>
      </c>
      <c r="I69" s="93" t="s">
        <v>41</v>
      </c>
      <c r="J69" s="127" t="s">
        <v>246</v>
      </c>
      <c r="K69" s="141" t="s">
        <v>220</v>
      </c>
      <c r="L69" s="81" t="s">
        <v>62</v>
      </c>
      <c r="M69" s="94" t="s">
        <v>313</v>
      </c>
      <c r="N69" s="99">
        <v>961.05</v>
      </c>
      <c r="O69" s="40"/>
      <c r="P69" s="113" t="s">
        <v>149</v>
      </c>
      <c r="Q69" s="40">
        <v>220003</v>
      </c>
      <c r="R69" s="283" t="s">
        <v>625</v>
      </c>
      <c r="S69" s="279" t="str">
        <f t="shared" si="9"/>
        <v>Yes</v>
      </c>
    </row>
    <row r="70" spans="1:19" ht="21.75" customHeight="1" x14ac:dyDescent="0.2">
      <c r="A70" s="14" t="s">
        <v>24</v>
      </c>
      <c r="B70" s="126" t="s">
        <v>181</v>
      </c>
      <c r="C70" s="32" t="s">
        <v>225</v>
      </c>
      <c r="D70" s="18" t="s">
        <v>285</v>
      </c>
      <c r="E70" s="40">
        <v>221126</v>
      </c>
      <c r="F70" s="154" t="s">
        <v>573</v>
      </c>
      <c r="G70" s="90"/>
      <c r="H70" s="272" t="str">
        <f t="shared" si="8"/>
        <v>CZ</v>
      </c>
      <c r="I70" s="93" t="s">
        <v>87</v>
      </c>
      <c r="J70" s="215"/>
      <c r="K70" s="199"/>
      <c r="L70" s="81" t="s">
        <v>66</v>
      </c>
      <c r="M70" s="94" t="s">
        <v>381</v>
      </c>
      <c r="N70" s="98">
        <v>903.66</v>
      </c>
      <c r="O70" s="40"/>
      <c r="P70" s="113"/>
      <c r="Q70" s="40">
        <v>220019</v>
      </c>
      <c r="R70" s="40"/>
      <c r="S70" s="279" t="str">
        <f t="shared" si="9"/>
        <v>Yes</v>
      </c>
    </row>
    <row r="71" spans="1:19" ht="21.75" customHeight="1" thickBot="1" x14ac:dyDescent="0.25">
      <c r="A71" s="14" t="s">
        <v>42</v>
      </c>
      <c r="B71" s="121" t="s">
        <v>180</v>
      </c>
      <c r="C71" s="15" t="s">
        <v>225</v>
      </c>
      <c r="D71" s="18" t="s">
        <v>311</v>
      </c>
      <c r="E71" s="40" t="s">
        <v>567</v>
      </c>
      <c r="F71" s="154"/>
      <c r="G71" s="189"/>
      <c r="H71" s="272" t="str">
        <f t="shared" si="8"/>
        <v>CZ</v>
      </c>
      <c r="I71" s="93" t="s">
        <v>164</v>
      </c>
      <c r="J71" s="180" t="s">
        <v>139</v>
      </c>
      <c r="K71" s="154" t="s">
        <v>400</v>
      </c>
      <c r="L71" s="29" t="s">
        <v>56</v>
      </c>
      <c r="M71" s="77" t="s">
        <v>362</v>
      </c>
      <c r="N71" s="98">
        <v>80.260000000000005</v>
      </c>
      <c r="O71" s="40"/>
      <c r="P71" s="113"/>
      <c r="Q71" s="40" t="s">
        <v>567</v>
      </c>
      <c r="R71" s="40"/>
      <c r="S71" s="279" t="str">
        <f t="shared" si="9"/>
        <v>Yes</v>
      </c>
    </row>
    <row r="72" spans="1:19" ht="21.75" customHeight="1" x14ac:dyDescent="0.2">
      <c r="A72" s="14" t="s">
        <v>29</v>
      </c>
      <c r="B72" s="121" t="s">
        <v>207</v>
      </c>
      <c r="C72" s="15" t="s">
        <v>225</v>
      </c>
      <c r="D72" s="18" t="s">
        <v>283</v>
      </c>
      <c r="E72" s="40">
        <v>221141</v>
      </c>
      <c r="F72" s="154"/>
      <c r="G72" s="246" t="s">
        <v>614</v>
      </c>
      <c r="H72" s="272" t="str">
        <f t="shared" si="8"/>
        <v>CZ</v>
      </c>
      <c r="I72" s="93" t="s">
        <v>86</v>
      </c>
      <c r="J72" s="127" t="s">
        <v>284</v>
      </c>
      <c r="K72" s="141" t="s">
        <v>342</v>
      </c>
      <c r="L72" s="81" t="s">
        <v>59</v>
      </c>
      <c r="M72" s="94" t="s">
        <v>401</v>
      </c>
      <c r="N72" s="99">
        <v>790.5</v>
      </c>
      <c r="O72" s="40"/>
      <c r="P72" s="113"/>
      <c r="Q72" s="39">
        <v>221141</v>
      </c>
      <c r="R72" s="40" t="s">
        <v>614</v>
      </c>
      <c r="S72" s="279" t="str">
        <f t="shared" si="9"/>
        <v>Yes</v>
      </c>
    </row>
    <row r="73" spans="1:19" ht="21.75" customHeight="1" x14ac:dyDescent="0.2">
      <c r="A73" s="14" t="s">
        <v>26</v>
      </c>
      <c r="B73" s="181"/>
      <c r="C73" s="30" t="s">
        <v>225</v>
      </c>
      <c r="D73" s="18" t="s">
        <v>283</v>
      </c>
      <c r="E73" s="40">
        <v>221132</v>
      </c>
      <c r="F73" s="154" t="s">
        <v>574</v>
      </c>
      <c r="G73" s="90" t="s">
        <v>575</v>
      </c>
      <c r="H73" s="272" t="str">
        <f t="shared" si="8"/>
        <v>CZ</v>
      </c>
      <c r="I73" s="93" t="s">
        <v>107</v>
      </c>
      <c r="J73" s="215"/>
      <c r="K73" s="199"/>
      <c r="L73" s="81" t="s">
        <v>56</v>
      </c>
      <c r="M73" s="94" t="s">
        <v>311</v>
      </c>
      <c r="N73" s="99">
        <v>941.73</v>
      </c>
      <c r="O73" s="40"/>
      <c r="P73" s="113"/>
      <c r="Q73" s="40">
        <v>221120</v>
      </c>
      <c r="R73" s="40" t="s">
        <v>611</v>
      </c>
      <c r="S73" s="279" t="str">
        <f t="shared" si="9"/>
        <v>Yes</v>
      </c>
    </row>
    <row r="74" spans="1:19" ht="21.75" customHeight="1" x14ac:dyDescent="0.2">
      <c r="A74" s="14" t="s">
        <v>39</v>
      </c>
      <c r="B74" s="121" t="s">
        <v>215</v>
      </c>
      <c r="C74" s="32" t="s">
        <v>225</v>
      </c>
      <c r="D74" s="18" t="s">
        <v>143</v>
      </c>
      <c r="E74" s="40">
        <v>220033</v>
      </c>
      <c r="F74" s="154"/>
      <c r="G74" s="191"/>
      <c r="H74" s="272" t="str">
        <f t="shared" si="8"/>
        <v>CZ</v>
      </c>
      <c r="I74" s="93" t="s">
        <v>45</v>
      </c>
      <c r="J74" s="180" t="s">
        <v>249</v>
      </c>
      <c r="K74" s="154" t="s">
        <v>383</v>
      </c>
      <c r="L74" s="81" t="s">
        <v>56</v>
      </c>
      <c r="M74" s="94" t="s">
        <v>389</v>
      </c>
      <c r="N74" s="99">
        <v>893.54</v>
      </c>
      <c r="O74" s="40"/>
      <c r="P74" s="113"/>
      <c r="Q74" s="270">
        <v>220002</v>
      </c>
      <c r="R74" s="40"/>
      <c r="S74" s="279" t="str">
        <f t="shared" si="9"/>
        <v>Yes</v>
      </c>
    </row>
    <row r="75" spans="1:19" ht="21.75" customHeight="1" x14ac:dyDescent="0.2">
      <c r="A75" s="68" t="s">
        <v>46</v>
      </c>
      <c r="B75" s="122"/>
      <c r="C75" s="15" t="s">
        <v>225</v>
      </c>
      <c r="D75" s="18" t="s">
        <v>143</v>
      </c>
      <c r="E75" s="40" t="s">
        <v>567</v>
      </c>
      <c r="F75" s="154"/>
      <c r="G75" s="90"/>
      <c r="H75" s="272" t="str">
        <f t="shared" si="8"/>
        <v>CZ</v>
      </c>
      <c r="I75" s="93" t="s">
        <v>165</v>
      </c>
      <c r="J75" s="127" t="s">
        <v>248</v>
      </c>
      <c r="K75" s="141" t="s">
        <v>344</v>
      </c>
      <c r="L75" s="81" t="s">
        <v>60</v>
      </c>
      <c r="M75" s="94" t="s">
        <v>382</v>
      </c>
      <c r="N75" s="99">
        <v>894.53</v>
      </c>
      <c r="O75" s="40"/>
      <c r="P75" s="273"/>
      <c r="Q75" s="271">
        <v>220006</v>
      </c>
      <c r="R75" s="40" t="s">
        <v>627</v>
      </c>
      <c r="S75" s="279" t="str">
        <f t="shared" si="9"/>
        <v>Yes</v>
      </c>
    </row>
    <row r="76" spans="1:19" ht="21.75" customHeight="1" x14ac:dyDescent="0.2">
      <c r="A76" s="14" t="s">
        <v>53</v>
      </c>
      <c r="B76" s="181"/>
      <c r="C76" s="15" t="s">
        <v>225</v>
      </c>
      <c r="D76" s="18" t="s">
        <v>143</v>
      </c>
      <c r="E76" s="40">
        <v>220003</v>
      </c>
      <c r="F76" s="154"/>
      <c r="G76" s="90"/>
      <c r="H76" s="272" t="str">
        <f t="shared" si="8"/>
        <v>CZ</v>
      </c>
      <c r="I76" s="244" t="s">
        <v>103</v>
      </c>
      <c r="J76" s="215"/>
      <c r="K76" s="199"/>
      <c r="L76" s="81" t="s">
        <v>56</v>
      </c>
      <c r="M76" s="94" t="s">
        <v>428</v>
      </c>
      <c r="N76" s="99">
        <v>771.34</v>
      </c>
      <c r="O76" s="40"/>
      <c r="P76" s="113"/>
      <c r="Q76" s="40">
        <v>221132</v>
      </c>
      <c r="R76" s="29" t="s">
        <v>575</v>
      </c>
      <c r="S76" s="279" t="str">
        <f t="shared" si="9"/>
        <v>Yes</v>
      </c>
    </row>
    <row r="77" spans="1:19" ht="21.75" customHeight="1" x14ac:dyDescent="0.2">
      <c r="A77" s="14" t="s">
        <v>165</v>
      </c>
      <c r="B77" s="121" t="s">
        <v>205</v>
      </c>
      <c r="C77" s="15" t="s">
        <v>225</v>
      </c>
      <c r="D77" s="18" t="s">
        <v>372</v>
      </c>
      <c r="E77" s="40">
        <v>221120</v>
      </c>
      <c r="F77" s="154"/>
      <c r="G77" s="90"/>
      <c r="H77" s="272" t="str">
        <f t="shared" si="8"/>
        <v>CZ</v>
      </c>
      <c r="I77" s="164" t="s">
        <v>27</v>
      </c>
      <c r="J77" s="127" t="s">
        <v>272</v>
      </c>
      <c r="K77" s="141" t="s">
        <v>345</v>
      </c>
      <c r="L77" s="81" t="s">
        <v>59</v>
      </c>
      <c r="M77" s="94" t="s">
        <v>132</v>
      </c>
      <c r="N77" s="99">
        <v>747.85</v>
      </c>
      <c r="O77" s="40"/>
      <c r="P77" s="113"/>
      <c r="Q77" s="270">
        <v>220018</v>
      </c>
      <c r="R77" s="40" t="s">
        <v>631</v>
      </c>
      <c r="S77" s="279" t="str">
        <f t="shared" si="9"/>
        <v>Yes</v>
      </c>
    </row>
    <row r="78" spans="1:19" ht="21.75" customHeight="1" x14ac:dyDescent="0.2">
      <c r="A78" s="148" t="s">
        <v>27</v>
      </c>
      <c r="B78" s="215"/>
      <c r="C78" s="29" t="s">
        <v>225</v>
      </c>
      <c r="D78" s="71" t="s">
        <v>372</v>
      </c>
      <c r="E78" s="40">
        <v>221127</v>
      </c>
      <c r="F78" s="154" t="s">
        <v>577</v>
      </c>
      <c r="G78" s="90"/>
      <c r="H78" s="272" t="str">
        <f t="shared" si="8"/>
        <v>CZ</v>
      </c>
      <c r="I78" s="164" t="s">
        <v>30</v>
      </c>
      <c r="J78" s="215"/>
      <c r="K78" s="199"/>
      <c r="L78" s="81" t="s">
        <v>58</v>
      </c>
      <c r="M78" s="94" t="s">
        <v>384</v>
      </c>
      <c r="N78" s="99">
        <v>938.84</v>
      </c>
      <c r="O78" s="40"/>
      <c r="P78" s="113"/>
      <c r="Q78" s="40">
        <v>221127</v>
      </c>
      <c r="R78" s="40"/>
      <c r="S78" s="279" t="str">
        <f t="shared" si="9"/>
        <v>Yes</v>
      </c>
    </row>
    <row r="79" spans="1:19" ht="21.75" customHeight="1" x14ac:dyDescent="0.2">
      <c r="A79" s="148" t="s">
        <v>604</v>
      </c>
      <c r="B79" s="180" t="s">
        <v>608</v>
      </c>
      <c r="C79" s="29" t="s">
        <v>225</v>
      </c>
      <c r="D79" s="71" t="s">
        <v>433</v>
      </c>
      <c r="E79" s="40">
        <v>220010</v>
      </c>
      <c r="F79" s="154"/>
      <c r="G79" s="29"/>
      <c r="H79" s="272" t="str">
        <f t="shared" si="8"/>
        <v>CZ</v>
      </c>
      <c r="I79" s="164"/>
      <c r="J79" s="180"/>
      <c r="K79" s="154"/>
      <c r="L79" s="81"/>
      <c r="M79" s="94"/>
      <c r="N79" s="99"/>
      <c r="O79" s="40"/>
      <c r="P79" s="113"/>
      <c r="Q79" s="40"/>
      <c r="R79" s="40"/>
      <c r="S79" s="279" t="str">
        <f t="shared" si="9"/>
        <v/>
      </c>
    </row>
    <row r="80" spans="1:19" ht="21.75" customHeight="1" x14ac:dyDescent="0.2">
      <c r="A80" s="148"/>
      <c r="B80" s="180"/>
      <c r="C80" s="29"/>
      <c r="D80" s="71"/>
      <c r="E80" s="40"/>
      <c r="F80" s="154"/>
      <c r="G80" s="29"/>
      <c r="H80" s="272" t="str">
        <f t="shared" si="8"/>
        <v>CZ</v>
      </c>
      <c r="I80" s="164"/>
      <c r="J80" s="180"/>
      <c r="K80" s="154"/>
      <c r="L80" s="81"/>
      <c r="M80" s="94"/>
      <c r="N80" s="99"/>
      <c r="O80" s="40"/>
      <c r="P80" s="113"/>
      <c r="Q80" s="40"/>
      <c r="R80" s="40"/>
      <c r="S80" s="279" t="str">
        <f t="shared" si="9"/>
        <v/>
      </c>
    </row>
    <row r="81" spans="1:19" ht="21.75" customHeight="1" x14ac:dyDescent="0.2">
      <c r="A81" s="148"/>
      <c r="B81" s="180" t="s">
        <v>153</v>
      </c>
      <c r="C81" s="29" t="s">
        <v>436</v>
      </c>
      <c r="D81" s="82" t="s">
        <v>605</v>
      </c>
      <c r="E81" s="69">
        <v>221137</v>
      </c>
      <c r="F81" s="141"/>
      <c r="G81" s="29" t="s">
        <v>624</v>
      </c>
      <c r="H81" s="272" t="str">
        <f t="shared" si="8"/>
        <v>CZ</v>
      </c>
      <c r="I81" s="164"/>
      <c r="J81" s="180"/>
      <c r="K81" s="154"/>
      <c r="L81" s="81"/>
      <c r="M81" s="94"/>
      <c r="N81" s="99"/>
      <c r="O81" s="69"/>
      <c r="P81" s="114"/>
      <c r="Q81" s="69"/>
      <c r="R81" s="40"/>
      <c r="S81" s="279" t="str">
        <f t="shared" si="9"/>
        <v/>
      </c>
    </row>
    <row r="82" spans="1:19" ht="21.75" customHeight="1" x14ac:dyDescent="0.2">
      <c r="A82" s="93"/>
      <c r="B82" s="180"/>
      <c r="C82" s="198"/>
      <c r="D82" s="82"/>
      <c r="E82" s="69"/>
      <c r="F82" s="141"/>
      <c r="G82" s="29"/>
      <c r="H82" s="272" t="str">
        <f t="shared" si="8"/>
        <v>CZ</v>
      </c>
      <c r="I82" s="164"/>
      <c r="J82" s="180"/>
      <c r="K82" s="154"/>
      <c r="L82" s="81"/>
      <c r="M82" s="94"/>
      <c r="N82" s="99"/>
      <c r="O82" s="69"/>
      <c r="P82" s="114"/>
      <c r="Q82" s="69"/>
      <c r="R82" s="40"/>
      <c r="S82" s="279" t="str">
        <f t="shared" si="9"/>
        <v/>
      </c>
    </row>
    <row r="83" spans="1:19" ht="21.75" customHeight="1" x14ac:dyDescent="0.2">
      <c r="A83" s="93"/>
      <c r="B83" s="180"/>
      <c r="C83" s="198"/>
      <c r="D83" s="82"/>
      <c r="E83" s="40">
        <v>220005</v>
      </c>
      <c r="F83" s="141"/>
      <c r="G83" s="40" t="s">
        <v>597</v>
      </c>
      <c r="H83" s="272" t="str">
        <f t="shared" si="8"/>
        <v>CZ</v>
      </c>
      <c r="I83" s="148"/>
      <c r="J83" s="180"/>
      <c r="K83" s="154"/>
      <c r="L83" s="81"/>
      <c r="M83" s="94">
        <v>0.14583333333333334</v>
      </c>
      <c r="N83" s="282" t="s">
        <v>626</v>
      </c>
      <c r="O83" s="69"/>
      <c r="P83" s="114"/>
      <c r="Q83" s="40">
        <v>221123</v>
      </c>
      <c r="R83" s="40" t="s">
        <v>612</v>
      </c>
      <c r="S83" s="279" t="str">
        <f t="shared" si="9"/>
        <v>Yes</v>
      </c>
    </row>
    <row r="84" spans="1:19" ht="21.75" customHeight="1" x14ac:dyDescent="0.2">
      <c r="A84" s="164"/>
      <c r="B84" s="180"/>
      <c r="C84" s="29"/>
      <c r="D84" s="82"/>
      <c r="E84" s="40">
        <v>220011</v>
      </c>
      <c r="F84" s="141"/>
      <c r="G84" s="40" t="s">
        <v>601</v>
      </c>
      <c r="H84" s="272" t="str">
        <f t="shared" si="8"/>
        <v>CZ</v>
      </c>
      <c r="I84" s="148"/>
      <c r="J84" s="180"/>
      <c r="K84" s="154"/>
      <c r="L84" s="81"/>
      <c r="M84" s="94"/>
      <c r="N84" s="99"/>
      <c r="O84" s="69"/>
      <c r="P84" s="114"/>
      <c r="Q84" s="69">
        <v>220010</v>
      </c>
      <c r="R84" s="40" t="s">
        <v>619</v>
      </c>
      <c r="S84" s="279" t="str">
        <f t="shared" si="9"/>
        <v/>
      </c>
    </row>
    <row r="85" spans="1:19" ht="21.75" customHeight="1" x14ac:dyDescent="0.2">
      <c r="A85" s="164"/>
      <c r="B85" s="180"/>
      <c r="C85" s="29"/>
      <c r="D85" s="71"/>
      <c r="E85" s="40">
        <v>220016</v>
      </c>
      <c r="F85" s="154"/>
      <c r="G85" s="40" t="s">
        <v>577</v>
      </c>
      <c r="H85" s="272" t="str">
        <f t="shared" si="8"/>
        <v>CZ</v>
      </c>
      <c r="I85" s="148"/>
      <c r="J85" s="180"/>
      <c r="K85" s="154"/>
      <c r="L85" s="81"/>
      <c r="M85" s="94"/>
      <c r="N85" s="99"/>
      <c r="O85" s="40"/>
      <c r="P85" s="114"/>
      <c r="Q85" s="40">
        <v>220011</v>
      </c>
      <c r="R85" s="40" t="s">
        <v>620</v>
      </c>
      <c r="S85" s="279" t="str">
        <f t="shared" si="9"/>
        <v/>
      </c>
    </row>
    <row r="86" spans="1:19" ht="21.75" customHeight="1" x14ac:dyDescent="0.2">
      <c r="A86" s="148"/>
      <c r="B86" s="180"/>
      <c r="C86" s="29"/>
      <c r="D86" s="82"/>
      <c r="E86" s="69">
        <v>220018</v>
      </c>
      <c r="F86" s="141"/>
      <c r="G86" s="40" t="s">
        <v>602</v>
      </c>
      <c r="H86" s="272" t="str">
        <f t="shared" si="8"/>
        <v>CZ</v>
      </c>
      <c r="I86" s="148"/>
      <c r="J86" s="180"/>
      <c r="K86" s="154"/>
      <c r="L86" s="29"/>
      <c r="M86" s="77"/>
      <c r="N86" s="98"/>
      <c r="O86" s="69"/>
      <c r="P86" s="114"/>
      <c r="Q86" s="69">
        <v>221125</v>
      </c>
      <c r="R86" s="40" t="s">
        <v>603</v>
      </c>
      <c r="S86" s="279" t="str">
        <f t="shared" si="9"/>
        <v/>
      </c>
    </row>
    <row r="87" spans="1:19" ht="21.75" customHeight="1" x14ac:dyDescent="0.2">
      <c r="A87" s="14"/>
      <c r="B87" s="126"/>
      <c r="C87" s="15"/>
      <c r="D87" s="16"/>
      <c r="E87" s="40">
        <v>221125</v>
      </c>
      <c r="F87" s="154"/>
      <c r="G87" s="40" t="s">
        <v>603</v>
      </c>
      <c r="H87" s="272" t="str">
        <f t="shared" si="8"/>
        <v>CZ</v>
      </c>
      <c r="I87" s="148"/>
      <c r="J87" s="180"/>
      <c r="K87" s="154"/>
      <c r="L87" s="81"/>
      <c r="M87" s="94"/>
      <c r="N87" s="99"/>
      <c r="O87" s="40"/>
      <c r="P87" s="114"/>
      <c r="Q87" s="40">
        <v>221126</v>
      </c>
      <c r="R87" s="40" t="s">
        <v>577</v>
      </c>
      <c r="S87" s="279" t="str">
        <f t="shared" si="9"/>
        <v/>
      </c>
    </row>
    <row r="88" spans="1:19" ht="21.75" customHeight="1" x14ac:dyDescent="0.2">
      <c r="A88" s="95"/>
      <c r="B88" s="126"/>
      <c r="C88" s="32"/>
      <c r="D88" s="33"/>
      <c r="E88" s="85">
        <v>221133</v>
      </c>
      <c r="F88" s="154"/>
      <c r="G88" s="40" t="s">
        <v>587</v>
      </c>
      <c r="H88" s="272" t="str">
        <f t="shared" si="8"/>
        <v>CZ</v>
      </c>
      <c r="I88" s="148"/>
      <c r="J88" s="180"/>
      <c r="K88" s="154"/>
      <c r="L88" s="29"/>
      <c r="M88" s="77"/>
      <c r="N88" s="98"/>
      <c r="O88" s="85"/>
      <c r="P88" s="114"/>
      <c r="Q88" s="85">
        <v>221133</v>
      </c>
      <c r="R88" s="224" t="s">
        <v>587</v>
      </c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5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5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 t="s">
        <v>621</v>
      </c>
      <c r="G91" s="274">
        <v>0.1451388888888889</v>
      </c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101</v>
      </c>
      <c r="B94" s="118"/>
      <c r="C94" s="9"/>
      <c r="D94" s="255">
        <f>'DEPT BAL'!$B$4-1</f>
        <v>43063</v>
      </c>
      <c r="E94" s="255"/>
      <c r="F94" s="138"/>
      <c r="I94" s="8" t="s">
        <v>102</v>
      </c>
      <c r="J94" s="118"/>
      <c r="L94" s="252">
        <f>D94+1</f>
        <v>43064</v>
      </c>
      <c r="M94" s="252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420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0" t="s">
        <v>176</v>
      </c>
      <c r="C96" s="11" t="s">
        <v>224</v>
      </c>
      <c r="D96" s="25" t="s">
        <v>299</v>
      </c>
      <c r="E96" s="39">
        <v>221121</v>
      </c>
      <c r="F96" s="134"/>
      <c r="G96" s="12"/>
      <c r="H96" s="174" t="str">
        <f>$I$93</f>
        <v>BK</v>
      </c>
      <c r="I96" s="10" t="s">
        <v>51</v>
      </c>
      <c r="J96" s="120" t="s">
        <v>421</v>
      </c>
      <c r="K96" s="209" t="s">
        <v>422</v>
      </c>
      <c r="L96" s="11" t="s">
        <v>55</v>
      </c>
      <c r="M96" s="13" t="s">
        <v>178</v>
      </c>
      <c r="N96" s="78">
        <v>764.28</v>
      </c>
      <c r="O96" s="40"/>
      <c r="P96" s="107"/>
      <c r="Q96" s="40">
        <v>221136</v>
      </c>
      <c r="R96" s="223" t="s">
        <v>578</v>
      </c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370</v>
      </c>
      <c r="C97" s="245" t="s">
        <v>414</v>
      </c>
      <c r="D97" s="18" t="s">
        <v>415</v>
      </c>
      <c r="E97" s="40" t="s">
        <v>567</v>
      </c>
      <c r="F97" s="135"/>
      <c r="G97" s="17"/>
      <c r="H97" s="174" t="str">
        <f t="shared" ref="H97:H103" si="11">$I$93</f>
        <v>BK</v>
      </c>
      <c r="I97" s="14" t="s">
        <v>104</v>
      </c>
      <c r="J97" s="126" t="s">
        <v>203</v>
      </c>
      <c r="K97" s="135" t="s">
        <v>423</v>
      </c>
      <c r="L97" s="15" t="s">
        <v>57</v>
      </c>
      <c r="M97" s="19" t="s">
        <v>424</v>
      </c>
      <c r="N97" s="79">
        <v>990.86</v>
      </c>
      <c r="O97" s="40"/>
      <c r="P97" s="108"/>
      <c r="Q97" s="40">
        <v>221121</v>
      </c>
      <c r="R97" s="224" t="s">
        <v>580</v>
      </c>
      <c r="S97" s="116" t="str">
        <f t="shared" si="10"/>
        <v>Yes</v>
      </c>
    </row>
    <row r="98" spans="1:19" ht="21.75" customHeight="1" x14ac:dyDescent="0.2">
      <c r="A98" s="14" t="s">
        <v>148</v>
      </c>
      <c r="B98" s="126" t="s">
        <v>234</v>
      </c>
      <c r="C98" s="245" t="s">
        <v>224</v>
      </c>
      <c r="D98" s="18" t="s">
        <v>371</v>
      </c>
      <c r="E98" s="40">
        <v>221136</v>
      </c>
      <c r="F98" s="135"/>
      <c r="G98" s="189" t="s">
        <v>578</v>
      </c>
      <c r="H98" s="174" t="str">
        <f t="shared" si="11"/>
        <v>BK</v>
      </c>
      <c r="I98" s="14" t="s">
        <v>26</v>
      </c>
      <c r="J98" s="126" t="s">
        <v>195</v>
      </c>
      <c r="K98" s="135" t="s">
        <v>425</v>
      </c>
      <c r="L98" s="15" t="s">
        <v>62</v>
      </c>
      <c r="M98" s="19" t="s">
        <v>363</v>
      </c>
      <c r="N98" s="79">
        <v>985.61</v>
      </c>
      <c r="O98" s="40"/>
      <c r="P98" s="108"/>
      <c r="Q98" s="40">
        <v>220013</v>
      </c>
      <c r="R98" s="223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153</v>
      </c>
      <c r="C99" s="245" t="s">
        <v>224</v>
      </c>
      <c r="D99" s="71" t="s">
        <v>281</v>
      </c>
      <c r="E99" s="40">
        <v>220013</v>
      </c>
      <c r="F99" s="135"/>
      <c r="G99" s="246"/>
      <c r="H99" s="174" t="str">
        <f t="shared" si="11"/>
        <v>BK</v>
      </c>
      <c r="I99" s="14" t="s">
        <v>148</v>
      </c>
      <c r="J99" s="126" t="s">
        <v>197</v>
      </c>
      <c r="K99" s="135" t="s">
        <v>271</v>
      </c>
      <c r="L99" s="15" t="s">
        <v>56</v>
      </c>
      <c r="M99" s="19" t="s">
        <v>313</v>
      </c>
      <c r="N99" s="79">
        <v>794.03</v>
      </c>
      <c r="O99" s="40"/>
      <c r="P99" s="108"/>
      <c r="Q99" s="40">
        <v>220020</v>
      </c>
      <c r="R99" s="223" t="s">
        <v>613</v>
      </c>
      <c r="S99" s="116" t="str">
        <f t="shared" si="10"/>
        <v>Yes</v>
      </c>
    </row>
    <row r="100" spans="1:19" ht="21.75" customHeight="1" x14ac:dyDescent="0.2">
      <c r="A100" s="14" t="s">
        <v>604</v>
      </c>
      <c r="B100" s="126" t="s">
        <v>241</v>
      </c>
      <c r="C100" s="245" t="s">
        <v>224</v>
      </c>
      <c r="D100" s="18" t="s">
        <v>609</v>
      </c>
      <c r="E100" s="270">
        <v>220020</v>
      </c>
      <c r="F100" s="135"/>
      <c r="G100" s="17"/>
      <c r="H100" s="174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40"/>
      <c r="R100" s="223"/>
      <c r="S100" s="116" t="str">
        <f t="shared" si="10"/>
        <v/>
      </c>
    </row>
    <row r="101" spans="1:19" ht="21.75" customHeight="1" x14ac:dyDescent="0.2">
      <c r="A101" s="14"/>
      <c r="B101" s="126"/>
      <c r="C101" s="245"/>
      <c r="D101" s="18"/>
      <c r="E101" s="40"/>
      <c r="F101" s="135"/>
      <c r="G101" s="17"/>
      <c r="H101" s="174" t="str">
        <f t="shared" si="11"/>
        <v>BK</v>
      </c>
      <c r="I101" s="14"/>
      <c r="J101" s="179"/>
      <c r="K101" s="135"/>
      <c r="L101" s="30"/>
      <c r="M101" s="35"/>
      <c r="N101" s="97"/>
      <c r="O101" s="40"/>
      <c r="P101" s="108"/>
      <c r="Q101" s="40"/>
      <c r="R101" s="224"/>
      <c r="S101" s="116" t="str">
        <f t="shared" si="10"/>
        <v/>
      </c>
    </row>
    <row r="102" spans="1:19" ht="21.75" customHeight="1" x14ac:dyDescent="0.2">
      <c r="A102" s="95"/>
      <c r="B102" s="126"/>
      <c r="C102" s="24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4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5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 t="s">
        <v>621</v>
      </c>
      <c r="G105" s="269">
        <v>0.98611111111111116</v>
      </c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101</v>
      </c>
      <c r="B108" s="118"/>
      <c r="C108" s="9"/>
      <c r="D108" s="255">
        <f>'DEPT BAL'!$B$4-1</f>
        <v>43063</v>
      </c>
      <c r="E108" s="255"/>
      <c r="F108" s="138"/>
      <c r="I108" s="8" t="s">
        <v>102</v>
      </c>
      <c r="J108" s="118"/>
      <c r="L108" s="252">
        <f>D108+1</f>
        <v>43064</v>
      </c>
      <c r="M108" s="252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420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38</v>
      </c>
      <c r="B110" s="120" t="s">
        <v>264</v>
      </c>
      <c r="C110" s="11" t="s">
        <v>133</v>
      </c>
      <c r="D110" s="25" t="s">
        <v>356</v>
      </c>
      <c r="E110" s="39">
        <v>220015</v>
      </c>
      <c r="F110" s="192" t="s">
        <v>606</v>
      </c>
      <c r="G110" s="193"/>
      <c r="H110" s="174" t="str">
        <f>$I$107</f>
        <v>LA</v>
      </c>
      <c r="I110" s="10" t="s">
        <v>40</v>
      </c>
      <c r="J110" s="120" t="s">
        <v>303</v>
      </c>
      <c r="K110" s="209" t="s">
        <v>304</v>
      </c>
      <c r="L110" s="15" t="s">
        <v>55</v>
      </c>
      <c r="M110" s="19" t="s">
        <v>376</v>
      </c>
      <c r="N110" s="79">
        <v>834.07</v>
      </c>
      <c r="O110" s="39"/>
      <c r="P110" s="108"/>
      <c r="Q110" s="39">
        <v>220015</v>
      </c>
      <c r="R110" s="223"/>
      <c r="S110" s="115" t="str">
        <f>IF(N110&gt;0,"Yes","")</f>
        <v>Yes</v>
      </c>
    </row>
    <row r="111" spans="1:19" ht="21.75" customHeight="1" x14ac:dyDescent="0.2">
      <c r="A111" s="14" t="s">
        <v>48</v>
      </c>
      <c r="B111" s="121" t="s">
        <v>241</v>
      </c>
      <c r="C111" s="15" t="s">
        <v>133</v>
      </c>
      <c r="D111" s="18" t="s">
        <v>374</v>
      </c>
      <c r="E111" s="40">
        <v>220001</v>
      </c>
      <c r="F111" s="154" t="s">
        <v>606</v>
      </c>
      <c r="G111" s="90"/>
      <c r="H111" s="174" t="str">
        <f t="shared" ref="H111:H119" si="12">$I$107</f>
        <v>LA</v>
      </c>
      <c r="I111" s="14" t="s">
        <v>64</v>
      </c>
      <c r="J111" s="181"/>
      <c r="K111" s="210"/>
      <c r="L111" s="15" t="s">
        <v>58</v>
      </c>
      <c r="M111" s="19" t="s">
        <v>386</v>
      </c>
      <c r="N111" s="79">
        <v>1132.6400000000001</v>
      </c>
      <c r="O111" s="40"/>
      <c r="P111" s="108"/>
      <c r="Q111" s="40">
        <v>220001</v>
      </c>
      <c r="R111" s="223"/>
      <c r="S111" s="116" t="str">
        <f>IF(N111&gt;0,"Yes","")</f>
        <v>Yes</v>
      </c>
    </row>
    <row r="112" spans="1:19" ht="21.75" customHeight="1" x14ac:dyDescent="0.2">
      <c r="A112" s="14" t="s">
        <v>37</v>
      </c>
      <c r="B112" s="181"/>
      <c r="C112" s="15" t="s">
        <v>133</v>
      </c>
      <c r="D112" s="18" t="s">
        <v>374</v>
      </c>
      <c r="E112" s="40">
        <v>220029</v>
      </c>
      <c r="F112" s="154"/>
      <c r="G112" s="113"/>
      <c r="H112" s="174" t="str">
        <f t="shared" si="12"/>
        <v>LA</v>
      </c>
      <c r="I112" s="14" t="s">
        <v>24</v>
      </c>
      <c r="J112" s="121" t="s">
        <v>231</v>
      </c>
      <c r="K112" s="140" t="s">
        <v>325</v>
      </c>
      <c r="L112" s="30" t="s">
        <v>56</v>
      </c>
      <c r="M112" s="35" t="s">
        <v>416</v>
      </c>
      <c r="N112" s="97">
        <v>1053.71</v>
      </c>
      <c r="O112" s="40"/>
      <c r="P112" s="108"/>
      <c r="Q112" s="40">
        <v>221134</v>
      </c>
      <c r="R112" s="223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242</v>
      </c>
      <c r="C113" s="30" t="s">
        <v>133</v>
      </c>
      <c r="D113" s="18" t="s">
        <v>361</v>
      </c>
      <c r="E113" s="40">
        <v>221134</v>
      </c>
      <c r="F113" s="154" t="s">
        <v>606</v>
      </c>
      <c r="G113" s="90"/>
      <c r="H113" s="174" t="str">
        <f t="shared" si="12"/>
        <v>LA</v>
      </c>
      <c r="I113" s="14" t="s">
        <v>52</v>
      </c>
      <c r="J113" s="181"/>
      <c r="K113" s="210"/>
      <c r="L113" s="30" t="s">
        <v>59</v>
      </c>
      <c r="M113" s="35" t="s">
        <v>132</v>
      </c>
      <c r="N113" s="97">
        <v>753.1</v>
      </c>
      <c r="O113" s="40"/>
      <c r="P113" s="108"/>
      <c r="Q113" s="40">
        <v>220029</v>
      </c>
      <c r="R113" s="224"/>
      <c r="S113" s="116" t="str">
        <f t="shared" si="13"/>
        <v>Yes</v>
      </c>
    </row>
    <row r="114" spans="1:19" ht="21.75" customHeight="1" x14ac:dyDescent="0.2">
      <c r="A114" s="68" t="s">
        <v>23</v>
      </c>
      <c r="B114" s="181"/>
      <c r="C114" s="32" t="s">
        <v>133</v>
      </c>
      <c r="D114" s="18" t="s">
        <v>361</v>
      </c>
      <c r="E114" s="40">
        <v>221131</v>
      </c>
      <c r="F114" s="154"/>
      <c r="G114" s="17" t="s">
        <v>581</v>
      </c>
      <c r="H114" s="174" t="str">
        <f t="shared" si="12"/>
        <v>LA</v>
      </c>
      <c r="I114" s="14" t="s">
        <v>25</v>
      </c>
      <c r="J114" s="126" t="s">
        <v>262</v>
      </c>
      <c r="K114" s="135" t="s">
        <v>305</v>
      </c>
      <c r="L114" s="30" t="s">
        <v>56</v>
      </c>
      <c r="M114" s="35" t="s">
        <v>389</v>
      </c>
      <c r="N114" s="97">
        <v>938.85</v>
      </c>
      <c r="O114" s="40"/>
      <c r="P114" s="17"/>
      <c r="Q114" s="40">
        <v>221131</v>
      </c>
      <c r="R114" s="17" t="s">
        <v>581</v>
      </c>
      <c r="S114" s="116" t="str">
        <f t="shared" si="13"/>
        <v>Yes</v>
      </c>
    </row>
    <row r="115" spans="1:19" ht="21.75" customHeight="1" x14ac:dyDescent="0.2">
      <c r="A115" s="68"/>
      <c r="B115" s="126"/>
      <c r="C115" s="70"/>
      <c r="D115" s="18"/>
      <c r="E115" s="40"/>
      <c r="F115" s="154"/>
      <c r="G115" s="90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4"/>
      <c r="S115" s="116" t="str">
        <f t="shared" si="13"/>
        <v/>
      </c>
    </row>
    <row r="116" spans="1:19" ht="21.75" customHeight="1" x14ac:dyDescent="0.2">
      <c r="A116" s="95"/>
      <c r="B116" s="126"/>
      <c r="C116" s="15"/>
      <c r="D116" s="16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4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4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5"/>
      <c r="N118" s="97"/>
      <c r="O118" s="40"/>
      <c r="P118" s="109"/>
      <c r="Q118" s="40"/>
      <c r="R118" s="224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89"/>
      <c r="N119" s="80"/>
      <c r="O119" s="41"/>
      <c r="P119" s="110"/>
      <c r="Q119" s="41"/>
      <c r="R119" s="225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s="101" customFormat="1" ht="21" customHeight="1" x14ac:dyDescent="0.2">
      <c r="A121" s="8" t="s">
        <v>95</v>
      </c>
      <c r="B121" s="118"/>
      <c r="C121" s="6"/>
      <c r="D121" s="7"/>
      <c r="E121" s="37"/>
      <c r="F121" s="138" t="s">
        <v>607</v>
      </c>
      <c r="G121" s="269">
        <v>0.52083333333333337</v>
      </c>
      <c r="H121" s="174"/>
      <c r="I121" s="8" t="s">
        <v>13</v>
      </c>
      <c r="J121" s="118"/>
      <c r="K121" s="7"/>
      <c r="L121" s="6"/>
      <c r="M121" s="6"/>
      <c r="N121" s="6"/>
      <c r="O121" s="42" t="s">
        <v>14</v>
      </c>
      <c r="P121" s="105"/>
      <c r="Q121" s="42" t="s">
        <v>14</v>
      </c>
      <c r="R121" s="42"/>
    </row>
    <row r="122" spans="1:19" ht="21.75" customHeight="1" x14ac:dyDescent="0.2">
      <c r="A122" s="8"/>
      <c r="B122" s="118"/>
      <c r="F122" s="138"/>
      <c r="I122" s="8"/>
      <c r="J122" s="118"/>
      <c r="O122" s="42"/>
      <c r="Q122" s="42"/>
      <c r="R122" s="42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101</v>
      </c>
      <c r="B124" s="118"/>
      <c r="C124" s="9"/>
      <c r="D124" s="255">
        <f>'DEPT BAL'!$B$4-1</f>
        <v>43063</v>
      </c>
      <c r="E124" s="255"/>
      <c r="F124" s="138"/>
      <c r="I124" s="8" t="s">
        <v>102</v>
      </c>
      <c r="J124" s="118"/>
      <c r="L124" s="252">
        <f>D124+1</f>
        <v>43064</v>
      </c>
      <c r="M124" s="252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420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301</v>
      </c>
      <c r="C126" s="11" t="s">
        <v>320</v>
      </c>
      <c r="D126" s="25" t="s">
        <v>321</v>
      </c>
      <c r="E126" s="39">
        <v>221119</v>
      </c>
      <c r="F126" s="134"/>
      <c r="G126" s="186"/>
      <c r="H126" s="174" t="str">
        <f>$I$123</f>
        <v>PZ</v>
      </c>
      <c r="I126" s="10" t="s">
        <v>32</v>
      </c>
      <c r="J126" s="120" t="s">
        <v>204</v>
      </c>
      <c r="K126" s="209" t="s">
        <v>326</v>
      </c>
      <c r="L126" s="11" t="s">
        <v>62</v>
      </c>
      <c r="M126" s="13" t="s">
        <v>394</v>
      </c>
      <c r="N126" s="78">
        <v>762.48</v>
      </c>
      <c r="O126" s="39"/>
      <c r="P126" s="107"/>
      <c r="Q126" s="39">
        <v>221119</v>
      </c>
      <c r="R126" s="222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243</v>
      </c>
      <c r="C127" s="15" t="s">
        <v>320</v>
      </c>
      <c r="D127" s="18" t="s">
        <v>188</v>
      </c>
      <c r="E127" s="40">
        <v>221130</v>
      </c>
      <c r="F127" s="135"/>
      <c r="G127" s="17"/>
      <c r="H127" s="174" t="str">
        <f>$I$123</f>
        <v>PZ</v>
      </c>
      <c r="I127" s="68" t="s">
        <v>28</v>
      </c>
      <c r="J127" s="126" t="s">
        <v>183</v>
      </c>
      <c r="K127" s="135" t="s">
        <v>328</v>
      </c>
      <c r="L127" s="15" t="s">
        <v>62</v>
      </c>
      <c r="M127" s="19" t="s">
        <v>299</v>
      </c>
      <c r="N127" s="79">
        <v>752.81</v>
      </c>
      <c r="O127" s="40"/>
      <c r="P127" s="108"/>
      <c r="Q127" s="40">
        <v>221130</v>
      </c>
      <c r="R127" s="223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3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3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5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 t="s">
        <v>607</v>
      </c>
      <c r="G132" s="269">
        <v>0.52083333333333337</v>
      </c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101</v>
      </c>
      <c r="B135" s="118"/>
      <c r="C135" s="9"/>
      <c r="D135" s="255">
        <f>'DEPT BAL'!$B$4-1</f>
        <v>43063</v>
      </c>
      <c r="E135" s="255"/>
      <c r="F135" s="138"/>
      <c r="I135" s="8" t="s">
        <v>102</v>
      </c>
      <c r="J135" s="118"/>
      <c r="L135" s="252">
        <f>D135+1</f>
        <v>43064</v>
      </c>
      <c r="M135" s="252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420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332</v>
      </c>
      <c r="C137" s="149" t="s">
        <v>208</v>
      </c>
      <c r="D137" s="18" t="s">
        <v>333</v>
      </c>
      <c r="E137" s="39">
        <v>220022</v>
      </c>
      <c r="F137" s="134"/>
      <c r="G137" s="202" t="s">
        <v>582</v>
      </c>
      <c r="H137" s="174" t="str">
        <f>$I$134</f>
        <v>EH</v>
      </c>
      <c r="I137" s="10" t="s">
        <v>50</v>
      </c>
      <c r="J137" s="120" t="s">
        <v>144</v>
      </c>
      <c r="K137" s="209" t="s">
        <v>402</v>
      </c>
      <c r="L137" s="11" t="s">
        <v>56</v>
      </c>
      <c r="M137" s="13" t="s">
        <v>346</v>
      </c>
      <c r="N137" s="78">
        <v>955.91</v>
      </c>
      <c r="O137" s="40"/>
      <c r="P137" s="107" t="s">
        <v>149</v>
      </c>
      <c r="Q137" s="40">
        <v>220022</v>
      </c>
      <c r="R137" s="40" t="s">
        <v>582</v>
      </c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236</v>
      </c>
      <c r="C138" s="19" t="s">
        <v>226</v>
      </c>
      <c r="D138" s="18" t="s">
        <v>145</v>
      </c>
      <c r="E138" s="40">
        <v>221129</v>
      </c>
      <c r="F138" s="135"/>
      <c r="G138" s="224" t="s">
        <v>583</v>
      </c>
      <c r="H138" s="174" t="str">
        <f t="shared" ref="H138:H145" si="14">$I$134</f>
        <v>EH</v>
      </c>
      <c r="I138" s="14" t="s">
        <v>44</v>
      </c>
      <c r="J138" s="126" t="s">
        <v>403</v>
      </c>
      <c r="K138" s="135" t="s">
        <v>404</v>
      </c>
      <c r="L138" s="15" t="s">
        <v>66</v>
      </c>
      <c r="M138" s="19" t="s">
        <v>287</v>
      </c>
      <c r="N138" s="79">
        <v>996.93</v>
      </c>
      <c r="O138" s="40"/>
      <c r="P138" s="108"/>
      <c r="Q138" s="40">
        <v>221144</v>
      </c>
      <c r="R138" s="17" t="s">
        <v>584</v>
      </c>
      <c r="S138" s="116" t="str">
        <f>IF(N138&gt;0,"Yes","")</f>
        <v>Yes</v>
      </c>
    </row>
    <row r="139" spans="1:19" ht="21.75" customHeight="1" x14ac:dyDescent="0.2">
      <c r="A139" s="14" t="s">
        <v>22</v>
      </c>
      <c r="B139" s="121" t="s">
        <v>237</v>
      </c>
      <c r="C139" s="30" t="s">
        <v>226</v>
      </c>
      <c r="D139" s="18" t="s">
        <v>132</v>
      </c>
      <c r="E139" s="40">
        <v>221139</v>
      </c>
      <c r="F139" s="135"/>
      <c r="G139" s="183"/>
      <c r="H139" s="174" t="str">
        <f t="shared" si="14"/>
        <v>EH</v>
      </c>
      <c r="I139" s="14" t="s">
        <v>43</v>
      </c>
      <c r="J139" s="121" t="s">
        <v>405</v>
      </c>
      <c r="K139" s="140" t="s">
        <v>230</v>
      </c>
      <c r="L139" s="15" t="s">
        <v>59</v>
      </c>
      <c r="M139" s="19" t="s">
        <v>431</v>
      </c>
      <c r="N139" s="79">
        <v>800.71</v>
      </c>
      <c r="O139" s="40"/>
      <c r="P139" s="108"/>
      <c r="Q139" s="40">
        <v>220031</v>
      </c>
      <c r="R139" s="224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1"/>
      <c r="C140" s="32" t="s">
        <v>226</v>
      </c>
      <c r="D140" s="18" t="s">
        <v>132</v>
      </c>
      <c r="E140" s="40">
        <v>221140</v>
      </c>
      <c r="F140" s="135"/>
      <c r="G140" s="224" t="s">
        <v>563</v>
      </c>
      <c r="H140" s="174" t="str">
        <f t="shared" si="14"/>
        <v>EH</v>
      </c>
      <c r="I140" s="14" t="s">
        <v>21</v>
      </c>
      <c r="J140" s="181"/>
      <c r="K140" s="210"/>
      <c r="L140" s="15" t="s">
        <v>56</v>
      </c>
      <c r="M140" s="19" t="s">
        <v>416</v>
      </c>
      <c r="N140" s="79">
        <v>897.51</v>
      </c>
      <c r="O140" s="40"/>
      <c r="P140" s="108"/>
      <c r="Q140" s="40">
        <v>221129</v>
      </c>
      <c r="R140" s="224" t="s">
        <v>583</v>
      </c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334</v>
      </c>
      <c r="C141" s="15" t="s">
        <v>227</v>
      </c>
      <c r="D141" s="18" t="s">
        <v>335</v>
      </c>
      <c r="E141" s="40">
        <v>221144</v>
      </c>
      <c r="F141" s="135"/>
      <c r="G141" s="17" t="s">
        <v>584</v>
      </c>
      <c r="H141" s="174" t="str">
        <f t="shared" si="14"/>
        <v>EH</v>
      </c>
      <c r="I141" s="14" t="s">
        <v>146</v>
      </c>
      <c r="J141" s="126" t="s">
        <v>200</v>
      </c>
      <c r="K141" s="135" t="s">
        <v>406</v>
      </c>
      <c r="L141" s="15" t="s">
        <v>59</v>
      </c>
      <c r="M141" s="19" t="s">
        <v>360</v>
      </c>
      <c r="N141" s="79">
        <v>872.26</v>
      </c>
      <c r="O141" s="40"/>
      <c r="P141" s="108"/>
      <c r="Q141" s="40">
        <v>220009</v>
      </c>
      <c r="R141" s="223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213</v>
      </c>
      <c r="C142" s="15" t="s">
        <v>226</v>
      </c>
      <c r="D142" s="16" t="s">
        <v>360</v>
      </c>
      <c r="E142" s="40">
        <v>220030</v>
      </c>
      <c r="F142" s="135"/>
      <c r="G142" s="189" t="s">
        <v>585</v>
      </c>
      <c r="H142" s="174" t="str">
        <f t="shared" si="14"/>
        <v>EH</v>
      </c>
      <c r="I142" s="14" t="s">
        <v>65</v>
      </c>
      <c r="J142" s="121" t="s">
        <v>201</v>
      </c>
      <c r="K142" s="140" t="s">
        <v>407</v>
      </c>
      <c r="L142" s="15" t="s">
        <v>55</v>
      </c>
      <c r="M142" s="19" t="s">
        <v>302</v>
      </c>
      <c r="N142" s="79">
        <v>804.2</v>
      </c>
      <c r="O142" s="40"/>
      <c r="P142" s="108"/>
      <c r="Q142" s="40">
        <v>221140</v>
      </c>
      <c r="R142" s="224" t="s">
        <v>563</v>
      </c>
      <c r="S142" s="116" t="str">
        <f t="shared" si="15"/>
        <v>Yes</v>
      </c>
    </row>
    <row r="143" spans="1:19" ht="21.75" customHeight="1" x14ac:dyDescent="0.2">
      <c r="A143" s="14" t="s">
        <v>52</v>
      </c>
      <c r="B143" s="181"/>
      <c r="C143" s="15" t="s">
        <v>227</v>
      </c>
      <c r="D143" s="16" t="s">
        <v>360</v>
      </c>
      <c r="E143" s="40">
        <v>220031</v>
      </c>
      <c r="F143" s="135"/>
      <c r="G143" s="17"/>
      <c r="H143" s="174" t="str">
        <f t="shared" si="14"/>
        <v>EH</v>
      </c>
      <c r="I143" s="14" t="s">
        <v>23</v>
      </c>
      <c r="J143" s="181"/>
      <c r="K143" s="210"/>
      <c r="L143" s="15" t="s">
        <v>57</v>
      </c>
      <c r="M143" s="15" t="s">
        <v>432</v>
      </c>
      <c r="N143" s="79">
        <v>704.73</v>
      </c>
      <c r="O143" s="40"/>
      <c r="P143" s="108"/>
      <c r="Q143" s="40">
        <v>221139</v>
      </c>
      <c r="R143" s="223"/>
      <c r="S143" s="116" t="str">
        <f t="shared" si="15"/>
        <v>Yes</v>
      </c>
    </row>
    <row r="144" spans="1:19" ht="21.75" customHeight="1" x14ac:dyDescent="0.2">
      <c r="A144" s="14" t="s">
        <v>147</v>
      </c>
      <c r="B144" s="126" t="s">
        <v>238</v>
      </c>
      <c r="C144" s="15" t="s">
        <v>174</v>
      </c>
      <c r="D144" s="16" t="s">
        <v>185</v>
      </c>
      <c r="E144" s="40">
        <v>220009</v>
      </c>
      <c r="F144" s="135"/>
      <c r="G144" s="17"/>
      <c r="H144" s="174" t="str">
        <f t="shared" si="14"/>
        <v>EH</v>
      </c>
      <c r="I144" s="14" t="s">
        <v>147</v>
      </c>
      <c r="J144" s="126" t="s">
        <v>355</v>
      </c>
      <c r="K144" s="135" t="s">
        <v>408</v>
      </c>
      <c r="L144" s="15" t="s">
        <v>56</v>
      </c>
      <c r="M144" s="15" t="s">
        <v>343</v>
      </c>
      <c r="N144" s="79">
        <v>781.21</v>
      </c>
      <c r="O144" s="40"/>
      <c r="P144" s="108"/>
      <c r="Q144" s="40">
        <v>220030</v>
      </c>
      <c r="R144" s="223" t="s">
        <v>585</v>
      </c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5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 t="s">
        <v>607</v>
      </c>
      <c r="G147" s="269">
        <v>0.52083333333333337</v>
      </c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170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171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Saturday</v>
      </c>
      <c r="H150" s="176"/>
      <c r="I150" s="253">
        <f>$L$3</f>
        <v>43064</v>
      </c>
      <c r="J150" s="253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4" t="s">
        <v>5</v>
      </c>
      <c r="K152" s="254"/>
      <c r="M152" s="6" t="s">
        <v>98</v>
      </c>
    </row>
    <row r="153" spans="1:19" ht="19.5" customHeight="1" x14ac:dyDescent="0.2">
      <c r="D153" s="196">
        <f t="shared" ref="D153:D187" si="16">INDEX($I$5:$N$148, MATCH($F153,I$5:I$148,0),6)</f>
        <v>924.59</v>
      </c>
      <c r="E153" s="86" t="str">
        <f t="shared" ref="E153:E187" si="17">INDEX($H$5:$H$148, MATCH($F153,I$5:I$148,0))</f>
        <v>EC</v>
      </c>
      <c r="F153" s="15" t="s">
        <v>34</v>
      </c>
      <c r="G153" s="28">
        <f>INDEX($I$5:$Q$148, MATCH($F153,I$5:I$148,0),9)</f>
        <v>220023</v>
      </c>
      <c r="I153" s="15" t="s">
        <v>21</v>
      </c>
      <c r="J153" s="251">
        <f>INDEX($I$5:$Q$148, MATCH($I153,I$5:I$148,0),9)</f>
        <v>221129</v>
      </c>
      <c r="K153" s="251"/>
      <c r="L153" s="6" t="str">
        <f t="shared" ref="L153:L186" si="18">INDEX($H$5:$H$148, MATCH($I153,I$5:I$148,0))</f>
        <v>EH</v>
      </c>
      <c r="M153" s="196">
        <f t="shared" ref="M153:M186" si="19">INDEX($I$5:$N$148, MATCH($I153,I$5:I$148,0),6)</f>
        <v>897.51</v>
      </c>
      <c r="N153" s="8"/>
    </row>
    <row r="154" spans="1:19" ht="19.5" customHeight="1" x14ac:dyDescent="0.2">
      <c r="D154" s="196">
        <f t="shared" si="16"/>
        <v>721.56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220004</v>
      </c>
      <c r="I154" s="15" t="s">
        <v>22</v>
      </c>
      <c r="J154" s="251">
        <f t="shared" ref="J154:J186" si="21">INDEX($I$5:$Q$148, MATCH($I154,I$5:I$148,0),9)</f>
        <v>221138</v>
      </c>
      <c r="K154" s="251"/>
      <c r="L154" s="6" t="str">
        <f t="shared" si="18"/>
        <v>MA</v>
      </c>
      <c r="M154" s="196">
        <f t="shared" si="19"/>
        <v>817.99</v>
      </c>
      <c r="N154" s="8"/>
    </row>
    <row r="155" spans="1:19" ht="19.5" customHeight="1" x14ac:dyDescent="0.2">
      <c r="D155" s="196">
        <f t="shared" si="16"/>
        <v>804.67</v>
      </c>
      <c r="E155" s="86" t="str">
        <f t="shared" si="17"/>
        <v>CZ</v>
      </c>
      <c r="F155" s="15" t="s">
        <v>36</v>
      </c>
      <c r="G155" s="28">
        <f t="shared" si="20"/>
        <v>221137</v>
      </c>
      <c r="I155" s="15" t="s">
        <v>23</v>
      </c>
      <c r="J155" s="251">
        <f t="shared" si="21"/>
        <v>221139</v>
      </c>
      <c r="K155" s="251"/>
      <c r="L155" s="6" t="str">
        <f t="shared" si="18"/>
        <v>EH</v>
      </c>
      <c r="M155" s="196">
        <f t="shared" si="19"/>
        <v>704.73</v>
      </c>
      <c r="N155" s="8"/>
    </row>
    <row r="156" spans="1:19" ht="19.5" customHeight="1" x14ac:dyDescent="0.2">
      <c r="D156" s="196">
        <f t="shared" si="16"/>
        <v>816.9</v>
      </c>
      <c r="E156" s="86" t="str">
        <f t="shared" si="17"/>
        <v>MA</v>
      </c>
      <c r="F156" s="15" t="s">
        <v>37</v>
      </c>
      <c r="G156" s="28">
        <f t="shared" si="20"/>
        <v>220032</v>
      </c>
      <c r="I156" s="15" t="s">
        <v>24</v>
      </c>
      <c r="J156" s="251">
        <f t="shared" si="21"/>
        <v>221134</v>
      </c>
      <c r="K156" s="251"/>
      <c r="L156" s="6" t="str">
        <f t="shared" si="18"/>
        <v>LA</v>
      </c>
      <c r="M156" s="196">
        <f t="shared" si="19"/>
        <v>1053.71</v>
      </c>
      <c r="N156" s="8"/>
    </row>
    <row r="157" spans="1:19" s="101" customFormat="1" ht="19.5" customHeight="1" x14ac:dyDescent="0.2">
      <c r="A157" s="6"/>
      <c r="B157" s="6"/>
      <c r="C157" s="6"/>
      <c r="D157" s="196">
        <f t="shared" si="16"/>
        <v>1053.7</v>
      </c>
      <c r="E157" s="86" t="str">
        <f t="shared" si="17"/>
        <v>CZ</v>
      </c>
      <c r="F157" s="15" t="s">
        <v>38</v>
      </c>
      <c r="G157" s="28">
        <f t="shared" si="20"/>
        <v>220005</v>
      </c>
      <c r="H157" s="174"/>
      <c r="I157" s="15" t="s">
        <v>25</v>
      </c>
      <c r="J157" s="251">
        <f t="shared" si="21"/>
        <v>221131</v>
      </c>
      <c r="K157" s="251"/>
      <c r="L157" s="6" t="str">
        <f t="shared" si="18"/>
        <v>LA</v>
      </c>
      <c r="M157" s="196">
        <f t="shared" si="19"/>
        <v>938.85</v>
      </c>
      <c r="N157" s="8"/>
      <c r="O157" s="37"/>
      <c r="P157" s="105"/>
      <c r="Q157" s="37"/>
      <c r="R157" s="37"/>
    </row>
    <row r="158" spans="1:19" ht="19.5" customHeight="1" x14ac:dyDescent="0.2">
      <c r="D158" s="196">
        <f t="shared" si="16"/>
        <v>853.28</v>
      </c>
      <c r="E158" s="86" t="str">
        <f t="shared" si="17"/>
        <v>CZ</v>
      </c>
      <c r="F158" s="15" t="s">
        <v>39</v>
      </c>
      <c r="G158" s="28">
        <f t="shared" si="20"/>
        <v>220012</v>
      </c>
      <c r="I158" s="15" t="s">
        <v>26</v>
      </c>
      <c r="J158" s="251">
        <f t="shared" si="21"/>
        <v>220013</v>
      </c>
      <c r="K158" s="251"/>
      <c r="L158" s="6" t="str">
        <f t="shared" si="18"/>
        <v>BK</v>
      </c>
      <c r="M158" s="196">
        <f t="shared" si="19"/>
        <v>985.61</v>
      </c>
      <c r="N158" s="8"/>
    </row>
    <row r="159" spans="1:19" ht="19.5" customHeight="1" x14ac:dyDescent="0.2">
      <c r="D159" s="196">
        <f t="shared" si="16"/>
        <v>834.07</v>
      </c>
      <c r="E159" s="86" t="str">
        <f t="shared" si="17"/>
        <v>LA</v>
      </c>
      <c r="F159" s="15" t="s">
        <v>40</v>
      </c>
      <c r="G159" s="28">
        <f t="shared" si="20"/>
        <v>220015</v>
      </c>
      <c r="I159" s="15" t="s">
        <v>27</v>
      </c>
      <c r="J159" s="251">
        <f t="shared" si="21"/>
        <v>220018</v>
      </c>
      <c r="K159" s="251"/>
      <c r="L159" s="6" t="str">
        <f t="shared" si="18"/>
        <v>CZ</v>
      </c>
      <c r="M159" s="196">
        <f t="shared" si="19"/>
        <v>747.85</v>
      </c>
      <c r="N159" s="8"/>
    </row>
    <row r="160" spans="1:19" ht="19.5" customHeight="1" x14ac:dyDescent="0.2">
      <c r="D160" s="196">
        <f t="shared" si="16"/>
        <v>961.05</v>
      </c>
      <c r="E160" s="86" t="str">
        <f t="shared" si="17"/>
        <v>CZ</v>
      </c>
      <c r="F160" s="15" t="s">
        <v>41</v>
      </c>
      <c r="G160" s="28">
        <f t="shared" si="20"/>
        <v>220003</v>
      </c>
      <c r="I160" s="15" t="s">
        <v>28</v>
      </c>
      <c r="J160" s="251">
        <f t="shared" si="21"/>
        <v>221130</v>
      </c>
      <c r="K160" s="251"/>
      <c r="L160" s="6" t="str">
        <f t="shared" si="18"/>
        <v>PZ</v>
      </c>
      <c r="M160" s="196">
        <f t="shared" si="19"/>
        <v>752.81</v>
      </c>
      <c r="N160" s="8"/>
    </row>
    <row r="161" spans="4:14" ht="19.5" customHeight="1" x14ac:dyDescent="0.2">
      <c r="D161" s="196">
        <f t="shared" si="16"/>
        <v>795.67</v>
      </c>
      <c r="E161" s="86" t="str">
        <f t="shared" si="17"/>
        <v>CZ</v>
      </c>
      <c r="F161" s="15" t="s">
        <v>42</v>
      </c>
      <c r="G161" s="28">
        <f t="shared" si="20"/>
        <v>220033</v>
      </c>
      <c r="I161" s="15" t="s">
        <v>29</v>
      </c>
      <c r="J161" s="251">
        <f t="shared" si="21"/>
        <v>220014</v>
      </c>
      <c r="K161" s="251"/>
      <c r="L161" s="6" t="str">
        <f t="shared" si="18"/>
        <v>EC</v>
      </c>
      <c r="M161" s="196">
        <f t="shared" si="19"/>
        <v>920.67</v>
      </c>
      <c r="N161" s="8"/>
    </row>
    <row r="162" spans="4:14" ht="19.5" customHeight="1" x14ac:dyDescent="0.2">
      <c r="D162" s="196">
        <f t="shared" si="16"/>
        <v>800.71</v>
      </c>
      <c r="E162" s="86" t="str">
        <f t="shared" si="17"/>
        <v>EH</v>
      </c>
      <c r="F162" s="15" t="s">
        <v>43</v>
      </c>
      <c r="G162" s="28">
        <f t="shared" si="20"/>
        <v>220031</v>
      </c>
      <c r="I162" s="15" t="s">
        <v>30</v>
      </c>
      <c r="J162" s="251">
        <f t="shared" si="21"/>
        <v>221127</v>
      </c>
      <c r="K162" s="251"/>
      <c r="L162" s="6" t="str">
        <f t="shared" si="18"/>
        <v>CZ</v>
      </c>
      <c r="M162" s="196">
        <f t="shared" si="19"/>
        <v>938.84</v>
      </c>
      <c r="N162" s="8"/>
    </row>
    <row r="163" spans="4:14" ht="19.5" customHeight="1" x14ac:dyDescent="0.2">
      <c r="D163" s="196">
        <f t="shared" si="16"/>
        <v>996.93</v>
      </c>
      <c r="E163" s="86" t="str">
        <f t="shared" si="17"/>
        <v>EH</v>
      </c>
      <c r="F163" s="15" t="s">
        <v>44</v>
      </c>
      <c r="G163" s="28">
        <f t="shared" si="20"/>
        <v>221144</v>
      </c>
      <c r="I163" s="15" t="s">
        <v>31</v>
      </c>
      <c r="J163" s="251">
        <f t="shared" si="21"/>
        <v>220008</v>
      </c>
      <c r="K163" s="251"/>
      <c r="L163" s="6" t="str">
        <f t="shared" si="18"/>
        <v>EC</v>
      </c>
      <c r="M163" s="196">
        <f t="shared" si="19"/>
        <v>962.11</v>
      </c>
      <c r="N163" s="8"/>
    </row>
    <row r="164" spans="4:14" ht="19.5" customHeight="1" x14ac:dyDescent="0.2">
      <c r="D164" s="196">
        <f t="shared" si="16"/>
        <v>893.54</v>
      </c>
      <c r="E164" s="86" t="str">
        <f t="shared" si="17"/>
        <v>CZ</v>
      </c>
      <c r="F164" s="15" t="s">
        <v>45</v>
      </c>
      <c r="G164" s="28">
        <f t="shared" si="20"/>
        <v>220002</v>
      </c>
      <c r="I164" s="15" t="s">
        <v>32</v>
      </c>
      <c r="J164" s="251">
        <f t="shared" si="21"/>
        <v>221119</v>
      </c>
      <c r="K164" s="251"/>
      <c r="L164" s="6" t="str">
        <f t="shared" si="18"/>
        <v>PZ</v>
      </c>
      <c r="M164" s="196">
        <f t="shared" si="19"/>
        <v>762.48</v>
      </c>
      <c r="N164" s="8"/>
    </row>
    <row r="165" spans="4:14" ht="19.5" customHeight="1" x14ac:dyDescent="0.2">
      <c r="D165" s="196">
        <f t="shared" si="16"/>
        <v>911.21</v>
      </c>
      <c r="E165" s="86" t="str">
        <f t="shared" si="17"/>
        <v>XW</v>
      </c>
      <c r="F165" s="15" t="s">
        <v>46</v>
      </c>
      <c r="G165" s="28">
        <f t="shared" si="20"/>
        <v>221124</v>
      </c>
      <c r="I165" s="15" t="s">
        <v>33</v>
      </c>
      <c r="J165" s="251">
        <f t="shared" si="21"/>
        <v>221135</v>
      </c>
      <c r="K165" s="251"/>
      <c r="L165" s="6" t="str">
        <f t="shared" si="18"/>
        <v>MA</v>
      </c>
      <c r="M165" s="196">
        <f t="shared" si="19"/>
        <v>862.34</v>
      </c>
      <c r="N165" s="8"/>
    </row>
    <row r="166" spans="4:14" ht="19.5" customHeight="1" x14ac:dyDescent="0.2">
      <c r="D166" s="196">
        <f t="shared" si="16"/>
        <v>896.55</v>
      </c>
      <c r="E166" s="86" t="str">
        <f t="shared" si="17"/>
        <v>CZ</v>
      </c>
      <c r="F166" s="15" t="s">
        <v>47</v>
      </c>
      <c r="G166" s="28">
        <f t="shared" si="20"/>
        <v>220016</v>
      </c>
      <c r="I166" s="15" t="s">
        <v>107</v>
      </c>
      <c r="J166" s="251">
        <f t="shared" si="21"/>
        <v>221120</v>
      </c>
      <c r="K166" s="251"/>
      <c r="L166" s="6" t="str">
        <f t="shared" si="18"/>
        <v>CZ</v>
      </c>
      <c r="M166" s="196">
        <f t="shared" si="19"/>
        <v>941.73</v>
      </c>
      <c r="N166" s="8"/>
    </row>
    <row r="167" spans="4:14" ht="19.5" customHeight="1" x14ac:dyDescent="0.2">
      <c r="D167" s="196">
        <f t="shared" si="16"/>
        <v>964.97</v>
      </c>
      <c r="E167" s="86" t="str">
        <f t="shared" si="17"/>
        <v>EC</v>
      </c>
      <c r="F167" s="15" t="s">
        <v>48</v>
      </c>
      <c r="G167" s="28">
        <f t="shared" si="20"/>
        <v>220024</v>
      </c>
      <c r="I167" s="15" t="s">
        <v>104</v>
      </c>
      <c r="J167" s="251">
        <f t="shared" si="21"/>
        <v>221121</v>
      </c>
      <c r="K167" s="251"/>
      <c r="L167" s="6" t="str">
        <f t="shared" si="18"/>
        <v>BK</v>
      </c>
      <c r="M167" s="196">
        <f t="shared" si="19"/>
        <v>990.86</v>
      </c>
      <c r="N167" s="8"/>
    </row>
    <row r="168" spans="4:14" ht="19.5" customHeight="1" x14ac:dyDescent="0.2">
      <c r="D168" s="196">
        <f t="shared" si="16"/>
        <v>839.53</v>
      </c>
      <c r="E168" s="86" t="str">
        <f t="shared" si="17"/>
        <v>TY</v>
      </c>
      <c r="F168" s="15" t="s">
        <v>49</v>
      </c>
      <c r="G168" s="28">
        <f t="shared" si="20"/>
        <v>220017</v>
      </c>
      <c r="I168" s="15" t="s">
        <v>106</v>
      </c>
      <c r="J168" s="251">
        <f t="shared" si="21"/>
        <v>221128</v>
      </c>
      <c r="K168" s="251"/>
      <c r="L168" s="6" t="str">
        <f t="shared" si="18"/>
        <v>TY</v>
      </c>
      <c r="M168" s="196">
        <f t="shared" si="19"/>
        <v>1009.6</v>
      </c>
      <c r="N168" s="8"/>
    </row>
    <row r="169" spans="4:14" ht="19.5" customHeight="1" x14ac:dyDescent="0.2">
      <c r="D169" s="196">
        <f t="shared" si="16"/>
        <v>955.91</v>
      </c>
      <c r="E169" s="86" t="str">
        <f t="shared" si="17"/>
        <v>EH</v>
      </c>
      <c r="F169" s="15" t="s">
        <v>50</v>
      </c>
      <c r="G169" s="28">
        <f t="shared" si="20"/>
        <v>220022</v>
      </c>
      <c r="I169" s="15" t="s">
        <v>103</v>
      </c>
      <c r="J169" s="251">
        <f t="shared" si="21"/>
        <v>221132</v>
      </c>
      <c r="K169" s="251"/>
      <c r="L169" s="6" t="str">
        <f t="shared" si="18"/>
        <v>CZ</v>
      </c>
      <c r="M169" s="196">
        <f t="shared" si="19"/>
        <v>771.34</v>
      </c>
      <c r="N169" s="8"/>
    </row>
    <row r="170" spans="4:14" ht="19.5" customHeight="1" x14ac:dyDescent="0.2">
      <c r="D170" s="196">
        <f t="shared" si="16"/>
        <v>764.28</v>
      </c>
      <c r="E170" s="86" t="str">
        <f t="shared" si="17"/>
        <v>BK</v>
      </c>
      <c r="F170" s="15" t="s">
        <v>51</v>
      </c>
      <c r="G170" s="28">
        <f t="shared" si="20"/>
        <v>221136</v>
      </c>
      <c r="I170" s="15" t="s">
        <v>105</v>
      </c>
      <c r="J170" s="251">
        <f t="shared" si="21"/>
        <v>221122</v>
      </c>
      <c r="K170" s="251"/>
      <c r="L170" s="6" t="str">
        <f t="shared" si="18"/>
        <v>EC</v>
      </c>
      <c r="M170" s="196">
        <f t="shared" si="19"/>
        <v>842.41</v>
      </c>
      <c r="N170" s="8"/>
    </row>
    <row r="171" spans="4:14" ht="19.5" customHeight="1" x14ac:dyDescent="0.2">
      <c r="D171" s="196">
        <f t="shared" si="16"/>
        <v>753.1</v>
      </c>
      <c r="E171" s="86" t="str">
        <f t="shared" si="17"/>
        <v>LA</v>
      </c>
      <c r="F171" s="15" t="s">
        <v>52</v>
      </c>
      <c r="G171" s="28">
        <f t="shared" si="20"/>
        <v>220029</v>
      </c>
      <c r="I171" s="15" t="s">
        <v>108</v>
      </c>
      <c r="J171" s="251" t="e">
        <f t="shared" si="21"/>
        <v>#N/A</v>
      </c>
      <c r="K171" s="251"/>
      <c r="L171" s="6" t="e">
        <f t="shared" si="18"/>
        <v>#N/A</v>
      </c>
      <c r="M171" s="196" t="e">
        <f t="shared" si="19"/>
        <v>#N/A</v>
      </c>
      <c r="N171" s="8"/>
    </row>
    <row r="172" spans="4:14" ht="19.5" customHeight="1" x14ac:dyDescent="0.2">
      <c r="D172" s="196">
        <f t="shared" si="16"/>
        <v>962.11</v>
      </c>
      <c r="E172" s="86" t="str">
        <f t="shared" si="17"/>
        <v>XW</v>
      </c>
      <c r="F172" s="15" t="s">
        <v>53</v>
      </c>
      <c r="G172" s="28" t="str">
        <f t="shared" si="20"/>
        <v>U/C</v>
      </c>
      <c r="I172" s="15" t="s">
        <v>119</v>
      </c>
      <c r="J172" s="251" t="e">
        <f t="shared" si="21"/>
        <v>#N/A</v>
      </c>
      <c r="K172" s="251"/>
      <c r="L172" s="6" t="e">
        <f t="shared" si="18"/>
        <v>#N/A</v>
      </c>
      <c r="M172" s="196" t="e">
        <f t="shared" si="19"/>
        <v>#N/A</v>
      </c>
      <c r="N172" s="8"/>
    </row>
    <row r="173" spans="4:14" ht="19.5" customHeight="1" x14ac:dyDescent="0.2">
      <c r="D173" s="196">
        <f t="shared" si="16"/>
        <v>1019.97</v>
      </c>
      <c r="E173" s="86" t="str">
        <f t="shared" si="17"/>
        <v>EC</v>
      </c>
      <c r="F173" s="15" t="s">
        <v>54</v>
      </c>
      <c r="G173" s="28">
        <f t="shared" si="20"/>
        <v>220025</v>
      </c>
      <c r="I173" s="15" t="s">
        <v>120</v>
      </c>
      <c r="J173" s="251" t="e">
        <f t="shared" si="21"/>
        <v>#N/A</v>
      </c>
      <c r="K173" s="251"/>
      <c r="L173" s="6" t="e">
        <f t="shared" si="18"/>
        <v>#N/A</v>
      </c>
      <c r="M173" s="196" t="e">
        <f t="shared" si="19"/>
        <v>#N/A</v>
      </c>
      <c r="N173" s="8"/>
    </row>
    <row r="174" spans="4:14" ht="19.5" customHeight="1" x14ac:dyDescent="0.2">
      <c r="D174" s="196">
        <f t="shared" si="16"/>
        <v>1132.6400000000001</v>
      </c>
      <c r="E174" s="86" t="str">
        <f t="shared" si="17"/>
        <v>LA</v>
      </c>
      <c r="F174" s="15" t="s">
        <v>64</v>
      </c>
      <c r="G174" s="28">
        <f t="shared" si="20"/>
        <v>220001</v>
      </c>
      <c r="I174" s="15" t="s">
        <v>140</v>
      </c>
      <c r="J174" s="251" t="e">
        <f t="shared" si="21"/>
        <v>#N/A</v>
      </c>
      <c r="K174" s="251"/>
      <c r="L174" s="6" t="e">
        <f t="shared" si="18"/>
        <v>#N/A</v>
      </c>
      <c r="M174" s="196" t="e">
        <f t="shared" si="19"/>
        <v>#N/A</v>
      </c>
      <c r="N174" s="8"/>
    </row>
    <row r="175" spans="4:14" ht="19.5" customHeight="1" x14ac:dyDescent="0.2">
      <c r="D175" s="196">
        <f t="shared" si="16"/>
        <v>804.2</v>
      </c>
      <c r="E175" s="86" t="str">
        <f t="shared" si="17"/>
        <v>EH</v>
      </c>
      <c r="F175" s="15" t="s">
        <v>65</v>
      </c>
      <c r="G175" s="28">
        <f t="shared" si="20"/>
        <v>221140</v>
      </c>
      <c r="I175" s="15" t="s">
        <v>142</v>
      </c>
      <c r="J175" s="251" t="e">
        <f t="shared" si="21"/>
        <v>#N/A</v>
      </c>
      <c r="K175" s="251"/>
      <c r="L175" s="6" t="e">
        <f t="shared" si="18"/>
        <v>#N/A</v>
      </c>
      <c r="M175" s="196" t="e">
        <f t="shared" si="19"/>
        <v>#N/A</v>
      </c>
      <c r="N175" s="8"/>
    </row>
    <row r="176" spans="4:14" ht="19.5" customHeight="1" x14ac:dyDescent="0.2">
      <c r="D176" s="196">
        <f t="shared" si="16"/>
        <v>888.56</v>
      </c>
      <c r="E176" s="86" t="str">
        <f t="shared" si="17"/>
        <v>TY</v>
      </c>
      <c r="F176" s="15" t="s">
        <v>85</v>
      </c>
      <c r="G176" s="28">
        <f t="shared" si="20"/>
        <v>220027</v>
      </c>
      <c r="I176" s="15" t="s">
        <v>141</v>
      </c>
      <c r="J176" s="251" t="e">
        <f t="shared" si="21"/>
        <v>#N/A</v>
      </c>
      <c r="K176" s="251"/>
      <c r="L176" s="6" t="e">
        <f t="shared" si="18"/>
        <v>#N/A</v>
      </c>
      <c r="M176" s="196" t="e">
        <f t="shared" si="19"/>
        <v>#N/A</v>
      </c>
      <c r="N176" s="8"/>
    </row>
    <row r="177" spans="3:14" ht="19.5" customHeight="1" x14ac:dyDescent="0.2">
      <c r="D177" s="196">
        <f t="shared" si="16"/>
        <v>790.5</v>
      </c>
      <c r="E177" s="86" t="str">
        <f t="shared" si="17"/>
        <v>CZ</v>
      </c>
      <c r="F177" s="15" t="s">
        <v>86</v>
      </c>
      <c r="G177" s="28">
        <f t="shared" si="20"/>
        <v>221141</v>
      </c>
      <c r="I177" s="15" t="s">
        <v>166</v>
      </c>
      <c r="J177" s="251" t="e">
        <f t="shared" si="21"/>
        <v>#N/A</v>
      </c>
      <c r="K177" s="251"/>
      <c r="L177" s="6" t="e">
        <f t="shared" si="18"/>
        <v>#N/A</v>
      </c>
      <c r="M177" s="196" t="e">
        <f t="shared" si="19"/>
        <v>#N/A</v>
      </c>
      <c r="N177" s="8"/>
    </row>
    <row r="178" spans="3:14" ht="19.5" customHeight="1" x14ac:dyDescent="0.2">
      <c r="D178" s="196">
        <f t="shared" si="16"/>
        <v>903.66</v>
      </c>
      <c r="E178" s="86" t="str">
        <f t="shared" si="17"/>
        <v>CZ</v>
      </c>
      <c r="F178" s="15" t="s">
        <v>87</v>
      </c>
      <c r="G178" s="28">
        <f t="shared" si="20"/>
        <v>220019</v>
      </c>
      <c r="I178" s="15" t="s">
        <v>167</v>
      </c>
      <c r="J178" s="251" t="e">
        <f t="shared" si="21"/>
        <v>#N/A</v>
      </c>
      <c r="K178" s="251"/>
      <c r="L178" s="6" t="e">
        <f t="shared" si="18"/>
        <v>#N/A</v>
      </c>
      <c r="M178" s="196" t="e">
        <f t="shared" si="19"/>
        <v>#N/A</v>
      </c>
      <c r="N178" s="8"/>
    </row>
    <row r="179" spans="3:14" ht="19.5" customHeight="1" x14ac:dyDescent="0.2">
      <c r="D179" s="196">
        <f t="shared" si="16"/>
        <v>966.82</v>
      </c>
      <c r="E179" s="86" t="str">
        <f t="shared" si="17"/>
        <v>TY</v>
      </c>
      <c r="F179" s="15" t="s">
        <v>89</v>
      </c>
      <c r="G179" s="28">
        <f t="shared" si="20"/>
        <v>220021</v>
      </c>
      <c r="I179" s="15" t="s">
        <v>168</v>
      </c>
      <c r="J179" s="251" t="e">
        <f t="shared" si="21"/>
        <v>#N/A</v>
      </c>
      <c r="K179" s="251"/>
      <c r="L179" s="6" t="e">
        <f t="shared" si="18"/>
        <v>#N/A</v>
      </c>
      <c r="M179" s="196" t="e">
        <f t="shared" si="19"/>
        <v>#N/A</v>
      </c>
      <c r="N179" s="8"/>
    </row>
    <row r="180" spans="3:14" ht="19.5" customHeight="1" x14ac:dyDescent="0.2">
      <c r="D180" s="196">
        <f t="shared" si="16"/>
        <v>771.58</v>
      </c>
      <c r="E180" s="86" t="str">
        <f t="shared" si="17"/>
        <v>CZ</v>
      </c>
      <c r="F180" s="15" t="s">
        <v>88</v>
      </c>
      <c r="G180" s="28">
        <f t="shared" si="20"/>
        <v>220028</v>
      </c>
      <c r="I180" s="15" t="s">
        <v>169</v>
      </c>
      <c r="J180" s="251" t="e">
        <f t="shared" si="21"/>
        <v>#N/A</v>
      </c>
      <c r="K180" s="251"/>
      <c r="L180" s="6" t="e">
        <f t="shared" si="18"/>
        <v>#N/A</v>
      </c>
      <c r="M180" s="196" t="e">
        <f t="shared" si="19"/>
        <v>#N/A</v>
      </c>
      <c r="N180" s="8"/>
    </row>
    <row r="181" spans="3:14" ht="19.5" customHeight="1" x14ac:dyDescent="0.2">
      <c r="D181" s="196">
        <f t="shared" si="16"/>
        <v>804.67</v>
      </c>
      <c r="E181" s="86" t="str">
        <f t="shared" si="17"/>
        <v>MA</v>
      </c>
      <c r="F181" s="15" t="s">
        <v>90</v>
      </c>
      <c r="G181" s="28">
        <f t="shared" si="20"/>
        <v>220034</v>
      </c>
      <c r="I181" s="15"/>
      <c r="J181" s="251" t="e">
        <f t="shared" si="21"/>
        <v>#N/A</v>
      </c>
      <c r="K181" s="251"/>
      <c r="L181" s="6" t="e">
        <f t="shared" si="18"/>
        <v>#N/A</v>
      </c>
      <c r="M181" s="196" t="e">
        <f t="shared" si="19"/>
        <v>#N/A</v>
      </c>
      <c r="N181" s="8"/>
    </row>
    <row r="182" spans="3:14" ht="19.5" customHeight="1" x14ac:dyDescent="0.2">
      <c r="D182" s="196">
        <f t="shared" si="16"/>
        <v>872.26</v>
      </c>
      <c r="E182" s="86" t="str">
        <f t="shared" si="17"/>
        <v>EH</v>
      </c>
      <c r="F182" s="15" t="s">
        <v>146</v>
      </c>
      <c r="G182" s="28">
        <f t="shared" si="20"/>
        <v>220009</v>
      </c>
      <c r="I182" s="15"/>
      <c r="J182" s="251" t="e">
        <f t="shared" si="21"/>
        <v>#N/A</v>
      </c>
      <c r="K182" s="251"/>
      <c r="L182" s="6" t="e">
        <f t="shared" si="18"/>
        <v>#N/A</v>
      </c>
      <c r="M182" s="196" t="e">
        <f t="shared" si="19"/>
        <v>#N/A</v>
      </c>
      <c r="N182" s="8"/>
    </row>
    <row r="183" spans="3:14" ht="19.5" customHeight="1" x14ac:dyDescent="0.2">
      <c r="D183" s="196">
        <f t="shared" si="16"/>
        <v>781.21</v>
      </c>
      <c r="E183" s="86" t="str">
        <f t="shared" si="17"/>
        <v>EH</v>
      </c>
      <c r="F183" s="15" t="s">
        <v>147</v>
      </c>
      <c r="G183" s="28">
        <f t="shared" si="20"/>
        <v>220030</v>
      </c>
      <c r="I183" s="15"/>
      <c r="J183" s="251" t="e">
        <f t="shared" si="21"/>
        <v>#N/A</v>
      </c>
      <c r="K183" s="251"/>
      <c r="L183" s="6" t="e">
        <f t="shared" si="18"/>
        <v>#N/A</v>
      </c>
      <c r="M183" s="196" t="e">
        <f t="shared" si="19"/>
        <v>#N/A</v>
      </c>
      <c r="N183" s="8"/>
    </row>
    <row r="184" spans="3:14" ht="19.5" customHeight="1" x14ac:dyDescent="0.2">
      <c r="D184" s="196">
        <f t="shared" si="16"/>
        <v>794.03</v>
      </c>
      <c r="E184" s="86" t="str">
        <f t="shared" si="17"/>
        <v>BK</v>
      </c>
      <c r="F184" s="15" t="s">
        <v>148</v>
      </c>
      <c r="G184" s="28">
        <f t="shared" si="20"/>
        <v>220020</v>
      </c>
      <c r="I184" s="15"/>
      <c r="J184" s="251" t="e">
        <f t="shared" si="21"/>
        <v>#N/A</v>
      </c>
      <c r="K184" s="251"/>
      <c r="L184" s="6" t="e">
        <f t="shared" si="18"/>
        <v>#N/A</v>
      </c>
      <c r="M184" s="196" t="e">
        <f t="shared" si="19"/>
        <v>#N/A</v>
      </c>
      <c r="N184" s="8"/>
    </row>
    <row r="185" spans="3:14" ht="19.5" customHeight="1" x14ac:dyDescent="0.2">
      <c r="D185" s="221">
        <f t="shared" si="16"/>
        <v>80.260000000000005</v>
      </c>
      <c r="E185" s="86" t="str">
        <f t="shared" si="17"/>
        <v>CZ</v>
      </c>
      <c r="F185" s="30" t="s">
        <v>164</v>
      </c>
      <c r="G185" s="28" t="str">
        <f t="shared" si="20"/>
        <v>U/C</v>
      </c>
      <c r="I185" s="15"/>
      <c r="J185" s="251" t="e">
        <f t="shared" si="21"/>
        <v>#N/A</v>
      </c>
      <c r="K185" s="251"/>
      <c r="L185" s="6" t="e">
        <f t="shared" si="18"/>
        <v>#N/A</v>
      </c>
      <c r="M185" s="196" t="e">
        <f t="shared" si="19"/>
        <v>#N/A</v>
      </c>
      <c r="N185" s="8"/>
    </row>
    <row r="186" spans="3:14" ht="19.5" customHeight="1" x14ac:dyDescent="0.2">
      <c r="D186" s="196">
        <f t="shared" si="16"/>
        <v>894.53</v>
      </c>
      <c r="E186" s="216" t="str">
        <f t="shared" si="17"/>
        <v>CZ</v>
      </c>
      <c r="F186" s="15" t="s">
        <v>165</v>
      </c>
      <c r="G186" s="28">
        <f t="shared" si="20"/>
        <v>220006</v>
      </c>
      <c r="I186" s="15"/>
      <c r="J186" s="251" t="e">
        <f t="shared" si="21"/>
        <v>#N/A</v>
      </c>
      <c r="K186" s="251"/>
      <c r="L186" s="6" t="e">
        <f t="shared" si="18"/>
        <v>#N/A</v>
      </c>
      <c r="M186" s="196" t="e">
        <f t="shared" si="19"/>
        <v>#N/A</v>
      </c>
      <c r="N186" s="8"/>
    </row>
    <row r="187" spans="3:14" ht="19.5" customHeight="1" x14ac:dyDescent="0.2">
      <c r="D187" s="196">
        <f t="shared" si="16"/>
        <v>672.19</v>
      </c>
      <c r="E187" s="216" t="str">
        <f t="shared" si="17"/>
        <v>XW</v>
      </c>
      <c r="F187" s="15" t="s">
        <v>390</v>
      </c>
      <c r="G187" s="28">
        <f t="shared" si="20"/>
        <v>220007</v>
      </c>
      <c r="I187" s="84"/>
      <c r="J187" s="220"/>
      <c r="K187" s="220"/>
      <c r="M187" s="219"/>
      <c r="N187" s="8"/>
    </row>
    <row r="188" spans="3:14" ht="19.5" customHeight="1" x14ac:dyDescent="0.2">
      <c r="C188" s="92" t="s">
        <v>92</v>
      </c>
      <c r="D188" s="197">
        <f>SUMIF(D153:D186,"&gt;0")</f>
        <v>29009.219999999998</v>
      </c>
      <c r="E188" s="42" t="s">
        <v>19</v>
      </c>
      <c r="F188" s="7">
        <f>COUNTIF(D153:D186,"&gt;=0")</f>
        <v>34</v>
      </c>
      <c r="G188" s="84"/>
      <c r="I188" s="42" t="s">
        <v>20</v>
      </c>
      <c r="J188" s="7">
        <f>COUNTIF(M153:M180,"&gt;=0")</f>
        <v>18</v>
      </c>
      <c r="L188" s="92" t="s">
        <v>93</v>
      </c>
      <c r="M188" s="197">
        <f>SUMIF(M153:M180,"&gt;0")</f>
        <v>15901.44</v>
      </c>
    </row>
    <row r="189" spans="3:14" ht="19.5" customHeight="1" x14ac:dyDescent="0.2">
      <c r="C189" s="6" t="s">
        <v>155</v>
      </c>
      <c r="D189" s="197">
        <f>D188+M188</f>
        <v>44910.659999999996</v>
      </c>
      <c r="E189" s="42" t="s">
        <v>155</v>
      </c>
      <c r="F189" s="7">
        <f>F188+J188</f>
        <v>52</v>
      </c>
      <c r="G189" s="84"/>
      <c r="I189" s="42"/>
      <c r="J189" s="7"/>
      <c r="L189" s="92"/>
      <c r="M189" s="197"/>
    </row>
    <row r="190" spans="3:14" ht="19.5" customHeight="1" x14ac:dyDescent="0.2">
      <c r="G190" s="84"/>
    </row>
  </sheetData>
  <mergeCells count="54">
    <mergeCell ref="J175:K175"/>
    <mergeCell ref="J176:K176"/>
    <mergeCell ref="J181:K181"/>
    <mergeCell ref="J182:K182"/>
    <mergeCell ref="J183:K183"/>
    <mergeCell ref="J177:K177"/>
    <mergeCell ref="J178:K178"/>
    <mergeCell ref="D3:E3"/>
    <mergeCell ref="L3:M3"/>
    <mergeCell ref="J155:K155"/>
    <mergeCell ref="J156:K156"/>
    <mergeCell ref="J153:K153"/>
    <mergeCell ref="J154:K154"/>
    <mergeCell ref="D135:E135"/>
    <mergeCell ref="L135:M135"/>
    <mergeCell ref="L47:M47"/>
    <mergeCell ref="L124:M124"/>
    <mergeCell ref="D23:E23"/>
    <mergeCell ref="L23:M23"/>
    <mergeCell ref="D35:E35"/>
    <mergeCell ref="L35:M35"/>
    <mergeCell ref="J157:K157"/>
    <mergeCell ref="D108:E108"/>
    <mergeCell ref="D124:E124"/>
    <mergeCell ref="D47:E47"/>
    <mergeCell ref="D61:E61"/>
    <mergeCell ref="D94:E94"/>
    <mergeCell ref="J169:K169"/>
    <mergeCell ref="J170:K170"/>
    <mergeCell ref="J158:K158"/>
    <mergeCell ref="J161:K161"/>
    <mergeCell ref="J162:K162"/>
    <mergeCell ref="J163:K163"/>
    <mergeCell ref="J164:K164"/>
    <mergeCell ref="J165:K165"/>
    <mergeCell ref="J166:K166"/>
    <mergeCell ref="J167:K167"/>
    <mergeCell ref="J168:K168"/>
    <mergeCell ref="J186:K186"/>
    <mergeCell ref="L61:M61"/>
    <mergeCell ref="I150:J150"/>
    <mergeCell ref="J152:K152"/>
    <mergeCell ref="L94:M94"/>
    <mergeCell ref="L108:M108"/>
    <mergeCell ref="J171:K171"/>
    <mergeCell ref="J172:K172"/>
    <mergeCell ref="J173:K173"/>
    <mergeCell ref="J174:K174"/>
    <mergeCell ref="J159:K159"/>
    <mergeCell ref="J160:K160"/>
    <mergeCell ref="J185:K185"/>
    <mergeCell ref="J179:K179"/>
    <mergeCell ref="J180:K180"/>
    <mergeCell ref="J184:K184"/>
  </mergeCells>
  <phoneticPr fontId="0" type="noConversion"/>
  <conditionalFormatting sqref="E153:E187">
    <cfRule type="expression" dxfId="1360" priority="307" stopIfTrue="1">
      <formula>F153=0</formula>
    </cfRule>
  </conditionalFormatting>
  <conditionalFormatting sqref="G153:G187">
    <cfRule type="cellIs" dxfId="1359" priority="308" stopIfTrue="1" operator="between">
      <formula>221100</formula>
      <formula>221140</formula>
    </cfRule>
    <cfRule type="expression" dxfId="1358" priority="309" stopIfTrue="1">
      <formula>F153=0</formula>
    </cfRule>
  </conditionalFormatting>
  <conditionalFormatting sqref="D153:D187">
    <cfRule type="expression" dxfId="1357" priority="310" stopIfTrue="1">
      <formula>F153=0</formula>
    </cfRule>
  </conditionalFormatting>
  <conditionalFormatting sqref="F153:F187 I153:I187">
    <cfRule type="expression" dxfId="1356" priority="311" stopIfTrue="1">
      <formula>G153&gt;221144</formula>
    </cfRule>
    <cfRule type="expression" dxfId="1355" priority="312" stopIfTrue="1">
      <formula>G153=0</formula>
    </cfRule>
  </conditionalFormatting>
  <conditionalFormatting sqref="L153:L187">
    <cfRule type="expression" dxfId="1354" priority="313" stopIfTrue="1">
      <formula>I153=0</formula>
    </cfRule>
  </conditionalFormatting>
  <conditionalFormatting sqref="J153:K187">
    <cfRule type="cellIs" dxfId="1353" priority="314" stopIfTrue="1" operator="between">
      <formula>220001</formula>
      <formula>220034</formula>
    </cfRule>
    <cfRule type="cellIs" dxfId="1352" priority="315" stopIfTrue="1" operator="between">
      <formula>221141</formula>
      <formula>221144</formula>
    </cfRule>
    <cfRule type="expression" dxfId="1351" priority="316" stopIfTrue="1">
      <formula>I153=0</formula>
    </cfRule>
  </conditionalFormatting>
  <conditionalFormatting sqref="M153:M187">
    <cfRule type="expression" dxfId="1350" priority="317" stopIfTrue="1">
      <formula>I153=0</formula>
    </cfRule>
  </conditionalFormatting>
  <conditionalFormatting sqref="E126:E130 E143:E145 E110:E113 E96:E97 E79:E82 E49 E37 E25:E26 E5 R5:R7 R25 R39:R41 R51:R56 R110:R113 R98:R103 R145 R126:R130 O5:O17 O25:O30 O37:O42 O49:O56 O63:O89 O96:O103 O110:O119 O126:O130 O137:O145 E8:E17 R10:R17 E28:E30 R27:R30 E40:E42 E53:E56 E100:E103 E115:E119 R115:R119 E89 Q70:R71 Q63:R65 Q74:Q75 Q84:R89 R78 R80:R83 Q67:R67 Q68:Q69 Q77:Q83">
    <cfRule type="cellIs" dxfId="1349" priority="318" stopIfTrue="1" operator="between">
      <formula>221101</formula>
      <formula>221140</formula>
    </cfRule>
  </conditionalFormatting>
  <conditionalFormatting sqref="F126:F130 F143:F145 F96:F97 F110:F113 F79:F89 F49 F37 F25:F26 F5 F8:F17 F28:F30 F40:F42 F53:F56 F100:F103 F115:F119">
    <cfRule type="cellIs" dxfId="1348" priority="319" stopIfTrue="1" operator="notEqual">
      <formula>"FP"</formula>
    </cfRule>
  </conditionalFormatting>
  <conditionalFormatting sqref="A25:A30 I25:I30 A37:A42 I37:I42 A49:A56 A96:A103 I96:I103 A110:A119 I110:I119 A126:A130 I126:I130 A137:A145 I137:I145 A5:A17 I5:I17 A63:A89 I49:I56 I63:I89">
    <cfRule type="cellIs" dxfId="1347" priority="320" stopIfTrue="1" operator="between">
      <formula>"XC 501"</formula>
      <formula>"XC 549"</formula>
    </cfRule>
    <cfRule type="cellIs" dxfId="1346" priority="321" stopIfTrue="1" operator="between">
      <formula>"XC 201"</formula>
      <formula>"XC 399"</formula>
    </cfRule>
    <cfRule type="cellIs" dxfId="1345" priority="322" stopIfTrue="1" operator="between">
      <formula>"XC 801"</formula>
      <formula>"XC 899"</formula>
    </cfRule>
  </conditionalFormatting>
  <conditionalFormatting sqref="P5:P17 P25:P30 P37:P42 P49:P56 P63:P89 P96:P103 P110:P119 P126:P130 P137:P145">
    <cfRule type="containsText" dxfId="1344" priority="305" stopIfTrue="1" operator="containsText" text="Couples In Traffic">
      <formula>NOT(ISERROR(SEARCH("Couples In Traffic",P5)))</formula>
    </cfRule>
    <cfRule type="expression" dxfId="1343" priority="306" stopIfTrue="1">
      <formula>"Couples In Traffic"</formula>
    </cfRule>
  </conditionalFormatting>
  <conditionalFormatting sqref="E5 E25:E26 E37 E49 E79:E82 E96:E97 E110:E113 E126:E130 E143:E145 E8:E17 E28:E30 E40:E42 E53:E56 E100:E103 E115:E119 E89">
    <cfRule type="cellIs" dxfId="1342" priority="280" operator="equal">
      <formula>221140</formula>
    </cfRule>
    <cfRule type="cellIs" dxfId="1341" priority="303" stopIfTrue="1" operator="equal">
      <formula>221144</formula>
    </cfRule>
    <cfRule type="cellIs" dxfId="1340" priority="304" stopIfTrue="1" operator="equal">
      <formula>221136</formula>
    </cfRule>
  </conditionalFormatting>
  <conditionalFormatting sqref="O5:O17 Q67:Q71 Q63:Q65 Q74:Q75 Q77:Q89">
    <cfRule type="cellIs" dxfId="1339" priority="301" stopIfTrue="1" operator="equal">
      <formula>221144</formula>
    </cfRule>
    <cfRule type="cellIs" dxfId="1338" priority="302" stopIfTrue="1" operator="equal">
      <formula>221136</formula>
    </cfRule>
  </conditionalFormatting>
  <conditionalFormatting sqref="O5:O17">
    <cfRule type="cellIs" dxfId="1337" priority="299" stopIfTrue="1" operator="equal">
      <formula>221144</formula>
    </cfRule>
    <cfRule type="cellIs" dxfId="1336" priority="300" stopIfTrue="1" operator="equal">
      <formula>221136</formula>
    </cfRule>
  </conditionalFormatting>
  <conditionalFormatting sqref="O25:O30">
    <cfRule type="cellIs" dxfId="1335" priority="297" stopIfTrue="1" operator="equal">
      <formula>221144</formula>
    </cfRule>
    <cfRule type="cellIs" dxfId="1334" priority="298" stopIfTrue="1" operator="equal">
      <formula>221136</formula>
    </cfRule>
  </conditionalFormatting>
  <conditionalFormatting sqref="O37:O42">
    <cfRule type="cellIs" dxfId="1333" priority="295" stopIfTrue="1" operator="equal">
      <formula>221144</formula>
    </cfRule>
    <cfRule type="cellIs" dxfId="1332" priority="296" stopIfTrue="1" operator="equal">
      <formula>221136</formula>
    </cfRule>
  </conditionalFormatting>
  <conditionalFormatting sqref="O49:O56">
    <cfRule type="cellIs" dxfId="1331" priority="293" stopIfTrue="1" operator="equal">
      <formula>221144</formula>
    </cfRule>
    <cfRule type="cellIs" dxfId="1330" priority="294" stopIfTrue="1" operator="equal">
      <formula>221136</formula>
    </cfRule>
  </conditionalFormatting>
  <conditionalFormatting sqref="O49:O56">
    <cfRule type="cellIs" dxfId="1329" priority="291" stopIfTrue="1" operator="equal">
      <formula>221144</formula>
    </cfRule>
    <cfRule type="cellIs" dxfId="1328" priority="292" stopIfTrue="1" operator="equal">
      <formula>221136</formula>
    </cfRule>
  </conditionalFormatting>
  <conditionalFormatting sqref="O63:O89">
    <cfRule type="cellIs" dxfId="1327" priority="289" stopIfTrue="1" operator="equal">
      <formula>221144</formula>
    </cfRule>
    <cfRule type="cellIs" dxfId="1326" priority="290" stopIfTrue="1" operator="equal">
      <formula>221136</formula>
    </cfRule>
  </conditionalFormatting>
  <conditionalFormatting sqref="O96:O103">
    <cfRule type="cellIs" dxfId="1325" priority="287" stopIfTrue="1" operator="equal">
      <formula>221144</formula>
    </cfRule>
    <cfRule type="cellIs" dxfId="1324" priority="288" stopIfTrue="1" operator="equal">
      <formula>221136</formula>
    </cfRule>
  </conditionalFormatting>
  <conditionalFormatting sqref="O110:O119">
    <cfRule type="cellIs" dxfId="1323" priority="285" stopIfTrue="1" operator="equal">
      <formula>221144</formula>
    </cfRule>
    <cfRule type="cellIs" dxfId="1322" priority="286" stopIfTrue="1" operator="equal">
      <formula>221136</formula>
    </cfRule>
  </conditionalFormatting>
  <conditionalFormatting sqref="O126:O130">
    <cfRule type="cellIs" dxfId="1321" priority="283" stopIfTrue="1" operator="equal">
      <formula>221144</formula>
    </cfRule>
    <cfRule type="cellIs" dxfId="1320" priority="284" stopIfTrue="1" operator="equal">
      <formula>221136</formula>
    </cfRule>
  </conditionalFormatting>
  <conditionalFormatting sqref="O137:O145">
    <cfRule type="cellIs" dxfId="1319" priority="281" stopIfTrue="1" operator="equal">
      <formula>221144</formula>
    </cfRule>
    <cfRule type="cellIs" dxfId="1318" priority="282" stopIfTrue="1" operator="equal">
      <formula>221136</formula>
    </cfRule>
  </conditionalFormatting>
  <conditionalFormatting sqref="O5:O17 O25:O30 O37:O42 O49:O56 O63:O89 O96:O103 O110:O119 O126:O130 O137:O145 Q67:Q71 Q63:Q65 Q74:Q75 Q77:Q89">
    <cfRule type="cellIs" dxfId="1317" priority="279" stopIfTrue="1" operator="equal">
      <formula>221140</formula>
    </cfRule>
  </conditionalFormatting>
  <conditionalFormatting sqref="Q25 Q40:Q41 Q51:Q56 Q98:Q103 Q110:Q113 Q128:Q130 Q145 Q11:Q17 Q27:Q30 Q115:Q119">
    <cfRule type="cellIs" dxfId="1316" priority="255" stopIfTrue="1" operator="equal">
      <formula>221140</formula>
    </cfRule>
  </conditionalFormatting>
  <conditionalFormatting sqref="Q25 Q40:Q41 Q51:Q56 Q98:Q103 Q110:Q113 Q128:Q130 Q145 Q11:Q17 Q27:Q30 Q115:Q119">
    <cfRule type="cellIs" dxfId="1315" priority="278" stopIfTrue="1" operator="between">
      <formula>221101</formula>
      <formula>221140</formula>
    </cfRule>
  </conditionalFormatting>
  <conditionalFormatting sqref="Q11:Q17">
    <cfRule type="cellIs" dxfId="1314" priority="276" stopIfTrue="1" operator="equal">
      <formula>221144</formula>
    </cfRule>
    <cfRule type="cellIs" dxfId="1313" priority="277" stopIfTrue="1" operator="equal">
      <formula>221136</formula>
    </cfRule>
  </conditionalFormatting>
  <conditionalFormatting sqref="Q11:Q17">
    <cfRule type="cellIs" dxfId="1312" priority="274" stopIfTrue="1" operator="equal">
      <formula>221144</formula>
    </cfRule>
    <cfRule type="cellIs" dxfId="1311" priority="275" stopIfTrue="1" operator="equal">
      <formula>221136</formula>
    </cfRule>
  </conditionalFormatting>
  <conditionalFormatting sqref="Q25 Q27:Q30">
    <cfRule type="cellIs" dxfId="1310" priority="272" stopIfTrue="1" operator="equal">
      <formula>221144</formula>
    </cfRule>
    <cfRule type="cellIs" dxfId="1309" priority="273" stopIfTrue="1" operator="equal">
      <formula>221136</formula>
    </cfRule>
  </conditionalFormatting>
  <conditionalFormatting sqref="Q40:Q41">
    <cfRule type="cellIs" dxfId="1308" priority="270" stopIfTrue="1" operator="equal">
      <formula>221144</formula>
    </cfRule>
    <cfRule type="cellIs" dxfId="1307" priority="271" stopIfTrue="1" operator="equal">
      <formula>221136</formula>
    </cfRule>
  </conditionalFormatting>
  <conditionalFormatting sqref="Q51:Q56">
    <cfRule type="cellIs" dxfId="1306" priority="268" stopIfTrue="1" operator="equal">
      <formula>221144</formula>
    </cfRule>
    <cfRule type="cellIs" dxfId="1305" priority="269" stopIfTrue="1" operator="equal">
      <formula>221136</formula>
    </cfRule>
  </conditionalFormatting>
  <conditionalFormatting sqref="Q51:Q56">
    <cfRule type="cellIs" dxfId="1304" priority="266" stopIfTrue="1" operator="equal">
      <formula>221144</formula>
    </cfRule>
    <cfRule type="cellIs" dxfId="1303" priority="267" stopIfTrue="1" operator="equal">
      <formula>221136</formula>
    </cfRule>
  </conditionalFormatting>
  <conditionalFormatting sqref="Q98:Q103">
    <cfRule type="cellIs" dxfId="1302" priority="262" stopIfTrue="1" operator="equal">
      <formula>221144</formula>
    </cfRule>
    <cfRule type="cellIs" dxfId="1301" priority="263" stopIfTrue="1" operator="equal">
      <formula>221136</formula>
    </cfRule>
  </conditionalFormatting>
  <conditionalFormatting sqref="Q110:Q113 Q115:Q119">
    <cfRule type="cellIs" dxfId="1300" priority="260" stopIfTrue="1" operator="equal">
      <formula>221144</formula>
    </cfRule>
    <cfRule type="cellIs" dxfId="1299" priority="261" stopIfTrue="1" operator="equal">
      <formula>221136</formula>
    </cfRule>
  </conditionalFormatting>
  <conditionalFormatting sqref="Q128:Q130">
    <cfRule type="cellIs" dxfId="1298" priority="258" stopIfTrue="1" operator="equal">
      <formula>221144</formula>
    </cfRule>
    <cfRule type="cellIs" dxfId="1297" priority="259" stopIfTrue="1" operator="equal">
      <formula>221136</formula>
    </cfRule>
  </conditionalFormatting>
  <conditionalFormatting sqref="Q145">
    <cfRule type="cellIs" dxfId="1296" priority="256" stopIfTrue="1" operator="equal">
      <formula>221144</formula>
    </cfRule>
    <cfRule type="cellIs" dxfId="1295" priority="257" stopIfTrue="1" operator="equal">
      <formula>221136</formula>
    </cfRule>
  </conditionalFormatting>
  <conditionalFormatting sqref="F6:F7">
    <cfRule type="cellIs" dxfId="1294" priority="254" stopIfTrue="1" operator="notEqual">
      <formula>"FP"</formula>
    </cfRule>
  </conditionalFormatting>
  <conditionalFormatting sqref="E6">
    <cfRule type="cellIs" dxfId="1293" priority="253" stopIfTrue="1" operator="between">
      <formula>221101</formula>
      <formula>221140</formula>
    </cfRule>
  </conditionalFormatting>
  <conditionalFormatting sqref="E6">
    <cfRule type="cellIs" dxfId="1292" priority="251" stopIfTrue="1" operator="equal">
      <formula>221144</formula>
    </cfRule>
    <cfRule type="cellIs" dxfId="1291" priority="252" stopIfTrue="1" operator="equal">
      <formula>221136</formula>
    </cfRule>
  </conditionalFormatting>
  <conditionalFormatting sqref="E6">
    <cfRule type="cellIs" dxfId="1290" priority="250" operator="equal">
      <formula>221140</formula>
    </cfRule>
  </conditionalFormatting>
  <conditionalFormatting sqref="E7">
    <cfRule type="cellIs" dxfId="1289" priority="243" stopIfTrue="1" operator="equal">
      <formula>221140</formula>
    </cfRule>
  </conditionalFormatting>
  <conditionalFormatting sqref="E7">
    <cfRule type="cellIs" dxfId="1288" priority="248" stopIfTrue="1" operator="between">
      <formula>221101</formula>
      <formula>221140</formula>
    </cfRule>
  </conditionalFormatting>
  <conditionalFormatting sqref="E7">
    <cfRule type="cellIs" dxfId="1287" priority="246" stopIfTrue="1" operator="equal">
      <formula>221144</formula>
    </cfRule>
    <cfRule type="cellIs" dxfId="1286" priority="247" stopIfTrue="1" operator="equal">
      <formula>221136</formula>
    </cfRule>
  </conditionalFormatting>
  <conditionalFormatting sqref="E7">
    <cfRule type="cellIs" dxfId="1285" priority="244" stopIfTrue="1" operator="equal">
      <formula>221144</formula>
    </cfRule>
    <cfRule type="cellIs" dxfId="1284" priority="245" stopIfTrue="1" operator="equal">
      <formula>221136</formula>
    </cfRule>
  </conditionalFormatting>
  <conditionalFormatting sqref="E52">
    <cfRule type="cellIs" dxfId="1283" priority="198" stopIfTrue="1" operator="between">
      <formula>221101</formula>
      <formula>221140</formula>
    </cfRule>
  </conditionalFormatting>
  <conditionalFormatting sqref="E52">
    <cfRule type="cellIs" dxfId="1282" priority="196" stopIfTrue="1" operator="equal">
      <formula>221144</formula>
    </cfRule>
    <cfRule type="cellIs" dxfId="1281" priority="197" stopIfTrue="1" operator="equal">
      <formula>221136</formula>
    </cfRule>
  </conditionalFormatting>
  <conditionalFormatting sqref="R9">
    <cfRule type="cellIs" dxfId="1280" priority="232" stopIfTrue="1" operator="between">
      <formula>221101</formula>
      <formula>221140</formula>
    </cfRule>
  </conditionalFormatting>
  <conditionalFormatting sqref="E27">
    <cfRule type="cellIs" dxfId="1279" priority="230" stopIfTrue="1" operator="between">
      <formula>221101</formula>
      <formula>221140</formula>
    </cfRule>
  </conditionalFormatting>
  <conditionalFormatting sqref="F27">
    <cfRule type="cellIs" dxfId="1278" priority="231" stopIfTrue="1" operator="notEqual">
      <formula>"FP"</formula>
    </cfRule>
  </conditionalFormatting>
  <conditionalFormatting sqref="E27">
    <cfRule type="cellIs" dxfId="1277" priority="227" operator="equal">
      <formula>221140</formula>
    </cfRule>
    <cfRule type="cellIs" dxfId="1276" priority="228" stopIfTrue="1" operator="equal">
      <formula>221144</formula>
    </cfRule>
    <cfRule type="cellIs" dxfId="1275" priority="229" stopIfTrue="1" operator="equal">
      <formula>221136</formula>
    </cfRule>
  </conditionalFormatting>
  <conditionalFormatting sqref="Q26">
    <cfRule type="cellIs" dxfId="1274" priority="226" stopIfTrue="1" operator="between">
      <formula>221101</formula>
      <formula>221140</formula>
    </cfRule>
  </conditionalFormatting>
  <conditionalFormatting sqref="Q26">
    <cfRule type="cellIs" dxfId="1273" priority="224" stopIfTrue="1" operator="equal">
      <formula>221144</formula>
    </cfRule>
    <cfRule type="cellIs" dxfId="1272" priority="225" stopIfTrue="1" operator="equal">
      <formula>221136</formula>
    </cfRule>
  </conditionalFormatting>
  <conditionalFormatting sqref="Q26">
    <cfRule type="cellIs" dxfId="1271" priority="223" operator="equal">
      <formula>221140</formula>
    </cfRule>
  </conditionalFormatting>
  <conditionalFormatting sqref="E39">
    <cfRule type="cellIs" dxfId="1270" priority="221" stopIfTrue="1" operator="between">
      <formula>221101</formula>
      <formula>221140</formula>
    </cfRule>
  </conditionalFormatting>
  <conditionalFormatting sqref="F38:F39">
    <cfRule type="cellIs" dxfId="1269" priority="222" stopIfTrue="1" operator="notEqual">
      <formula>"FP"</formula>
    </cfRule>
  </conditionalFormatting>
  <conditionalFormatting sqref="E39">
    <cfRule type="cellIs" dxfId="1268" priority="218" operator="equal">
      <formula>221140</formula>
    </cfRule>
    <cfRule type="cellIs" dxfId="1267" priority="219" stopIfTrue="1" operator="equal">
      <formula>221144</formula>
    </cfRule>
    <cfRule type="cellIs" dxfId="1266" priority="220" stopIfTrue="1" operator="equal">
      <formula>221136</formula>
    </cfRule>
  </conditionalFormatting>
  <conditionalFormatting sqref="E38">
    <cfRule type="cellIs" dxfId="1265" priority="217" stopIfTrue="1" operator="between">
      <formula>221101</formula>
      <formula>221140</formula>
    </cfRule>
  </conditionalFormatting>
  <conditionalFormatting sqref="E38">
    <cfRule type="cellIs" dxfId="1264" priority="215" stopIfTrue="1" operator="equal">
      <formula>221144</formula>
    </cfRule>
    <cfRule type="cellIs" dxfId="1263" priority="216" stopIfTrue="1" operator="equal">
      <formula>221136</formula>
    </cfRule>
  </conditionalFormatting>
  <conditionalFormatting sqref="E38">
    <cfRule type="cellIs" dxfId="1262" priority="214" operator="equal">
      <formula>221140</formula>
    </cfRule>
  </conditionalFormatting>
  <conditionalFormatting sqref="R42">
    <cfRule type="cellIs" dxfId="1261" priority="213" stopIfTrue="1" operator="between">
      <formula>221101</formula>
      <formula>221140</formula>
    </cfRule>
  </conditionalFormatting>
  <conditionalFormatting sqref="E63:E71 E74 E76:E78">
    <cfRule type="cellIs" dxfId="1260" priority="178" stopIfTrue="1" operator="between">
      <formula>221101</formula>
      <formula>221140</formula>
    </cfRule>
  </conditionalFormatting>
  <conditionalFormatting sqref="E51">
    <cfRule type="cellIs" dxfId="1259" priority="203" stopIfTrue="1" operator="between">
      <formula>221101</formula>
      <formula>221140</formula>
    </cfRule>
  </conditionalFormatting>
  <conditionalFormatting sqref="F50:F52">
    <cfRule type="cellIs" dxfId="1258" priority="204" stopIfTrue="1" operator="notEqual">
      <formula>"FP"</formula>
    </cfRule>
  </conditionalFormatting>
  <conditionalFormatting sqref="E51">
    <cfRule type="cellIs" dxfId="1257" priority="200" operator="equal">
      <formula>221140</formula>
    </cfRule>
    <cfRule type="cellIs" dxfId="1256" priority="201" stopIfTrue="1" operator="equal">
      <formula>221144</formula>
    </cfRule>
    <cfRule type="cellIs" dxfId="1255" priority="202" stopIfTrue="1" operator="equal">
      <formula>221136</formula>
    </cfRule>
  </conditionalFormatting>
  <conditionalFormatting sqref="G52">
    <cfRule type="cellIs" dxfId="1254" priority="199" stopIfTrue="1" operator="between">
      <formula>221101</formula>
      <formula>221140</formula>
    </cfRule>
  </conditionalFormatting>
  <conditionalFormatting sqref="E52">
    <cfRule type="cellIs" dxfId="1253" priority="195" operator="equal">
      <formula>221140</formula>
    </cfRule>
  </conditionalFormatting>
  <conditionalFormatting sqref="G50">
    <cfRule type="cellIs" dxfId="1252" priority="194" stopIfTrue="1" operator="between">
      <formula>221101</formula>
      <formula>221140</formula>
    </cfRule>
  </conditionalFormatting>
  <conditionalFormatting sqref="E50">
    <cfRule type="cellIs" dxfId="1251" priority="193" stopIfTrue="1" operator="between">
      <formula>221101</formula>
      <formula>221140</formula>
    </cfRule>
  </conditionalFormatting>
  <conditionalFormatting sqref="E50">
    <cfRule type="cellIs" dxfId="1250" priority="191" stopIfTrue="1" operator="equal">
      <formula>221144</formula>
    </cfRule>
    <cfRule type="cellIs" dxfId="1249" priority="192" stopIfTrue="1" operator="equal">
      <formula>221136</formula>
    </cfRule>
  </conditionalFormatting>
  <conditionalFormatting sqref="E50">
    <cfRule type="cellIs" dxfId="1248" priority="190" operator="equal">
      <formula>221140</formula>
    </cfRule>
  </conditionalFormatting>
  <conditionalFormatting sqref="R50">
    <cfRule type="cellIs" dxfId="1247" priority="189" stopIfTrue="1" operator="between">
      <formula>221101</formula>
      <formula>221140</formula>
    </cfRule>
  </conditionalFormatting>
  <conditionalFormatting sqref="Q50">
    <cfRule type="cellIs" dxfId="1246" priority="188" stopIfTrue="1" operator="between">
      <formula>221101</formula>
      <formula>221140</formula>
    </cfRule>
  </conditionalFormatting>
  <conditionalFormatting sqref="Q50">
    <cfRule type="cellIs" dxfId="1245" priority="186" stopIfTrue="1" operator="equal">
      <formula>221144</formula>
    </cfRule>
    <cfRule type="cellIs" dxfId="1244" priority="187" stopIfTrue="1" operator="equal">
      <formula>221136</formula>
    </cfRule>
  </conditionalFormatting>
  <conditionalFormatting sqref="Q50">
    <cfRule type="cellIs" dxfId="1243" priority="185" operator="equal">
      <formula>221140</formula>
    </cfRule>
  </conditionalFormatting>
  <conditionalFormatting sqref="R49">
    <cfRule type="cellIs" dxfId="1242" priority="184" stopIfTrue="1" operator="between">
      <formula>221101</formula>
      <formula>221140</formula>
    </cfRule>
  </conditionalFormatting>
  <conditionalFormatting sqref="Q49">
    <cfRule type="cellIs" dxfId="1241" priority="183" stopIfTrue="1" operator="between">
      <formula>221101</formula>
      <formula>221140</formula>
    </cfRule>
  </conditionalFormatting>
  <conditionalFormatting sqref="Q49">
    <cfRule type="cellIs" dxfId="1240" priority="181" stopIfTrue="1" operator="equal">
      <formula>221144</formula>
    </cfRule>
    <cfRule type="cellIs" dxfId="1239" priority="182" stopIfTrue="1" operator="equal">
      <formula>221136</formula>
    </cfRule>
  </conditionalFormatting>
  <conditionalFormatting sqref="Q49">
    <cfRule type="cellIs" dxfId="1238" priority="180" operator="equal">
      <formula>221140</formula>
    </cfRule>
  </conditionalFormatting>
  <conditionalFormatting sqref="F63:F78">
    <cfRule type="cellIs" dxfId="1237" priority="179" stopIfTrue="1" operator="notEqual">
      <formula>"FP"</formula>
    </cfRule>
  </conditionalFormatting>
  <conditionalFormatting sqref="E63:E71 E74 E76:E78">
    <cfRule type="cellIs" dxfId="1236" priority="175" operator="equal">
      <formula>221140</formula>
    </cfRule>
    <cfRule type="cellIs" dxfId="1235" priority="176" stopIfTrue="1" operator="equal">
      <formula>221144</formula>
    </cfRule>
    <cfRule type="cellIs" dxfId="1234" priority="177" stopIfTrue="1" operator="equal">
      <formula>221136</formula>
    </cfRule>
  </conditionalFormatting>
  <conditionalFormatting sqref="E73">
    <cfRule type="cellIs" dxfId="1233" priority="174" stopIfTrue="1" operator="between">
      <formula>221101</formula>
      <formula>221140</formula>
    </cfRule>
  </conditionalFormatting>
  <conditionalFormatting sqref="E73">
    <cfRule type="cellIs" dxfId="1232" priority="172" stopIfTrue="1" operator="equal">
      <formula>221144</formula>
    </cfRule>
    <cfRule type="cellIs" dxfId="1231" priority="173" stopIfTrue="1" operator="equal">
      <formula>221136</formula>
    </cfRule>
  </conditionalFormatting>
  <conditionalFormatting sqref="E73">
    <cfRule type="cellIs" dxfId="1230" priority="171" operator="equal">
      <formula>221140</formula>
    </cfRule>
  </conditionalFormatting>
  <conditionalFormatting sqref="G72">
    <cfRule type="cellIs" dxfId="1229" priority="170" stopIfTrue="1" operator="between">
      <formula>221101</formula>
      <formula>221140</formula>
    </cfRule>
  </conditionalFormatting>
  <conditionalFormatting sqref="E72">
    <cfRule type="cellIs" dxfId="1228" priority="169" stopIfTrue="1" operator="between">
      <formula>221101</formula>
      <formula>221140</formula>
    </cfRule>
  </conditionalFormatting>
  <conditionalFormatting sqref="E72">
    <cfRule type="cellIs" dxfId="1227" priority="167" stopIfTrue="1" operator="equal">
      <formula>221144</formula>
    </cfRule>
    <cfRule type="cellIs" dxfId="1226" priority="168" stopIfTrue="1" operator="equal">
      <formula>221136</formula>
    </cfRule>
  </conditionalFormatting>
  <conditionalFormatting sqref="E72">
    <cfRule type="cellIs" dxfId="1225" priority="166" operator="equal">
      <formula>221140</formula>
    </cfRule>
  </conditionalFormatting>
  <conditionalFormatting sqref="E75">
    <cfRule type="cellIs" dxfId="1224" priority="165" stopIfTrue="1" operator="between">
      <formula>221101</formula>
      <formula>221140</formula>
    </cfRule>
  </conditionalFormatting>
  <conditionalFormatting sqref="E75">
    <cfRule type="cellIs" dxfId="1223" priority="163" stopIfTrue="1" operator="equal">
      <formula>221144</formula>
    </cfRule>
    <cfRule type="cellIs" dxfId="1222" priority="164" stopIfTrue="1" operator="equal">
      <formula>221136</formula>
    </cfRule>
  </conditionalFormatting>
  <conditionalFormatting sqref="E75">
    <cfRule type="cellIs" dxfId="1221" priority="162" operator="equal">
      <formula>221140</formula>
    </cfRule>
  </conditionalFormatting>
  <conditionalFormatting sqref="R74:R75">
    <cfRule type="cellIs" dxfId="1220" priority="161" stopIfTrue="1" operator="between">
      <formula>221101</formula>
      <formula>221140</formula>
    </cfRule>
  </conditionalFormatting>
  <conditionalFormatting sqref="R73">
    <cfRule type="cellIs" dxfId="1219" priority="156" stopIfTrue="1" operator="between">
      <formula>221101</formula>
      <formula>221140</formula>
    </cfRule>
  </conditionalFormatting>
  <conditionalFormatting sqref="Q73">
    <cfRule type="cellIs" dxfId="1218" priority="155" stopIfTrue="1" operator="between">
      <formula>221101</formula>
      <formula>221140</formula>
    </cfRule>
  </conditionalFormatting>
  <conditionalFormatting sqref="Q73">
    <cfRule type="cellIs" dxfId="1217" priority="153" stopIfTrue="1" operator="equal">
      <formula>221144</formula>
    </cfRule>
    <cfRule type="cellIs" dxfId="1216" priority="154" stopIfTrue="1" operator="equal">
      <formula>221136</formula>
    </cfRule>
  </conditionalFormatting>
  <conditionalFormatting sqref="Q73">
    <cfRule type="cellIs" dxfId="1215" priority="152" operator="equal">
      <formula>221140</formula>
    </cfRule>
  </conditionalFormatting>
  <conditionalFormatting sqref="Q76">
    <cfRule type="cellIs" dxfId="1214" priority="147" stopIfTrue="1" operator="between">
      <formula>221101</formula>
      <formula>221140</formula>
    </cfRule>
  </conditionalFormatting>
  <conditionalFormatting sqref="Q76">
    <cfRule type="cellIs" dxfId="1213" priority="145" stopIfTrue="1" operator="equal">
      <formula>221144</formula>
    </cfRule>
    <cfRule type="cellIs" dxfId="1212" priority="146" stopIfTrue="1" operator="equal">
      <formula>221136</formula>
    </cfRule>
  </conditionalFormatting>
  <conditionalFormatting sqref="Q76">
    <cfRule type="cellIs" dxfId="1211" priority="144" operator="equal">
      <formula>221140</formula>
    </cfRule>
  </conditionalFormatting>
  <conditionalFormatting sqref="E98">
    <cfRule type="cellIs" dxfId="1210" priority="142" stopIfTrue="1" operator="between">
      <formula>221101</formula>
      <formula>221140</formula>
    </cfRule>
  </conditionalFormatting>
  <conditionalFormatting sqref="F98:F99">
    <cfRule type="cellIs" dxfId="1209" priority="143" stopIfTrue="1" operator="notEqual">
      <formula>"FP"</formula>
    </cfRule>
  </conditionalFormatting>
  <conditionalFormatting sqref="E98">
    <cfRule type="cellIs" dxfId="1208" priority="139" operator="equal">
      <formula>221140</formula>
    </cfRule>
    <cfRule type="cellIs" dxfId="1207" priority="140" stopIfTrue="1" operator="equal">
      <formula>221144</formula>
    </cfRule>
    <cfRule type="cellIs" dxfId="1206" priority="141" stopIfTrue="1" operator="equal">
      <formula>221136</formula>
    </cfRule>
  </conditionalFormatting>
  <conditionalFormatting sqref="G98">
    <cfRule type="cellIs" dxfId="1205" priority="138" stopIfTrue="1" operator="between">
      <formula>221101</formula>
      <formula>221140</formula>
    </cfRule>
  </conditionalFormatting>
  <conditionalFormatting sqref="G99">
    <cfRule type="cellIs" dxfId="1204" priority="137" stopIfTrue="1" operator="between">
      <formula>221101</formula>
      <formula>221140</formula>
    </cfRule>
  </conditionalFormatting>
  <conditionalFormatting sqref="E99">
    <cfRule type="cellIs" dxfId="1203" priority="136" stopIfTrue="1" operator="between">
      <formula>221101</formula>
      <formula>221140</formula>
    </cfRule>
  </conditionalFormatting>
  <conditionalFormatting sqref="E99">
    <cfRule type="cellIs" dxfId="1202" priority="134" stopIfTrue="1" operator="equal">
      <formula>221144</formula>
    </cfRule>
    <cfRule type="cellIs" dxfId="1201" priority="135" stopIfTrue="1" operator="equal">
      <formula>221136</formula>
    </cfRule>
  </conditionalFormatting>
  <conditionalFormatting sqref="E99">
    <cfRule type="cellIs" dxfId="1200" priority="133" operator="equal">
      <formula>221140</formula>
    </cfRule>
  </conditionalFormatting>
  <conditionalFormatting sqref="Q96">
    <cfRule type="cellIs" dxfId="1199" priority="129" stopIfTrue="1" operator="equal">
      <formula>221140</formula>
    </cfRule>
  </conditionalFormatting>
  <conditionalFormatting sqref="Q96">
    <cfRule type="cellIs" dxfId="1198" priority="132" stopIfTrue="1" operator="between">
      <formula>221101</formula>
      <formula>221140</formula>
    </cfRule>
  </conditionalFormatting>
  <conditionalFormatting sqref="Q96">
    <cfRule type="cellIs" dxfId="1197" priority="130" stopIfTrue="1" operator="equal">
      <formula>221144</formula>
    </cfRule>
    <cfRule type="cellIs" dxfId="1196" priority="131" stopIfTrue="1" operator="equal">
      <formula>221136</formula>
    </cfRule>
  </conditionalFormatting>
  <conditionalFormatting sqref="R96">
    <cfRule type="cellIs" dxfId="1195" priority="128" stopIfTrue="1" operator="between">
      <formula>221101</formula>
      <formula>221140</formula>
    </cfRule>
  </conditionalFormatting>
  <conditionalFormatting sqref="R97">
    <cfRule type="cellIs" dxfId="1194" priority="127" stopIfTrue="1" operator="between">
      <formula>221101</formula>
      <formula>221140</formula>
    </cfRule>
  </conditionalFormatting>
  <conditionalFormatting sqref="Q97">
    <cfRule type="cellIs" dxfId="1193" priority="126" stopIfTrue="1" operator="between">
      <formula>221101</formula>
      <formula>221140</formula>
    </cfRule>
  </conditionalFormatting>
  <conditionalFormatting sqref="Q97">
    <cfRule type="cellIs" dxfId="1192" priority="124" stopIfTrue="1" operator="equal">
      <formula>221144</formula>
    </cfRule>
    <cfRule type="cellIs" dxfId="1191" priority="125" stopIfTrue="1" operator="equal">
      <formula>221136</formula>
    </cfRule>
  </conditionalFormatting>
  <conditionalFormatting sqref="Q97">
    <cfRule type="cellIs" dxfId="1190" priority="123" operator="equal">
      <formula>221140</formula>
    </cfRule>
  </conditionalFormatting>
  <conditionalFormatting sqref="F114">
    <cfRule type="cellIs" dxfId="1189" priority="122" stopIfTrue="1" operator="notEqual">
      <formula>"FP"</formula>
    </cfRule>
  </conditionalFormatting>
  <conditionalFormatting sqref="E114">
    <cfRule type="cellIs" dxfId="1188" priority="121" stopIfTrue="1" operator="between">
      <formula>221101</formula>
      <formula>221140</formula>
    </cfRule>
  </conditionalFormatting>
  <conditionalFormatting sqref="E114">
    <cfRule type="cellIs" dxfId="1187" priority="119" stopIfTrue="1" operator="equal">
      <formula>221144</formula>
    </cfRule>
    <cfRule type="cellIs" dxfId="1186" priority="120" stopIfTrue="1" operator="equal">
      <formula>221136</formula>
    </cfRule>
  </conditionalFormatting>
  <conditionalFormatting sqref="E114">
    <cfRule type="cellIs" dxfId="1185" priority="118" operator="equal">
      <formula>221140</formula>
    </cfRule>
  </conditionalFormatting>
  <conditionalFormatting sqref="Q114">
    <cfRule type="cellIs" dxfId="1184" priority="117" stopIfTrue="1" operator="between">
      <formula>221101</formula>
      <formula>221140</formula>
    </cfRule>
  </conditionalFormatting>
  <conditionalFormatting sqref="Q114">
    <cfRule type="cellIs" dxfId="1183" priority="115" stopIfTrue="1" operator="equal">
      <formula>221144</formula>
    </cfRule>
    <cfRule type="cellIs" dxfId="1182" priority="116" stopIfTrue="1" operator="equal">
      <formula>221136</formula>
    </cfRule>
  </conditionalFormatting>
  <conditionalFormatting sqref="Q114">
    <cfRule type="cellIs" dxfId="1181" priority="114" operator="equal">
      <formula>221140</formula>
    </cfRule>
  </conditionalFormatting>
  <conditionalFormatting sqref="E139">
    <cfRule type="cellIs" dxfId="1180" priority="112" stopIfTrue="1" operator="between">
      <formula>221101</formula>
      <formula>221140</formula>
    </cfRule>
  </conditionalFormatting>
  <conditionalFormatting sqref="F137:F142">
    <cfRule type="cellIs" dxfId="1179" priority="113" stopIfTrue="1" operator="notEqual">
      <formula>"FP"</formula>
    </cfRule>
  </conditionalFormatting>
  <conditionalFormatting sqref="E139">
    <cfRule type="cellIs" dxfId="1178" priority="109" operator="equal">
      <formula>221140</formula>
    </cfRule>
    <cfRule type="cellIs" dxfId="1177" priority="110" stopIfTrue="1" operator="equal">
      <formula>221144</formula>
    </cfRule>
    <cfRule type="cellIs" dxfId="1176" priority="111" stopIfTrue="1" operator="equal">
      <formula>221136</formula>
    </cfRule>
  </conditionalFormatting>
  <conditionalFormatting sqref="G142">
    <cfRule type="cellIs" dxfId="1175" priority="108" stopIfTrue="1" operator="between">
      <formula>221101</formula>
      <formula>221140</formula>
    </cfRule>
  </conditionalFormatting>
  <conditionalFormatting sqref="E142">
    <cfRule type="cellIs" dxfId="1174" priority="107" stopIfTrue="1" operator="between">
      <formula>221101</formula>
      <formula>221140</formula>
    </cfRule>
  </conditionalFormatting>
  <conditionalFormatting sqref="E142">
    <cfRule type="cellIs" dxfId="1173" priority="105" stopIfTrue="1" operator="equal">
      <formula>221144</formula>
    </cfRule>
    <cfRule type="cellIs" dxfId="1172" priority="106" stopIfTrue="1" operator="equal">
      <formula>221136</formula>
    </cfRule>
  </conditionalFormatting>
  <conditionalFormatting sqref="E142">
    <cfRule type="cellIs" dxfId="1171" priority="104" operator="equal">
      <formula>221140</formula>
    </cfRule>
  </conditionalFormatting>
  <conditionalFormatting sqref="G137">
    <cfRule type="cellIs" dxfId="1170" priority="103" stopIfTrue="1" operator="between">
      <formula>221101</formula>
      <formula>221140</formula>
    </cfRule>
  </conditionalFormatting>
  <conditionalFormatting sqref="G137">
    <cfRule type="cellIs" dxfId="1169" priority="101" stopIfTrue="1" operator="equal">
      <formula>221144</formula>
    </cfRule>
    <cfRule type="cellIs" dxfId="1168" priority="102" stopIfTrue="1" operator="equal">
      <formula>221136</formula>
    </cfRule>
  </conditionalFormatting>
  <conditionalFormatting sqref="G137">
    <cfRule type="cellIs" dxfId="1167" priority="100" operator="equal">
      <formula>221140</formula>
    </cfRule>
  </conditionalFormatting>
  <conditionalFormatting sqref="E137">
    <cfRule type="cellIs" dxfId="1166" priority="99" stopIfTrue="1" operator="between">
      <formula>221101</formula>
      <formula>221140</formula>
    </cfRule>
  </conditionalFormatting>
  <conditionalFormatting sqref="E137">
    <cfRule type="cellIs" dxfId="1165" priority="97" stopIfTrue="1" operator="equal">
      <formula>221144</formula>
    </cfRule>
    <cfRule type="cellIs" dxfId="1164" priority="98" stopIfTrue="1" operator="equal">
      <formula>221136</formula>
    </cfRule>
  </conditionalFormatting>
  <conditionalFormatting sqref="E137">
    <cfRule type="cellIs" dxfId="1163" priority="96" operator="equal">
      <formula>221140</formula>
    </cfRule>
  </conditionalFormatting>
  <conditionalFormatting sqref="E141">
    <cfRule type="cellIs" dxfId="1162" priority="95" stopIfTrue="1" operator="between">
      <formula>221101</formula>
      <formula>221140</formula>
    </cfRule>
  </conditionalFormatting>
  <conditionalFormatting sqref="E141">
    <cfRule type="cellIs" dxfId="1161" priority="93" stopIfTrue="1" operator="equal">
      <formula>221144</formula>
    </cfRule>
    <cfRule type="cellIs" dxfId="1160" priority="94" stopIfTrue="1" operator="equal">
      <formula>221136</formula>
    </cfRule>
  </conditionalFormatting>
  <conditionalFormatting sqref="E141">
    <cfRule type="cellIs" dxfId="1159" priority="92" operator="equal">
      <formula>221140</formula>
    </cfRule>
  </conditionalFormatting>
  <conditionalFormatting sqref="G138">
    <cfRule type="cellIs" dxfId="1158" priority="91" stopIfTrue="1" operator="between">
      <formula>221101</formula>
      <formula>221140</formula>
    </cfRule>
  </conditionalFormatting>
  <conditionalFormatting sqref="E138">
    <cfRule type="cellIs" dxfId="1157" priority="90" stopIfTrue="1" operator="between">
      <formula>221101</formula>
      <formula>221140</formula>
    </cfRule>
  </conditionalFormatting>
  <conditionalFormatting sqref="E138">
    <cfRule type="cellIs" dxfId="1156" priority="88" stopIfTrue="1" operator="equal">
      <formula>221144</formula>
    </cfRule>
    <cfRule type="cellIs" dxfId="1155" priority="89" stopIfTrue="1" operator="equal">
      <formula>221136</formula>
    </cfRule>
  </conditionalFormatting>
  <conditionalFormatting sqref="E138">
    <cfRule type="cellIs" dxfId="1154" priority="87" operator="equal">
      <formula>221140</formula>
    </cfRule>
  </conditionalFormatting>
  <conditionalFormatting sqref="G140">
    <cfRule type="cellIs" dxfId="1153" priority="86" stopIfTrue="1" operator="between">
      <formula>221101</formula>
      <formula>221140</formula>
    </cfRule>
  </conditionalFormatting>
  <conditionalFormatting sqref="E140">
    <cfRule type="cellIs" dxfId="1152" priority="85" stopIfTrue="1" operator="between">
      <formula>221101</formula>
      <formula>221140</formula>
    </cfRule>
  </conditionalFormatting>
  <conditionalFormatting sqref="E140">
    <cfRule type="cellIs" dxfId="1151" priority="83" stopIfTrue="1" operator="equal">
      <formula>221144</formula>
    </cfRule>
    <cfRule type="cellIs" dxfId="1150" priority="84" stopIfTrue="1" operator="equal">
      <formula>221136</formula>
    </cfRule>
  </conditionalFormatting>
  <conditionalFormatting sqref="E140">
    <cfRule type="cellIs" dxfId="1149" priority="82" operator="equal">
      <formula>221140</formula>
    </cfRule>
  </conditionalFormatting>
  <conditionalFormatting sqref="R141 R143">
    <cfRule type="cellIs" dxfId="1148" priority="81" stopIfTrue="1" operator="between">
      <formula>221101</formula>
      <formula>221140</formula>
    </cfRule>
  </conditionalFormatting>
  <conditionalFormatting sqref="Q141 Q143">
    <cfRule type="cellIs" dxfId="1147" priority="77" stopIfTrue="1" operator="equal">
      <formula>221140</formula>
    </cfRule>
  </conditionalFormatting>
  <conditionalFormatting sqref="Q141 Q143">
    <cfRule type="cellIs" dxfId="1146" priority="80" stopIfTrue="1" operator="between">
      <formula>221101</formula>
      <formula>221140</formula>
    </cfRule>
  </conditionalFormatting>
  <conditionalFormatting sqref="Q141 Q143">
    <cfRule type="cellIs" dxfId="1145" priority="78" stopIfTrue="1" operator="equal">
      <formula>221144</formula>
    </cfRule>
    <cfRule type="cellIs" dxfId="1144" priority="79" stopIfTrue="1" operator="equal">
      <formula>221136</formula>
    </cfRule>
  </conditionalFormatting>
  <conditionalFormatting sqref="R144">
    <cfRule type="cellIs" dxfId="1143" priority="76" stopIfTrue="1" operator="between">
      <formula>221101</formula>
      <formula>221140</formula>
    </cfRule>
  </conditionalFormatting>
  <conditionalFormatting sqref="Q144">
    <cfRule type="cellIs" dxfId="1142" priority="75" stopIfTrue="1" operator="between">
      <formula>221101</formula>
      <formula>221140</formula>
    </cfRule>
  </conditionalFormatting>
  <conditionalFormatting sqref="Q144">
    <cfRule type="cellIs" dxfId="1141" priority="73" stopIfTrue="1" operator="equal">
      <formula>221144</formula>
    </cfRule>
    <cfRule type="cellIs" dxfId="1140" priority="74" stopIfTrue="1" operator="equal">
      <formula>221136</formula>
    </cfRule>
  </conditionalFormatting>
  <conditionalFormatting sqref="Q144">
    <cfRule type="cellIs" dxfId="1139" priority="72" operator="equal">
      <formula>221140</formula>
    </cfRule>
  </conditionalFormatting>
  <conditionalFormatting sqref="R137">
    <cfRule type="cellIs" dxfId="1138" priority="71" stopIfTrue="1" operator="between">
      <formula>221101</formula>
      <formula>221140</formula>
    </cfRule>
  </conditionalFormatting>
  <conditionalFormatting sqref="R137">
    <cfRule type="cellIs" dxfId="1137" priority="69" stopIfTrue="1" operator="equal">
      <formula>221144</formula>
    </cfRule>
    <cfRule type="cellIs" dxfId="1136" priority="70" stopIfTrue="1" operator="equal">
      <formula>221136</formula>
    </cfRule>
  </conditionalFormatting>
  <conditionalFormatting sqref="R137">
    <cfRule type="cellIs" dxfId="1135" priority="68" operator="equal">
      <formula>221140</formula>
    </cfRule>
  </conditionalFormatting>
  <conditionalFormatting sqref="Q137">
    <cfRule type="cellIs" dxfId="1134" priority="67" stopIfTrue="1" operator="between">
      <formula>221101</formula>
      <formula>221140</formula>
    </cfRule>
  </conditionalFormatting>
  <conditionalFormatting sqref="Q137">
    <cfRule type="cellIs" dxfId="1133" priority="65" stopIfTrue="1" operator="equal">
      <formula>221144</formula>
    </cfRule>
    <cfRule type="cellIs" dxfId="1132" priority="66" stopIfTrue="1" operator="equal">
      <formula>221136</formula>
    </cfRule>
  </conditionalFormatting>
  <conditionalFormatting sqref="Q137">
    <cfRule type="cellIs" dxfId="1131" priority="64" operator="equal">
      <formula>221140</formula>
    </cfRule>
  </conditionalFormatting>
  <conditionalFormatting sqref="Q138">
    <cfRule type="cellIs" dxfId="1130" priority="63" stopIfTrue="1" operator="between">
      <formula>221101</formula>
      <formula>221140</formula>
    </cfRule>
  </conditionalFormatting>
  <conditionalFormatting sqref="Q138">
    <cfRule type="cellIs" dxfId="1129" priority="61" stopIfTrue="1" operator="equal">
      <formula>221144</formula>
    </cfRule>
    <cfRule type="cellIs" dxfId="1128" priority="62" stopIfTrue="1" operator="equal">
      <formula>221136</formula>
    </cfRule>
  </conditionalFormatting>
  <conditionalFormatting sqref="Q138">
    <cfRule type="cellIs" dxfId="1127" priority="60" operator="equal">
      <formula>221140</formula>
    </cfRule>
  </conditionalFormatting>
  <conditionalFormatting sqref="R139">
    <cfRule type="cellIs" dxfId="1126" priority="59" stopIfTrue="1" operator="between">
      <formula>221101</formula>
      <formula>221140</formula>
    </cfRule>
  </conditionalFormatting>
  <conditionalFormatting sqref="Q139">
    <cfRule type="cellIs" dxfId="1125" priority="58" stopIfTrue="1" operator="between">
      <formula>221101</formula>
      <formula>221140</formula>
    </cfRule>
  </conditionalFormatting>
  <conditionalFormatting sqref="Q139">
    <cfRule type="cellIs" dxfId="1124" priority="56" stopIfTrue="1" operator="equal">
      <formula>221144</formula>
    </cfRule>
    <cfRule type="cellIs" dxfId="1123" priority="57" stopIfTrue="1" operator="equal">
      <formula>221136</formula>
    </cfRule>
  </conditionalFormatting>
  <conditionalFormatting sqref="Q139">
    <cfRule type="cellIs" dxfId="1122" priority="55" operator="equal">
      <formula>221140</formula>
    </cfRule>
  </conditionalFormatting>
  <conditionalFormatting sqref="R140">
    <cfRule type="cellIs" dxfId="1121" priority="54" stopIfTrue="1" operator="between">
      <formula>221101</formula>
      <formula>221140</formula>
    </cfRule>
  </conditionalFormatting>
  <conditionalFormatting sqref="Q140">
    <cfRule type="cellIs" dxfId="1120" priority="53" stopIfTrue="1" operator="between">
      <formula>221101</formula>
      <formula>221140</formula>
    </cfRule>
  </conditionalFormatting>
  <conditionalFormatting sqref="Q140">
    <cfRule type="cellIs" dxfId="1119" priority="51" stopIfTrue="1" operator="equal">
      <formula>221144</formula>
    </cfRule>
    <cfRule type="cellIs" dxfId="1118" priority="52" stopIfTrue="1" operator="equal">
      <formula>221136</formula>
    </cfRule>
  </conditionalFormatting>
  <conditionalFormatting sqref="Q140">
    <cfRule type="cellIs" dxfId="1117" priority="50" operator="equal">
      <formula>221140</formula>
    </cfRule>
  </conditionalFormatting>
  <conditionalFormatting sqref="R142">
    <cfRule type="cellIs" dxfId="1116" priority="49" stopIfTrue="1" operator="between">
      <formula>221101</formula>
      <formula>221140</formula>
    </cfRule>
  </conditionalFormatting>
  <conditionalFormatting sqref="Q142">
    <cfRule type="cellIs" dxfId="1115" priority="48" stopIfTrue="1" operator="between">
      <formula>221101</formula>
      <formula>221140</formula>
    </cfRule>
  </conditionalFormatting>
  <conditionalFormatting sqref="Q142">
    <cfRule type="cellIs" dxfId="1114" priority="46" stopIfTrue="1" operator="equal">
      <formula>221144</formula>
    </cfRule>
    <cfRule type="cellIs" dxfId="1113" priority="47" stopIfTrue="1" operator="equal">
      <formula>221136</formula>
    </cfRule>
  </conditionalFormatting>
  <conditionalFormatting sqref="Q142">
    <cfRule type="cellIs" dxfId="1112" priority="45" operator="equal">
      <formula>221140</formula>
    </cfRule>
  </conditionalFormatting>
  <conditionalFormatting sqref="Q5 Q8:Q10">
    <cfRule type="cellIs" dxfId="1111" priority="44" stopIfTrue="1" operator="between">
      <formula>221101</formula>
      <formula>221140</formula>
    </cfRule>
  </conditionalFormatting>
  <conditionalFormatting sqref="Q5 Q8:Q10">
    <cfRule type="cellIs" dxfId="1110" priority="41" operator="equal">
      <formula>221140</formula>
    </cfRule>
    <cfRule type="cellIs" dxfId="1109" priority="42" stopIfTrue="1" operator="equal">
      <formula>221144</formula>
    </cfRule>
    <cfRule type="cellIs" dxfId="1108" priority="43" stopIfTrue="1" operator="equal">
      <formula>221136</formula>
    </cfRule>
  </conditionalFormatting>
  <conditionalFormatting sqref="Q6">
    <cfRule type="cellIs" dxfId="1107" priority="40" stopIfTrue="1" operator="between">
      <formula>221101</formula>
      <formula>221140</formula>
    </cfRule>
  </conditionalFormatting>
  <conditionalFormatting sqref="Q6">
    <cfRule type="cellIs" dxfId="1106" priority="38" stopIfTrue="1" operator="equal">
      <formula>221144</formula>
    </cfRule>
    <cfRule type="cellIs" dxfId="1105" priority="39" stopIfTrue="1" operator="equal">
      <formula>221136</formula>
    </cfRule>
  </conditionalFormatting>
  <conditionalFormatting sqref="Q6">
    <cfRule type="cellIs" dxfId="1104" priority="37" operator="equal">
      <formula>221140</formula>
    </cfRule>
  </conditionalFormatting>
  <conditionalFormatting sqref="Q7">
    <cfRule type="cellIs" dxfId="1103" priority="31" stopIfTrue="1" operator="equal">
      <formula>221140</formula>
    </cfRule>
  </conditionalFormatting>
  <conditionalFormatting sqref="Q7">
    <cfRule type="cellIs" dxfId="1102" priority="36" stopIfTrue="1" operator="between">
      <formula>221101</formula>
      <formula>221140</formula>
    </cfRule>
  </conditionalFormatting>
  <conditionalFormatting sqref="Q7">
    <cfRule type="cellIs" dxfId="1101" priority="34" stopIfTrue="1" operator="equal">
      <formula>221144</formula>
    </cfRule>
    <cfRule type="cellIs" dxfId="1100" priority="35" stopIfTrue="1" operator="equal">
      <formula>221136</formula>
    </cfRule>
  </conditionalFormatting>
  <conditionalFormatting sqref="Q7">
    <cfRule type="cellIs" dxfId="1099" priority="32" stopIfTrue="1" operator="equal">
      <formula>221144</formula>
    </cfRule>
    <cfRule type="cellIs" dxfId="1098" priority="33" stopIfTrue="1" operator="equal">
      <formula>221136</formula>
    </cfRule>
  </conditionalFormatting>
  <conditionalFormatting sqref="Q42">
    <cfRule type="cellIs" dxfId="1097" priority="30" stopIfTrue="1" operator="between">
      <formula>221101</formula>
      <formula>221140</formula>
    </cfRule>
  </conditionalFormatting>
  <conditionalFormatting sqref="Q42">
    <cfRule type="cellIs" dxfId="1096" priority="27" operator="equal">
      <formula>221140</formula>
    </cfRule>
    <cfRule type="cellIs" dxfId="1095" priority="28" stopIfTrue="1" operator="equal">
      <formula>221144</formula>
    </cfRule>
    <cfRule type="cellIs" dxfId="1094" priority="29" stopIfTrue="1" operator="equal">
      <formula>221136</formula>
    </cfRule>
  </conditionalFormatting>
  <conditionalFormatting sqref="Q39">
    <cfRule type="cellIs" dxfId="1093" priority="26" stopIfTrue="1" operator="between">
      <formula>221101</formula>
      <formula>221140</formula>
    </cfRule>
  </conditionalFormatting>
  <conditionalFormatting sqref="Q39">
    <cfRule type="cellIs" dxfId="1092" priority="23" operator="equal">
      <formula>221140</formula>
    </cfRule>
    <cfRule type="cellIs" dxfId="1091" priority="24" stopIfTrue="1" operator="equal">
      <formula>221144</formula>
    </cfRule>
    <cfRule type="cellIs" dxfId="1090" priority="25" stopIfTrue="1" operator="equal">
      <formula>221136</formula>
    </cfRule>
  </conditionalFormatting>
  <conditionalFormatting sqref="Q38">
    <cfRule type="cellIs" dxfId="1089" priority="22" stopIfTrue="1" operator="between">
      <formula>221101</formula>
      <formula>221140</formula>
    </cfRule>
  </conditionalFormatting>
  <conditionalFormatting sqref="Q38">
    <cfRule type="cellIs" dxfId="1088" priority="20" stopIfTrue="1" operator="equal">
      <formula>221144</formula>
    </cfRule>
    <cfRule type="cellIs" dxfId="1087" priority="21" stopIfTrue="1" operator="equal">
      <formula>221136</formula>
    </cfRule>
  </conditionalFormatting>
  <conditionalFormatting sqref="Q38">
    <cfRule type="cellIs" dxfId="1086" priority="19" operator="equal">
      <formula>221140</formula>
    </cfRule>
  </conditionalFormatting>
  <conditionalFormatting sqref="Q126:Q127">
    <cfRule type="cellIs" dxfId="1085" priority="18" stopIfTrue="1" operator="between">
      <formula>221101</formula>
      <formula>221140</formula>
    </cfRule>
  </conditionalFormatting>
  <conditionalFormatting sqref="Q126:Q127">
    <cfRule type="cellIs" dxfId="1084" priority="15" operator="equal">
      <formula>221140</formula>
    </cfRule>
    <cfRule type="cellIs" dxfId="1083" priority="16" stopIfTrue="1" operator="equal">
      <formula>221144</formula>
    </cfRule>
    <cfRule type="cellIs" dxfId="1082" priority="17" stopIfTrue="1" operator="equal">
      <formula>221136</formula>
    </cfRule>
  </conditionalFormatting>
  <conditionalFormatting sqref="E83:E88">
    <cfRule type="cellIs" dxfId="1081" priority="14" stopIfTrue="1" operator="between">
      <formula>221101</formula>
      <formula>221140</formula>
    </cfRule>
  </conditionalFormatting>
  <conditionalFormatting sqref="E83:E88">
    <cfRule type="cellIs" dxfId="1080" priority="12" stopIfTrue="1" operator="equal">
      <formula>221144</formula>
    </cfRule>
    <cfRule type="cellIs" dxfId="1079" priority="13" stopIfTrue="1" operator="equal">
      <formula>221136</formula>
    </cfRule>
  </conditionalFormatting>
  <conditionalFormatting sqref="E83:E88">
    <cfRule type="cellIs" dxfId="1078" priority="11" operator="equal">
      <formula>221140</formula>
    </cfRule>
  </conditionalFormatting>
  <conditionalFormatting sqref="G83:G88">
    <cfRule type="cellIs" dxfId="1077" priority="10" stopIfTrue="1" operator="between">
      <formula>221101</formula>
      <formula>221140</formula>
    </cfRule>
  </conditionalFormatting>
  <conditionalFormatting sqref="R72">
    <cfRule type="cellIs" dxfId="1076" priority="9" stopIfTrue="1" operator="between">
      <formula>221101</formula>
      <formula>221140</formula>
    </cfRule>
  </conditionalFormatting>
  <conditionalFormatting sqref="Q72">
    <cfRule type="cellIs" dxfId="1075" priority="8" stopIfTrue="1" operator="between">
      <formula>221101</formula>
      <formula>221140</formula>
    </cfRule>
  </conditionalFormatting>
  <conditionalFormatting sqref="Q72">
    <cfRule type="cellIs" dxfId="1074" priority="6" stopIfTrue="1" operator="equal">
      <formula>221144</formula>
    </cfRule>
    <cfRule type="cellIs" dxfId="1073" priority="7" stopIfTrue="1" operator="equal">
      <formula>221136</formula>
    </cfRule>
  </conditionalFormatting>
  <conditionalFormatting sqref="Q72">
    <cfRule type="cellIs" dxfId="1072" priority="5" operator="equal">
      <formula>221140</formula>
    </cfRule>
  </conditionalFormatting>
  <conditionalFormatting sqref="Q66">
    <cfRule type="cellIs" dxfId="1071" priority="1" operator="equal">
      <formula>221140</formula>
    </cfRule>
  </conditionalFormatting>
  <conditionalFormatting sqref="Q66">
    <cfRule type="cellIs" dxfId="1070" priority="4" stopIfTrue="1" operator="between">
      <formula>221101</formula>
      <formula>221140</formula>
    </cfRule>
  </conditionalFormatting>
  <conditionalFormatting sqref="Q66">
    <cfRule type="cellIs" dxfId="1069" priority="2" stopIfTrue="1" operator="equal">
      <formula>221144</formula>
    </cfRule>
    <cfRule type="cellIs" dxfId="1068" priority="3" stopIfTrue="1" operator="equal">
      <formula>221136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20" max="15" man="1"/>
    <brk id="58" max="16383" man="1"/>
    <brk id="91" max="15" man="1"/>
    <brk id="122" max="15" man="1"/>
    <brk id="148" max="15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90"/>
  <sheetViews>
    <sheetView tabSelected="1" view="pageBreakPreview" topLeftCell="A58" zoomScaleNormal="70" zoomScaleSheetLayoutView="100" workbookViewId="0">
      <selection activeCell="Q83" sqref="Q83"/>
    </sheetView>
  </sheetViews>
  <sheetFormatPr defaultRowHeight="15" customHeight="1" x14ac:dyDescent="0.2"/>
  <cols>
    <col min="1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4" customWidth="1"/>
    <col min="9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0</v>
      </c>
      <c r="B3" s="118"/>
      <c r="C3" s="9"/>
      <c r="D3" s="255">
        <f>'DEPT BAL'!$C$4-1</f>
        <v>43064</v>
      </c>
      <c r="E3" s="255"/>
      <c r="I3" s="8" t="s">
        <v>7</v>
      </c>
      <c r="J3" s="118"/>
      <c r="L3" s="252">
        <f>D3+1</f>
        <v>43065</v>
      </c>
      <c r="M3" s="252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420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4" t="s">
        <v>32</v>
      </c>
      <c r="B5" s="121" t="s">
        <v>396</v>
      </c>
      <c r="C5" s="15" t="s">
        <v>130</v>
      </c>
      <c r="D5" s="18" t="s">
        <v>394</v>
      </c>
      <c r="E5" s="40">
        <v>221119</v>
      </c>
      <c r="F5" s="135"/>
      <c r="G5" s="12"/>
      <c r="H5" s="174" t="str">
        <f>$I$2</f>
        <v>EC</v>
      </c>
      <c r="I5" s="10" t="s">
        <v>446</v>
      </c>
      <c r="J5" s="120" t="s">
        <v>447</v>
      </c>
      <c r="K5" s="209" t="s">
        <v>398</v>
      </c>
      <c r="L5" s="11" t="s">
        <v>56</v>
      </c>
      <c r="M5" s="143" t="s">
        <v>299</v>
      </c>
      <c r="N5" s="144">
        <v>738.18</v>
      </c>
      <c r="O5" s="40"/>
      <c r="P5" s="12" t="s">
        <v>149</v>
      </c>
      <c r="Q5" s="40">
        <v>220003</v>
      </c>
      <c r="R5" s="222"/>
      <c r="S5" s="115" t="str">
        <f>IF(N5&gt;0,"Yes","")</f>
        <v>Yes</v>
      </c>
    </row>
    <row r="6" spans="1:19" ht="21.75" customHeight="1" x14ac:dyDescent="0.2">
      <c r="A6" s="14" t="s">
        <v>28</v>
      </c>
      <c r="B6" s="126" t="s">
        <v>397</v>
      </c>
      <c r="C6" s="15" t="s">
        <v>130</v>
      </c>
      <c r="D6" s="18" t="s">
        <v>299</v>
      </c>
      <c r="E6" s="40">
        <v>221130</v>
      </c>
      <c r="F6" s="135"/>
      <c r="G6" s="17"/>
      <c r="H6" s="174" t="str">
        <f t="shared" ref="H6:H17" si="0">$I$2</f>
        <v>EC</v>
      </c>
      <c r="I6" s="14" t="s">
        <v>448</v>
      </c>
      <c r="J6" s="181"/>
      <c r="K6" s="210"/>
      <c r="L6" s="240" t="s">
        <v>56</v>
      </c>
      <c r="M6" s="19" t="s">
        <v>299</v>
      </c>
      <c r="N6" s="79">
        <v>738.18</v>
      </c>
      <c r="O6" s="40"/>
      <c r="P6" s="17" t="s">
        <v>149</v>
      </c>
      <c r="Q6" s="40">
        <v>221128</v>
      </c>
      <c r="R6" s="223" t="s">
        <v>565</v>
      </c>
      <c r="S6" s="116" t="str">
        <f>IF(N6&gt;0,"Yes","")</f>
        <v>Yes</v>
      </c>
    </row>
    <row r="7" spans="1:19" ht="21.75" customHeight="1" x14ac:dyDescent="0.2">
      <c r="A7" s="14" t="s">
        <v>53</v>
      </c>
      <c r="B7" s="126" t="s">
        <v>151</v>
      </c>
      <c r="C7" s="15" t="s">
        <v>130</v>
      </c>
      <c r="D7" s="18" t="s">
        <v>395</v>
      </c>
      <c r="E7" s="40" t="s">
        <v>568</v>
      </c>
      <c r="F7" s="135"/>
      <c r="G7" s="17"/>
      <c r="H7" s="174" t="str">
        <f t="shared" si="0"/>
        <v>EC</v>
      </c>
      <c r="I7" s="14" t="s">
        <v>449</v>
      </c>
      <c r="J7" s="121" t="s">
        <v>450</v>
      </c>
      <c r="K7" s="140" t="s">
        <v>451</v>
      </c>
      <c r="L7" s="240" t="s">
        <v>58</v>
      </c>
      <c r="M7" s="19" t="s">
        <v>452</v>
      </c>
      <c r="N7" s="79">
        <v>568.49</v>
      </c>
      <c r="O7" s="40"/>
      <c r="P7" s="17" t="s">
        <v>149</v>
      </c>
      <c r="Q7" s="40">
        <v>221119</v>
      </c>
      <c r="R7" s="17"/>
      <c r="S7" s="116" t="str">
        <f t="shared" ref="S7:S16" si="1">IF(N7&gt;0,"Yes","")</f>
        <v>Yes</v>
      </c>
    </row>
    <row r="8" spans="1:19" ht="21.75" customHeight="1" x14ac:dyDescent="0.2">
      <c r="A8" s="14" t="s">
        <v>41</v>
      </c>
      <c r="B8" s="126" t="s">
        <v>273</v>
      </c>
      <c r="C8" s="72" t="s">
        <v>131</v>
      </c>
      <c r="D8" s="18" t="s">
        <v>313</v>
      </c>
      <c r="E8" s="40">
        <v>220003</v>
      </c>
      <c r="F8" s="135"/>
      <c r="G8" s="17"/>
      <c r="H8" s="174" t="str">
        <f t="shared" si="0"/>
        <v>EC</v>
      </c>
      <c r="I8" s="14" t="s">
        <v>453</v>
      </c>
      <c r="J8" s="181"/>
      <c r="K8" s="210"/>
      <c r="L8" s="240" t="s">
        <v>58</v>
      </c>
      <c r="M8" s="19" t="s">
        <v>452</v>
      </c>
      <c r="N8" s="79">
        <v>568.49</v>
      </c>
      <c r="O8" s="40"/>
      <c r="P8" s="17" t="s">
        <v>149</v>
      </c>
      <c r="Q8" s="40">
        <v>221130</v>
      </c>
      <c r="R8" s="223"/>
      <c r="S8" s="116" t="str">
        <f t="shared" si="1"/>
        <v>Yes</v>
      </c>
    </row>
    <row r="9" spans="1:19" ht="21.75" customHeight="1" x14ac:dyDescent="0.2">
      <c r="A9" s="14" t="s">
        <v>106</v>
      </c>
      <c r="B9" s="126" t="s">
        <v>232</v>
      </c>
      <c r="C9" s="70" t="s">
        <v>130</v>
      </c>
      <c r="D9" s="18" t="s">
        <v>434</v>
      </c>
      <c r="E9" s="40">
        <v>221128</v>
      </c>
      <c r="F9" s="135"/>
      <c r="G9" s="17" t="s">
        <v>565</v>
      </c>
      <c r="H9" s="174" t="str">
        <f>$I$2</f>
        <v>EC</v>
      </c>
      <c r="I9" s="14" t="s">
        <v>454</v>
      </c>
      <c r="J9" s="121" t="s">
        <v>206</v>
      </c>
      <c r="K9" s="140" t="s">
        <v>455</v>
      </c>
      <c r="L9" s="240" t="s">
        <v>56</v>
      </c>
      <c r="M9" s="19" t="s">
        <v>456</v>
      </c>
      <c r="N9" s="79">
        <v>374.75</v>
      </c>
      <c r="O9" s="40"/>
      <c r="P9" s="17" t="s">
        <v>149</v>
      </c>
      <c r="Q9" s="40">
        <v>221121</v>
      </c>
      <c r="R9" s="223"/>
      <c r="S9" s="116" t="str">
        <f t="shared" si="1"/>
        <v>Yes</v>
      </c>
    </row>
    <row r="10" spans="1:19" ht="21.75" customHeight="1" x14ac:dyDescent="0.2">
      <c r="A10" s="68"/>
      <c r="B10" s="126"/>
      <c r="C10" s="15"/>
      <c r="D10" s="18"/>
      <c r="E10" s="40">
        <v>220017</v>
      </c>
      <c r="F10" s="135"/>
      <c r="G10" s="17" t="s">
        <v>646</v>
      </c>
      <c r="H10" s="174" t="str">
        <f t="shared" si="0"/>
        <v>EC</v>
      </c>
      <c r="I10" s="68" t="s">
        <v>457</v>
      </c>
      <c r="J10" s="181"/>
      <c r="K10" s="210"/>
      <c r="L10" s="30" t="s">
        <v>56</v>
      </c>
      <c r="M10" s="35" t="s">
        <v>456</v>
      </c>
      <c r="N10" s="97">
        <v>374.75</v>
      </c>
      <c r="O10" s="40"/>
      <c r="P10" s="17" t="s">
        <v>149</v>
      </c>
      <c r="Q10" s="40">
        <v>220017</v>
      </c>
      <c r="R10" s="224" t="s">
        <v>646</v>
      </c>
      <c r="S10" s="116" t="str">
        <f t="shared" si="1"/>
        <v>Yes</v>
      </c>
    </row>
    <row r="11" spans="1:19" ht="21.75" customHeight="1" x14ac:dyDescent="0.2">
      <c r="A11" s="68" t="s">
        <v>26</v>
      </c>
      <c r="B11" s="126" t="s">
        <v>152</v>
      </c>
      <c r="C11" s="245" t="s">
        <v>130</v>
      </c>
      <c r="D11" s="18" t="s">
        <v>363</v>
      </c>
      <c r="E11" s="40">
        <v>221120</v>
      </c>
      <c r="F11" s="135"/>
      <c r="G11" s="17"/>
      <c r="H11" s="174" t="str">
        <f t="shared" si="0"/>
        <v>EC</v>
      </c>
      <c r="I11" s="68"/>
      <c r="J11" s="126"/>
      <c r="K11" s="135"/>
      <c r="L11" s="30"/>
      <c r="M11" s="35"/>
      <c r="N11" s="97"/>
      <c r="O11" s="40"/>
      <c r="P11" s="17"/>
      <c r="Q11" s="40"/>
      <c r="R11" s="224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7"/>
      <c r="Q12" s="40"/>
      <c r="R12" s="224"/>
      <c r="S12" s="116" t="str">
        <f t="shared" si="1"/>
        <v/>
      </c>
    </row>
    <row r="13" spans="1:19" ht="21.75" customHeight="1" x14ac:dyDescent="0.2">
      <c r="A13" s="93"/>
      <c r="B13" s="180"/>
      <c r="C13" s="29"/>
      <c r="D13" s="71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35"/>
      <c r="N13" s="97"/>
      <c r="O13" s="40"/>
      <c r="P13" s="17"/>
      <c r="Q13" s="40"/>
      <c r="R13" s="224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87"/>
      <c r="Q14" s="40"/>
      <c r="R14" s="224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87"/>
      <c r="Q15" s="40"/>
      <c r="R15" s="224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87"/>
      <c r="Q16" s="40"/>
      <c r="R16" s="224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24"/>
      <c r="Q17" s="41"/>
      <c r="R17" s="225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Q18" s="103"/>
      <c r="R18" s="103"/>
    </row>
    <row r="19" spans="1:19" ht="21.75" customHeight="1" x14ac:dyDescent="0.2">
      <c r="A19" s="8" t="s">
        <v>651</v>
      </c>
      <c r="B19" s="118"/>
      <c r="F19" s="138"/>
      <c r="I19" s="8" t="s">
        <v>13</v>
      </c>
      <c r="J19" s="118"/>
      <c r="O19" s="241" t="s">
        <v>14</v>
      </c>
      <c r="P19" s="6"/>
      <c r="Q19" s="241" t="s">
        <v>14</v>
      </c>
      <c r="R19" s="42"/>
    </row>
    <row r="20" spans="1:19" ht="21.75" customHeight="1" x14ac:dyDescent="0.2">
      <c r="B20" s="118"/>
      <c r="F20" s="138"/>
      <c r="J20" s="118"/>
      <c r="P20" s="6"/>
    </row>
    <row r="21" spans="1:19" ht="21.75" customHeight="1" x14ac:dyDescent="0.2">
      <c r="B21" s="118"/>
      <c r="F21" s="138"/>
      <c r="J21" s="118"/>
      <c r="P21" s="6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0</v>
      </c>
      <c r="B23" s="118"/>
      <c r="C23" s="9"/>
      <c r="D23" s="255">
        <f>'DEPT BAL'!$C$4-1</f>
        <v>43064</v>
      </c>
      <c r="E23" s="255"/>
      <c r="F23" s="138"/>
      <c r="I23" s="8" t="s">
        <v>7</v>
      </c>
      <c r="J23" s="118"/>
      <c r="L23" s="252">
        <f>D23+1</f>
        <v>43065</v>
      </c>
      <c r="M23" s="252"/>
      <c r="P23" s="6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420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35</v>
      </c>
      <c r="B25" s="120" t="s">
        <v>135</v>
      </c>
      <c r="C25" s="11" t="s">
        <v>134</v>
      </c>
      <c r="D25" s="25" t="s">
        <v>391</v>
      </c>
      <c r="E25" s="39">
        <v>220004</v>
      </c>
      <c r="F25" s="134"/>
      <c r="G25" s="112"/>
      <c r="H25" s="174" t="str">
        <f t="shared" ref="H25:H30" si="2">$I$22</f>
        <v>TY</v>
      </c>
      <c r="I25" s="10" t="s">
        <v>458</v>
      </c>
      <c r="J25" s="120" t="s">
        <v>459</v>
      </c>
      <c r="K25" s="209" t="s">
        <v>314</v>
      </c>
      <c r="L25" s="11" t="s">
        <v>56</v>
      </c>
      <c r="M25" s="13" t="s">
        <v>460</v>
      </c>
      <c r="N25" s="78">
        <v>592.66999999999996</v>
      </c>
      <c r="O25" s="39"/>
      <c r="P25" s="193" t="s">
        <v>149</v>
      </c>
      <c r="Q25" s="40">
        <v>221144</v>
      </c>
      <c r="R25" s="17" t="s">
        <v>584</v>
      </c>
      <c r="S25" s="115" t="str">
        <f t="shared" ref="S25:S30" si="3">IF(N25&gt;0,"Yes","")</f>
        <v>Yes</v>
      </c>
    </row>
    <row r="26" spans="1:19" ht="21.75" customHeight="1" x14ac:dyDescent="0.2">
      <c r="A26" s="68" t="s">
        <v>39</v>
      </c>
      <c r="B26" s="126" t="s">
        <v>244</v>
      </c>
      <c r="C26" s="70" t="s">
        <v>134</v>
      </c>
      <c r="D26" s="18" t="s">
        <v>380</v>
      </c>
      <c r="E26" s="40">
        <v>220012</v>
      </c>
      <c r="F26" s="135"/>
      <c r="G26" s="17"/>
      <c r="H26" s="174" t="str">
        <f t="shared" si="2"/>
        <v>TY</v>
      </c>
      <c r="I26" s="14" t="s">
        <v>461</v>
      </c>
      <c r="J26" s="181"/>
      <c r="K26" s="210"/>
      <c r="L26" s="240" t="s">
        <v>56</v>
      </c>
      <c r="M26" s="19" t="s">
        <v>460</v>
      </c>
      <c r="N26" s="79">
        <v>592.66999999999996</v>
      </c>
      <c r="O26" s="40"/>
      <c r="P26" s="90" t="s">
        <v>149</v>
      </c>
      <c r="Q26" s="40">
        <v>220019</v>
      </c>
      <c r="R26" s="223"/>
      <c r="S26" s="116" t="str">
        <f t="shared" si="3"/>
        <v>Yes</v>
      </c>
    </row>
    <row r="27" spans="1:19" ht="21.75" customHeight="1" x14ac:dyDescent="0.2">
      <c r="A27" s="14" t="s">
        <v>87</v>
      </c>
      <c r="B27" s="126" t="s">
        <v>351</v>
      </c>
      <c r="C27" s="15" t="s">
        <v>134</v>
      </c>
      <c r="D27" s="18" t="s">
        <v>381</v>
      </c>
      <c r="E27" s="40">
        <v>220019</v>
      </c>
      <c r="F27" s="135"/>
      <c r="G27" s="17"/>
      <c r="H27" s="174" t="str">
        <f t="shared" si="2"/>
        <v>TY</v>
      </c>
      <c r="I27" s="14" t="s">
        <v>541</v>
      </c>
      <c r="J27" s="126"/>
      <c r="K27" s="135"/>
      <c r="L27" s="240"/>
      <c r="M27" s="19"/>
      <c r="N27" s="79"/>
      <c r="O27" s="40"/>
      <c r="P27" s="90"/>
      <c r="Q27" s="40">
        <v>220012</v>
      </c>
      <c r="R27" s="223"/>
      <c r="S27" s="116" t="str">
        <f t="shared" si="3"/>
        <v/>
      </c>
    </row>
    <row r="28" spans="1:19" ht="21.75" customHeight="1" x14ac:dyDescent="0.2">
      <c r="A28" s="14" t="s">
        <v>44</v>
      </c>
      <c r="B28" s="126" t="s">
        <v>192</v>
      </c>
      <c r="C28" s="15" t="s">
        <v>134</v>
      </c>
      <c r="D28" s="18" t="s">
        <v>287</v>
      </c>
      <c r="E28" s="40">
        <v>221144</v>
      </c>
      <c r="F28" s="135"/>
      <c r="G28" s="17" t="s">
        <v>584</v>
      </c>
      <c r="H28" s="174" t="str">
        <f t="shared" si="2"/>
        <v>TY</v>
      </c>
      <c r="I28" s="14" t="s">
        <v>541</v>
      </c>
      <c r="J28" s="126"/>
      <c r="K28" s="135"/>
      <c r="L28" s="240"/>
      <c r="M28" s="19"/>
      <c r="N28" s="79"/>
      <c r="O28" s="40"/>
      <c r="P28" s="90"/>
      <c r="Q28" s="40">
        <v>220004</v>
      </c>
      <c r="R28" s="223"/>
      <c r="S28" s="116" t="str">
        <f t="shared" si="3"/>
        <v/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240"/>
      <c r="M29" s="19"/>
      <c r="N29" s="79"/>
      <c r="O29" s="40"/>
      <c r="P29" s="17"/>
      <c r="Q29" s="40"/>
      <c r="R29" s="223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89"/>
      <c r="N30" s="80"/>
      <c r="O30" s="41"/>
      <c r="P30" s="24"/>
      <c r="Q30" s="41"/>
      <c r="R30" s="225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Q31" s="103"/>
      <c r="R31" s="103"/>
    </row>
    <row r="32" spans="1:19" ht="21.75" customHeight="1" x14ac:dyDescent="0.2">
      <c r="A32" s="8" t="s">
        <v>651</v>
      </c>
      <c r="B32" s="118"/>
      <c r="F32" s="138"/>
      <c r="I32" s="8" t="s">
        <v>13</v>
      </c>
      <c r="J32" s="118"/>
      <c r="O32" s="241" t="s">
        <v>14</v>
      </c>
      <c r="P32" s="6"/>
      <c r="Q32" s="241" t="s">
        <v>14</v>
      </c>
      <c r="R32" s="42"/>
    </row>
    <row r="33" spans="1:19" ht="21.75" customHeight="1" x14ac:dyDescent="0.2">
      <c r="B33" s="118"/>
      <c r="F33" s="138"/>
      <c r="J33" s="118"/>
      <c r="P33" s="6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0</v>
      </c>
      <c r="B35" s="118"/>
      <c r="C35" s="9"/>
      <c r="D35" s="255">
        <f>'DEPT BAL'!$C$4-1</f>
        <v>43064</v>
      </c>
      <c r="E35" s="255"/>
      <c r="F35" s="138"/>
      <c r="I35" s="8" t="s">
        <v>7</v>
      </c>
      <c r="J35" s="118"/>
      <c r="L35" s="252">
        <f>D35+1</f>
        <v>43065</v>
      </c>
      <c r="M35" s="252"/>
      <c r="P35" s="6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420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0" t="s">
        <v>54</v>
      </c>
      <c r="B37" s="120" t="s">
        <v>193</v>
      </c>
      <c r="C37" s="11" t="s">
        <v>136</v>
      </c>
      <c r="D37" s="25" t="s">
        <v>385</v>
      </c>
      <c r="E37" s="39">
        <v>220025</v>
      </c>
      <c r="F37" s="134"/>
      <c r="G37" s="202" t="s">
        <v>616</v>
      </c>
      <c r="H37" s="174" t="str">
        <f t="shared" ref="H37:H42" si="4">$I$34</f>
        <v>XW</v>
      </c>
      <c r="I37" s="10" t="s">
        <v>462</v>
      </c>
      <c r="J37" s="120" t="s">
        <v>463</v>
      </c>
      <c r="K37" s="209" t="s">
        <v>352</v>
      </c>
      <c r="L37" s="11" t="s">
        <v>66</v>
      </c>
      <c r="M37" s="13" t="s">
        <v>464</v>
      </c>
      <c r="N37" s="78">
        <v>697.66</v>
      </c>
      <c r="O37" s="39"/>
      <c r="P37" s="193" t="s">
        <v>149</v>
      </c>
      <c r="Q37" s="40">
        <v>220025</v>
      </c>
      <c r="R37" s="223" t="s">
        <v>616</v>
      </c>
      <c r="S37" s="115" t="str">
        <f t="shared" ref="S37:S42" si="5">IF(N37&gt;0,"Yes","")</f>
        <v>Yes</v>
      </c>
    </row>
    <row r="38" spans="1:19" ht="21.75" customHeight="1" x14ac:dyDescent="0.2">
      <c r="A38" s="14" t="s">
        <v>49</v>
      </c>
      <c r="B38" s="121" t="s">
        <v>191</v>
      </c>
      <c r="C38" s="245" t="s">
        <v>137</v>
      </c>
      <c r="D38" s="18" t="s">
        <v>289</v>
      </c>
      <c r="E38" s="40">
        <v>220007</v>
      </c>
      <c r="F38" s="135"/>
      <c r="G38" s="17" t="s">
        <v>643</v>
      </c>
      <c r="H38" s="174" t="str">
        <f t="shared" si="4"/>
        <v>XW</v>
      </c>
      <c r="I38" s="14" t="s">
        <v>465</v>
      </c>
      <c r="J38" s="181"/>
      <c r="K38" s="210"/>
      <c r="L38" s="240" t="s">
        <v>66</v>
      </c>
      <c r="M38" s="19" t="s">
        <v>464</v>
      </c>
      <c r="N38" s="79">
        <v>697.66</v>
      </c>
      <c r="O38" s="40"/>
      <c r="P38" s="90" t="s">
        <v>149</v>
      </c>
      <c r="Q38" s="40">
        <v>220007</v>
      </c>
      <c r="R38" s="223" t="s">
        <v>643</v>
      </c>
      <c r="S38" s="116" t="str">
        <f t="shared" si="5"/>
        <v>Yes</v>
      </c>
    </row>
    <row r="39" spans="1:19" ht="21.75" customHeight="1" x14ac:dyDescent="0.2">
      <c r="A39" s="14" t="s">
        <v>31</v>
      </c>
      <c r="B39" s="181"/>
      <c r="C39" s="245" t="s">
        <v>137</v>
      </c>
      <c r="D39" s="18" t="s">
        <v>289</v>
      </c>
      <c r="E39" s="40">
        <v>220008</v>
      </c>
      <c r="F39" s="135"/>
      <c r="G39" s="17"/>
      <c r="H39" s="174" t="str">
        <f t="shared" si="4"/>
        <v>XW</v>
      </c>
      <c r="I39" s="14" t="s">
        <v>466</v>
      </c>
      <c r="J39" s="121" t="s">
        <v>467</v>
      </c>
      <c r="K39" s="140" t="s">
        <v>418</v>
      </c>
      <c r="L39" s="240" t="s">
        <v>60</v>
      </c>
      <c r="M39" s="19" t="s">
        <v>468</v>
      </c>
      <c r="N39" s="79">
        <v>643.87</v>
      </c>
      <c r="O39" s="40"/>
      <c r="P39" s="90" t="s">
        <v>149</v>
      </c>
      <c r="Q39" s="40">
        <v>220008</v>
      </c>
      <c r="R39" s="223"/>
      <c r="S39" s="116" t="str">
        <f t="shared" si="5"/>
        <v>Yes</v>
      </c>
    </row>
    <row r="40" spans="1:19" ht="21.75" customHeight="1" x14ac:dyDescent="0.2">
      <c r="A40" s="14" t="s">
        <v>165</v>
      </c>
      <c r="B40" s="126" t="s">
        <v>194</v>
      </c>
      <c r="C40" s="245" t="s">
        <v>137</v>
      </c>
      <c r="D40" s="18" t="s">
        <v>382</v>
      </c>
      <c r="E40" s="40">
        <v>220006</v>
      </c>
      <c r="F40" s="135"/>
      <c r="G40" s="17"/>
      <c r="H40" s="174" t="str">
        <f t="shared" si="4"/>
        <v>XW</v>
      </c>
      <c r="I40" s="14" t="s">
        <v>469</v>
      </c>
      <c r="J40" s="181"/>
      <c r="K40" s="210"/>
      <c r="L40" s="240" t="s">
        <v>60</v>
      </c>
      <c r="M40" s="19" t="s">
        <v>468</v>
      </c>
      <c r="N40" s="79">
        <v>643.87</v>
      </c>
      <c r="O40" s="40"/>
      <c r="P40" s="90" t="s">
        <v>149</v>
      </c>
      <c r="Q40" s="40">
        <v>220006</v>
      </c>
      <c r="R40" s="223"/>
      <c r="S40" s="116" t="str">
        <f t="shared" si="5"/>
        <v>Yes</v>
      </c>
    </row>
    <row r="41" spans="1:19" ht="21.75" customHeight="1" x14ac:dyDescent="0.2">
      <c r="A41" s="14"/>
      <c r="B41" s="126"/>
      <c r="C41" s="24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7"/>
      <c r="Q41" s="40"/>
      <c r="R41" s="224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89"/>
      <c r="N42" s="80"/>
      <c r="O42" s="41"/>
      <c r="P42" s="24"/>
      <c r="Q42" s="41"/>
      <c r="R42" s="225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Q43" s="103"/>
      <c r="R43" s="103"/>
    </row>
    <row r="44" spans="1:19" ht="21.75" customHeight="1" x14ac:dyDescent="0.2">
      <c r="A44" s="8" t="s">
        <v>651</v>
      </c>
      <c r="B44" s="118"/>
      <c r="F44" s="138"/>
      <c r="I44" s="8" t="s">
        <v>13</v>
      </c>
      <c r="J44" s="118"/>
      <c r="O44" s="241" t="s">
        <v>14</v>
      </c>
      <c r="P44" s="6"/>
      <c r="Q44" s="241" t="s">
        <v>14</v>
      </c>
      <c r="R44" s="42"/>
    </row>
    <row r="45" spans="1:19" ht="21.75" customHeight="1" x14ac:dyDescent="0.2">
      <c r="B45" s="118"/>
      <c r="F45" s="138"/>
      <c r="J45" s="118"/>
      <c r="P45" s="6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0</v>
      </c>
      <c r="B47" s="118"/>
      <c r="C47" s="9"/>
      <c r="D47" s="255">
        <f>'DEPT BAL'!$C$4-1</f>
        <v>43064</v>
      </c>
      <c r="E47" s="255"/>
      <c r="F47" s="138"/>
      <c r="I47" s="8" t="s">
        <v>7</v>
      </c>
      <c r="J47" s="118"/>
      <c r="L47" s="252">
        <f>D47+1</f>
        <v>43065</v>
      </c>
      <c r="M47" s="252"/>
      <c r="P47" s="6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420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51</v>
      </c>
      <c r="B49" s="120" t="s">
        <v>206</v>
      </c>
      <c r="C49" s="11" t="s">
        <v>228</v>
      </c>
      <c r="D49" s="25" t="s">
        <v>178</v>
      </c>
      <c r="E49" s="39">
        <v>221136</v>
      </c>
      <c r="F49" s="134"/>
      <c r="G49" s="202" t="s">
        <v>578</v>
      </c>
      <c r="H49" s="174" t="str">
        <f t="shared" ref="H49:H56" si="6">$I$46</f>
        <v>MA</v>
      </c>
      <c r="I49" s="10" t="s">
        <v>470</v>
      </c>
      <c r="J49" s="120" t="s">
        <v>471</v>
      </c>
      <c r="K49" s="209" t="s">
        <v>274</v>
      </c>
      <c r="L49" s="11" t="s">
        <v>59</v>
      </c>
      <c r="M49" s="13" t="s">
        <v>472</v>
      </c>
      <c r="N49" s="78">
        <v>586.15</v>
      </c>
      <c r="O49" s="40"/>
      <c r="P49" s="193" t="s">
        <v>149</v>
      </c>
      <c r="Q49" s="40">
        <v>221137</v>
      </c>
      <c r="R49" s="189" t="s">
        <v>633</v>
      </c>
      <c r="S49" s="115" t="str">
        <f t="shared" ref="S49:S56" si="7">IF(N49&gt;0,"Yes","")</f>
        <v>Yes</v>
      </c>
    </row>
    <row r="50" spans="1:19" ht="21.75" customHeight="1" x14ac:dyDescent="0.2">
      <c r="A50" s="14" t="s">
        <v>36</v>
      </c>
      <c r="B50" s="126" t="s">
        <v>186</v>
      </c>
      <c r="C50" s="245" t="s">
        <v>228</v>
      </c>
      <c r="D50" s="18" t="s">
        <v>324</v>
      </c>
      <c r="E50" s="40">
        <v>221137</v>
      </c>
      <c r="F50" s="135"/>
      <c r="G50" s="189" t="s">
        <v>633</v>
      </c>
      <c r="H50" s="174" t="str">
        <f t="shared" si="6"/>
        <v>MA</v>
      </c>
      <c r="I50" s="14" t="s">
        <v>473</v>
      </c>
      <c r="J50" s="121" t="s">
        <v>474</v>
      </c>
      <c r="K50" s="140" t="s">
        <v>294</v>
      </c>
      <c r="L50" s="240" t="s">
        <v>56</v>
      </c>
      <c r="M50" s="19" t="s">
        <v>475</v>
      </c>
      <c r="N50" s="79">
        <v>471.21</v>
      </c>
      <c r="O50" s="40"/>
      <c r="P50" s="17" t="s">
        <v>149</v>
      </c>
      <c r="Q50" s="40" t="s">
        <v>653</v>
      </c>
      <c r="R50" s="223" t="s">
        <v>563</v>
      </c>
      <c r="S50" s="116" t="str">
        <f t="shared" si="7"/>
        <v>Yes</v>
      </c>
    </row>
    <row r="51" spans="1:19" ht="21.75" customHeight="1" x14ac:dyDescent="0.2">
      <c r="A51" s="14" t="s">
        <v>40</v>
      </c>
      <c r="B51" s="126" t="s">
        <v>187</v>
      </c>
      <c r="C51" s="29" t="s">
        <v>228</v>
      </c>
      <c r="D51" s="71" t="s">
        <v>376</v>
      </c>
      <c r="E51" s="40">
        <v>220015</v>
      </c>
      <c r="F51" s="154"/>
      <c r="G51" s="90"/>
      <c r="H51" s="174" t="str">
        <f t="shared" si="6"/>
        <v>MA</v>
      </c>
      <c r="I51" s="14" t="s">
        <v>476</v>
      </c>
      <c r="J51" s="181"/>
      <c r="K51" s="210"/>
      <c r="L51" s="240" t="s">
        <v>56</v>
      </c>
      <c r="M51" s="19" t="s">
        <v>475</v>
      </c>
      <c r="N51" s="79">
        <v>471.21</v>
      </c>
      <c r="O51" s="40"/>
      <c r="P51" s="242" t="s">
        <v>149</v>
      </c>
      <c r="Q51" s="40">
        <v>221135</v>
      </c>
      <c r="R51" s="223" t="s">
        <v>563</v>
      </c>
      <c r="S51" s="116" t="str">
        <f t="shared" si="7"/>
        <v>Yes</v>
      </c>
    </row>
    <row r="52" spans="1:19" ht="21.75" customHeight="1" x14ac:dyDescent="0.2">
      <c r="A52" s="14" t="s">
        <v>33</v>
      </c>
      <c r="B52" s="126" t="s">
        <v>189</v>
      </c>
      <c r="C52" s="245" t="s">
        <v>228</v>
      </c>
      <c r="D52" s="18" t="s">
        <v>254</v>
      </c>
      <c r="E52" s="40">
        <v>221135</v>
      </c>
      <c r="F52" s="154"/>
      <c r="G52" s="189" t="s">
        <v>563</v>
      </c>
      <c r="H52" s="174" t="str">
        <f t="shared" si="6"/>
        <v>MA</v>
      </c>
      <c r="I52" s="14" t="s">
        <v>477</v>
      </c>
      <c r="J52" s="121" t="s">
        <v>478</v>
      </c>
      <c r="K52" s="140" t="s">
        <v>353</v>
      </c>
      <c r="L52" s="240" t="s">
        <v>56</v>
      </c>
      <c r="M52" s="19" t="s">
        <v>479</v>
      </c>
      <c r="N52" s="79">
        <v>471.21</v>
      </c>
      <c r="O52" s="40"/>
      <c r="P52" s="17" t="s">
        <v>149</v>
      </c>
      <c r="Q52" s="40" t="s">
        <v>654</v>
      </c>
      <c r="R52" s="223" t="s">
        <v>578</v>
      </c>
      <c r="S52" s="116" t="str">
        <f t="shared" si="7"/>
        <v>Yes</v>
      </c>
    </row>
    <row r="53" spans="1:19" ht="21.75" customHeight="1" x14ac:dyDescent="0.2">
      <c r="A53" s="14" t="s">
        <v>65</v>
      </c>
      <c r="B53" s="126" t="s">
        <v>190</v>
      </c>
      <c r="C53" s="70" t="s">
        <v>228</v>
      </c>
      <c r="D53" s="18" t="s">
        <v>302</v>
      </c>
      <c r="E53" s="40">
        <v>221140</v>
      </c>
      <c r="F53" s="135"/>
      <c r="G53" s="246" t="s">
        <v>563</v>
      </c>
      <c r="H53" s="174" t="str">
        <f t="shared" si="6"/>
        <v>MA</v>
      </c>
      <c r="I53" s="14" t="s">
        <v>480</v>
      </c>
      <c r="J53" s="181"/>
      <c r="K53" s="199"/>
      <c r="L53" s="240" t="s">
        <v>56</v>
      </c>
      <c r="M53" s="19" t="s">
        <v>479</v>
      </c>
      <c r="N53" s="98">
        <v>471.21</v>
      </c>
      <c r="O53" s="40"/>
      <c r="P53" s="17" t="s">
        <v>149</v>
      </c>
      <c r="Q53" s="40">
        <v>220015</v>
      </c>
      <c r="R53" s="223"/>
      <c r="S53" s="116" t="str">
        <f t="shared" si="7"/>
        <v>Yes</v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0"/>
      <c r="K54" s="154"/>
      <c r="L54" s="81"/>
      <c r="M54" s="94"/>
      <c r="N54" s="99"/>
      <c r="O54" s="69"/>
      <c r="P54" s="243"/>
      <c r="Q54" s="69"/>
      <c r="R54" s="224"/>
      <c r="S54" s="116" t="str">
        <f t="shared" si="7"/>
        <v/>
      </c>
    </row>
    <row r="55" spans="1:19" ht="21.75" customHeight="1" x14ac:dyDescent="0.2">
      <c r="A55" s="14"/>
      <c r="B55" s="126"/>
      <c r="C55" s="30"/>
      <c r="D55" s="31"/>
      <c r="E55" s="69"/>
      <c r="F55" s="140"/>
      <c r="G55" s="90"/>
      <c r="H55" s="174" t="str">
        <f t="shared" si="6"/>
        <v>MA</v>
      </c>
      <c r="I55" s="14"/>
      <c r="J55" s="180"/>
      <c r="K55" s="154"/>
      <c r="L55" s="81"/>
      <c r="M55" s="94"/>
      <c r="N55" s="99"/>
      <c r="O55" s="69"/>
      <c r="P55" s="187"/>
      <c r="Q55" s="69"/>
      <c r="R55" s="224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88"/>
      <c r="E56" s="41"/>
      <c r="F56" s="136"/>
      <c r="G56" s="24"/>
      <c r="H56" s="174" t="str">
        <f t="shared" si="6"/>
        <v>MA</v>
      </c>
      <c r="I56" s="131"/>
      <c r="J56" s="132"/>
      <c r="K56" s="212"/>
      <c r="L56" s="133"/>
      <c r="M56" s="150"/>
      <c r="N56" s="151"/>
      <c r="O56" s="41"/>
      <c r="P56" s="24"/>
      <c r="Q56" s="41"/>
      <c r="R56" s="225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Q57" s="103"/>
      <c r="R57" s="103"/>
    </row>
    <row r="58" spans="1:19" ht="21.75" customHeight="1" x14ac:dyDescent="0.2">
      <c r="A58" s="8" t="s">
        <v>651</v>
      </c>
      <c r="B58" s="118"/>
      <c r="F58" s="138"/>
      <c r="I58" s="8" t="s">
        <v>13</v>
      </c>
      <c r="J58" s="118"/>
      <c r="O58" s="241" t="s">
        <v>14</v>
      </c>
      <c r="P58" s="6"/>
      <c r="Q58" s="241" t="s">
        <v>14</v>
      </c>
      <c r="R58" s="42"/>
    </row>
    <row r="59" spans="1:19" ht="21.75" customHeight="1" x14ac:dyDescent="0.2">
      <c r="A59" s="84"/>
      <c r="B59" s="118"/>
      <c r="F59" s="138"/>
      <c r="J59" s="118"/>
      <c r="P59" s="6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0</v>
      </c>
      <c r="B61" s="118"/>
      <c r="C61" s="9"/>
      <c r="D61" s="255">
        <f>'DEPT BAL'!$C$4-1</f>
        <v>43064</v>
      </c>
      <c r="E61" s="255"/>
      <c r="F61" s="138"/>
      <c r="I61" s="8" t="s">
        <v>7</v>
      </c>
      <c r="J61" s="118"/>
      <c r="L61" s="252">
        <f>D61+1</f>
        <v>43065</v>
      </c>
      <c r="M61" s="252"/>
      <c r="P61" s="6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420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164</v>
      </c>
      <c r="B63" s="120" t="s">
        <v>177</v>
      </c>
      <c r="C63" s="11" t="s">
        <v>225</v>
      </c>
      <c r="D63" s="25" t="s">
        <v>362</v>
      </c>
      <c r="E63" s="39" t="s">
        <v>567</v>
      </c>
      <c r="F63" s="134"/>
      <c r="G63" s="107"/>
      <c r="H63" s="174" t="str">
        <f>$I$60</f>
        <v>CZ</v>
      </c>
      <c r="I63" s="10" t="s">
        <v>481</v>
      </c>
      <c r="J63" s="120" t="s">
        <v>482</v>
      </c>
      <c r="K63" s="209" t="s">
        <v>352</v>
      </c>
      <c r="L63" s="11" t="s">
        <v>55</v>
      </c>
      <c r="M63" s="13" t="s">
        <v>483</v>
      </c>
      <c r="N63" s="78">
        <v>470.81</v>
      </c>
      <c r="O63" s="39"/>
      <c r="P63" s="12" t="s">
        <v>149</v>
      </c>
      <c r="Q63" s="40">
        <v>221131</v>
      </c>
      <c r="R63" s="90" t="s">
        <v>618</v>
      </c>
      <c r="S63" s="115" t="str">
        <f>IF(N63&gt;0,"Yes","")</f>
        <v>Yes</v>
      </c>
    </row>
    <row r="64" spans="1:19" ht="21.75" customHeight="1" x14ac:dyDescent="0.2">
      <c r="A64" s="14" t="s">
        <v>390</v>
      </c>
      <c r="B64" s="126" t="s">
        <v>419</v>
      </c>
      <c r="C64" s="32" t="s">
        <v>436</v>
      </c>
      <c r="D64" s="71" t="s">
        <v>435</v>
      </c>
      <c r="E64" s="40">
        <v>220020</v>
      </c>
      <c r="F64" s="135" t="s">
        <v>630</v>
      </c>
      <c r="G64" s="189" t="s">
        <v>629</v>
      </c>
      <c r="H64" s="174" t="str">
        <f t="shared" ref="H64:H85" si="8">$I$60</f>
        <v>CZ</v>
      </c>
      <c r="I64" s="14" t="s">
        <v>484</v>
      </c>
      <c r="J64" s="122"/>
      <c r="K64" s="214"/>
      <c r="L64" s="240" t="s">
        <v>55</v>
      </c>
      <c r="M64" s="19" t="s">
        <v>483</v>
      </c>
      <c r="N64" s="79">
        <v>470.81</v>
      </c>
      <c r="O64" s="40"/>
      <c r="P64" s="17" t="s">
        <v>149</v>
      </c>
      <c r="Q64" s="40"/>
      <c r="R64" s="224"/>
      <c r="S64" s="116" t="str">
        <f>IF(N64&gt;0,"Yes","")</f>
        <v>Yes</v>
      </c>
    </row>
    <row r="65" spans="1:19" ht="21.75" customHeight="1" x14ac:dyDescent="0.2">
      <c r="A65" s="14" t="s">
        <v>147</v>
      </c>
      <c r="B65" s="126" t="s">
        <v>214</v>
      </c>
      <c r="C65" s="245" t="s">
        <v>225</v>
      </c>
      <c r="D65" s="18" t="s">
        <v>343</v>
      </c>
      <c r="E65" s="40">
        <v>220030</v>
      </c>
      <c r="F65" s="135" t="s">
        <v>593</v>
      </c>
      <c r="G65" s="183" t="s">
        <v>574</v>
      </c>
      <c r="H65" s="174" t="str">
        <f t="shared" si="8"/>
        <v>CZ</v>
      </c>
      <c r="I65" s="14" t="s">
        <v>485</v>
      </c>
      <c r="J65" s="181"/>
      <c r="K65" s="210"/>
      <c r="L65" s="70" t="s">
        <v>59</v>
      </c>
      <c r="M65" s="19" t="s">
        <v>486</v>
      </c>
      <c r="N65" s="79">
        <v>525.28</v>
      </c>
      <c r="O65" s="40"/>
      <c r="P65" s="17" t="s">
        <v>149</v>
      </c>
      <c r="Q65" s="40"/>
      <c r="R65" s="223"/>
      <c r="S65" s="116" t="str">
        <f t="shared" ref="S65:S88" si="9">IF(N65&gt;0,"Yes","")</f>
        <v>Yes</v>
      </c>
    </row>
    <row r="66" spans="1:19" ht="21.75" customHeight="1" x14ac:dyDescent="0.2">
      <c r="A66" s="68" t="s">
        <v>37</v>
      </c>
      <c r="B66" s="121" t="s">
        <v>179</v>
      </c>
      <c r="C66" s="245" t="s">
        <v>225</v>
      </c>
      <c r="D66" s="18" t="s">
        <v>339</v>
      </c>
      <c r="E66" s="40">
        <v>220032</v>
      </c>
      <c r="F66" s="135"/>
      <c r="G66" s="189" t="s">
        <v>569</v>
      </c>
      <c r="H66" s="174" t="str">
        <f t="shared" si="8"/>
        <v>CZ</v>
      </c>
      <c r="I66" s="14" t="s">
        <v>487</v>
      </c>
      <c r="J66" s="121" t="s">
        <v>488</v>
      </c>
      <c r="K66" s="140" t="s">
        <v>417</v>
      </c>
      <c r="L66" s="70" t="s">
        <v>56</v>
      </c>
      <c r="M66" s="19" t="s">
        <v>489</v>
      </c>
      <c r="N66" s="79">
        <v>667.12</v>
      </c>
      <c r="O66" s="40"/>
      <c r="P66" s="17" t="s">
        <v>149</v>
      </c>
      <c r="Q66" s="40">
        <v>220022</v>
      </c>
      <c r="R66" s="17" t="s">
        <v>582</v>
      </c>
      <c r="S66" s="116" t="str">
        <f t="shared" si="9"/>
        <v>Yes</v>
      </c>
    </row>
    <row r="67" spans="1:19" ht="21.75" customHeight="1" x14ac:dyDescent="0.2">
      <c r="A67" s="68" t="s">
        <v>34</v>
      </c>
      <c r="B67" s="181"/>
      <c r="C67" s="30" t="s">
        <v>225</v>
      </c>
      <c r="D67" s="18" t="s">
        <v>339</v>
      </c>
      <c r="E67" s="40">
        <v>220023</v>
      </c>
      <c r="F67" s="135" t="s">
        <v>593</v>
      </c>
      <c r="G67" s="17" t="s">
        <v>576</v>
      </c>
      <c r="H67" s="174" t="str">
        <f t="shared" si="8"/>
        <v>CZ</v>
      </c>
      <c r="I67" s="14" t="s">
        <v>490</v>
      </c>
      <c r="J67" s="181"/>
      <c r="K67" s="210"/>
      <c r="L67" s="70" t="s">
        <v>56</v>
      </c>
      <c r="M67" s="19" t="s">
        <v>489</v>
      </c>
      <c r="N67" s="79">
        <v>667.12</v>
      </c>
      <c r="O67" s="40"/>
      <c r="P67" s="17" t="s">
        <v>149</v>
      </c>
      <c r="Q67" s="40">
        <v>221129</v>
      </c>
      <c r="R67" s="40" t="s">
        <v>583</v>
      </c>
      <c r="S67" s="116" t="str">
        <f t="shared" si="9"/>
        <v>Yes</v>
      </c>
    </row>
    <row r="68" spans="1:19" ht="21.75" customHeight="1" x14ac:dyDescent="0.2">
      <c r="A68" s="68" t="s">
        <v>45</v>
      </c>
      <c r="B68" s="121" t="s">
        <v>235</v>
      </c>
      <c r="C68" s="32" t="s">
        <v>225</v>
      </c>
      <c r="D68" s="18" t="s">
        <v>389</v>
      </c>
      <c r="E68" s="40">
        <v>220028</v>
      </c>
      <c r="F68" s="135" t="s">
        <v>593</v>
      </c>
      <c r="G68" s="17" t="s">
        <v>628</v>
      </c>
      <c r="H68" s="174" t="str">
        <f t="shared" si="8"/>
        <v>CZ</v>
      </c>
      <c r="I68" s="14" t="s">
        <v>491</v>
      </c>
      <c r="J68" s="121" t="s">
        <v>492</v>
      </c>
      <c r="K68" s="140" t="s">
        <v>493</v>
      </c>
      <c r="L68" s="240" t="s">
        <v>59</v>
      </c>
      <c r="M68" s="19" t="s">
        <v>412</v>
      </c>
      <c r="N68" s="79">
        <v>780.66</v>
      </c>
      <c r="O68" s="40"/>
      <c r="P68" s="17" t="s">
        <v>149</v>
      </c>
      <c r="Q68" s="40">
        <v>220013</v>
      </c>
      <c r="R68" s="90" t="s">
        <v>615</v>
      </c>
      <c r="S68" s="116" t="str">
        <f t="shared" si="9"/>
        <v>Yes</v>
      </c>
    </row>
    <row r="69" spans="1:19" ht="21.75" customHeight="1" x14ac:dyDescent="0.2">
      <c r="A69" s="68" t="s">
        <v>25</v>
      </c>
      <c r="B69" s="181"/>
      <c r="C69" s="245" t="s">
        <v>225</v>
      </c>
      <c r="D69" s="18" t="s">
        <v>389</v>
      </c>
      <c r="E69" s="40">
        <v>221131</v>
      </c>
      <c r="F69" s="135" t="s">
        <v>571</v>
      </c>
      <c r="G69" s="246" t="s">
        <v>618</v>
      </c>
      <c r="H69" s="174" t="str">
        <f t="shared" si="8"/>
        <v>CZ</v>
      </c>
      <c r="I69" s="163" t="s">
        <v>494</v>
      </c>
      <c r="J69" s="181"/>
      <c r="K69" s="210"/>
      <c r="L69" s="240" t="s">
        <v>59</v>
      </c>
      <c r="M69" s="19" t="s">
        <v>412</v>
      </c>
      <c r="N69" s="79">
        <v>780.66</v>
      </c>
      <c r="O69" s="40"/>
      <c r="P69" s="17" t="s">
        <v>149</v>
      </c>
      <c r="Q69" s="40"/>
      <c r="R69" s="223"/>
      <c r="S69" s="116" t="str">
        <f t="shared" si="9"/>
        <v>Yes</v>
      </c>
    </row>
    <row r="70" spans="1:19" ht="21.75" customHeight="1" x14ac:dyDescent="0.2">
      <c r="A70" s="68" t="s">
        <v>103</v>
      </c>
      <c r="B70" s="126" t="s">
        <v>437</v>
      </c>
      <c r="C70" s="245" t="s">
        <v>436</v>
      </c>
      <c r="D70" s="18" t="s">
        <v>428</v>
      </c>
      <c r="E70" s="40">
        <v>221132</v>
      </c>
      <c r="F70" s="135"/>
      <c r="G70" s="90" t="s">
        <v>575</v>
      </c>
      <c r="H70" s="174" t="str">
        <f t="shared" si="8"/>
        <v>CZ</v>
      </c>
      <c r="I70" s="68" t="s">
        <v>495</v>
      </c>
      <c r="J70" s="126" t="s">
        <v>409</v>
      </c>
      <c r="K70" s="135" t="s">
        <v>306</v>
      </c>
      <c r="L70" s="30" t="s">
        <v>56</v>
      </c>
      <c r="M70" s="35" t="s">
        <v>410</v>
      </c>
      <c r="N70" s="97">
        <v>52.3</v>
      </c>
      <c r="O70" s="40"/>
      <c r="P70" s="17"/>
      <c r="Q70" s="40"/>
      <c r="R70" s="224" t="s">
        <v>652</v>
      </c>
      <c r="S70" s="116" t="str">
        <f t="shared" si="9"/>
        <v>Yes</v>
      </c>
    </row>
    <row r="71" spans="1:19" ht="21.75" customHeight="1" x14ac:dyDescent="0.2">
      <c r="A71" s="68" t="s">
        <v>50</v>
      </c>
      <c r="B71" s="121" t="s">
        <v>180</v>
      </c>
      <c r="C71" s="245" t="s">
        <v>225</v>
      </c>
      <c r="D71" s="18" t="s">
        <v>346</v>
      </c>
      <c r="E71" s="40">
        <v>220022</v>
      </c>
      <c r="F71" s="135"/>
      <c r="G71" s="189" t="s">
        <v>582</v>
      </c>
      <c r="H71" s="174" t="str">
        <f t="shared" si="8"/>
        <v>CZ</v>
      </c>
      <c r="I71" s="68" t="s">
        <v>496</v>
      </c>
      <c r="J71" s="121" t="s">
        <v>497</v>
      </c>
      <c r="K71" s="140" t="s">
        <v>498</v>
      </c>
      <c r="L71" s="30" t="s">
        <v>62</v>
      </c>
      <c r="M71" s="35" t="s">
        <v>499</v>
      </c>
      <c r="N71" s="97">
        <v>734.03</v>
      </c>
      <c r="O71" s="40"/>
      <c r="P71" s="17" t="s">
        <v>149</v>
      </c>
      <c r="Q71" s="40"/>
      <c r="R71" s="224"/>
      <c r="S71" s="116" t="str">
        <f t="shared" si="9"/>
        <v>Yes</v>
      </c>
    </row>
    <row r="72" spans="1:19" ht="21.75" customHeight="1" x14ac:dyDescent="0.2">
      <c r="A72" s="68" t="s">
        <v>48</v>
      </c>
      <c r="B72" s="181"/>
      <c r="C72" s="245" t="s">
        <v>225</v>
      </c>
      <c r="D72" s="18" t="s">
        <v>346</v>
      </c>
      <c r="E72" s="40">
        <v>220024</v>
      </c>
      <c r="F72" s="135"/>
      <c r="G72" s="17"/>
      <c r="H72" s="174" t="str">
        <f t="shared" si="8"/>
        <v>CZ</v>
      </c>
      <c r="I72" s="68" t="s">
        <v>500</v>
      </c>
      <c r="J72" s="181"/>
      <c r="K72" s="210"/>
      <c r="L72" s="30" t="s">
        <v>62</v>
      </c>
      <c r="M72" s="35" t="s">
        <v>499</v>
      </c>
      <c r="N72" s="97">
        <v>734.03</v>
      </c>
      <c r="O72" s="40"/>
      <c r="P72" s="17" t="s">
        <v>149</v>
      </c>
      <c r="Q72" s="40">
        <v>221132</v>
      </c>
      <c r="R72" s="224" t="s">
        <v>575</v>
      </c>
      <c r="S72" s="116" t="str">
        <f t="shared" si="9"/>
        <v>Yes</v>
      </c>
    </row>
    <row r="73" spans="1:19" ht="21.75" customHeight="1" x14ac:dyDescent="0.2">
      <c r="A73" s="68" t="s">
        <v>90</v>
      </c>
      <c r="B73" s="121" t="s">
        <v>181</v>
      </c>
      <c r="C73" s="245" t="s">
        <v>225</v>
      </c>
      <c r="D73" s="18" t="s">
        <v>313</v>
      </c>
      <c r="E73" s="40">
        <v>220034</v>
      </c>
      <c r="F73" s="135"/>
      <c r="G73" s="17"/>
      <c r="H73" s="174" t="str">
        <f t="shared" si="8"/>
        <v>CZ</v>
      </c>
      <c r="I73" s="68" t="s">
        <v>501</v>
      </c>
      <c r="J73" s="121" t="s">
        <v>219</v>
      </c>
      <c r="K73" s="140" t="s">
        <v>307</v>
      </c>
      <c r="L73" s="30" t="s">
        <v>55</v>
      </c>
      <c r="M73" s="35" t="s">
        <v>502</v>
      </c>
      <c r="N73" s="97">
        <v>471.21</v>
      </c>
      <c r="O73" s="40"/>
      <c r="P73" s="17" t="s">
        <v>149</v>
      </c>
      <c r="Q73" s="40"/>
      <c r="R73" s="224"/>
      <c r="S73" s="116" t="str">
        <f t="shared" si="9"/>
        <v>Yes</v>
      </c>
    </row>
    <row r="74" spans="1:19" ht="21.75" customHeight="1" x14ac:dyDescent="0.2">
      <c r="A74" s="14" t="s">
        <v>148</v>
      </c>
      <c r="B74" s="181"/>
      <c r="C74" s="30" t="s">
        <v>225</v>
      </c>
      <c r="D74" s="18" t="s">
        <v>313</v>
      </c>
      <c r="E74" s="40">
        <v>220026</v>
      </c>
      <c r="F74" s="135"/>
      <c r="G74" s="189"/>
      <c r="H74" s="174" t="str">
        <f t="shared" si="8"/>
        <v>CZ</v>
      </c>
      <c r="I74" s="68" t="s">
        <v>503</v>
      </c>
      <c r="J74" s="122"/>
      <c r="K74" s="214"/>
      <c r="L74" s="30" t="s">
        <v>55</v>
      </c>
      <c r="M74" s="35" t="s">
        <v>502</v>
      </c>
      <c r="N74" s="97">
        <v>471.21</v>
      </c>
      <c r="O74" s="40"/>
      <c r="P74" s="17" t="s">
        <v>149</v>
      </c>
      <c r="Q74" s="40"/>
      <c r="R74" s="224"/>
      <c r="S74" s="116" t="str">
        <f t="shared" si="9"/>
        <v>Yes</v>
      </c>
    </row>
    <row r="75" spans="1:19" ht="21.75" customHeight="1" x14ac:dyDescent="0.2">
      <c r="A75" s="68" t="s">
        <v>24</v>
      </c>
      <c r="B75" s="121" t="s">
        <v>350</v>
      </c>
      <c r="C75" s="32" t="s">
        <v>225</v>
      </c>
      <c r="D75" s="71" t="s">
        <v>416</v>
      </c>
      <c r="E75" s="40">
        <v>221134</v>
      </c>
      <c r="F75" s="135"/>
      <c r="G75" s="17"/>
      <c r="H75" s="174" t="str">
        <f t="shared" si="8"/>
        <v>CZ</v>
      </c>
      <c r="I75" s="68" t="s">
        <v>504</v>
      </c>
      <c r="J75" s="181"/>
      <c r="K75" s="210"/>
      <c r="L75" s="240" t="s">
        <v>60</v>
      </c>
      <c r="M75" s="19" t="s">
        <v>505</v>
      </c>
      <c r="N75" s="79">
        <v>198.42</v>
      </c>
      <c r="O75" s="40"/>
      <c r="P75" s="242"/>
      <c r="Q75" s="40">
        <v>220032</v>
      </c>
      <c r="R75" s="223" t="s">
        <v>569</v>
      </c>
      <c r="S75" s="116" t="str">
        <f t="shared" si="9"/>
        <v>Yes</v>
      </c>
    </row>
    <row r="76" spans="1:19" ht="21.75" customHeight="1" x14ac:dyDescent="0.2">
      <c r="A76" s="68" t="s">
        <v>21</v>
      </c>
      <c r="B76" s="181"/>
      <c r="C76" s="245" t="s">
        <v>225</v>
      </c>
      <c r="D76" s="31" t="s">
        <v>416</v>
      </c>
      <c r="E76" s="40">
        <v>221129</v>
      </c>
      <c r="F76" s="140"/>
      <c r="G76" s="246" t="s">
        <v>583</v>
      </c>
      <c r="H76" s="174" t="str">
        <f t="shared" si="8"/>
        <v>CZ</v>
      </c>
      <c r="I76" s="68" t="s">
        <v>506</v>
      </c>
      <c r="J76" s="126" t="s">
        <v>507</v>
      </c>
      <c r="K76" s="135" t="s">
        <v>508</v>
      </c>
      <c r="L76" s="240" t="s">
        <v>57</v>
      </c>
      <c r="M76" s="19" t="s">
        <v>509</v>
      </c>
      <c r="N76" s="79">
        <v>551.51</v>
      </c>
      <c r="O76" s="40"/>
      <c r="P76" s="90" t="s">
        <v>149</v>
      </c>
      <c r="Q76" s="40"/>
      <c r="R76" s="224"/>
      <c r="S76" s="116" t="str">
        <f t="shared" si="9"/>
        <v>Yes</v>
      </c>
    </row>
    <row r="77" spans="1:19" ht="21.75" customHeight="1" x14ac:dyDescent="0.2">
      <c r="A77" s="68" t="s">
        <v>107</v>
      </c>
      <c r="B77" s="121" t="s">
        <v>205</v>
      </c>
      <c r="C77" s="245" t="s">
        <v>225</v>
      </c>
      <c r="D77" s="31" t="s">
        <v>311</v>
      </c>
      <c r="E77" s="40">
        <v>220013</v>
      </c>
      <c r="F77" s="140"/>
      <c r="G77" s="17" t="s">
        <v>634</v>
      </c>
      <c r="H77" s="174" t="str">
        <f t="shared" si="8"/>
        <v>CZ</v>
      </c>
      <c r="I77" s="14" t="s">
        <v>510</v>
      </c>
      <c r="J77" s="126" t="s">
        <v>511</v>
      </c>
      <c r="K77" s="135" t="s">
        <v>512</v>
      </c>
      <c r="L77" s="240" t="s">
        <v>62</v>
      </c>
      <c r="M77" s="19" t="s">
        <v>513</v>
      </c>
      <c r="N77" s="79">
        <v>374.75</v>
      </c>
      <c r="O77" s="40"/>
      <c r="P77" s="17" t="s">
        <v>149</v>
      </c>
      <c r="Q77" s="40"/>
      <c r="R77" s="224"/>
      <c r="S77" s="116" t="str">
        <f t="shared" si="9"/>
        <v>Yes</v>
      </c>
    </row>
    <row r="78" spans="1:19" ht="21.75" customHeight="1" x14ac:dyDescent="0.2">
      <c r="A78" s="68" t="s">
        <v>46</v>
      </c>
      <c r="B78" s="181"/>
      <c r="C78" s="245" t="s">
        <v>438</v>
      </c>
      <c r="D78" s="31" t="s">
        <v>311</v>
      </c>
      <c r="E78" s="40">
        <v>221124</v>
      </c>
      <c r="F78" s="140" t="s">
        <v>588</v>
      </c>
      <c r="G78" s="17"/>
      <c r="H78" s="174" t="str">
        <f t="shared" si="8"/>
        <v>CZ</v>
      </c>
      <c r="I78" s="95" t="s">
        <v>514</v>
      </c>
      <c r="J78" s="126" t="s">
        <v>515</v>
      </c>
      <c r="K78" s="135" t="s">
        <v>516</v>
      </c>
      <c r="L78" s="30" t="s">
        <v>59</v>
      </c>
      <c r="M78" s="35" t="s">
        <v>486</v>
      </c>
      <c r="N78" s="99">
        <v>330.12</v>
      </c>
      <c r="O78" s="40"/>
      <c r="P78" s="17" t="s">
        <v>149</v>
      </c>
      <c r="Q78" s="40">
        <v>220020</v>
      </c>
      <c r="R78" s="223" t="s">
        <v>613</v>
      </c>
      <c r="S78" s="116" t="str">
        <f t="shared" si="9"/>
        <v>Yes</v>
      </c>
    </row>
    <row r="79" spans="1:19" ht="21.75" customHeight="1" x14ac:dyDescent="0.2">
      <c r="A79" s="14"/>
      <c r="B79" s="126"/>
      <c r="C79" s="245"/>
      <c r="D79" s="31"/>
      <c r="E79" s="40"/>
      <c r="F79" s="140"/>
      <c r="G79" s="185"/>
      <c r="H79" s="174" t="str">
        <f t="shared" si="8"/>
        <v>CZ</v>
      </c>
      <c r="I79" s="95"/>
      <c r="J79" s="126"/>
      <c r="K79" s="135"/>
      <c r="L79" s="30"/>
      <c r="M79" s="35"/>
      <c r="N79" s="97"/>
      <c r="O79" s="40"/>
      <c r="P79" s="17"/>
      <c r="Q79" s="40"/>
      <c r="R79" s="224"/>
      <c r="S79" s="116" t="str">
        <f t="shared" si="9"/>
        <v/>
      </c>
    </row>
    <row r="80" spans="1:19" ht="21.75" customHeight="1" x14ac:dyDescent="0.2">
      <c r="A80" s="14"/>
      <c r="B80" s="126"/>
      <c r="C80" s="245"/>
      <c r="D80" s="31"/>
      <c r="E80" s="40"/>
      <c r="F80" s="140"/>
      <c r="G80" s="17"/>
      <c r="H80" s="174" t="str">
        <f t="shared" si="8"/>
        <v>CZ</v>
      </c>
      <c r="I80" s="163"/>
      <c r="J80" s="126"/>
      <c r="K80" s="135"/>
      <c r="L80" s="30"/>
      <c r="M80" s="35"/>
      <c r="N80" s="99"/>
      <c r="O80" s="40"/>
      <c r="P80" s="17"/>
      <c r="Q80" s="40"/>
      <c r="R80" s="224"/>
      <c r="S80" s="116" t="str">
        <f t="shared" si="9"/>
        <v/>
      </c>
    </row>
    <row r="81" spans="1:19" ht="21.75" customHeight="1" x14ac:dyDescent="0.2">
      <c r="A81" s="95"/>
      <c r="B81" s="126"/>
      <c r="C81" s="245"/>
      <c r="D81" s="31"/>
      <c r="E81" s="69"/>
      <c r="F81" s="140"/>
      <c r="G81" s="17"/>
      <c r="H81" s="174" t="str">
        <f t="shared" si="8"/>
        <v>CZ</v>
      </c>
      <c r="I81" s="95"/>
      <c r="J81" s="126"/>
      <c r="K81" s="135"/>
      <c r="L81" s="30"/>
      <c r="M81" s="35"/>
      <c r="N81" s="99"/>
      <c r="O81" s="69"/>
      <c r="P81" s="187"/>
      <c r="Q81" s="69"/>
      <c r="R81" s="224"/>
      <c r="S81" s="116" t="str">
        <f t="shared" si="9"/>
        <v/>
      </c>
    </row>
    <row r="82" spans="1:19" ht="21.75" customHeight="1" x14ac:dyDescent="0.2">
      <c r="A82" s="95"/>
      <c r="B82" s="126"/>
      <c r="C82" s="245"/>
      <c r="D82" s="31"/>
      <c r="E82" s="40"/>
      <c r="F82" s="141"/>
      <c r="G82" s="189"/>
      <c r="H82" s="174" t="str">
        <f t="shared" si="8"/>
        <v>CZ</v>
      </c>
      <c r="I82" s="95"/>
      <c r="J82" s="126"/>
      <c r="K82" s="135"/>
      <c r="L82" s="30"/>
      <c r="M82" s="35"/>
      <c r="N82" s="97"/>
      <c r="O82" s="69"/>
      <c r="P82" s="187"/>
      <c r="Q82" s="69"/>
      <c r="R82" s="224"/>
      <c r="S82" s="116" t="str">
        <f t="shared" si="9"/>
        <v/>
      </c>
    </row>
    <row r="83" spans="1:19" ht="21.75" customHeight="1" x14ac:dyDescent="0.2">
      <c r="A83" s="95"/>
      <c r="B83" s="126"/>
      <c r="C83" s="245"/>
      <c r="D83" s="31"/>
      <c r="E83" s="69">
        <v>220010</v>
      </c>
      <c r="F83" s="141"/>
      <c r="G83" s="189" t="s">
        <v>619</v>
      </c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87"/>
      <c r="Q83" s="69"/>
      <c r="R83" s="224"/>
      <c r="S83" s="116" t="str">
        <f t="shared" si="9"/>
        <v/>
      </c>
    </row>
    <row r="84" spans="1:19" ht="21.75" customHeight="1" x14ac:dyDescent="0.2">
      <c r="A84" s="188"/>
      <c r="B84" s="126"/>
      <c r="C84" s="30"/>
      <c r="D84" s="31"/>
      <c r="E84" s="40">
        <v>220011</v>
      </c>
      <c r="F84" s="140"/>
      <c r="G84" s="189" t="s">
        <v>620</v>
      </c>
      <c r="H84" s="174" t="str">
        <f t="shared" si="8"/>
        <v>CZ</v>
      </c>
      <c r="I84" s="188"/>
      <c r="J84" s="126"/>
      <c r="K84" s="135"/>
      <c r="L84" s="30"/>
      <c r="M84" s="35"/>
      <c r="N84" s="97"/>
      <c r="O84" s="69"/>
      <c r="P84" s="187"/>
      <c r="Q84" s="69"/>
      <c r="R84" s="224"/>
      <c r="S84" s="116" t="str">
        <f t="shared" si="9"/>
        <v/>
      </c>
    </row>
    <row r="85" spans="1:19" ht="21.75" customHeight="1" x14ac:dyDescent="0.2">
      <c r="A85" s="95"/>
      <c r="B85" s="126"/>
      <c r="C85" s="245"/>
      <c r="D85" s="31"/>
      <c r="E85" s="40">
        <v>221123</v>
      </c>
      <c r="F85" s="141"/>
      <c r="G85" s="189" t="s">
        <v>612</v>
      </c>
      <c r="H85" s="174" t="str">
        <f t="shared" si="8"/>
        <v>CZ</v>
      </c>
      <c r="I85" s="14"/>
      <c r="J85" s="240"/>
      <c r="K85" s="126"/>
      <c r="L85" s="240"/>
      <c r="M85" s="240"/>
      <c r="N85" s="240"/>
      <c r="O85" s="40"/>
      <c r="P85" s="187"/>
      <c r="Q85" s="40"/>
      <c r="R85" s="227"/>
      <c r="S85" s="116" t="str">
        <f t="shared" si="9"/>
        <v/>
      </c>
    </row>
    <row r="86" spans="1:19" ht="21.75" customHeight="1" x14ac:dyDescent="0.2">
      <c r="A86" s="95"/>
      <c r="B86" s="126"/>
      <c r="C86" s="245"/>
      <c r="D86" s="31"/>
      <c r="E86" s="69">
        <v>221125</v>
      </c>
      <c r="F86" s="140" t="s">
        <v>632</v>
      </c>
      <c r="G86" s="189" t="s">
        <v>603</v>
      </c>
      <c r="I86" s="95"/>
      <c r="J86" s="126"/>
      <c r="K86" s="135"/>
      <c r="L86" s="30"/>
      <c r="M86" s="35"/>
      <c r="N86" s="97"/>
      <c r="O86" s="69"/>
      <c r="P86" s="187"/>
      <c r="Q86" s="69"/>
      <c r="R86" s="224"/>
      <c r="S86" s="116" t="str">
        <f t="shared" si="9"/>
        <v/>
      </c>
    </row>
    <row r="87" spans="1:19" ht="21.75" customHeight="1" x14ac:dyDescent="0.2">
      <c r="A87" s="95"/>
      <c r="B87" s="126"/>
      <c r="C87" s="245"/>
      <c r="D87" s="31"/>
      <c r="E87" s="40">
        <v>221126</v>
      </c>
      <c r="F87" s="141"/>
      <c r="G87" s="189" t="s">
        <v>577</v>
      </c>
      <c r="I87" s="95"/>
      <c r="J87" s="126"/>
      <c r="K87" s="135"/>
      <c r="L87" s="30"/>
      <c r="M87" s="35"/>
      <c r="N87" s="97"/>
      <c r="O87" s="40"/>
      <c r="P87" s="187"/>
      <c r="Q87" s="40"/>
      <c r="R87" s="224"/>
      <c r="S87" s="116" t="str">
        <f t="shared" si="9"/>
        <v/>
      </c>
    </row>
    <row r="88" spans="1:19" ht="21.75" customHeight="1" x14ac:dyDescent="0.2">
      <c r="A88" s="95"/>
      <c r="B88" s="126"/>
      <c r="C88" s="245"/>
      <c r="D88" s="31"/>
      <c r="E88" s="85">
        <v>221133</v>
      </c>
      <c r="F88" s="141"/>
      <c r="G88" s="246" t="s">
        <v>587</v>
      </c>
      <c r="I88" s="95"/>
      <c r="J88" s="126"/>
      <c r="K88" s="135"/>
      <c r="L88" s="30"/>
      <c r="M88" s="35"/>
      <c r="N88" s="97"/>
      <c r="O88" s="85"/>
      <c r="P88" s="187"/>
      <c r="Q88" s="85"/>
      <c r="R88" s="224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I89" s="20"/>
      <c r="J89" s="123"/>
      <c r="K89" s="136"/>
      <c r="L89" s="21"/>
      <c r="M89" s="89"/>
      <c r="N89" s="80"/>
      <c r="O89" s="41"/>
      <c r="P89" s="24"/>
      <c r="Q89" s="41"/>
      <c r="R89" s="225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Q90" s="103"/>
      <c r="R90" s="103"/>
    </row>
    <row r="91" spans="1:19" ht="21.75" customHeight="1" x14ac:dyDescent="0.2">
      <c r="A91" s="8" t="s">
        <v>651</v>
      </c>
      <c r="B91" s="118"/>
      <c r="F91" s="138"/>
      <c r="I91" s="8" t="s">
        <v>13</v>
      </c>
      <c r="J91" s="118"/>
      <c r="O91" s="241" t="s">
        <v>14</v>
      </c>
      <c r="P91" s="6"/>
      <c r="Q91" s="241" t="s">
        <v>14</v>
      </c>
      <c r="R91" s="42"/>
    </row>
    <row r="92" spans="1:19" ht="21.75" customHeight="1" x14ac:dyDescent="0.2">
      <c r="B92" s="118"/>
      <c r="F92" s="138"/>
      <c r="J92" s="118"/>
      <c r="P92" s="6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0</v>
      </c>
      <c r="B94" s="118"/>
      <c r="C94" s="9"/>
      <c r="D94" s="255">
        <f>'DEPT BAL'!$C$4-1</f>
        <v>43064</v>
      </c>
      <c r="E94" s="255"/>
      <c r="F94" s="138"/>
      <c r="I94" s="8" t="s">
        <v>7</v>
      </c>
      <c r="J94" s="118"/>
      <c r="L94" s="252">
        <f>D94+1</f>
        <v>43065</v>
      </c>
      <c r="M94" s="252"/>
      <c r="P94" s="6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420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23</v>
      </c>
      <c r="B96" s="120" t="s">
        <v>387</v>
      </c>
      <c r="C96" s="11" t="s">
        <v>349</v>
      </c>
      <c r="D96" s="25" t="s">
        <v>432</v>
      </c>
      <c r="E96" s="39">
        <v>221139</v>
      </c>
      <c r="F96" s="134"/>
      <c r="G96" s="12"/>
      <c r="H96" s="174" t="str">
        <f>$I$93</f>
        <v>BK</v>
      </c>
      <c r="I96" s="10" t="s">
        <v>517</v>
      </c>
      <c r="J96" s="120" t="s">
        <v>518</v>
      </c>
      <c r="K96" s="209" t="s">
        <v>274</v>
      </c>
      <c r="L96" s="11" t="s">
        <v>57</v>
      </c>
      <c r="M96" s="13" t="s">
        <v>519</v>
      </c>
      <c r="N96" s="78">
        <v>617.76</v>
      </c>
      <c r="O96" s="40"/>
      <c r="P96" s="12" t="s">
        <v>149</v>
      </c>
      <c r="Q96" s="40">
        <v>220033</v>
      </c>
      <c r="R96" s="222" t="s">
        <v>642</v>
      </c>
      <c r="S96" s="115" t="str">
        <f t="shared" ref="S96:S103" si="10">IF(N96&gt;0,"Yes","")</f>
        <v>Yes</v>
      </c>
    </row>
    <row r="97" spans="1:19" ht="21.75" customHeight="1" x14ac:dyDescent="0.2">
      <c r="A97" s="14" t="s">
        <v>42</v>
      </c>
      <c r="B97" s="126" t="s">
        <v>176</v>
      </c>
      <c r="C97" s="245" t="s">
        <v>224</v>
      </c>
      <c r="D97" s="18" t="s">
        <v>296</v>
      </c>
      <c r="E97" s="40">
        <v>220033</v>
      </c>
      <c r="F97" s="135"/>
      <c r="G97" s="17" t="s">
        <v>642</v>
      </c>
      <c r="H97" s="174" t="str">
        <f t="shared" ref="H97:H103" si="11">$I$93</f>
        <v>BK</v>
      </c>
      <c r="I97" s="14" t="s">
        <v>520</v>
      </c>
      <c r="J97" s="181"/>
      <c r="K97" s="210"/>
      <c r="L97" s="240" t="s">
        <v>57</v>
      </c>
      <c r="M97" s="19" t="s">
        <v>509</v>
      </c>
      <c r="N97" s="79">
        <v>619.41999999999996</v>
      </c>
      <c r="O97" s="40"/>
      <c r="P97" s="17" t="s">
        <v>149</v>
      </c>
      <c r="Q97" s="40">
        <v>221139</v>
      </c>
      <c r="R97" s="224"/>
      <c r="S97" s="116" t="str">
        <f t="shared" si="10"/>
        <v>Yes</v>
      </c>
    </row>
    <row r="98" spans="1:19" ht="21.75" customHeight="1" x14ac:dyDescent="0.2">
      <c r="A98" s="14" t="s">
        <v>88</v>
      </c>
      <c r="B98" s="126" t="s">
        <v>370</v>
      </c>
      <c r="C98" s="245" t="s">
        <v>224</v>
      </c>
      <c r="D98" s="18" t="s">
        <v>427</v>
      </c>
      <c r="E98" s="40">
        <v>220002</v>
      </c>
      <c r="F98" s="135"/>
      <c r="G98" s="17"/>
      <c r="H98" s="174" t="str">
        <f t="shared" si="11"/>
        <v>BK</v>
      </c>
      <c r="I98" s="14" t="s">
        <v>521</v>
      </c>
      <c r="J98" s="126" t="s">
        <v>522</v>
      </c>
      <c r="K98" s="135" t="s">
        <v>441</v>
      </c>
      <c r="L98" s="240" t="s">
        <v>62</v>
      </c>
      <c r="M98" s="19" t="s">
        <v>523</v>
      </c>
      <c r="N98" s="79">
        <v>591.98</v>
      </c>
      <c r="O98" s="40"/>
      <c r="P98" s="17" t="s">
        <v>149</v>
      </c>
      <c r="Q98" s="40">
        <v>220002</v>
      </c>
      <c r="R98" s="223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234</v>
      </c>
      <c r="C99" s="245" t="s">
        <v>224</v>
      </c>
      <c r="D99" s="71" t="s">
        <v>424</v>
      </c>
      <c r="E99" s="40">
        <v>221121</v>
      </c>
      <c r="F99" s="135"/>
      <c r="G99" s="246"/>
      <c r="H99" s="174" t="str">
        <f t="shared" si="11"/>
        <v>BK</v>
      </c>
      <c r="I99" s="14" t="s">
        <v>524</v>
      </c>
      <c r="J99" s="121" t="s">
        <v>525</v>
      </c>
      <c r="K99" s="140" t="s">
        <v>442</v>
      </c>
      <c r="L99" s="240" t="s">
        <v>62</v>
      </c>
      <c r="M99" s="19" t="s">
        <v>513</v>
      </c>
      <c r="N99" s="79">
        <v>441.37</v>
      </c>
      <c r="O99" s="40"/>
      <c r="P99" s="17" t="s">
        <v>149</v>
      </c>
      <c r="Q99" s="40">
        <v>221121</v>
      </c>
      <c r="R99" s="223"/>
      <c r="S99" s="116" t="str">
        <f t="shared" si="10"/>
        <v>Yes</v>
      </c>
    </row>
    <row r="100" spans="1:19" ht="21.75" customHeight="1" x14ac:dyDescent="0.2">
      <c r="A100" s="14"/>
      <c r="B100" s="126"/>
      <c r="C100" s="245"/>
      <c r="D100" s="18"/>
      <c r="E100" s="40"/>
      <c r="F100" s="135"/>
      <c r="G100" s="17"/>
      <c r="H100" s="174" t="str">
        <f t="shared" si="11"/>
        <v>BK</v>
      </c>
      <c r="I100" s="14"/>
      <c r="J100" s="126"/>
      <c r="K100" s="135"/>
      <c r="L100" s="240"/>
      <c r="M100" s="19"/>
      <c r="N100" s="79"/>
      <c r="O100" s="40"/>
      <c r="P100" s="17"/>
      <c r="Q100" s="40"/>
      <c r="R100" s="223"/>
      <c r="S100" s="116" t="str">
        <f t="shared" si="10"/>
        <v/>
      </c>
    </row>
    <row r="101" spans="1:19" ht="21.75" customHeight="1" x14ac:dyDescent="0.2">
      <c r="A101" s="14"/>
      <c r="B101" s="126"/>
      <c r="C101" s="245"/>
      <c r="D101" s="18"/>
      <c r="E101" s="40"/>
      <c r="F101" s="135"/>
      <c r="G101" s="17"/>
      <c r="H101" s="174" t="str">
        <f t="shared" si="11"/>
        <v>BK</v>
      </c>
      <c r="I101" s="14"/>
      <c r="J101" s="126"/>
      <c r="K101" s="135"/>
      <c r="L101" s="30"/>
      <c r="M101" s="35"/>
      <c r="N101" s="97"/>
      <c r="O101" s="40"/>
      <c r="P101" s="17"/>
      <c r="Q101" s="40"/>
      <c r="R101" s="224"/>
      <c r="S101" s="116" t="str">
        <f t="shared" si="10"/>
        <v/>
      </c>
    </row>
    <row r="102" spans="1:19" ht="21.75" customHeight="1" x14ac:dyDescent="0.2">
      <c r="A102" s="95"/>
      <c r="B102" s="126"/>
      <c r="C102" s="24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5"/>
      <c r="N102" s="97"/>
      <c r="O102" s="40"/>
      <c r="P102" s="17"/>
      <c r="Q102" s="40"/>
      <c r="R102" s="224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52"/>
      <c r="K103" s="136"/>
      <c r="L103" s="21"/>
      <c r="M103" s="89"/>
      <c r="N103" s="80"/>
      <c r="O103" s="41"/>
      <c r="P103" s="24"/>
      <c r="Q103" s="41"/>
      <c r="R103" s="225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Q104" s="103"/>
      <c r="R104" s="103"/>
    </row>
    <row r="105" spans="1:19" ht="21.75" customHeight="1" x14ac:dyDescent="0.2">
      <c r="A105" s="8" t="s">
        <v>651</v>
      </c>
      <c r="B105" s="118"/>
      <c r="F105" s="138"/>
      <c r="I105" s="8" t="s">
        <v>13</v>
      </c>
      <c r="J105" s="118"/>
      <c r="O105" s="241" t="s">
        <v>14</v>
      </c>
      <c r="P105" s="6"/>
      <c r="Q105" s="241" t="s">
        <v>14</v>
      </c>
      <c r="R105" s="42"/>
    </row>
    <row r="106" spans="1:19" ht="21.75" customHeight="1" x14ac:dyDescent="0.2">
      <c r="B106" s="118"/>
      <c r="F106" s="138"/>
      <c r="J106" s="118"/>
      <c r="P106" s="6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0</v>
      </c>
      <c r="B108" s="118"/>
      <c r="C108" s="9"/>
      <c r="D108" s="255">
        <f>'DEPT BAL'!$C$4-1</f>
        <v>43064</v>
      </c>
      <c r="E108" s="255"/>
      <c r="F108" s="138"/>
      <c r="I108" s="8" t="s">
        <v>7</v>
      </c>
      <c r="J108" s="118"/>
      <c r="L108" s="252">
        <f>D108+1</f>
        <v>43065</v>
      </c>
      <c r="M108" s="252"/>
      <c r="P108" s="6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420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30</v>
      </c>
      <c r="B110" s="120" t="s">
        <v>239</v>
      </c>
      <c r="C110" s="11" t="s">
        <v>133</v>
      </c>
      <c r="D110" s="25" t="s">
        <v>384</v>
      </c>
      <c r="E110" s="39">
        <v>221127</v>
      </c>
      <c r="F110" s="134" t="s">
        <v>606</v>
      </c>
      <c r="G110" s="12"/>
      <c r="H110" s="174" t="str">
        <f>$I$107</f>
        <v>LA</v>
      </c>
      <c r="I110" s="10" t="s">
        <v>526</v>
      </c>
      <c r="J110" s="120" t="s">
        <v>527</v>
      </c>
      <c r="K110" s="209" t="s">
        <v>306</v>
      </c>
      <c r="L110" s="240" t="s">
        <v>57</v>
      </c>
      <c r="M110" s="19" t="s">
        <v>519</v>
      </c>
      <c r="N110" s="79">
        <v>594.28</v>
      </c>
      <c r="O110" s="39"/>
      <c r="P110" s="17" t="s">
        <v>149</v>
      </c>
      <c r="Q110" s="40">
        <v>221122</v>
      </c>
      <c r="R110" s="224" t="s">
        <v>599</v>
      </c>
      <c r="S110" s="115" t="str">
        <f>IF(N110&gt;0,"Yes","")</f>
        <v>Yes</v>
      </c>
    </row>
    <row r="111" spans="1:19" ht="21.75" customHeight="1" x14ac:dyDescent="0.2">
      <c r="A111" s="169" t="s">
        <v>38</v>
      </c>
      <c r="B111" s="121" t="s">
        <v>241</v>
      </c>
      <c r="C111" s="30" t="s">
        <v>133</v>
      </c>
      <c r="D111" s="31" t="s">
        <v>426</v>
      </c>
      <c r="E111" s="40">
        <v>220005</v>
      </c>
      <c r="F111" s="165" t="s">
        <v>606</v>
      </c>
      <c r="G111" s="17"/>
      <c r="H111" s="174" t="str">
        <f t="shared" ref="H111:H119" si="12">$I$107</f>
        <v>LA</v>
      </c>
      <c r="I111" s="95" t="s">
        <v>528</v>
      </c>
      <c r="J111" s="126" t="s">
        <v>529</v>
      </c>
      <c r="K111" s="135" t="s">
        <v>530</v>
      </c>
      <c r="L111" s="30" t="s">
        <v>62</v>
      </c>
      <c r="M111" s="35" t="s">
        <v>523</v>
      </c>
      <c r="N111" s="97">
        <v>568.5</v>
      </c>
      <c r="O111" s="40"/>
      <c r="P111" s="17" t="s">
        <v>149</v>
      </c>
      <c r="Q111" s="40">
        <v>221127</v>
      </c>
      <c r="R111" s="224"/>
      <c r="S111" s="116" t="str">
        <f>IF(N111&gt;0,"Yes","")</f>
        <v>Yes</v>
      </c>
    </row>
    <row r="112" spans="1:19" ht="21.75" customHeight="1" x14ac:dyDescent="0.2">
      <c r="A112" s="14" t="s">
        <v>22</v>
      </c>
      <c r="B112" s="181"/>
      <c r="C112" s="30" t="s">
        <v>133</v>
      </c>
      <c r="D112" s="18" t="s">
        <v>426</v>
      </c>
      <c r="E112" s="40">
        <v>221138</v>
      </c>
      <c r="F112" s="135"/>
      <c r="G112" s="17" t="s">
        <v>639</v>
      </c>
      <c r="H112" s="174" t="str">
        <f t="shared" si="12"/>
        <v>LA</v>
      </c>
      <c r="I112" s="14" t="s">
        <v>542</v>
      </c>
      <c r="J112" s="180"/>
      <c r="K112" s="154"/>
      <c r="L112" s="81"/>
      <c r="M112" s="94"/>
      <c r="N112" s="99"/>
      <c r="O112" s="40"/>
      <c r="P112" s="17"/>
      <c r="Q112" s="40">
        <v>221138</v>
      </c>
      <c r="R112" s="224" t="s">
        <v>639</v>
      </c>
      <c r="S112" s="116" t="str">
        <f t="shared" ref="S112:S118" si="13">IF(N112&gt;0,"Yes","")</f>
        <v/>
      </c>
    </row>
    <row r="113" spans="1:19" ht="21.75" customHeight="1" x14ac:dyDescent="0.2">
      <c r="A113" s="14" t="s">
        <v>105</v>
      </c>
      <c r="B113" s="121" t="s">
        <v>242</v>
      </c>
      <c r="C113" s="32" t="s">
        <v>133</v>
      </c>
      <c r="D113" s="18" t="s">
        <v>386</v>
      </c>
      <c r="E113" s="40">
        <v>221122</v>
      </c>
      <c r="F113" s="135" t="s">
        <v>606</v>
      </c>
      <c r="G113" s="246" t="s">
        <v>598</v>
      </c>
      <c r="H113" s="174" t="str">
        <f t="shared" si="12"/>
        <v>LA</v>
      </c>
      <c r="I113" s="14" t="s">
        <v>541</v>
      </c>
      <c r="J113" s="126"/>
      <c r="K113" s="135"/>
      <c r="L113" s="30"/>
      <c r="M113" s="35"/>
      <c r="N113" s="97"/>
      <c r="O113" s="40"/>
      <c r="P113" s="17"/>
      <c r="Q113" s="40">
        <v>220005</v>
      </c>
      <c r="R113" s="224"/>
      <c r="S113" s="116" t="str">
        <f t="shared" si="13"/>
        <v/>
      </c>
    </row>
    <row r="114" spans="1:19" ht="21.75" customHeight="1" x14ac:dyDescent="0.2">
      <c r="A114" s="14" t="s">
        <v>64</v>
      </c>
      <c r="B114" s="181"/>
      <c r="C114" s="245" t="s">
        <v>133</v>
      </c>
      <c r="D114" s="18" t="s">
        <v>386</v>
      </c>
      <c r="E114" s="40">
        <v>220001</v>
      </c>
      <c r="F114" s="135"/>
      <c r="G114" s="17" t="s">
        <v>618</v>
      </c>
      <c r="H114" s="174" t="str">
        <f t="shared" si="12"/>
        <v>LA</v>
      </c>
      <c r="I114" s="14" t="s">
        <v>541</v>
      </c>
      <c r="J114" s="126"/>
      <c r="K114" s="135"/>
      <c r="L114" s="30"/>
      <c r="M114" s="35"/>
      <c r="N114" s="97"/>
      <c r="O114" s="40"/>
      <c r="P114" s="17"/>
      <c r="Q114" s="40">
        <v>220001</v>
      </c>
      <c r="R114" s="224" t="s">
        <v>618</v>
      </c>
      <c r="S114" s="116" t="str">
        <f t="shared" si="13"/>
        <v/>
      </c>
    </row>
    <row r="115" spans="1:19" ht="21.75" customHeight="1" x14ac:dyDescent="0.2">
      <c r="A115" s="14"/>
      <c r="B115" s="126"/>
      <c r="C115" s="245"/>
      <c r="D115" s="18"/>
      <c r="E115" s="40"/>
      <c r="F115" s="166"/>
      <c r="G115" s="96"/>
      <c r="H115" s="174" t="str">
        <f t="shared" si="12"/>
        <v>LA</v>
      </c>
      <c r="I115" s="148"/>
      <c r="J115" s="180"/>
      <c r="K115" s="154"/>
      <c r="L115" s="29"/>
      <c r="M115" s="77"/>
      <c r="N115" s="98"/>
      <c r="O115" s="40"/>
      <c r="P115" s="187"/>
      <c r="Q115" s="40"/>
      <c r="R115" s="223"/>
      <c r="S115" s="116" t="str">
        <f t="shared" si="13"/>
        <v/>
      </c>
    </row>
    <row r="116" spans="1:19" ht="21.75" customHeight="1" x14ac:dyDescent="0.2">
      <c r="A116" s="178"/>
      <c r="B116" s="126"/>
      <c r="C116" s="245"/>
      <c r="D116" s="18"/>
      <c r="E116" s="40"/>
      <c r="F116" s="135"/>
      <c r="G116" s="173"/>
      <c r="H116" s="174" t="str">
        <f t="shared" si="12"/>
        <v>LA</v>
      </c>
      <c r="I116" s="244"/>
      <c r="J116" s="180"/>
      <c r="K116" s="154"/>
      <c r="L116" s="29"/>
      <c r="M116" s="77"/>
      <c r="N116" s="98"/>
      <c r="O116" s="40"/>
      <c r="P116" s="187"/>
      <c r="Q116" s="40"/>
      <c r="R116" s="228"/>
      <c r="S116" s="116" t="str">
        <f t="shared" si="13"/>
        <v/>
      </c>
    </row>
    <row r="117" spans="1:19" ht="21.75" customHeight="1" x14ac:dyDescent="0.2">
      <c r="A117" s="95"/>
      <c r="B117" s="126"/>
      <c r="C117" s="245"/>
      <c r="D117" s="18"/>
      <c r="E117" s="40"/>
      <c r="F117" s="166"/>
      <c r="G117" s="17"/>
      <c r="H117" s="174" t="str">
        <f t="shared" si="12"/>
        <v>LA</v>
      </c>
      <c r="I117" s="95"/>
      <c r="J117" s="126"/>
      <c r="K117" s="135"/>
      <c r="L117" s="32"/>
      <c r="M117" s="36"/>
      <c r="N117" s="168"/>
      <c r="O117" s="40"/>
      <c r="P117" s="187"/>
      <c r="Q117" s="40"/>
      <c r="R117" s="229"/>
      <c r="S117" s="116" t="str">
        <f t="shared" si="13"/>
        <v/>
      </c>
    </row>
    <row r="118" spans="1:19" ht="21.75" customHeight="1" x14ac:dyDescent="0.2">
      <c r="A118" s="14"/>
      <c r="B118" s="126"/>
      <c r="C118" s="245"/>
      <c r="D118" s="18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5"/>
      <c r="N118" s="97"/>
      <c r="O118" s="40"/>
      <c r="P118" s="187"/>
      <c r="Q118" s="40"/>
      <c r="R118" s="224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89"/>
      <c r="N119" s="80"/>
      <c r="O119" s="41"/>
      <c r="P119" s="24"/>
      <c r="Q119" s="41"/>
      <c r="R119" s="225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Q120" s="103"/>
      <c r="R120" s="103"/>
    </row>
    <row r="121" spans="1:19" ht="21.75" customHeight="1" x14ac:dyDescent="0.2">
      <c r="A121" s="8" t="s">
        <v>651</v>
      </c>
      <c r="B121" s="118"/>
      <c r="F121" s="138"/>
      <c r="I121" s="8" t="s">
        <v>13</v>
      </c>
      <c r="J121" s="118"/>
      <c r="O121" s="241" t="s">
        <v>14</v>
      </c>
      <c r="P121" s="6"/>
      <c r="Q121" s="241" t="s">
        <v>14</v>
      </c>
      <c r="R121" s="42"/>
    </row>
    <row r="122" spans="1:19" ht="21.75" customHeight="1" x14ac:dyDescent="0.2">
      <c r="B122" s="118"/>
      <c r="F122" s="138"/>
      <c r="J122" s="118"/>
      <c r="P122" s="6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0</v>
      </c>
      <c r="B124" s="118"/>
      <c r="C124" s="9"/>
      <c r="D124" s="255">
        <f>'DEPT BAL'!$C$4-1</f>
        <v>43064</v>
      </c>
      <c r="E124" s="255"/>
      <c r="F124" s="138"/>
      <c r="I124" s="8" t="s">
        <v>7</v>
      </c>
      <c r="J124" s="118"/>
      <c r="L124" s="252">
        <f>D124+1</f>
        <v>43065</v>
      </c>
      <c r="M124" s="252"/>
      <c r="P124" s="6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420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4" t="s">
        <v>29</v>
      </c>
      <c r="B126" s="121" t="s">
        <v>301</v>
      </c>
      <c r="C126" s="15" t="s">
        <v>320</v>
      </c>
      <c r="D126" s="18" t="s">
        <v>327</v>
      </c>
      <c r="E126" s="39">
        <v>220014</v>
      </c>
      <c r="F126" s="135"/>
      <c r="G126" s="12"/>
      <c r="H126" s="174" t="str">
        <f>$I$123</f>
        <v>PZ</v>
      </c>
      <c r="I126" s="14" t="s">
        <v>542</v>
      </c>
      <c r="J126" s="121"/>
      <c r="K126" s="140"/>
      <c r="L126" s="240"/>
      <c r="M126" s="19"/>
      <c r="N126" s="79"/>
      <c r="O126" s="39"/>
      <c r="P126" s="12"/>
      <c r="Q126" s="39">
        <v>220014</v>
      </c>
      <c r="R126" s="229"/>
      <c r="S126" s="115" t="str">
        <f>IF(N126&gt;0,"Yes","")</f>
        <v/>
      </c>
    </row>
    <row r="127" spans="1:19" ht="21.75" customHeight="1" x14ac:dyDescent="0.2">
      <c r="A127" s="14" t="s">
        <v>85</v>
      </c>
      <c r="B127" s="126" t="s">
        <v>243</v>
      </c>
      <c r="C127" s="15" t="s">
        <v>320</v>
      </c>
      <c r="D127" s="18" t="s">
        <v>287</v>
      </c>
      <c r="E127" s="40">
        <v>220027</v>
      </c>
      <c r="F127" s="135"/>
      <c r="G127" s="17"/>
      <c r="H127" s="174" t="str">
        <f>$I$123</f>
        <v>PZ</v>
      </c>
      <c r="I127" s="14" t="s">
        <v>541</v>
      </c>
      <c r="J127" s="126"/>
      <c r="K127" s="135"/>
      <c r="L127" s="240"/>
      <c r="M127" s="19"/>
      <c r="N127" s="79"/>
      <c r="O127" s="40"/>
      <c r="P127" s="17"/>
      <c r="Q127" s="40">
        <v>220027</v>
      </c>
      <c r="R127" s="223"/>
      <c r="S127" s="116" t="str">
        <f>IF(N127&gt;0,"Yes","")</f>
        <v/>
      </c>
    </row>
    <row r="128" spans="1:19" ht="21.75" customHeight="1" x14ac:dyDescent="0.2">
      <c r="A128" s="14"/>
      <c r="B128" s="126"/>
      <c r="C128" s="15"/>
      <c r="D128" s="16"/>
      <c r="E128" s="40"/>
      <c r="F128" s="135"/>
      <c r="G128" s="17"/>
      <c r="H128" s="174" t="str">
        <f>$I$123</f>
        <v>PZ</v>
      </c>
      <c r="I128" s="148"/>
      <c r="J128" s="180"/>
      <c r="K128" s="154"/>
      <c r="L128" s="29"/>
      <c r="M128" s="77"/>
      <c r="N128" s="98"/>
      <c r="O128" s="40"/>
      <c r="P128" s="17"/>
      <c r="Q128" s="40"/>
      <c r="R128" s="223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8"/>
      <c r="J129" s="180"/>
      <c r="K129" s="154"/>
      <c r="L129" s="29"/>
      <c r="M129" s="77"/>
      <c r="N129" s="98"/>
      <c r="O129" s="40"/>
      <c r="P129" s="17"/>
      <c r="Q129" s="40"/>
      <c r="R129" s="223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24"/>
      <c r="Q130" s="41"/>
      <c r="R130" s="225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Q131" s="103"/>
      <c r="R131" s="103"/>
    </row>
    <row r="132" spans="1:19" ht="21.75" customHeight="1" x14ac:dyDescent="0.2">
      <c r="A132" s="8" t="s">
        <v>651</v>
      </c>
      <c r="B132" s="118"/>
      <c r="F132" s="138"/>
      <c r="I132" s="8" t="s">
        <v>13</v>
      </c>
      <c r="J132" s="118"/>
      <c r="O132" s="241" t="s">
        <v>14</v>
      </c>
      <c r="P132" s="6"/>
      <c r="Q132" s="241" t="s">
        <v>14</v>
      </c>
      <c r="R132" s="42"/>
    </row>
    <row r="133" spans="1:19" ht="21.75" customHeight="1" x14ac:dyDescent="0.2">
      <c r="B133" s="118"/>
      <c r="F133" s="138"/>
      <c r="J133" s="118"/>
      <c r="P133" s="6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0</v>
      </c>
      <c r="B135" s="118"/>
      <c r="C135" s="9"/>
      <c r="D135" s="255">
        <f>'DEPT BAL'!$C$4-1</f>
        <v>43064</v>
      </c>
      <c r="E135" s="255"/>
      <c r="F135" s="138"/>
      <c r="I135" s="8" t="s">
        <v>7</v>
      </c>
      <c r="J135" s="118"/>
      <c r="L135" s="252">
        <f>D135+1</f>
        <v>43065</v>
      </c>
      <c r="M135" s="252"/>
      <c r="P135" s="6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420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0" t="s">
        <v>332</v>
      </c>
      <c r="C137" s="34" t="s">
        <v>208</v>
      </c>
      <c r="D137" s="25" t="s">
        <v>431</v>
      </c>
      <c r="E137" s="39">
        <v>220031</v>
      </c>
      <c r="F137" s="134"/>
      <c r="G137" s="284"/>
      <c r="H137" s="174" t="str">
        <f>$I$134</f>
        <v>EH</v>
      </c>
      <c r="I137" s="10" t="s">
        <v>531</v>
      </c>
      <c r="J137" s="120" t="s">
        <v>532</v>
      </c>
      <c r="K137" s="209" t="s">
        <v>439</v>
      </c>
      <c r="L137" s="11" t="s">
        <v>56</v>
      </c>
      <c r="M137" s="13" t="s">
        <v>533</v>
      </c>
      <c r="N137" s="78">
        <v>527.08000000000004</v>
      </c>
      <c r="O137" s="40"/>
      <c r="P137" s="12" t="s">
        <v>149</v>
      </c>
      <c r="Q137" s="40">
        <v>221141</v>
      </c>
      <c r="R137" s="246" t="s">
        <v>614</v>
      </c>
      <c r="S137" s="115" t="str">
        <f>IF(N137&gt;0,"Yes","")</f>
        <v>Yes</v>
      </c>
    </row>
    <row r="138" spans="1:19" ht="21.75" customHeight="1" x14ac:dyDescent="0.2">
      <c r="A138" s="14" t="s">
        <v>86</v>
      </c>
      <c r="B138" s="126" t="s">
        <v>236</v>
      </c>
      <c r="C138" s="245" t="s">
        <v>226</v>
      </c>
      <c r="D138" s="18" t="s">
        <v>401</v>
      </c>
      <c r="E138" s="40">
        <v>221141</v>
      </c>
      <c r="F138" s="135"/>
      <c r="G138" s="246" t="s">
        <v>614</v>
      </c>
      <c r="H138" s="174" t="str">
        <f t="shared" ref="H138:H145" si="14">$I$134</f>
        <v>EH</v>
      </c>
      <c r="I138" s="14" t="s">
        <v>534</v>
      </c>
      <c r="J138" s="181"/>
      <c r="K138" s="210"/>
      <c r="L138" s="240" t="s">
        <v>56</v>
      </c>
      <c r="M138" s="19" t="s">
        <v>533</v>
      </c>
      <c r="N138" s="79">
        <v>527.08000000000004</v>
      </c>
      <c r="O138" s="40"/>
      <c r="P138" s="17" t="s">
        <v>149</v>
      </c>
      <c r="Q138" s="40">
        <v>220031</v>
      </c>
      <c r="R138" s="224"/>
      <c r="S138" s="116" t="str">
        <f>IF(N138&gt;0,"Yes","")</f>
        <v>Yes</v>
      </c>
    </row>
    <row r="139" spans="1:19" ht="21.75" customHeight="1" x14ac:dyDescent="0.2">
      <c r="A139" s="14" t="s">
        <v>27</v>
      </c>
      <c r="B139" s="121" t="s">
        <v>237</v>
      </c>
      <c r="C139" s="245" t="s">
        <v>226</v>
      </c>
      <c r="D139" s="18" t="s">
        <v>132</v>
      </c>
      <c r="E139" s="40">
        <v>220018</v>
      </c>
      <c r="F139" s="135"/>
      <c r="G139" s="246" t="s">
        <v>596</v>
      </c>
      <c r="H139" s="174" t="str">
        <f t="shared" si="14"/>
        <v>EH</v>
      </c>
      <c r="I139" s="14" t="s">
        <v>535</v>
      </c>
      <c r="J139" s="121" t="s">
        <v>536</v>
      </c>
      <c r="K139" s="140" t="s">
        <v>399</v>
      </c>
      <c r="L139" s="240" t="s">
        <v>56</v>
      </c>
      <c r="M139" s="19" t="s">
        <v>537</v>
      </c>
      <c r="N139" s="79">
        <v>527.08000000000004</v>
      </c>
      <c r="O139" s="40"/>
      <c r="P139" s="17" t="s">
        <v>149</v>
      </c>
      <c r="Q139" s="40">
        <v>220018</v>
      </c>
      <c r="R139" s="224" t="s">
        <v>596</v>
      </c>
      <c r="S139" s="116" t="str">
        <f t="shared" ref="S139:S144" si="15">IF(N139&gt;0,"Yes","")</f>
        <v>Yes</v>
      </c>
    </row>
    <row r="140" spans="1:19" ht="21.75" customHeight="1" x14ac:dyDescent="0.2">
      <c r="A140" s="14" t="s">
        <v>52</v>
      </c>
      <c r="B140" s="181"/>
      <c r="C140" s="30" t="s">
        <v>226</v>
      </c>
      <c r="D140" s="18" t="s">
        <v>132</v>
      </c>
      <c r="E140" s="40">
        <v>220029</v>
      </c>
      <c r="F140" s="135"/>
      <c r="G140" s="17"/>
      <c r="H140" s="174" t="str">
        <f t="shared" si="14"/>
        <v>EH</v>
      </c>
      <c r="I140" s="14" t="s">
        <v>538</v>
      </c>
      <c r="J140" s="181"/>
      <c r="K140" s="210"/>
      <c r="L140" s="240" t="s">
        <v>56</v>
      </c>
      <c r="M140" s="19" t="s">
        <v>537</v>
      </c>
      <c r="N140" s="79">
        <v>527.08000000000004</v>
      </c>
      <c r="O140" s="40"/>
      <c r="P140" s="17" t="s">
        <v>149</v>
      </c>
      <c r="Q140" s="40">
        <v>220029</v>
      </c>
      <c r="R140" s="223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334</v>
      </c>
      <c r="C141" s="32" t="s">
        <v>227</v>
      </c>
      <c r="D141" s="18" t="s">
        <v>433</v>
      </c>
      <c r="E141" s="40">
        <v>220021</v>
      </c>
      <c r="F141" s="135"/>
      <c r="G141" s="17" t="s">
        <v>636</v>
      </c>
      <c r="H141" s="174" t="str">
        <f t="shared" si="14"/>
        <v>EH</v>
      </c>
      <c r="I141" s="14" t="s">
        <v>539</v>
      </c>
      <c r="J141" s="126" t="s">
        <v>540</v>
      </c>
      <c r="K141" s="135" t="s">
        <v>443</v>
      </c>
      <c r="L141" s="240" t="s">
        <v>59</v>
      </c>
      <c r="M141" s="19" t="s">
        <v>472</v>
      </c>
      <c r="N141" s="79">
        <v>443.66</v>
      </c>
      <c r="O141" s="40"/>
      <c r="P141" s="17" t="s">
        <v>149</v>
      </c>
      <c r="Q141" s="40">
        <v>220021</v>
      </c>
      <c r="R141" s="223" t="s">
        <v>636</v>
      </c>
      <c r="S141" s="116" t="str">
        <f t="shared" si="15"/>
        <v>Yes</v>
      </c>
    </row>
    <row r="142" spans="1:19" ht="21.75" customHeight="1" x14ac:dyDescent="0.2">
      <c r="A142" s="14" t="s">
        <v>146</v>
      </c>
      <c r="B142" s="121" t="s">
        <v>213</v>
      </c>
      <c r="C142" s="245" t="s">
        <v>226</v>
      </c>
      <c r="D142" s="18" t="s">
        <v>360</v>
      </c>
      <c r="E142" s="40">
        <v>220009</v>
      </c>
      <c r="F142" s="135"/>
      <c r="G142" s="17"/>
      <c r="H142" s="174" t="str">
        <f t="shared" si="14"/>
        <v>EH</v>
      </c>
      <c r="I142" s="14" t="s">
        <v>542</v>
      </c>
      <c r="J142" s="126"/>
      <c r="K142" s="135"/>
      <c r="L142" s="240"/>
      <c r="M142" s="19"/>
      <c r="N142" s="79"/>
      <c r="O142" s="40"/>
      <c r="P142" s="17"/>
      <c r="Q142" s="40">
        <v>220009</v>
      </c>
      <c r="R142" s="223"/>
      <c r="S142" s="116" t="str">
        <f t="shared" si="15"/>
        <v/>
      </c>
    </row>
    <row r="143" spans="1:19" ht="21.75" customHeight="1" x14ac:dyDescent="0.2">
      <c r="A143" s="14" t="s">
        <v>47</v>
      </c>
      <c r="B143" s="181"/>
      <c r="C143" s="19" t="s">
        <v>227</v>
      </c>
      <c r="D143" s="18" t="s">
        <v>360</v>
      </c>
      <c r="E143" s="40">
        <v>220016</v>
      </c>
      <c r="F143" s="135"/>
      <c r="G143" s="17" t="s">
        <v>566</v>
      </c>
      <c r="H143" s="174" t="str">
        <f t="shared" si="14"/>
        <v>EH</v>
      </c>
      <c r="I143" s="14" t="s">
        <v>541</v>
      </c>
      <c r="J143" s="126"/>
      <c r="K143" s="135"/>
      <c r="L143" s="240"/>
      <c r="M143" s="19"/>
      <c r="N143" s="79"/>
      <c r="O143" s="40"/>
      <c r="P143" s="17"/>
      <c r="Q143" s="40">
        <v>220016</v>
      </c>
      <c r="R143" s="223" t="s">
        <v>566</v>
      </c>
      <c r="S143" s="116" t="str">
        <f t="shared" si="15"/>
        <v/>
      </c>
    </row>
    <row r="144" spans="1:19" ht="21.75" customHeight="1" x14ac:dyDescent="0.2">
      <c r="A144" s="14"/>
      <c r="B144" s="126"/>
      <c r="C144" s="19"/>
      <c r="D144" s="18"/>
      <c r="E144" s="40"/>
      <c r="F144" s="135"/>
      <c r="G144" s="17"/>
      <c r="H144" s="174" t="str">
        <f t="shared" si="14"/>
        <v>EH</v>
      </c>
      <c r="I144" s="14"/>
      <c r="J144" s="126"/>
      <c r="K144" s="135"/>
      <c r="L144" s="240"/>
      <c r="M144" s="19"/>
      <c r="N144" s="79"/>
      <c r="O144" s="40"/>
      <c r="P144" s="17"/>
      <c r="Q144" s="40"/>
      <c r="R144" s="223"/>
      <c r="S144" s="116" t="str">
        <f t="shared" si="15"/>
        <v/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24"/>
      <c r="Q145" s="41"/>
      <c r="R145" s="225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651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170</v>
      </c>
      <c r="C149" s="6"/>
      <c r="D149" s="7"/>
      <c r="E149" s="37"/>
      <c r="F149" s="7"/>
      <c r="G149" s="6"/>
      <c r="H149" s="174"/>
      <c r="I149" s="6">
        <f>COUNTIF($I$3:$I$148,"XC 4*")+ COUNTIF($I$3:$I$148,"XC 5*")+ COUNTIF($I$3:$I$148,"XC 9*")</f>
        <v>53</v>
      </c>
      <c r="J149" s="8" t="s">
        <v>171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Sunday</v>
      </c>
      <c r="H150" s="176"/>
      <c r="I150" s="253">
        <f>$L$3</f>
        <v>43065</v>
      </c>
      <c r="J150" s="253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4" t="s">
        <v>5</v>
      </c>
      <c r="K152" s="254"/>
      <c r="M152" s="6" t="s">
        <v>98</v>
      </c>
    </row>
    <row r="153" spans="1:19" ht="19.5" customHeight="1" x14ac:dyDescent="0.2">
      <c r="D153" s="196">
        <f t="shared" ref="D153:D187" si="16">INDEX($I$5:$N$148, MATCH($F153,I$5:I$148,0),6)</f>
        <v>527.08000000000004</v>
      </c>
      <c r="E153" s="86" t="str">
        <f t="shared" ref="E153:E187" si="17">INDEX($H$5:$H$148, MATCH($F153,I$5:I$148,0))</f>
        <v>EH</v>
      </c>
      <c r="F153" s="15" t="s">
        <v>534</v>
      </c>
      <c r="G153" s="28">
        <f>INDEX($I$5:$Q$148, MATCH($F153,I$5:I$148,0),9)</f>
        <v>220031</v>
      </c>
      <c r="I153" s="15" t="s">
        <v>470</v>
      </c>
      <c r="J153" s="251">
        <f>INDEX($I$5:$Q$148, MATCH($I153,I$5:I$148,0),9)</f>
        <v>221137</v>
      </c>
      <c r="K153" s="251"/>
      <c r="L153" s="6" t="str">
        <f t="shared" ref="L153:L186" si="18">INDEX($H$5:$H$148, MATCH($I153,I$5:I$148,0))</f>
        <v>MA</v>
      </c>
      <c r="M153" s="196">
        <f t="shared" ref="M153:M186" si="19">INDEX($I$5:$N$148, MATCH($I153,I$5:I$148,0),6)</f>
        <v>586.15</v>
      </c>
      <c r="N153" s="8"/>
    </row>
    <row r="154" spans="1:19" ht="19.5" customHeight="1" x14ac:dyDescent="0.2">
      <c r="D154" s="196">
        <f t="shared" si="16"/>
        <v>527.08000000000004</v>
      </c>
      <c r="E154" s="86" t="str">
        <f t="shared" si="17"/>
        <v>EH</v>
      </c>
      <c r="F154" s="245" t="s">
        <v>535</v>
      </c>
      <c r="G154" s="28">
        <f t="shared" ref="G154:G187" si="20">INDEX($I$5:$Q$148, MATCH($F154,I$5:I$148,0),9)</f>
        <v>220018</v>
      </c>
      <c r="I154" s="245" t="s">
        <v>531</v>
      </c>
      <c r="J154" s="251">
        <f t="shared" ref="J154:J186" si="21">INDEX($I$5:$Q$148, MATCH($I154,I$5:I$148,0),9)</f>
        <v>221141</v>
      </c>
      <c r="K154" s="251"/>
      <c r="L154" s="6" t="str">
        <f t="shared" si="18"/>
        <v>EH</v>
      </c>
      <c r="M154" s="196">
        <f t="shared" si="19"/>
        <v>527.08000000000004</v>
      </c>
      <c r="N154" s="8"/>
    </row>
    <row r="155" spans="1:19" ht="19.5" customHeight="1" x14ac:dyDescent="0.2">
      <c r="D155" s="196">
        <f t="shared" si="16"/>
        <v>527.08000000000004</v>
      </c>
      <c r="E155" s="86" t="str">
        <f t="shared" si="17"/>
        <v>EH</v>
      </c>
      <c r="F155" s="245" t="s">
        <v>538</v>
      </c>
      <c r="G155" s="28">
        <f t="shared" si="20"/>
        <v>220029</v>
      </c>
      <c r="I155" s="245" t="s">
        <v>481</v>
      </c>
      <c r="J155" s="251">
        <f t="shared" si="21"/>
        <v>221131</v>
      </c>
      <c r="K155" s="251"/>
      <c r="L155" s="6" t="str">
        <f t="shared" si="18"/>
        <v>CZ</v>
      </c>
      <c r="M155" s="196">
        <f t="shared" si="19"/>
        <v>470.81</v>
      </c>
      <c r="N155" s="8"/>
    </row>
    <row r="156" spans="1:19" ht="19.5" customHeight="1" x14ac:dyDescent="0.2">
      <c r="D156" s="196">
        <f t="shared" si="16"/>
        <v>470.81</v>
      </c>
      <c r="E156" s="86" t="str">
        <f t="shared" si="17"/>
        <v>CZ</v>
      </c>
      <c r="F156" s="245" t="s">
        <v>484</v>
      </c>
      <c r="G156" s="28">
        <f t="shared" si="20"/>
        <v>0</v>
      </c>
      <c r="I156" s="245" t="s">
        <v>500</v>
      </c>
      <c r="J156" s="251">
        <f t="shared" si="21"/>
        <v>221132</v>
      </c>
      <c r="K156" s="251"/>
      <c r="L156" s="6" t="str">
        <f t="shared" si="18"/>
        <v>CZ</v>
      </c>
      <c r="M156" s="196">
        <f t="shared" si="19"/>
        <v>734.03</v>
      </c>
      <c r="N156" s="8"/>
    </row>
    <row r="157" spans="1:19" s="101" customFormat="1" ht="19.5" customHeight="1" x14ac:dyDescent="0.2">
      <c r="A157" s="6"/>
      <c r="B157" s="6"/>
      <c r="C157" s="6"/>
      <c r="D157" s="196">
        <f t="shared" si="16"/>
        <v>330.12</v>
      </c>
      <c r="E157" s="86" t="str">
        <f t="shared" si="17"/>
        <v>CZ</v>
      </c>
      <c r="F157" s="245" t="s">
        <v>514</v>
      </c>
      <c r="G157" s="28">
        <f t="shared" si="20"/>
        <v>220020</v>
      </c>
      <c r="H157" s="174"/>
      <c r="I157" s="245" t="s">
        <v>490</v>
      </c>
      <c r="J157" s="251">
        <f t="shared" si="21"/>
        <v>221129</v>
      </c>
      <c r="K157" s="251"/>
      <c r="L157" s="6" t="str">
        <f t="shared" si="18"/>
        <v>CZ</v>
      </c>
      <c r="M157" s="196">
        <f t="shared" si="19"/>
        <v>667.12</v>
      </c>
      <c r="N157" s="8"/>
      <c r="O157" s="37"/>
      <c r="P157" s="105"/>
      <c r="Q157" s="37"/>
      <c r="R157" s="37"/>
    </row>
    <row r="158" spans="1:19" ht="19.5" customHeight="1" x14ac:dyDescent="0.2">
      <c r="D158" s="196">
        <f t="shared" si="16"/>
        <v>525.28</v>
      </c>
      <c r="E158" s="86" t="str">
        <f t="shared" si="17"/>
        <v>CZ</v>
      </c>
      <c r="F158" s="245" t="s">
        <v>485</v>
      </c>
      <c r="G158" s="28">
        <f t="shared" si="20"/>
        <v>0</v>
      </c>
      <c r="I158" s="245" t="s">
        <v>520</v>
      </c>
      <c r="J158" s="251">
        <f t="shared" si="21"/>
        <v>221139</v>
      </c>
      <c r="K158" s="251"/>
      <c r="L158" s="6" t="str">
        <f t="shared" si="18"/>
        <v>BK</v>
      </c>
      <c r="M158" s="196">
        <f t="shared" si="19"/>
        <v>619.41999999999996</v>
      </c>
      <c r="N158" s="8"/>
    </row>
    <row r="159" spans="1:19" ht="19.5" customHeight="1" x14ac:dyDescent="0.2">
      <c r="D159" s="196">
        <f t="shared" si="16"/>
        <v>471.21</v>
      </c>
      <c r="E159" s="86" t="str">
        <f t="shared" si="17"/>
        <v>CZ</v>
      </c>
      <c r="F159" s="245" t="s">
        <v>501</v>
      </c>
      <c r="G159" s="28">
        <f t="shared" si="20"/>
        <v>0</v>
      </c>
      <c r="I159" s="245" t="s">
        <v>524</v>
      </c>
      <c r="J159" s="251">
        <f t="shared" si="21"/>
        <v>221121</v>
      </c>
      <c r="K159" s="251"/>
      <c r="L159" s="6" t="str">
        <f t="shared" si="18"/>
        <v>BK</v>
      </c>
      <c r="M159" s="196">
        <f t="shared" si="19"/>
        <v>441.37</v>
      </c>
      <c r="N159" s="8"/>
    </row>
    <row r="160" spans="1:19" ht="19.5" customHeight="1" x14ac:dyDescent="0.2">
      <c r="D160" s="196">
        <f t="shared" si="16"/>
        <v>471.21</v>
      </c>
      <c r="E160" s="86" t="str">
        <f t="shared" si="17"/>
        <v>CZ</v>
      </c>
      <c r="F160" s="245" t="s">
        <v>503</v>
      </c>
      <c r="G160" s="28">
        <f t="shared" si="20"/>
        <v>0</v>
      </c>
      <c r="I160" s="245" t="s">
        <v>465</v>
      </c>
      <c r="J160" s="251">
        <f t="shared" si="21"/>
        <v>220007</v>
      </c>
      <c r="K160" s="251"/>
      <c r="L160" s="6" t="str">
        <f t="shared" si="18"/>
        <v>XW</v>
      </c>
      <c r="M160" s="196">
        <f t="shared" si="19"/>
        <v>697.66</v>
      </c>
      <c r="N160" s="8"/>
    </row>
    <row r="161" spans="4:14" ht="19.5" customHeight="1" x14ac:dyDescent="0.2">
      <c r="D161" s="196">
        <f t="shared" si="16"/>
        <v>471.21</v>
      </c>
      <c r="E161" s="86" t="str">
        <f t="shared" si="17"/>
        <v>MA</v>
      </c>
      <c r="F161" s="245" t="s">
        <v>473</v>
      </c>
      <c r="G161" s="28" t="str">
        <f t="shared" si="20"/>
        <v>221 140</v>
      </c>
      <c r="I161" s="245" t="s">
        <v>448</v>
      </c>
      <c r="J161" s="251">
        <f t="shared" si="21"/>
        <v>221128</v>
      </c>
      <c r="K161" s="251"/>
      <c r="L161" s="6" t="str">
        <f t="shared" si="18"/>
        <v>EC</v>
      </c>
      <c r="M161" s="196">
        <f t="shared" si="19"/>
        <v>738.18</v>
      </c>
      <c r="N161" s="8"/>
    </row>
    <row r="162" spans="4:14" ht="19.5" customHeight="1" x14ac:dyDescent="0.2">
      <c r="D162" s="196">
        <f t="shared" si="16"/>
        <v>471.21</v>
      </c>
      <c r="E162" s="86" t="str">
        <f t="shared" si="17"/>
        <v>MA</v>
      </c>
      <c r="F162" s="245" t="s">
        <v>476</v>
      </c>
      <c r="G162" s="28">
        <f t="shared" si="20"/>
        <v>221135</v>
      </c>
      <c r="I162" s="245" t="s">
        <v>453</v>
      </c>
      <c r="J162" s="251">
        <f t="shared" si="21"/>
        <v>221130</v>
      </c>
      <c r="K162" s="251"/>
      <c r="L162" s="6" t="str">
        <f t="shared" si="18"/>
        <v>EC</v>
      </c>
      <c r="M162" s="196">
        <f t="shared" si="19"/>
        <v>568.49</v>
      </c>
      <c r="N162" s="8"/>
    </row>
    <row r="163" spans="4:14" ht="19.5" customHeight="1" x14ac:dyDescent="0.2">
      <c r="D163" s="196">
        <f t="shared" si="16"/>
        <v>471.21</v>
      </c>
      <c r="E163" s="86" t="str">
        <f t="shared" si="17"/>
        <v>MA</v>
      </c>
      <c r="F163" s="245" t="s">
        <v>477</v>
      </c>
      <c r="G163" s="28" t="str">
        <f t="shared" si="20"/>
        <v>221 136</v>
      </c>
      <c r="I163" s="245" t="s">
        <v>454</v>
      </c>
      <c r="J163" s="251">
        <f t="shared" si="21"/>
        <v>221121</v>
      </c>
      <c r="K163" s="251"/>
      <c r="L163" s="6" t="str">
        <f t="shared" si="18"/>
        <v>EC</v>
      </c>
      <c r="M163" s="196">
        <f t="shared" si="19"/>
        <v>374.75</v>
      </c>
      <c r="N163" s="8"/>
    </row>
    <row r="164" spans="4:14" ht="19.5" customHeight="1" x14ac:dyDescent="0.2">
      <c r="D164" s="196">
        <f t="shared" si="16"/>
        <v>471.21</v>
      </c>
      <c r="E164" s="86" t="str">
        <f t="shared" si="17"/>
        <v>MA</v>
      </c>
      <c r="F164" s="245" t="s">
        <v>480</v>
      </c>
      <c r="G164" s="28">
        <f t="shared" si="20"/>
        <v>220015</v>
      </c>
      <c r="I164" s="245" t="s">
        <v>526</v>
      </c>
      <c r="J164" s="251">
        <f t="shared" si="21"/>
        <v>221122</v>
      </c>
      <c r="K164" s="251"/>
      <c r="L164" s="6" t="str">
        <f t="shared" si="18"/>
        <v>LA</v>
      </c>
      <c r="M164" s="196">
        <f t="shared" si="19"/>
        <v>594.28</v>
      </c>
      <c r="N164" s="8"/>
    </row>
    <row r="165" spans="4:14" ht="19.5" customHeight="1" x14ac:dyDescent="0.2">
      <c r="D165" s="196">
        <f t="shared" si="16"/>
        <v>443.66</v>
      </c>
      <c r="E165" s="86" t="str">
        <f t="shared" si="17"/>
        <v>EH</v>
      </c>
      <c r="F165" s="245" t="s">
        <v>539</v>
      </c>
      <c r="G165" s="28">
        <f t="shared" si="20"/>
        <v>220021</v>
      </c>
      <c r="I165" s="245" t="s">
        <v>528</v>
      </c>
      <c r="J165" s="251">
        <f t="shared" si="21"/>
        <v>221127</v>
      </c>
      <c r="K165" s="251"/>
      <c r="L165" s="6" t="str">
        <f t="shared" si="18"/>
        <v>LA</v>
      </c>
      <c r="M165" s="196">
        <f t="shared" si="19"/>
        <v>568.5</v>
      </c>
      <c r="N165" s="8"/>
    </row>
    <row r="166" spans="4:14" ht="19.5" customHeight="1" x14ac:dyDescent="0.2">
      <c r="D166" s="196">
        <f t="shared" si="16"/>
        <v>591.98</v>
      </c>
      <c r="E166" s="86" t="str">
        <f t="shared" si="17"/>
        <v>BK</v>
      </c>
      <c r="F166" s="245" t="s">
        <v>521</v>
      </c>
      <c r="G166" s="28">
        <f t="shared" si="20"/>
        <v>220002</v>
      </c>
      <c r="I166" s="245"/>
      <c r="J166" s="251" t="e">
        <f t="shared" si="21"/>
        <v>#N/A</v>
      </c>
      <c r="K166" s="251"/>
      <c r="L166" s="6" t="e">
        <f t="shared" si="18"/>
        <v>#N/A</v>
      </c>
      <c r="M166" s="196" t="e">
        <f t="shared" si="19"/>
        <v>#N/A</v>
      </c>
      <c r="N166" s="8"/>
    </row>
    <row r="167" spans="4:14" ht="19.5" customHeight="1" x14ac:dyDescent="0.2">
      <c r="D167" s="196">
        <f t="shared" si="16"/>
        <v>617.76</v>
      </c>
      <c r="E167" s="86" t="str">
        <f t="shared" si="17"/>
        <v>BK</v>
      </c>
      <c r="F167" s="245" t="s">
        <v>517</v>
      </c>
      <c r="G167" s="28">
        <f t="shared" si="20"/>
        <v>220033</v>
      </c>
      <c r="I167" s="245"/>
      <c r="J167" s="251" t="e">
        <f t="shared" si="21"/>
        <v>#N/A</v>
      </c>
      <c r="K167" s="251"/>
      <c r="L167" s="6" t="e">
        <f t="shared" si="18"/>
        <v>#N/A</v>
      </c>
      <c r="M167" s="196" t="e">
        <f t="shared" si="19"/>
        <v>#N/A</v>
      </c>
      <c r="N167" s="8"/>
    </row>
    <row r="168" spans="4:14" ht="19.5" customHeight="1" x14ac:dyDescent="0.2">
      <c r="D168" s="196">
        <f t="shared" si="16"/>
        <v>667.12</v>
      </c>
      <c r="E168" s="86" t="str">
        <f t="shared" si="17"/>
        <v>CZ</v>
      </c>
      <c r="F168" s="245" t="s">
        <v>487</v>
      </c>
      <c r="G168" s="28">
        <f t="shared" si="20"/>
        <v>220022</v>
      </c>
      <c r="I168" s="245"/>
      <c r="J168" s="251" t="e">
        <f t="shared" si="21"/>
        <v>#N/A</v>
      </c>
      <c r="K168" s="251"/>
      <c r="L168" s="6" t="e">
        <f t="shared" si="18"/>
        <v>#N/A</v>
      </c>
      <c r="M168" s="196" t="e">
        <f t="shared" si="19"/>
        <v>#N/A</v>
      </c>
      <c r="N168" s="8"/>
    </row>
    <row r="169" spans="4:14" ht="19.5" customHeight="1" x14ac:dyDescent="0.2">
      <c r="D169" s="196">
        <f t="shared" si="16"/>
        <v>374.75</v>
      </c>
      <c r="E169" s="86" t="str">
        <f t="shared" si="17"/>
        <v>CZ</v>
      </c>
      <c r="F169" s="245" t="s">
        <v>510</v>
      </c>
      <c r="G169" s="28">
        <f t="shared" si="20"/>
        <v>0</v>
      </c>
      <c r="I169" s="245"/>
      <c r="J169" s="251" t="e">
        <f t="shared" si="21"/>
        <v>#N/A</v>
      </c>
      <c r="K169" s="251"/>
      <c r="L169" s="6" t="e">
        <f t="shared" si="18"/>
        <v>#N/A</v>
      </c>
      <c r="M169" s="196" t="e">
        <f t="shared" si="19"/>
        <v>#N/A</v>
      </c>
      <c r="N169" s="8"/>
    </row>
    <row r="170" spans="4:14" ht="19.5" customHeight="1" x14ac:dyDescent="0.2">
      <c r="D170" s="196">
        <f t="shared" si="16"/>
        <v>198.42</v>
      </c>
      <c r="E170" s="86" t="str">
        <f t="shared" si="17"/>
        <v>CZ</v>
      </c>
      <c r="F170" s="245" t="s">
        <v>504</v>
      </c>
      <c r="G170" s="28">
        <f t="shared" si="20"/>
        <v>220032</v>
      </c>
      <c r="I170" s="245"/>
      <c r="J170" s="251" t="e">
        <f t="shared" si="21"/>
        <v>#N/A</v>
      </c>
      <c r="K170" s="251"/>
      <c r="L170" s="6" t="e">
        <f t="shared" si="18"/>
        <v>#N/A</v>
      </c>
      <c r="M170" s="196" t="e">
        <f t="shared" si="19"/>
        <v>#N/A</v>
      </c>
      <c r="N170" s="8"/>
    </row>
    <row r="171" spans="4:14" ht="19.5" customHeight="1" x14ac:dyDescent="0.2">
      <c r="D171" s="196">
        <f t="shared" si="16"/>
        <v>551.51</v>
      </c>
      <c r="E171" s="86" t="str">
        <f t="shared" si="17"/>
        <v>CZ</v>
      </c>
      <c r="F171" s="245" t="s">
        <v>506</v>
      </c>
      <c r="G171" s="28">
        <f t="shared" si="20"/>
        <v>0</v>
      </c>
      <c r="I171" s="245"/>
      <c r="J171" s="251" t="e">
        <f t="shared" si="21"/>
        <v>#N/A</v>
      </c>
      <c r="K171" s="251"/>
      <c r="L171" s="6" t="e">
        <f t="shared" si="18"/>
        <v>#N/A</v>
      </c>
      <c r="M171" s="196" t="e">
        <f t="shared" si="19"/>
        <v>#N/A</v>
      </c>
      <c r="N171" s="8"/>
    </row>
    <row r="172" spans="4:14" ht="19.5" customHeight="1" x14ac:dyDescent="0.2">
      <c r="D172" s="196">
        <f t="shared" si="16"/>
        <v>780.66</v>
      </c>
      <c r="E172" s="86" t="str">
        <f t="shared" si="17"/>
        <v>CZ</v>
      </c>
      <c r="F172" s="245" t="s">
        <v>491</v>
      </c>
      <c r="G172" s="28">
        <f t="shared" si="20"/>
        <v>220013</v>
      </c>
      <c r="I172" s="245"/>
      <c r="J172" s="251" t="e">
        <f t="shared" si="21"/>
        <v>#N/A</v>
      </c>
      <c r="K172" s="251"/>
      <c r="L172" s="6" t="e">
        <f t="shared" si="18"/>
        <v>#N/A</v>
      </c>
      <c r="M172" s="196" t="e">
        <f t="shared" si="19"/>
        <v>#N/A</v>
      </c>
      <c r="N172" s="8"/>
    </row>
    <row r="173" spans="4:14" ht="19.5" customHeight="1" x14ac:dyDescent="0.2">
      <c r="D173" s="196">
        <f t="shared" si="16"/>
        <v>780.66</v>
      </c>
      <c r="E173" s="86" t="str">
        <f t="shared" si="17"/>
        <v>CZ</v>
      </c>
      <c r="F173" s="245" t="s">
        <v>494</v>
      </c>
      <c r="G173" s="28">
        <f t="shared" si="20"/>
        <v>0</v>
      </c>
      <c r="I173" s="245"/>
      <c r="J173" s="251" t="e">
        <f t="shared" si="21"/>
        <v>#N/A</v>
      </c>
      <c r="K173" s="251"/>
      <c r="L173" s="6" t="e">
        <f t="shared" si="18"/>
        <v>#N/A</v>
      </c>
      <c r="M173" s="196" t="e">
        <f t="shared" si="19"/>
        <v>#N/A</v>
      </c>
      <c r="N173" s="8"/>
    </row>
    <row r="174" spans="4:14" ht="19.5" customHeight="1" x14ac:dyDescent="0.2">
      <c r="D174" s="196">
        <f t="shared" si="16"/>
        <v>734.03</v>
      </c>
      <c r="E174" s="86" t="str">
        <f t="shared" si="17"/>
        <v>CZ</v>
      </c>
      <c r="F174" s="245" t="s">
        <v>496</v>
      </c>
      <c r="G174" s="28">
        <f t="shared" si="20"/>
        <v>0</v>
      </c>
      <c r="I174" s="245"/>
      <c r="J174" s="251" t="e">
        <f t="shared" si="21"/>
        <v>#N/A</v>
      </c>
      <c r="K174" s="251"/>
      <c r="L174" s="6" t="e">
        <f t="shared" si="18"/>
        <v>#N/A</v>
      </c>
      <c r="M174" s="196" t="e">
        <f t="shared" si="19"/>
        <v>#N/A</v>
      </c>
      <c r="N174" s="8"/>
    </row>
    <row r="175" spans="4:14" ht="19.5" customHeight="1" x14ac:dyDescent="0.2">
      <c r="D175" s="196">
        <f t="shared" si="16"/>
        <v>697.66</v>
      </c>
      <c r="E175" s="86" t="str">
        <f t="shared" si="17"/>
        <v>XW</v>
      </c>
      <c r="F175" s="245" t="s">
        <v>462</v>
      </c>
      <c r="G175" s="28">
        <f t="shared" si="20"/>
        <v>220025</v>
      </c>
      <c r="I175" s="245"/>
      <c r="J175" s="251" t="e">
        <f t="shared" si="21"/>
        <v>#N/A</v>
      </c>
      <c r="K175" s="251"/>
      <c r="L175" s="6" t="e">
        <f t="shared" si="18"/>
        <v>#N/A</v>
      </c>
      <c r="M175" s="196" t="e">
        <f t="shared" si="19"/>
        <v>#N/A</v>
      </c>
      <c r="N175" s="8"/>
    </row>
    <row r="176" spans="4:14" ht="19.5" customHeight="1" x14ac:dyDescent="0.2">
      <c r="D176" s="196">
        <f t="shared" si="16"/>
        <v>643.87</v>
      </c>
      <c r="E176" s="86" t="str">
        <f t="shared" si="17"/>
        <v>XW</v>
      </c>
      <c r="F176" s="245" t="s">
        <v>466</v>
      </c>
      <c r="G176" s="28">
        <f t="shared" si="20"/>
        <v>220008</v>
      </c>
      <c r="I176" s="245"/>
      <c r="J176" s="251" t="e">
        <f t="shared" si="21"/>
        <v>#N/A</v>
      </c>
      <c r="K176" s="251"/>
      <c r="L176" s="6" t="e">
        <f t="shared" si="18"/>
        <v>#N/A</v>
      </c>
      <c r="M176" s="196" t="e">
        <f t="shared" si="19"/>
        <v>#N/A</v>
      </c>
      <c r="N176" s="8"/>
    </row>
    <row r="177" spans="3:14" ht="19.5" customHeight="1" x14ac:dyDescent="0.2">
      <c r="D177" s="196">
        <f t="shared" si="16"/>
        <v>643.87</v>
      </c>
      <c r="E177" s="86" t="str">
        <f t="shared" si="17"/>
        <v>XW</v>
      </c>
      <c r="F177" s="245" t="s">
        <v>469</v>
      </c>
      <c r="G177" s="28">
        <f t="shared" si="20"/>
        <v>220006</v>
      </c>
      <c r="I177" s="245"/>
      <c r="J177" s="251" t="e">
        <f t="shared" si="21"/>
        <v>#N/A</v>
      </c>
      <c r="K177" s="251"/>
      <c r="L177" s="6" t="e">
        <f t="shared" si="18"/>
        <v>#N/A</v>
      </c>
      <c r="M177" s="196" t="e">
        <f t="shared" si="19"/>
        <v>#N/A</v>
      </c>
      <c r="N177" s="8"/>
    </row>
    <row r="178" spans="3:14" ht="19.5" customHeight="1" x14ac:dyDescent="0.2">
      <c r="D178" s="196">
        <f t="shared" si="16"/>
        <v>592.66999999999996</v>
      </c>
      <c r="E178" s="86" t="str">
        <f t="shared" si="17"/>
        <v>TY</v>
      </c>
      <c r="F178" s="245" t="s">
        <v>458</v>
      </c>
      <c r="G178" s="28">
        <f t="shared" si="20"/>
        <v>221144</v>
      </c>
      <c r="I178" s="245"/>
      <c r="J178" s="251" t="e">
        <f t="shared" si="21"/>
        <v>#N/A</v>
      </c>
      <c r="K178" s="251"/>
      <c r="L178" s="6" t="e">
        <f t="shared" si="18"/>
        <v>#N/A</v>
      </c>
      <c r="M178" s="196" t="e">
        <f t="shared" si="19"/>
        <v>#N/A</v>
      </c>
      <c r="N178" s="8"/>
    </row>
    <row r="179" spans="3:14" ht="19.5" customHeight="1" x14ac:dyDescent="0.2">
      <c r="D179" s="196">
        <f t="shared" si="16"/>
        <v>592.66999999999996</v>
      </c>
      <c r="E179" s="86" t="str">
        <f t="shared" si="17"/>
        <v>TY</v>
      </c>
      <c r="F179" s="245" t="s">
        <v>461</v>
      </c>
      <c r="G179" s="28">
        <f t="shared" si="20"/>
        <v>220019</v>
      </c>
      <c r="I179" s="245"/>
      <c r="J179" s="251" t="e">
        <f t="shared" si="21"/>
        <v>#N/A</v>
      </c>
      <c r="K179" s="251"/>
      <c r="L179" s="6" t="e">
        <f t="shared" si="18"/>
        <v>#N/A</v>
      </c>
      <c r="M179" s="196" t="e">
        <f t="shared" si="19"/>
        <v>#N/A</v>
      </c>
      <c r="N179" s="8"/>
    </row>
    <row r="180" spans="3:14" ht="19.5" customHeight="1" x14ac:dyDescent="0.2">
      <c r="D180" s="196">
        <f t="shared" si="16"/>
        <v>738.18</v>
      </c>
      <c r="E180" s="86" t="str">
        <f t="shared" si="17"/>
        <v>EC</v>
      </c>
      <c r="F180" s="245" t="s">
        <v>446</v>
      </c>
      <c r="G180" s="28">
        <f t="shared" si="20"/>
        <v>220003</v>
      </c>
      <c r="I180" s="245"/>
      <c r="J180" s="251" t="e">
        <f t="shared" si="21"/>
        <v>#N/A</v>
      </c>
      <c r="K180" s="251"/>
      <c r="L180" s="6" t="e">
        <f t="shared" si="18"/>
        <v>#N/A</v>
      </c>
      <c r="M180" s="196" t="e">
        <f t="shared" si="19"/>
        <v>#N/A</v>
      </c>
      <c r="N180" s="8"/>
    </row>
    <row r="181" spans="3:14" ht="19.5" customHeight="1" x14ac:dyDescent="0.2">
      <c r="D181" s="196">
        <f t="shared" si="16"/>
        <v>568.49</v>
      </c>
      <c r="E181" s="86" t="str">
        <f t="shared" si="17"/>
        <v>EC</v>
      </c>
      <c r="F181" s="245" t="s">
        <v>449</v>
      </c>
      <c r="G181" s="28">
        <f t="shared" si="20"/>
        <v>221119</v>
      </c>
      <c r="I181" s="245"/>
      <c r="J181" s="251" t="e">
        <f t="shared" si="21"/>
        <v>#N/A</v>
      </c>
      <c r="K181" s="251"/>
      <c r="L181" s="6" t="e">
        <f t="shared" si="18"/>
        <v>#N/A</v>
      </c>
      <c r="M181" s="196" t="e">
        <f t="shared" si="19"/>
        <v>#N/A</v>
      </c>
      <c r="N181" s="8"/>
    </row>
    <row r="182" spans="3:14" ht="19.5" customHeight="1" x14ac:dyDescent="0.2">
      <c r="D182" s="196">
        <f t="shared" si="16"/>
        <v>374.75</v>
      </c>
      <c r="E182" s="86" t="str">
        <f t="shared" si="17"/>
        <v>EC</v>
      </c>
      <c r="F182" s="245" t="s">
        <v>457</v>
      </c>
      <c r="G182" s="28">
        <f t="shared" si="20"/>
        <v>220017</v>
      </c>
      <c r="I182" s="245"/>
      <c r="J182" s="251" t="e">
        <f t="shared" si="21"/>
        <v>#N/A</v>
      </c>
      <c r="K182" s="251"/>
      <c r="L182" s="6" t="e">
        <f t="shared" si="18"/>
        <v>#N/A</v>
      </c>
      <c r="M182" s="196" t="e">
        <f t="shared" si="19"/>
        <v>#N/A</v>
      </c>
      <c r="N182" s="8"/>
    </row>
    <row r="183" spans="3:14" ht="19.5" customHeight="1" x14ac:dyDescent="0.2">
      <c r="D183" s="196">
        <f t="shared" si="16"/>
        <v>52.3</v>
      </c>
      <c r="E183" s="86" t="str">
        <f t="shared" si="17"/>
        <v>CZ</v>
      </c>
      <c r="F183" s="245" t="s">
        <v>495</v>
      </c>
      <c r="G183" s="28">
        <f t="shared" si="20"/>
        <v>0</v>
      </c>
      <c r="I183" s="245"/>
      <c r="J183" s="251" t="e">
        <f t="shared" si="21"/>
        <v>#N/A</v>
      </c>
      <c r="K183" s="251"/>
      <c r="L183" s="6" t="e">
        <f t="shared" si="18"/>
        <v>#N/A</v>
      </c>
      <c r="M183" s="196" t="e">
        <f t="shared" si="19"/>
        <v>#N/A</v>
      </c>
      <c r="N183" s="8"/>
    </row>
    <row r="184" spans="3:14" ht="19.5" customHeight="1" x14ac:dyDescent="0.2">
      <c r="D184" s="196" t="e">
        <f t="shared" si="16"/>
        <v>#N/A</v>
      </c>
      <c r="E184" s="86" t="e">
        <f t="shared" si="17"/>
        <v>#N/A</v>
      </c>
      <c r="F184" s="245"/>
      <c r="G184" s="28" t="e">
        <f t="shared" si="20"/>
        <v>#N/A</v>
      </c>
      <c r="I184" s="245"/>
      <c r="J184" s="251" t="e">
        <f t="shared" si="21"/>
        <v>#N/A</v>
      </c>
      <c r="K184" s="251"/>
      <c r="L184" s="6" t="e">
        <f t="shared" si="18"/>
        <v>#N/A</v>
      </c>
      <c r="M184" s="196" t="e">
        <f t="shared" si="19"/>
        <v>#N/A</v>
      </c>
      <c r="N184" s="8"/>
    </row>
    <row r="185" spans="3:14" ht="19.5" customHeight="1" x14ac:dyDescent="0.2">
      <c r="C185" s="130"/>
      <c r="D185" s="221" t="e">
        <f t="shared" si="16"/>
        <v>#N/A</v>
      </c>
      <c r="E185" s="86" t="e">
        <f t="shared" si="17"/>
        <v>#N/A</v>
      </c>
      <c r="F185" s="245"/>
      <c r="G185" s="28" t="e">
        <f t="shared" si="20"/>
        <v>#N/A</v>
      </c>
      <c r="I185" s="245"/>
      <c r="J185" s="251" t="e">
        <f t="shared" si="21"/>
        <v>#N/A</v>
      </c>
      <c r="K185" s="251"/>
      <c r="L185" s="6" t="e">
        <f t="shared" si="18"/>
        <v>#N/A</v>
      </c>
      <c r="M185" s="196" t="e">
        <f t="shared" si="19"/>
        <v>#N/A</v>
      </c>
      <c r="N185" s="8"/>
    </row>
    <row r="186" spans="3:14" ht="19.5" customHeight="1" x14ac:dyDescent="0.2">
      <c r="D186" s="196" t="e">
        <f t="shared" si="16"/>
        <v>#N/A</v>
      </c>
      <c r="E186" s="216" t="e">
        <f t="shared" si="17"/>
        <v>#N/A</v>
      </c>
      <c r="F186" s="245"/>
      <c r="G186" s="28" t="e">
        <f t="shared" si="20"/>
        <v>#N/A</v>
      </c>
      <c r="I186" s="245"/>
      <c r="J186" s="251" t="e">
        <f t="shared" si="21"/>
        <v>#N/A</v>
      </c>
      <c r="K186" s="251"/>
      <c r="L186" s="6" t="e">
        <f t="shared" si="18"/>
        <v>#N/A</v>
      </c>
      <c r="M186" s="196" t="e">
        <f t="shared" si="19"/>
        <v>#N/A</v>
      </c>
      <c r="N186" s="8"/>
    </row>
    <row r="187" spans="3:14" ht="19.5" customHeight="1" x14ac:dyDescent="0.2">
      <c r="D187" s="196" t="e">
        <f t="shared" si="16"/>
        <v>#N/A</v>
      </c>
      <c r="E187" s="216" t="e">
        <f t="shared" si="17"/>
        <v>#N/A</v>
      </c>
      <c r="F187" s="245"/>
      <c r="G187" s="28" t="e">
        <f t="shared" si="20"/>
        <v>#N/A</v>
      </c>
      <c r="I187" s="84"/>
      <c r="J187" s="220"/>
      <c r="K187" s="220"/>
      <c r="M187" s="219"/>
      <c r="N187" s="8"/>
    </row>
    <row r="188" spans="3:14" ht="19.5" customHeight="1" x14ac:dyDescent="0.2">
      <c r="C188" s="92" t="s">
        <v>92</v>
      </c>
      <c r="D188" s="197">
        <f>SUMIF(D153:D186,"&gt;0")</f>
        <v>16379.720000000001</v>
      </c>
      <c r="E188" s="42" t="s">
        <v>19</v>
      </c>
      <c r="F188" s="7">
        <f>COUNTIF(D153:D186,"&gt;=0")</f>
        <v>31</v>
      </c>
      <c r="I188" s="42" t="s">
        <v>20</v>
      </c>
      <c r="J188" s="7">
        <f>COUNTIF(M153:M180,"&gt;=0")</f>
        <v>13</v>
      </c>
      <c r="L188" s="92" t="s">
        <v>93</v>
      </c>
      <c r="M188" s="197">
        <f>SUMIF(M153:M180,"&gt;0")</f>
        <v>7587.8399999999992</v>
      </c>
    </row>
    <row r="189" spans="3:14" ht="20.100000000000001" customHeight="1" x14ac:dyDescent="0.2">
      <c r="C189" s="6" t="s">
        <v>155</v>
      </c>
      <c r="D189" s="197">
        <f>D188+M188</f>
        <v>23967.56</v>
      </c>
      <c r="E189" s="42" t="s">
        <v>155</v>
      </c>
      <c r="F189" s="7">
        <f>F188+J188</f>
        <v>44</v>
      </c>
      <c r="I189" s="42"/>
      <c r="J189" s="7"/>
      <c r="L189" s="92"/>
      <c r="M189" s="197"/>
    </row>
    <row r="190" spans="3:14" ht="20.100000000000001" customHeight="1" x14ac:dyDescent="0.2"/>
  </sheetData>
  <mergeCells count="54">
    <mergeCell ref="L3:M3"/>
    <mergeCell ref="L23:M23"/>
    <mergeCell ref="D35:E35"/>
    <mergeCell ref="L35:M35"/>
    <mergeCell ref="D47:E47"/>
    <mergeCell ref="L47:M47"/>
    <mergeCell ref="D3:E3"/>
    <mergeCell ref="D23:E23"/>
    <mergeCell ref="L61:M61"/>
    <mergeCell ref="D135:E135"/>
    <mergeCell ref="J157:K157"/>
    <mergeCell ref="J159:K159"/>
    <mergeCell ref="I150:J150"/>
    <mergeCell ref="D61:E61"/>
    <mergeCell ref="D94:E94"/>
    <mergeCell ref="J155:K155"/>
    <mergeCell ref="J156:K156"/>
    <mergeCell ref="L94:M94"/>
    <mergeCell ref="L108:M108"/>
    <mergeCell ref="J152:K152"/>
    <mergeCell ref="L135:M135"/>
    <mergeCell ref="L124:M124"/>
    <mergeCell ref="D124:E124"/>
    <mergeCell ref="D108:E108"/>
    <mergeCell ref="J164:K164"/>
    <mergeCell ref="J153:K153"/>
    <mergeCell ref="J154:K154"/>
    <mergeCell ref="J161:K161"/>
    <mergeCell ref="J162:K162"/>
    <mergeCell ref="J160:K160"/>
    <mergeCell ref="J158:K158"/>
    <mergeCell ref="J163:K163"/>
    <mergeCell ref="J169:K169"/>
    <mergeCell ref="J170:K170"/>
    <mergeCell ref="J171:K171"/>
    <mergeCell ref="J172:K172"/>
    <mergeCell ref="J165:K165"/>
    <mergeCell ref="J166:K166"/>
    <mergeCell ref="J167:K167"/>
    <mergeCell ref="J168:K168"/>
    <mergeCell ref="J177:K177"/>
    <mergeCell ref="J178:K178"/>
    <mergeCell ref="J179:K179"/>
    <mergeCell ref="J180:K180"/>
    <mergeCell ref="J173:K173"/>
    <mergeCell ref="J174:K174"/>
    <mergeCell ref="J175:K175"/>
    <mergeCell ref="J176:K176"/>
    <mergeCell ref="J185:K185"/>
    <mergeCell ref="J186:K186"/>
    <mergeCell ref="J181:K181"/>
    <mergeCell ref="J182:K182"/>
    <mergeCell ref="J183:K183"/>
    <mergeCell ref="J184:K184"/>
  </mergeCells>
  <phoneticPr fontId="0" type="noConversion"/>
  <conditionalFormatting sqref="E153:E187">
    <cfRule type="expression" dxfId="353" priority="425" stopIfTrue="1">
      <formula>F153=0</formula>
    </cfRule>
  </conditionalFormatting>
  <conditionalFormatting sqref="G153:G187">
    <cfRule type="cellIs" dxfId="352" priority="426" stopIfTrue="1" operator="between">
      <formula>221100</formula>
      <formula>221140</formula>
    </cfRule>
    <cfRule type="expression" dxfId="351" priority="427" stopIfTrue="1">
      <formula>F153=0</formula>
    </cfRule>
  </conditionalFormatting>
  <conditionalFormatting sqref="D153:D187">
    <cfRule type="expression" dxfId="350" priority="428" stopIfTrue="1">
      <formula>F153=0</formula>
    </cfRule>
  </conditionalFormatting>
  <conditionalFormatting sqref="F153:F187 I153:I187">
    <cfRule type="expression" dxfId="24" priority="429" stopIfTrue="1">
      <formula>G153&gt;221144</formula>
    </cfRule>
    <cfRule type="expression" dxfId="23" priority="430" stopIfTrue="1">
      <formula>G153=0</formula>
    </cfRule>
  </conditionalFormatting>
  <conditionalFormatting sqref="L153:L187">
    <cfRule type="expression" dxfId="349" priority="431" stopIfTrue="1">
      <formula>I153=0</formula>
    </cfRule>
  </conditionalFormatting>
  <conditionalFormatting sqref="J153:K187">
    <cfRule type="cellIs" dxfId="348" priority="432" stopIfTrue="1" operator="between">
      <formula>220001</formula>
      <formula>220034</formula>
    </cfRule>
    <cfRule type="cellIs" dxfId="347" priority="433" stopIfTrue="1" operator="between">
      <formula>221141</formula>
      <formula>221144</formula>
    </cfRule>
    <cfRule type="expression" dxfId="346" priority="434" stopIfTrue="1">
      <formula>I153=0</formula>
    </cfRule>
  </conditionalFormatting>
  <conditionalFormatting sqref="M153:M187">
    <cfRule type="expression" dxfId="345" priority="435" stopIfTrue="1">
      <formula>I153=0</formula>
    </cfRule>
  </conditionalFormatting>
  <conditionalFormatting sqref="R5:R6 R26:R30 R38 R50 R64:R65 R86:R89 R96 R140:R145 R111:R119 R126:R130 R8:R17 R53:R56 R76:R77 R69 R71:R74 R98:R103 R79:R84 R40:R42">
    <cfRule type="cellIs" dxfId="344" priority="436" stopIfTrue="1" operator="between">
      <formula>221101</formula>
      <formula>221140</formula>
    </cfRule>
  </conditionalFormatting>
  <conditionalFormatting sqref="F110:F119 F139:F145 F96:F98 F126:F130 F63 F54:F56 F37:F42 F25:F27 F5:F8 F10:F17 F29:F30 F100:F103 F79:F84 F86:F89">
    <cfRule type="cellIs" dxfId="22" priority="437" stopIfTrue="1" operator="notEqual">
      <formula>"FP"</formula>
    </cfRule>
  </conditionalFormatting>
  <conditionalFormatting sqref="A25:A30 A37:A42 A49:A56 A63:A89 A96:A103 A110:A119 A126:A130 A137:A145 A5:A17">
    <cfRule type="cellIs" dxfId="343" priority="438" stopIfTrue="1" operator="between">
      <formula>"XC 501"</formula>
      <formula>"XC 549"</formula>
    </cfRule>
    <cfRule type="cellIs" dxfId="342" priority="439" stopIfTrue="1" operator="between">
      <formula>"XC 201"</formula>
      <formula>"XC 399"</formula>
    </cfRule>
    <cfRule type="cellIs" dxfId="341" priority="440" stopIfTrue="1" operator="between">
      <formula>"XC 801"</formula>
      <formula>"XC 899"</formula>
    </cfRule>
  </conditionalFormatting>
  <conditionalFormatting sqref="E5:E8 E10:E17">
    <cfRule type="cellIs" dxfId="340" priority="392" stopIfTrue="1" operator="between">
      <formula>221101</formula>
      <formula>221140</formula>
    </cfRule>
  </conditionalFormatting>
  <conditionalFormatting sqref="E5:E8 E10:E17">
    <cfRule type="cellIs" dxfId="339" priority="390" stopIfTrue="1" operator="equal">
      <formula>221144</formula>
    </cfRule>
    <cfRule type="cellIs" dxfId="338" priority="391" stopIfTrue="1" operator="equal">
      <formula>221136</formula>
    </cfRule>
  </conditionalFormatting>
  <conditionalFormatting sqref="E5:E8 E10:E17">
    <cfRule type="cellIs" dxfId="337" priority="388" stopIfTrue="1" operator="equal">
      <formula>221144</formula>
    </cfRule>
    <cfRule type="cellIs" dxfId="336" priority="389" stopIfTrue="1" operator="equal">
      <formula>221136</formula>
    </cfRule>
  </conditionalFormatting>
  <conditionalFormatting sqref="E25:E27 E29:E30">
    <cfRule type="cellIs" dxfId="335" priority="382" stopIfTrue="1" operator="between">
      <formula>221101</formula>
      <formula>221140</formula>
    </cfRule>
  </conditionalFormatting>
  <conditionalFormatting sqref="E25:E27 E29:E30">
    <cfRule type="cellIs" dxfId="334" priority="380" stopIfTrue="1" operator="equal">
      <formula>221144</formula>
    </cfRule>
    <cfRule type="cellIs" dxfId="333" priority="381" stopIfTrue="1" operator="equal">
      <formula>221136</formula>
    </cfRule>
  </conditionalFormatting>
  <conditionalFormatting sqref="E38:E42">
    <cfRule type="cellIs" dxfId="332" priority="376" stopIfTrue="1" operator="between">
      <formula>221101</formula>
      <formula>221140</formula>
    </cfRule>
  </conditionalFormatting>
  <conditionalFormatting sqref="E38:E42">
    <cfRule type="cellIs" dxfId="331" priority="374" stopIfTrue="1" operator="equal">
      <formula>221144</formula>
    </cfRule>
    <cfRule type="cellIs" dxfId="330" priority="375" stopIfTrue="1" operator="equal">
      <formula>221136</formula>
    </cfRule>
  </conditionalFormatting>
  <conditionalFormatting sqref="E54:E56">
    <cfRule type="cellIs" dxfId="329" priority="370" stopIfTrue="1" operator="between">
      <formula>221101</formula>
      <formula>221140</formula>
    </cfRule>
  </conditionalFormatting>
  <conditionalFormatting sqref="E54:E56">
    <cfRule type="cellIs" dxfId="328" priority="368" stopIfTrue="1" operator="equal">
      <formula>221144</formula>
    </cfRule>
    <cfRule type="cellIs" dxfId="327" priority="369" stopIfTrue="1" operator="equal">
      <formula>221136</formula>
    </cfRule>
  </conditionalFormatting>
  <conditionalFormatting sqref="E54:E56">
    <cfRule type="cellIs" dxfId="326" priority="366" stopIfTrue="1" operator="equal">
      <formula>221144</formula>
    </cfRule>
    <cfRule type="cellIs" dxfId="325" priority="367" stopIfTrue="1" operator="equal">
      <formula>221136</formula>
    </cfRule>
  </conditionalFormatting>
  <conditionalFormatting sqref="E63 E79:E82 E89">
    <cfRule type="cellIs" dxfId="324" priority="360" stopIfTrue="1" operator="between">
      <formula>221101</formula>
      <formula>221140</formula>
    </cfRule>
  </conditionalFormatting>
  <conditionalFormatting sqref="E63 E79:E82 E89">
    <cfRule type="cellIs" dxfId="323" priority="358" stopIfTrue="1" operator="equal">
      <formula>221144</formula>
    </cfRule>
    <cfRule type="cellIs" dxfId="322" priority="359" stopIfTrue="1" operator="equal">
      <formula>221136</formula>
    </cfRule>
  </conditionalFormatting>
  <conditionalFormatting sqref="E96:E98 E100:E103">
    <cfRule type="cellIs" dxfId="321" priority="354" stopIfTrue="1" operator="between">
      <formula>221101</formula>
      <formula>221140</formula>
    </cfRule>
  </conditionalFormatting>
  <conditionalFormatting sqref="E96:E98 E100:E103">
    <cfRule type="cellIs" dxfId="320" priority="352" stopIfTrue="1" operator="equal">
      <formula>221144</formula>
    </cfRule>
    <cfRule type="cellIs" dxfId="319" priority="353" stopIfTrue="1" operator="equal">
      <formula>221136</formula>
    </cfRule>
  </conditionalFormatting>
  <conditionalFormatting sqref="E110:E112 E114:E119">
    <cfRule type="cellIs" dxfId="318" priority="348" stopIfTrue="1" operator="between">
      <formula>221101</formula>
      <formula>221140</formula>
    </cfRule>
  </conditionalFormatting>
  <conditionalFormatting sqref="E110:E112 E114:E119">
    <cfRule type="cellIs" dxfId="317" priority="346" stopIfTrue="1" operator="equal">
      <formula>221144</formula>
    </cfRule>
    <cfRule type="cellIs" dxfId="316" priority="347" stopIfTrue="1" operator="equal">
      <formula>221136</formula>
    </cfRule>
  </conditionalFormatting>
  <conditionalFormatting sqref="E126:E130">
    <cfRule type="cellIs" dxfId="315" priority="342" stopIfTrue="1" operator="between">
      <formula>221101</formula>
      <formula>221140</formula>
    </cfRule>
  </conditionalFormatting>
  <conditionalFormatting sqref="E126:E130">
    <cfRule type="cellIs" dxfId="314" priority="340" stopIfTrue="1" operator="equal">
      <formula>221144</formula>
    </cfRule>
    <cfRule type="cellIs" dxfId="313" priority="341" stopIfTrue="1" operator="equal">
      <formula>221136</formula>
    </cfRule>
  </conditionalFormatting>
  <conditionalFormatting sqref="E140:E145">
    <cfRule type="cellIs" dxfId="312" priority="336" stopIfTrue="1" operator="between">
      <formula>221101</formula>
      <formula>221140</formula>
    </cfRule>
  </conditionalFormatting>
  <conditionalFormatting sqref="E140:E145">
    <cfRule type="cellIs" dxfId="311" priority="334" stopIfTrue="1" operator="equal">
      <formula>221144</formula>
    </cfRule>
    <cfRule type="cellIs" dxfId="310" priority="335" stopIfTrue="1" operator="equal">
      <formula>221136</formula>
    </cfRule>
  </conditionalFormatting>
  <conditionalFormatting sqref="E5:E8 E25:E27 E38:E42 E54:E56 E63 E96:E98 E110:E112 E126:E130 E140:E145 E29:E30 E79:E82 E100:E103 E114:E119 E89 E10:E17">
    <cfRule type="cellIs" dxfId="309" priority="330" operator="equal">
      <formula>221140</formula>
    </cfRule>
  </conditionalFormatting>
  <conditionalFormatting sqref="I37:I42 I49:I56 I63:I89 I96:I103 I137:I145 I5:I17 I25:I30 I110:I119 I126:I130">
    <cfRule type="cellIs" dxfId="308" priority="295" stopIfTrue="1" operator="between">
      <formula>"XC 501"</formula>
      <formula>"XC 549"</formula>
    </cfRule>
    <cfRule type="cellIs" dxfId="307" priority="296" stopIfTrue="1" operator="between">
      <formula>"XC 201"</formula>
      <formula>"XC 399"</formula>
    </cfRule>
    <cfRule type="cellIs" dxfId="306" priority="297" stopIfTrue="1" operator="between">
      <formula>"XC 801"</formula>
      <formula>"XC 899"</formula>
    </cfRule>
  </conditionalFormatting>
  <conditionalFormatting sqref="P5:P17">
    <cfRule type="containsText" dxfId="305" priority="293" stopIfTrue="1" operator="containsText" text="Couples In Traffic">
      <formula>NOT(ISERROR(SEARCH("Couples In Traffic",P5)))</formula>
    </cfRule>
    <cfRule type="expression" dxfId="304" priority="294" stopIfTrue="1">
      <formula>"Couples In Traffic"</formula>
    </cfRule>
  </conditionalFormatting>
  <conditionalFormatting sqref="P25:P30">
    <cfRule type="containsText" dxfId="303" priority="291" stopIfTrue="1" operator="containsText" text="Couples In Traffic">
      <formula>NOT(ISERROR(SEARCH("Couples In Traffic",P25)))</formula>
    </cfRule>
    <cfRule type="expression" dxfId="302" priority="292" stopIfTrue="1">
      <formula>"Couples In Traffic"</formula>
    </cfRule>
  </conditionalFormatting>
  <conditionalFormatting sqref="P37:P42">
    <cfRule type="containsText" dxfId="301" priority="289" stopIfTrue="1" operator="containsText" text="Couples In Traffic">
      <formula>NOT(ISERROR(SEARCH("Couples In Traffic",P37)))</formula>
    </cfRule>
    <cfRule type="expression" dxfId="300" priority="290" stopIfTrue="1">
      <formula>"Couples In Traffic"</formula>
    </cfRule>
  </conditionalFormatting>
  <conditionalFormatting sqref="P49:P56">
    <cfRule type="containsText" dxfId="299" priority="287" stopIfTrue="1" operator="containsText" text="Couples In Traffic">
      <formula>NOT(ISERROR(SEARCH("Couples In Traffic",P49)))</formula>
    </cfRule>
    <cfRule type="expression" dxfId="298" priority="288" stopIfTrue="1">
      <formula>"Couples In Traffic"</formula>
    </cfRule>
  </conditionalFormatting>
  <conditionalFormatting sqref="P63:P89">
    <cfRule type="containsText" dxfId="297" priority="285" stopIfTrue="1" operator="containsText" text="Couples In Traffic">
      <formula>NOT(ISERROR(SEARCH("Couples In Traffic",P63)))</formula>
    </cfRule>
    <cfRule type="expression" dxfId="296" priority="286" stopIfTrue="1">
      <formula>"Couples In Traffic"</formula>
    </cfRule>
  </conditionalFormatting>
  <conditionalFormatting sqref="P96:P103">
    <cfRule type="containsText" dxfId="295" priority="283" stopIfTrue="1" operator="containsText" text="Couples In Traffic">
      <formula>NOT(ISERROR(SEARCH("Couples In Traffic",P96)))</formula>
    </cfRule>
    <cfRule type="expression" dxfId="294" priority="284" stopIfTrue="1">
      <formula>"Couples In Traffic"</formula>
    </cfRule>
  </conditionalFormatting>
  <conditionalFormatting sqref="P110:P119">
    <cfRule type="containsText" dxfId="293" priority="281" stopIfTrue="1" operator="containsText" text="Couples In Traffic">
      <formula>NOT(ISERROR(SEARCH("Couples In Traffic",P110)))</formula>
    </cfRule>
    <cfRule type="expression" dxfId="292" priority="282" stopIfTrue="1">
      <formula>"Couples In Traffic"</formula>
    </cfRule>
  </conditionalFormatting>
  <conditionalFormatting sqref="P126:P130">
    <cfRule type="containsText" dxfId="291" priority="279" stopIfTrue="1" operator="containsText" text="Couples In Traffic">
      <formula>NOT(ISERROR(SEARCH("Couples In Traffic",P126)))</formula>
    </cfRule>
    <cfRule type="expression" dxfId="290" priority="280" stopIfTrue="1">
      <formula>"Couples In Traffic"</formula>
    </cfRule>
  </conditionalFormatting>
  <conditionalFormatting sqref="P137:P145">
    <cfRule type="containsText" dxfId="289" priority="277" stopIfTrue="1" operator="containsText" text="Couples In Traffic">
      <formula>NOT(ISERROR(SEARCH("Couples In Traffic",P137)))</formula>
    </cfRule>
    <cfRule type="expression" dxfId="288" priority="278" stopIfTrue="1">
      <formula>"Couples In Traffic"</formula>
    </cfRule>
  </conditionalFormatting>
  <conditionalFormatting sqref="O5:O17">
    <cfRule type="cellIs" dxfId="287" priority="276" stopIfTrue="1" operator="between">
      <formula>221101</formula>
      <formula>221140</formula>
    </cfRule>
  </conditionalFormatting>
  <conditionalFormatting sqref="O5:O17">
    <cfRule type="cellIs" dxfId="286" priority="274" stopIfTrue="1" operator="equal">
      <formula>221144</formula>
    </cfRule>
    <cfRule type="cellIs" dxfId="285" priority="275" stopIfTrue="1" operator="equal">
      <formula>221136</formula>
    </cfRule>
  </conditionalFormatting>
  <conditionalFormatting sqref="O5:O17">
    <cfRule type="cellIs" dxfId="284" priority="272" stopIfTrue="1" operator="equal">
      <formula>221144</formula>
    </cfRule>
    <cfRule type="cellIs" dxfId="283" priority="273" stopIfTrue="1" operator="equal">
      <formula>221136</formula>
    </cfRule>
  </conditionalFormatting>
  <conditionalFormatting sqref="O25:O30">
    <cfRule type="cellIs" dxfId="282" priority="271" stopIfTrue="1" operator="between">
      <formula>221101</formula>
      <formula>221140</formula>
    </cfRule>
  </conditionalFormatting>
  <conditionalFormatting sqref="O25:O30">
    <cfRule type="cellIs" dxfId="281" priority="269" stopIfTrue="1" operator="equal">
      <formula>221144</formula>
    </cfRule>
    <cfRule type="cellIs" dxfId="280" priority="270" stopIfTrue="1" operator="equal">
      <formula>221136</formula>
    </cfRule>
  </conditionalFormatting>
  <conditionalFormatting sqref="O37:O42">
    <cfRule type="cellIs" dxfId="279" priority="268" stopIfTrue="1" operator="between">
      <formula>221101</formula>
      <formula>221140</formula>
    </cfRule>
  </conditionalFormatting>
  <conditionalFormatting sqref="O37:O42">
    <cfRule type="cellIs" dxfId="278" priority="266" stopIfTrue="1" operator="equal">
      <formula>221144</formula>
    </cfRule>
    <cfRule type="cellIs" dxfId="277" priority="267" stopIfTrue="1" operator="equal">
      <formula>221136</formula>
    </cfRule>
  </conditionalFormatting>
  <conditionalFormatting sqref="O49:O56">
    <cfRule type="cellIs" dxfId="276" priority="265" stopIfTrue="1" operator="between">
      <formula>221101</formula>
      <formula>221140</formula>
    </cfRule>
  </conditionalFormatting>
  <conditionalFormatting sqref="O49:O56">
    <cfRule type="cellIs" dxfId="275" priority="263" stopIfTrue="1" operator="equal">
      <formula>221144</formula>
    </cfRule>
    <cfRule type="cellIs" dxfId="274" priority="264" stopIfTrue="1" operator="equal">
      <formula>221136</formula>
    </cfRule>
  </conditionalFormatting>
  <conditionalFormatting sqref="O49:O56">
    <cfRule type="cellIs" dxfId="273" priority="261" stopIfTrue="1" operator="equal">
      <formula>221144</formula>
    </cfRule>
    <cfRule type="cellIs" dxfId="272" priority="262" stopIfTrue="1" operator="equal">
      <formula>221136</formula>
    </cfRule>
  </conditionalFormatting>
  <conditionalFormatting sqref="O63:O89">
    <cfRule type="cellIs" dxfId="271" priority="260" stopIfTrue="1" operator="between">
      <formula>221101</formula>
      <formula>221140</formula>
    </cfRule>
  </conditionalFormatting>
  <conditionalFormatting sqref="O63:O89">
    <cfRule type="cellIs" dxfId="270" priority="258" stopIfTrue="1" operator="equal">
      <formula>221144</formula>
    </cfRule>
    <cfRule type="cellIs" dxfId="269" priority="259" stopIfTrue="1" operator="equal">
      <formula>221136</formula>
    </cfRule>
  </conditionalFormatting>
  <conditionalFormatting sqref="O96:O103">
    <cfRule type="cellIs" dxfId="268" priority="257" stopIfTrue="1" operator="between">
      <formula>221101</formula>
      <formula>221140</formula>
    </cfRule>
  </conditionalFormatting>
  <conditionalFormatting sqref="O96:O103">
    <cfRule type="cellIs" dxfId="267" priority="255" stopIfTrue="1" operator="equal">
      <formula>221144</formula>
    </cfRule>
    <cfRule type="cellIs" dxfId="266" priority="256" stopIfTrue="1" operator="equal">
      <formula>221136</formula>
    </cfRule>
  </conditionalFormatting>
  <conditionalFormatting sqref="O110:O119">
    <cfRule type="cellIs" dxfId="265" priority="254" stopIfTrue="1" operator="between">
      <formula>221101</formula>
      <formula>221140</formula>
    </cfRule>
  </conditionalFormatting>
  <conditionalFormatting sqref="O110:O119">
    <cfRule type="cellIs" dxfId="264" priority="252" stopIfTrue="1" operator="equal">
      <formula>221144</formula>
    </cfRule>
    <cfRule type="cellIs" dxfId="263" priority="253" stopIfTrue="1" operator="equal">
      <formula>221136</formula>
    </cfRule>
  </conditionalFormatting>
  <conditionalFormatting sqref="O126:O130">
    <cfRule type="cellIs" dxfId="262" priority="251" stopIfTrue="1" operator="between">
      <formula>221101</formula>
      <formula>221140</formula>
    </cfRule>
  </conditionalFormatting>
  <conditionalFormatting sqref="O126:O130">
    <cfRule type="cellIs" dxfId="261" priority="249" stopIfTrue="1" operator="equal">
      <formula>221144</formula>
    </cfRule>
    <cfRule type="cellIs" dxfId="260" priority="250" stopIfTrue="1" operator="equal">
      <formula>221136</formula>
    </cfRule>
  </conditionalFormatting>
  <conditionalFormatting sqref="O137:O145">
    <cfRule type="cellIs" dxfId="259" priority="248" stopIfTrue="1" operator="between">
      <formula>221101</formula>
      <formula>221140</formula>
    </cfRule>
  </conditionalFormatting>
  <conditionalFormatting sqref="O137:O145">
    <cfRule type="cellIs" dxfId="258" priority="246" stopIfTrue="1" operator="equal">
      <formula>221144</formula>
    </cfRule>
    <cfRule type="cellIs" dxfId="257" priority="247" stopIfTrue="1" operator="equal">
      <formula>221136</formula>
    </cfRule>
  </conditionalFormatting>
  <conditionalFormatting sqref="O5:O17 O25:O30 O37:O42 O49:O56 O63:O89 O96:O103 O110:O119 O126:O130 O137:O145">
    <cfRule type="cellIs" dxfId="256" priority="245" operator="equal">
      <formula>221140</formula>
    </cfRule>
  </conditionalFormatting>
  <conditionalFormatting sqref="Q8:Q17">
    <cfRule type="cellIs" dxfId="255" priority="244" stopIfTrue="1" operator="between">
      <formula>221101</formula>
      <formula>221140</formula>
    </cfRule>
  </conditionalFormatting>
  <conditionalFormatting sqref="Q8:Q17">
    <cfRule type="cellIs" dxfId="254" priority="242" stopIfTrue="1" operator="equal">
      <formula>221144</formula>
    </cfRule>
    <cfRule type="cellIs" dxfId="253" priority="243" stopIfTrue="1" operator="equal">
      <formula>221136</formula>
    </cfRule>
  </conditionalFormatting>
  <conditionalFormatting sqref="Q8:Q17">
    <cfRule type="cellIs" dxfId="252" priority="240" stopIfTrue="1" operator="equal">
      <formula>221144</formula>
    </cfRule>
    <cfRule type="cellIs" dxfId="251" priority="241" stopIfTrue="1" operator="equal">
      <formula>221136</formula>
    </cfRule>
  </conditionalFormatting>
  <conditionalFormatting sqref="Q26:Q30">
    <cfRule type="cellIs" dxfId="250" priority="239" stopIfTrue="1" operator="between">
      <formula>221101</formula>
      <formula>221140</formula>
    </cfRule>
  </conditionalFormatting>
  <conditionalFormatting sqref="Q26:Q30">
    <cfRule type="cellIs" dxfId="249" priority="237" stopIfTrue="1" operator="equal">
      <formula>221144</formula>
    </cfRule>
    <cfRule type="cellIs" dxfId="248" priority="238" stopIfTrue="1" operator="equal">
      <formula>221136</formula>
    </cfRule>
  </conditionalFormatting>
  <conditionalFormatting sqref="Q41:Q42">
    <cfRule type="cellIs" dxfId="247" priority="236" stopIfTrue="1" operator="between">
      <formula>221101</formula>
      <formula>221140</formula>
    </cfRule>
  </conditionalFormatting>
  <conditionalFormatting sqref="Q41:Q42">
    <cfRule type="cellIs" dxfId="246" priority="234" stopIfTrue="1" operator="equal">
      <formula>221144</formula>
    </cfRule>
    <cfRule type="cellIs" dxfId="245" priority="235" stopIfTrue="1" operator="equal">
      <formula>221136</formula>
    </cfRule>
  </conditionalFormatting>
  <conditionalFormatting sqref="Q50 Q53:Q56">
    <cfRule type="cellIs" dxfId="244" priority="233" stopIfTrue="1" operator="between">
      <formula>221101</formula>
      <formula>221140</formula>
    </cfRule>
  </conditionalFormatting>
  <conditionalFormatting sqref="Q50 Q53:Q56">
    <cfRule type="cellIs" dxfId="243" priority="231" stopIfTrue="1" operator="equal">
      <formula>221144</formula>
    </cfRule>
    <cfRule type="cellIs" dxfId="242" priority="232" stopIfTrue="1" operator="equal">
      <formula>221136</formula>
    </cfRule>
  </conditionalFormatting>
  <conditionalFormatting sqref="Q50 Q53:Q56">
    <cfRule type="cellIs" dxfId="241" priority="229" stopIfTrue="1" operator="equal">
      <formula>221144</formula>
    </cfRule>
    <cfRule type="cellIs" dxfId="240" priority="230" stopIfTrue="1" operator="equal">
      <formula>221136</formula>
    </cfRule>
  </conditionalFormatting>
  <conditionalFormatting sqref="Q64:Q65 Q76:Q77 Q69 Q71:Q74 Q79:Q89">
    <cfRule type="cellIs" dxfId="239" priority="228" stopIfTrue="1" operator="between">
      <formula>221101</formula>
      <formula>221140</formula>
    </cfRule>
  </conditionalFormatting>
  <conditionalFormatting sqref="Q64:Q65 Q76:Q77 Q69 Q71:Q74 Q79:Q89">
    <cfRule type="cellIs" dxfId="238" priority="226" stopIfTrue="1" operator="equal">
      <formula>221144</formula>
    </cfRule>
    <cfRule type="cellIs" dxfId="237" priority="227" stopIfTrue="1" operator="equal">
      <formula>221136</formula>
    </cfRule>
  </conditionalFormatting>
  <conditionalFormatting sqref="Q96 Q98:Q103">
    <cfRule type="cellIs" dxfId="236" priority="225" stopIfTrue="1" operator="between">
      <formula>221101</formula>
      <formula>221140</formula>
    </cfRule>
  </conditionalFormatting>
  <conditionalFormatting sqref="Q96 Q98:Q103">
    <cfRule type="cellIs" dxfId="235" priority="223" stopIfTrue="1" operator="equal">
      <formula>221144</formula>
    </cfRule>
    <cfRule type="cellIs" dxfId="234" priority="224" stopIfTrue="1" operator="equal">
      <formula>221136</formula>
    </cfRule>
  </conditionalFormatting>
  <conditionalFormatting sqref="Q111:Q119">
    <cfRule type="cellIs" dxfId="233" priority="222" stopIfTrue="1" operator="between">
      <formula>221101</formula>
      <formula>221140</formula>
    </cfRule>
  </conditionalFormatting>
  <conditionalFormatting sqref="Q111:Q119">
    <cfRule type="cellIs" dxfId="232" priority="220" stopIfTrue="1" operator="equal">
      <formula>221144</formula>
    </cfRule>
    <cfRule type="cellIs" dxfId="231" priority="221" stopIfTrue="1" operator="equal">
      <formula>221136</formula>
    </cfRule>
  </conditionalFormatting>
  <conditionalFormatting sqref="Q128:Q130">
    <cfRule type="cellIs" dxfId="230" priority="219" stopIfTrue="1" operator="between">
      <formula>221101</formula>
      <formula>221140</formula>
    </cfRule>
  </conditionalFormatting>
  <conditionalFormatting sqref="Q128:Q130">
    <cfRule type="cellIs" dxfId="229" priority="217" stopIfTrue="1" operator="equal">
      <formula>221144</formula>
    </cfRule>
    <cfRule type="cellIs" dxfId="228" priority="218" stopIfTrue="1" operator="equal">
      <formula>221136</formula>
    </cfRule>
  </conditionalFormatting>
  <conditionalFormatting sqref="Q140:Q145">
    <cfRule type="cellIs" dxfId="227" priority="216" stopIfTrue="1" operator="between">
      <formula>221101</formula>
      <formula>221140</formula>
    </cfRule>
  </conditionalFormatting>
  <conditionalFormatting sqref="Q140:Q145">
    <cfRule type="cellIs" dxfId="226" priority="214" stopIfTrue="1" operator="equal">
      <formula>221144</formula>
    </cfRule>
    <cfRule type="cellIs" dxfId="225" priority="215" stopIfTrue="1" operator="equal">
      <formula>221136</formula>
    </cfRule>
  </conditionalFormatting>
  <conditionalFormatting sqref="Q26:Q30 Q41:Q42 Q50 Q64:Q65 Q96 Q111:Q119 Q128:Q130 Q140:Q145 Q8:Q17 Q53:Q56 Q76:Q77 Q69 Q71:Q74 Q98:Q103 Q79:Q89">
    <cfRule type="cellIs" dxfId="224" priority="213" operator="equal">
      <formula>221140</formula>
    </cfRule>
  </conditionalFormatting>
  <conditionalFormatting sqref="F9">
    <cfRule type="cellIs" dxfId="223" priority="212" stopIfTrue="1" operator="notEqual">
      <formula>"FP"</formula>
    </cfRule>
  </conditionalFormatting>
  <conditionalFormatting sqref="E9">
    <cfRule type="cellIs" dxfId="222" priority="211" stopIfTrue="1" operator="between">
      <formula>221101</formula>
      <formula>221140</formula>
    </cfRule>
  </conditionalFormatting>
  <conditionalFormatting sqref="E9">
    <cfRule type="cellIs" dxfId="221" priority="209" stopIfTrue="1" operator="equal">
      <formula>221144</formula>
    </cfRule>
    <cfRule type="cellIs" dxfId="220" priority="210" stopIfTrue="1" operator="equal">
      <formula>221136</formula>
    </cfRule>
  </conditionalFormatting>
  <conditionalFormatting sqref="E9">
    <cfRule type="cellIs" dxfId="219" priority="207" stopIfTrue="1" operator="equal">
      <formula>221144</formula>
    </cfRule>
    <cfRule type="cellIs" dxfId="218" priority="208" stopIfTrue="1" operator="equal">
      <formula>221136</formula>
    </cfRule>
  </conditionalFormatting>
  <conditionalFormatting sqref="E9">
    <cfRule type="cellIs" dxfId="217" priority="206" operator="equal">
      <formula>221140</formula>
    </cfRule>
  </conditionalFormatting>
  <conditionalFormatting sqref="Q7">
    <cfRule type="cellIs" dxfId="216" priority="205" stopIfTrue="1" operator="between">
      <formula>221101</formula>
      <formula>221140</formula>
    </cfRule>
  </conditionalFormatting>
  <conditionalFormatting sqref="Q7">
    <cfRule type="cellIs" dxfId="215" priority="203" stopIfTrue="1" operator="equal">
      <formula>221144</formula>
    </cfRule>
    <cfRule type="cellIs" dxfId="214" priority="204" stopIfTrue="1" operator="equal">
      <formula>221136</formula>
    </cfRule>
  </conditionalFormatting>
  <conditionalFormatting sqref="Q7">
    <cfRule type="cellIs" dxfId="213" priority="201" stopIfTrue="1" operator="equal">
      <formula>221144</formula>
    </cfRule>
    <cfRule type="cellIs" dxfId="212" priority="202" stopIfTrue="1" operator="equal">
      <formula>221136</formula>
    </cfRule>
  </conditionalFormatting>
  <conditionalFormatting sqref="Q7">
    <cfRule type="cellIs" dxfId="211" priority="200" operator="equal">
      <formula>221140</formula>
    </cfRule>
  </conditionalFormatting>
  <conditionalFormatting sqref="F28">
    <cfRule type="cellIs" dxfId="210" priority="199" stopIfTrue="1" operator="notEqual">
      <formula>"FP"</formula>
    </cfRule>
  </conditionalFormatting>
  <conditionalFormatting sqref="E28">
    <cfRule type="cellIs" dxfId="209" priority="198" stopIfTrue="1" operator="between">
      <formula>221101</formula>
      <formula>221140</formula>
    </cfRule>
  </conditionalFormatting>
  <conditionalFormatting sqref="E28">
    <cfRule type="cellIs" dxfId="208" priority="196" stopIfTrue="1" operator="equal">
      <formula>221144</formula>
    </cfRule>
    <cfRule type="cellIs" dxfId="207" priority="197" stopIfTrue="1" operator="equal">
      <formula>221136</formula>
    </cfRule>
  </conditionalFormatting>
  <conditionalFormatting sqref="E28">
    <cfRule type="cellIs" dxfId="206" priority="195" operator="equal">
      <formula>221140</formula>
    </cfRule>
  </conditionalFormatting>
  <conditionalFormatting sqref="Q25">
    <cfRule type="cellIs" dxfId="205" priority="194" stopIfTrue="1" operator="between">
      <formula>221101</formula>
      <formula>221140</formula>
    </cfRule>
  </conditionalFormatting>
  <conditionalFormatting sqref="Q25">
    <cfRule type="cellIs" dxfId="204" priority="192" stopIfTrue="1" operator="equal">
      <formula>221144</formula>
    </cfRule>
    <cfRule type="cellIs" dxfId="203" priority="193" stopIfTrue="1" operator="equal">
      <formula>221136</formula>
    </cfRule>
  </conditionalFormatting>
  <conditionalFormatting sqref="Q25">
    <cfRule type="cellIs" dxfId="202" priority="191" operator="equal">
      <formula>221140</formula>
    </cfRule>
  </conditionalFormatting>
  <conditionalFormatting sqref="F49:F53">
    <cfRule type="cellIs" dxfId="201" priority="190" stopIfTrue="1" operator="notEqual">
      <formula>"FP"</formula>
    </cfRule>
  </conditionalFormatting>
  <conditionalFormatting sqref="E51">
    <cfRule type="cellIs" dxfId="200" priority="189" stopIfTrue="1" operator="between">
      <formula>221101</formula>
      <formula>221140</formula>
    </cfRule>
  </conditionalFormatting>
  <conditionalFormatting sqref="E51">
    <cfRule type="cellIs" dxfId="199" priority="187" stopIfTrue="1" operator="equal">
      <formula>221144</formula>
    </cfRule>
    <cfRule type="cellIs" dxfId="198" priority="188" stopIfTrue="1" operator="equal">
      <formula>221136</formula>
    </cfRule>
  </conditionalFormatting>
  <conditionalFormatting sqref="E51">
    <cfRule type="cellIs" dxfId="197" priority="185" stopIfTrue="1" operator="equal">
      <formula>221144</formula>
    </cfRule>
    <cfRule type="cellIs" dxfId="196" priority="186" stopIfTrue="1" operator="equal">
      <formula>221136</formula>
    </cfRule>
  </conditionalFormatting>
  <conditionalFormatting sqref="E51">
    <cfRule type="cellIs" dxfId="195" priority="184" operator="equal">
      <formula>221140</formula>
    </cfRule>
  </conditionalFormatting>
  <conditionalFormatting sqref="G52">
    <cfRule type="cellIs" dxfId="194" priority="183" stopIfTrue="1" operator="between">
      <formula>221101</formula>
      <formula>221140</formula>
    </cfRule>
  </conditionalFormatting>
  <conditionalFormatting sqref="E52">
    <cfRule type="cellIs" dxfId="193" priority="182" stopIfTrue="1" operator="between">
      <formula>221101</formula>
      <formula>221140</formula>
    </cfRule>
  </conditionalFormatting>
  <conditionalFormatting sqref="E52">
    <cfRule type="cellIs" dxfId="192" priority="180" stopIfTrue="1" operator="equal">
      <formula>221144</formula>
    </cfRule>
    <cfRule type="cellIs" dxfId="191" priority="181" stopIfTrue="1" operator="equal">
      <formula>221136</formula>
    </cfRule>
  </conditionalFormatting>
  <conditionalFormatting sqref="E52">
    <cfRule type="cellIs" dxfId="190" priority="179" operator="equal">
      <formula>221140</formula>
    </cfRule>
  </conditionalFormatting>
  <conditionalFormatting sqref="G49">
    <cfRule type="cellIs" dxfId="189" priority="178" stopIfTrue="1" operator="between">
      <formula>221101</formula>
      <formula>221140</formula>
    </cfRule>
  </conditionalFormatting>
  <conditionalFormatting sqref="E49">
    <cfRule type="cellIs" dxfId="188" priority="177" stopIfTrue="1" operator="between">
      <formula>221101</formula>
      <formula>221140</formula>
    </cfRule>
  </conditionalFormatting>
  <conditionalFormatting sqref="E49">
    <cfRule type="cellIs" dxfId="187" priority="175" stopIfTrue="1" operator="equal">
      <formula>221144</formula>
    </cfRule>
    <cfRule type="cellIs" dxfId="186" priority="176" stopIfTrue="1" operator="equal">
      <formula>221136</formula>
    </cfRule>
  </conditionalFormatting>
  <conditionalFormatting sqref="E49">
    <cfRule type="cellIs" dxfId="185" priority="174" operator="equal">
      <formula>221140</formula>
    </cfRule>
  </conditionalFormatting>
  <conditionalFormatting sqref="G53">
    <cfRule type="cellIs" dxfId="184" priority="173" stopIfTrue="1" operator="between">
      <formula>221101</formula>
      <formula>221140</formula>
    </cfRule>
  </conditionalFormatting>
  <conditionalFormatting sqref="E53">
    <cfRule type="cellIs" dxfId="183" priority="172" stopIfTrue="1" operator="between">
      <formula>221101</formula>
      <formula>221140</formula>
    </cfRule>
  </conditionalFormatting>
  <conditionalFormatting sqref="E53">
    <cfRule type="cellIs" dxfId="182" priority="170" stopIfTrue="1" operator="equal">
      <formula>221144</formula>
    </cfRule>
    <cfRule type="cellIs" dxfId="181" priority="171" stopIfTrue="1" operator="equal">
      <formula>221136</formula>
    </cfRule>
  </conditionalFormatting>
  <conditionalFormatting sqref="E53">
    <cfRule type="cellIs" dxfId="180" priority="169" operator="equal">
      <formula>221140</formula>
    </cfRule>
  </conditionalFormatting>
  <conditionalFormatting sqref="R51">
    <cfRule type="cellIs" dxfId="179" priority="168" stopIfTrue="1" operator="between">
      <formula>221101</formula>
      <formula>221140</formula>
    </cfRule>
  </conditionalFormatting>
  <conditionalFormatting sqref="Q51">
    <cfRule type="cellIs" dxfId="178" priority="167" stopIfTrue="1" operator="between">
      <formula>221101</formula>
      <formula>221140</formula>
    </cfRule>
  </conditionalFormatting>
  <conditionalFormatting sqref="Q51">
    <cfRule type="cellIs" dxfId="177" priority="165" stopIfTrue="1" operator="equal">
      <formula>221144</formula>
    </cfRule>
    <cfRule type="cellIs" dxfId="176" priority="166" stopIfTrue="1" operator="equal">
      <formula>221136</formula>
    </cfRule>
  </conditionalFormatting>
  <conditionalFormatting sqref="Q51">
    <cfRule type="cellIs" dxfId="175" priority="163" stopIfTrue="1" operator="equal">
      <formula>221144</formula>
    </cfRule>
    <cfRule type="cellIs" dxfId="174" priority="164" stopIfTrue="1" operator="equal">
      <formula>221136</formula>
    </cfRule>
  </conditionalFormatting>
  <conditionalFormatting sqref="Q51">
    <cfRule type="cellIs" dxfId="173" priority="162" operator="equal">
      <formula>221140</formula>
    </cfRule>
  </conditionalFormatting>
  <conditionalFormatting sqref="R52">
    <cfRule type="cellIs" dxfId="172" priority="161" stopIfTrue="1" operator="between">
      <formula>221101</formula>
      <formula>221140</formula>
    </cfRule>
  </conditionalFormatting>
  <conditionalFormatting sqref="Q52">
    <cfRule type="cellIs" dxfId="171" priority="160" stopIfTrue="1" operator="between">
      <formula>221101</formula>
      <formula>221140</formula>
    </cfRule>
  </conditionalFormatting>
  <conditionalFormatting sqref="Q52">
    <cfRule type="cellIs" dxfId="170" priority="158" stopIfTrue="1" operator="equal">
      <formula>221144</formula>
    </cfRule>
    <cfRule type="cellIs" dxfId="169" priority="159" stopIfTrue="1" operator="equal">
      <formula>221136</formula>
    </cfRule>
  </conditionalFormatting>
  <conditionalFormatting sqref="Q52">
    <cfRule type="cellIs" dxfId="168" priority="157" operator="equal">
      <formula>221140</formula>
    </cfRule>
  </conditionalFormatting>
  <conditionalFormatting sqref="F64:F77">
    <cfRule type="cellIs" dxfId="167" priority="156" stopIfTrue="1" operator="notEqual">
      <formula>"FP"</formula>
    </cfRule>
  </conditionalFormatting>
  <conditionalFormatting sqref="E72:E73 E67:E69 E77 E65 E75">
    <cfRule type="cellIs" dxfId="166" priority="155" stopIfTrue="1" operator="between">
      <formula>221101</formula>
      <formula>221140</formula>
    </cfRule>
  </conditionalFormatting>
  <conditionalFormatting sqref="E72:E73 E67:E69 E77 E65 E75">
    <cfRule type="cellIs" dxfId="165" priority="153" stopIfTrue="1" operator="equal">
      <formula>221144</formula>
    </cfRule>
    <cfRule type="cellIs" dxfId="164" priority="154" stopIfTrue="1" operator="equal">
      <formula>221136</formula>
    </cfRule>
  </conditionalFormatting>
  <conditionalFormatting sqref="E72:E73 E67:E69 E77 E65 E75">
    <cfRule type="cellIs" dxfId="163" priority="152" operator="equal">
      <formula>221140</formula>
    </cfRule>
  </conditionalFormatting>
  <conditionalFormatting sqref="G71">
    <cfRule type="cellIs" dxfId="162" priority="151" stopIfTrue="1" operator="between">
      <formula>221101</formula>
      <formula>221140</formula>
    </cfRule>
  </conditionalFormatting>
  <conditionalFormatting sqref="G71">
    <cfRule type="cellIs" dxfId="161" priority="149" stopIfTrue="1" operator="equal">
      <formula>221144</formula>
    </cfRule>
    <cfRule type="cellIs" dxfId="160" priority="150" stopIfTrue="1" operator="equal">
      <formula>221136</formula>
    </cfRule>
  </conditionalFormatting>
  <conditionalFormatting sqref="G71">
    <cfRule type="cellIs" dxfId="159" priority="148" operator="equal">
      <formula>221140</formula>
    </cfRule>
  </conditionalFormatting>
  <conditionalFormatting sqref="E71">
    <cfRule type="cellIs" dxfId="158" priority="147" stopIfTrue="1" operator="between">
      <formula>221101</formula>
      <formula>221140</formula>
    </cfRule>
  </conditionalFormatting>
  <conditionalFormatting sqref="E71">
    <cfRule type="cellIs" dxfId="157" priority="145" stopIfTrue="1" operator="equal">
      <formula>221144</formula>
    </cfRule>
    <cfRule type="cellIs" dxfId="156" priority="146" stopIfTrue="1" operator="equal">
      <formula>221136</formula>
    </cfRule>
  </conditionalFormatting>
  <conditionalFormatting sqref="E71">
    <cfRule type="cellIs" dxfId="155" priority="144" operator="equal">
      <formula>221140</formula>
    </cfRule>
  </conditionalFormatting>
  <conditionalFormatting sqref="G66">
    <cfRule type="cellIs" dxfId="154" priority="143" stopIfTrue="1" operator="between">
      <formula>221101</formula>
      <formula>221140</formula>
    </cfRule>
  </conditionalFormatting>
  <conditionalFormatting sqref="E66">
    <cfRule type="cellIs" dxfId="153" priority="142" stopIfTrue="1" operator="between">
      <formula>221101</formula>
      <formula>221140</formula>
    </cfRule>
  </conditionalFormatting>
  <conditionalFormatting sqref="E66">
    <cfRule type="cellIs" dxfId="152" priority="140" stopIfTrue="1" operator="equal">
      <formula>221144</formula>
    </cfRule>
    <cfRule type="cellIs" dxfId="151" priority="141" stopIfTrue="1" operator="equal">
      <formula>221136</formula>
    </cfRule>
  </conditionalFormatting>
  <conditionalFormatting sqref="E66">
    <cfRule type="cellIs" dxfId="150" priority="139" operator="equal">
      <formula>221140</formula>
    </cfRule>
  </conditionalFormatting>
  <conditionalFormatting sqref="G76">
    <cfRule type="cellIs" dxfId="149" priority="138" stopIfTrue="1" operator="between">
      <formula>221101</formula>
      <formula>221140</formula>
    </cfRule>
  </conditionalFormatting>
  <conditionalFormatting sqref="E76">
    <cfRule type="cellIs" dxfId="148" priority="137" stopIfTrue="1" operator="between">
      <formula>221101</formula>
      <formula>221140</formula>
    </cfRule>
  </conditionalFormatting>
  <conditionalFormatting sqref="E76">
    <cfRule type="cellIs" dxfId="147" priority="135" stopIfTrue="1" operator="equal">
      <formula>221144</formula>
    </cfRule>
    <cfRule type="cellIs" dxfId="146" priority="136" stopIfTrue="1" operator="equal">
      <formula>221136</formula>
    </cfRule>
  </conditionalFormatting>
  <conditionalFormatting sqref="E76">
    <cfRule type="cellIs" dxfId="145" priority="134" operator="equal">
      <formula>221140</formula>
    </cfRule>
  </conditionalFormatting>
  <conditionalFormatting sqref="E64">
    <cfRule type="cellIs" dxfId="144" priority="133" stopIfTrue="1" operator="between">
      <formula>221101</formula>
      <formula>221140</formula>
    </cfRule>
  </conditionalFormatting>
  <conditionalFormatting sqref="E64">
    <cfRule type="cellIs" dxfId="143" priority="131" stopIfTrue="1" operator="equal">
      <formula>221144</formula>
    </cfRule>
    <cfRule type="cellIs" dxfId="142" priority="132" stopIfTrue="1" operator="equal">
      <formula>221136</formula>
    </cfRule>
  </conditionalFormatting>
  <conditionalFormatting sqref="E64">
    <cfRule type="cellIs" dxfId="141" priority="130" operator="equal">
      <formula>221140</formula>
    </cfRule>
  </conditionalFormatting>
  <conditionalFormatting sqref="E70">
    <cfRule type="cellIs" dxfId="140" priority="129" stopIfTrue="1" operator="between">
      <formula>221101</formula>
      <formula>221140</formula>
    </cfRule>
  </conditionalFormatting>
  <conditionalFormatting sqref="E70">
    <cfRule type="cellIs" dxfId="139" priority="127" stopIfTrue="1" operator="equal">
      <formula>221144</formula>
    </cfRule>
    <cfRule type="cellIs" dxfId="138" priority="128" stopIfTrue="1" operator="equal">
      <formula>221136</formula>
    </cfRule>
  </conditionalFormatting>
  <conditionalFormatting sqref="E70">
    <cfRule type="cellIs" dxfId="137" priority="126" operator="equal">
      <formula>221140</formula>
    </cfRule>
  </conditionalFormatting>
  <conditionalFormatting sqref="Q63">
    <cfRule type="cellIs" dxfId="136" priority="125" stopIfTrue="1" operator="between">
      <formula>221101</formula>
      <formula>221140</formula>
    </cfRule>
  </conditionalFormatting>
  <conditionalFormatting sqref="Q63">
    <cfRule type="cellIs" dxfId="135" priority="123" stopIfTrue="1" operator="equal">
      <formula>221144</formula>
    </cfRule>
    <cfRule type="cellIs" dxfId="134" priority="124" stopIfTrue="1" operator="equal">
      <formula>221136</formula>
    </cfRule>
  </conditionalFormatting>
  <conditionalFormatting sqref="Q63">
    <cfRule type="cellIs" dxfId="133" priority="122" operator="equal">
      <formula>221140</formula>
    </cfRule>
  </conditionalFormatting>
  <conditionalFormatting sqref="R75">
    <cfRule type="cellIs" dxfId="132" priority="121" stopIfTrue="1" operator="between">
      <formula>221101</formula>
      <formula>221140</formula>
    </cfRule>
  </conditionalFormatting>
  <conditionalFormatting sqref="Q75">
    <cfRule type="cellIs" dxfId="131" priority="120" stopIfTrue="1" operator="between">
      <formula>221101</formula>
      <formula>221140</formula>
    </cfRule>
  </conditionalFormatting>
  <conditionalFormatting sqref="Q75">
    <cfRule type="cellIs" dxfId="130" priority="118" stopIfTrue="1" operator="equal">
      <formula>221144</formula>
    </cfRule>
    <cfRule type="cellIs" dxfId="129" priority="119" stopIfTrue="1" operator="equal">
      <formula>221136</formula>
    </cfRule>
  </conditionalFormatting>
  <conditionalFormatting sqref="Q75">
    <cfRule type="cellIs" dxfId="128" priority="117" operator="equal">
      <formula>221140</formula>
    </cfRule>
  </conditionalFormatting>
  <conditionalFormatting sqref="Q66">
    <cfRule type="cellIs" dxfId="127" priority="116" stopIfTrue="1" operator="between">
      <formula>221101</formula>
      <formula>221140</formula>
    </cfRule>
  </conditionalFormatting>
  <conditionalFormatting sqref="Q66">
    <cfRule type="cellIs" dxfId="126" priority="114" stopIfTrue="1" operator="equal">
      <formula>221144</formula>
    </cfRule>
    <cfRule type="cellIs" dxfId="125" priority="115" stopIfTrue="1" operator="equal">
      <formula>221136</formula>
    </cfRule>
  </conditionalFormatting>
  <conditionalFormatting sqref="Q66">
    <cfRule type="cellIs" dxfId="124" priority="113" operator="equal">
      <formula>221140</formula>
    </cfRule>
  </conditionalFormatting>
  <conditionalFormatting sqref="R67">
    <cfRule type="cellIs" dxfId="123" priority="112" stopIfTrue="1" operator="between">
      <formula>221101</formula>
      <formula>221140</formula>
    </cfRule>
  </conditionalFormatting>
  <conditionalFormatting sqref="R67">
    <cfRule type="cellIs" dxfId="122" priority="110" stopIfTrue="1" operator="equal">
      <formula>221144</formula>
    </cfRule>
    <cfRule type="cellIs" dxfId="121" priority="111" stopIfTrue="1" operator="equal">
      <formula>221136</formula>
    </cfRule>
  </conditionalFormatting>
  <conditionalFormatting sqref="R67">
    <cfRule type="cellIs" dxfId="120" priority="109" operator="equal">
      <formula>221140</formula>
    </cfRule>
  </conditionalFormatting>
  <conditionalFormatting sqref="Q67">
    <cfRule type="cellIs" dxfId="119" priority="108" stopIfTrue="1" operator="between">
      <formula>221101</formula>
      <formula>221140</formula>
    </cfRule>
  </conditionalFormatting>
  <conditionalFormatting sqref="Q67">
    <cfRule type="cellIs" dxfId="118" priority="106" stopIfTrue="1" operator="equal">
      <formula>221144</formula>
    </cfRule>
    <cfRule type="cellIs" dxfId="117" priority="107" stopIfTrue="1" operator="equal">
      <formula>221136</formula>
    </cfRule>
  </conditionalFormatting>
  <conditionalFormatting sqref="Q67">
    <cfRule type="cellIs" dxfId="116" priority="105" operator="equal">
      <formula>221140</formula>
    </cfRule>
  </conditionalFormatting>
  <conditionalFormatting sqref="R70">
    <cfRule type="cellIs" dxfId="115" priority="104" stopIfTrue="1" operator="between">
      <formula>221101</formula>
      <formula>221140</formula>
    </cfRule>
  </conditionalFormatting>
  <conditionalFormatting sqref="Q70">
    <cfRule type="cellIs" dxfId="114" priority="103" stopIfTrue="1" operator="between">
      <formula>221101</formula>
      <formula>221140</formula>
    </cfRule>
  </conditionalFormatting>
  <conditionalFormatting sqref="Q70">
    <cfRule type="cellIs" dxfId="113" priority="101" stopIfTrue="1" operator="equal">
      <formula>221144</formula>
    </cfRule>
    <cfRule type="cellIs" dxfId="112" priority="102" stopIfTrue="1" operator="equal">
      <formula>221136</formula>
    </cfRule>
  </conditionalFormatting>
  <conditionalFormatting sqref="Q70">
    <cfRule type="cellIs" dxfId="111" priority="100" operator="equal">
      <formula>221140</formula>
    </cfRule>
  </conditionalFormatting>
  <conditionalFormatting sqref="Q68">
    <cfRule type="cellIs" dxfId="110" priority="99" stopIfTrue="1" operator="between">
      <formula>221101</formula>
      <formula>221140</formula>
    </cfRule>
  </conditionalFormatting>
  <conditionalFormatting sqref="Q68">
    <cfRule type="cellIs" dxfId="109" priority="97" stopIfTrue="1" operator="equal">
      <formula>221144</formula>
    </cfRule>
    <cfRule type="cellIs" dxfId="108" priority="98" stopIfTrue="1" operator="equal">
      <formula>221136</formula>
    </cfRule>
  </conditionalFormatting>
  <conditionalFormatting sqref="Q68">
    <cfRule type="cellIs" dxfId="107" priority="96" operator="equal">
      <formula>221140</formula>
    </cfRule>
  </conditionalFormatting>
  <conditionalFormatting sqref="F99">
    <cfRule type="cellIs" dxfId="106" priority="95" stopIfTrue="1" operator="notEqual">
      <formula>"FP"</formula>
    </cfRule>
  </conditionalFormatting>
  <conditionalFormatting sqref="G99">
    <cfRule type="cellIs" dxfId="105" priority="94" stopIfTrue="1" operator="between">
      <formula>221101</formula>
      <formula>221140</formula>
    </cfRule>
  </conditionalFormatting>
  <conditionalFormatting sqref="E99">
    <cfRule type="cellIs" dxfId="104" priority="93" stopIfTrue="1" operator="between">
      <formula>221101</formula>
      <formula>221140</formula>
    </cfRule>
  </conditionalFormatting>
  <conditionalFormatting sqref="E99">
    <cfRule type="cellIs" dxfId="103" priority="91" stopIfTrue="1" operator="equal">
      <formula>221144</formula>
    </cfRule>
    <cfRule type="cellIs" dxfId="102" priority="92" stopIfTrue="1" operator="equal">
      <formula>221136</formula>
    </cfRule>
  </conditionalFormatting>
  <conditionalFormatting sqref="E99">
    <cfRule type="cellIs" dxfId="101" priority="90" operator="equal">
      <formula>221140</formula>
    </cfRule>
  </conditionalFormatting>
  <conditionalFormatting sqref="R97">
    <cfRule type="cellIs" dxfId="100" priority="89" stopIfTrue="1" operator="between">
      <formula>221101</formula>
      <formula>221140</formula>
    </cfRule>
  </conditionalFormatting>
  <conditionalFormatting sqref="Q97">
    <cfRule type="cellIs" dxfId="99" priority="88" stopIfTrue="1" operator="between">
      <formula>221101</formula>
      <formula>221140</formula>
    </cfRule>
  </conditionalFormatting>
  <conditionalFormatting sqref="Q97">
    <cfRule type="cellIs" dxfId="98" priority="86" stopIfTrue="1" operator="equal">
      <formula>221144</formula>
    </cfRule>
    <cfRule type="cellIs" dxfId="97" priority="87" stopIfTrue="1" operator="equal">
      <formula>221136</formula>
    </cfRule>
  </conditionalFormatting>
  <conditionalFormatting sqref="Q97">
    <cfRule type="cellIs" dxfId="96" priority="85" operator="equal">
      <formula>221140</formula>
    </cfRule>
  </conditionalFormatting>
  <conditionalFormatting sqref="F137:F138">
    <cfRule type="cellIs" dxfId="95" priority="84" stopIfTrue="1" operator="notEqual">
      <formula>"FP"</formula>
    </cfRule>
  </conditionalFormatting>
  <conditionalFormatting sqref="E138">
    <cfRule type="cellIs" dxfId="94" priority="83" stopIfTrue="1" operator="between">
      <formula>221101</formula>
      <formula>221140</formula>
    </cfRule>
  </conditionalFormatting>
  <conditionalFormatting sqref="E138">
    <cfRule type="cellIs" dxfId="93" priority="81" stopIfTrue="1" operator="equal">
      <formula>221144</formula>
    </cfRule>
    <cfRule type="cellIs" dxfId="92" priority="82" stopIfTrue="1" operator="equal">
      <formula>221136</formula>
    </cfRule>
  </conditionalFormatting>
  <conditionalFormatting sqref="E138">
    <cfRule type="cellIs" dxfId="91" priority="80" operator="equal">
      <formula>221140</formula>
    </cfRule>
  </conditionalFormatting>
  <conditionalFormatting sqref="G137">
    <cfRule type="cellIs" dxfId="90" priority="79" stopIfTrue="1" operator="between">
      <formula>221101</formula>
      <formula>221140</formula>
    </cfRule>
  </conditionalFormatting>
  <conditionalFormatting sqref="E137">
    <cfRule type="cellIs" dxfId="89" priority="78" stopIfTrue="1" operator="between">
      <formula>221101</formula>
      <formula>221140</formula>
    </cfRule>
  </conditionalFormatting>
  <conditionalFormatting sqref="E137">
    <cfRule type="cellIs" dxfId="88" priority="76" stopIfTrue="1" operator="equal">
      <formula>221144</formula>
    </cfRule>
    <cfRule type="cellIs" dxfId="87" priority="77" stopIfTrue="1" operator="equal">
      <formula>221136</formula>
    </cfRule>
  </conditionalFormatting>
  <conditionalFormatting sqref="E137">
    <cfRule type="cellIs" dxfId="86" priority="75" operator="equal">
      <formula>221140</formula>
    </cfRule>
  </conditionalFormatting>
  <conditionalFormatting sqref="Q137">
    <cfRule type="cellIs" dxfId="85" priority="74" stopIfTrue="1" operator="between">
      <formula>221101</formula>
      <formula>221140</formula>
    </cfRule>
  </conditionalFormatting>
  <conditionalFormatting sqref="Q137">
    <cfRule type="cellIs" dxfId="84" priority="72" stopIfTrue="1" operator="equal">
      <formula>221144</formula>
    </cfRule>
    <cfRule type="cellIs" dxfId="83" priority="73" stopIfTrue="1" operator="equal">
      <formula>221136</formula>
    </cfRule>
  </conditionalFormatting>
  <conditionalFormatting sqref="Q137">
    <cfRule type="cellIs" dxfId="82" priority="71" operator="equal">
      <formula>221140</formula>
    </cfRule>
  </conditionalFormatting>
  <conditionalFormatting sqref="R138">
    <cfRule type="cellIs" dxfId="81" priority="70" stopIfTrue="1" operator="between">
      <formula>221101</formula>
      <formula>221140</formula>
    </cfRule>
  </conditionalFormatting>
  <conditionalFormatting sqref="Q138">
    <cfRule type="cellIs" dxfId="80" priority="69" stopIfTrue="1" operator="between">
      <formula>221101</formula>
      <formula>221140</formula>
    </cfRule>
  </conditionalFormatting>
  <conditionalFormatting sqref="Q138">
    <cfRule type="cellIs" dxfId="79" priority="67" stopIfTrue="1" operator="equal">
      <formula>221144</formula>
    </cfRule>
    <cfRule type="cellIs" dxfId="78" priority="68" stopIfTrue="1" operator="equal">
      <formula>221136</formula>
    </cfRule>
  </conditionalFormatting>
  <conditionalFormatting sqref="Q138">
    <cfRule type="cellIs" dxfId="77" priority="66" operator="equal">
      <formula>221140</formula>
    </cfRule>
  </conditionalFormatting>
  <conditionalFormatting sqref="G113">
    <cfRule type="cellIs" dxfId="76" priority="65" stopIfTrue="1" operator="between">
      <formula>221101</formula>
      <formula>221140</formula>
    </cfRule>
  </conditionalFormatting>
  <conditionalFormatting sqref="G69">
    <cfRule type="cellIs" dxfId="75" priority="32" stopIfTrue="1" operator="between">
      <formula>221101</formula>
      <formula>221140</formula>
    </cfRule>
  </conditionalFormatting>
  <conditionalFormatting sqref="R110">
    <cfRule type="cellIs" dxfId="74" priority="64" stopIfTrue="1" operator="between">
      <formula>221101</formula>
      <formula>221140</formula>
    </cfRule>
  </conditionalFormatting>
  <conditionalFormatting sqref="E113 Q110">
    <cfRule type="cellIs" dxfId="73" priority="63" stopIfTrue="1" operator="between">
      <formula>221101</formula>
      <formula>221140</formula>
    </cfRule>
  </conditionalFormatting>
  <conditionalFormatting sqref="E113 Q110">
    <cfRule type="cellIs" dxfId="72" priority="61" stopIfTrue="1" operator="equal">
      <formula>221144</formula>
    </cfRule>
    <cfRule type="cellIs" dxfId="71" priority="62" stopIfTrue="1" operator="equal">
      <formula>221136</formula>
    </cfRule>
  </conditionalFormatting>
  <conditionalFormatting sqref="E113 Q110">
    <cfRule type="cellIs" dxfId="70" priority="60" operator="equal">
      <formula>221140</formula>
    </cfRule>
  </conditionalFormatting>
  <conditionalFormatting sqref="F78">
    <cfRule type="cellIs" dxfId="69" priority="59" stopIfTrue="1" operator="notEqual">
      <formula>"FP"</formula>
    </cfRule>
  </conditionalFormatting>
  <conditionalFormatting sqref="E78">
    <cfRule type="cellIs" dxfId="68" priority="58" stopIfTrue="1" operator="between">
      <formula>221101</formula>
      <formula>221140</formula>
    </cfRule>
  </conditionalFormatting>
  <conditionalFormatting sqref="E78">
    <cfRule type="cellIs" dxfId="67" priority="56" stopIfTrue="1" operator="equal">
      <formula>221144</formula>
    </cfRule>
    <cfRule type="cellIs" dxfId="66" priority="57" stopIfTrue="1" operator="equal">
      <formula>221136</formula>
    </cfRule>
  </conditionalFormatting>
  <conditionalFormatting sqref="E78">
    <cfRule type="cellIs" dxfId="65" priority="55" operator="equal">
      <formula>221140</formula>
    </cfRule>
  </conditionalFormatting>
  <conditionalFormatting sqref="R139 G139">
    <cfRule type="cellIs" dxfId="64" priority="54" stopIfTrue="1" operator="between">
      <formula>221101</formula>
      <formula>221140</formula>
    </cfRule>
  </conditionalFormatting>
  <conditionalFormatting sqref="E139 Q139">
    <cfRule type="cellIs" dxfId="63" priority="53" stopIfTrue="1" operator="between">
      <formula>221101</formula>
      <formula>221140</formula>
    </cfRule>
  </conditionalFormatting>
  <conditionalFormatting sqref="E139 Q139">
    <cfRule type="cellIs" dxfId="62" priority="51" stopIfTrue="1" operator="equal">
      <formula>221144</formula>
    </cfRule>
    <cfRule type="cellIs" dxfId="61" priority="52" stopIfTrue="1" operator="equal">
      <formula>221136</formula>
    </cfRule>
  </conditionalFormatting>
  <conditionalFormatting sqref="E139 Q139">
    <cfRule type="cellIs" dxfId="60" priority="50" operator="equal">
      <formula>221140</formula>
    </cfRule>
  </conditionalFormatting>
  <conditionalFormatting sqref="R78 G74">
    <cfRule type="cellIs" dxfId="59" priority="49" stopIfTrue="1" operator="between">
      <formula>221101</formula>
      <formula>221140</formula>
    </cfRule>
  </conditionalFormatting>
  <conditionalFormatting sqref="E74 Q78">
    <cfRule type="cellIs" dxfId="58" priority="48" stopIfTrue="1" operator="between">
      <formula>221101</formula>
      <formula>221140</formula>
    </cfRule>
  </conditionalFormatting>
  <conditionalFormatting sqref="E74 Q78">
    <cfRule type="cellIs" dxfId="57" priority="46" stopIfTrue="1" operator="equal">
      <formula>221144</formula>
    </cfRule>
    <cfRule type="cellIs" dxfId="56" priority="47" stopIfTrue="1" operator="equal">
      <formula>221136</formula>
    </cfRule>
  </conditionalFormatting>
  <conditionalFormatting sqref="E74 Q78">
    <cfRule type="cellIs" dxfId="55" priority="45" operator="equal">
      <formula>221140</formula>
    </cfRule>
  </conditionalFormatting>
  <conditionalFormatting sqref="R137 G138">
    <cfRule type="cellIs" dxfId="54" priority="44" stopIfTrue="1" operator="between">
      <formula>221101</formula>
      <formula>221140</formula>
    </cfRule>
  </conditionalFormatting>
  <conditionalFormatting sqref="E50 Q49">
    <cfRule type="cellIs" dxfId="53" priority="43" stopIfTrue="1" operator="between">
      <formula>221101</formula>
      <formula>221140</formula>
    </cfRule>
  </conditionalFormatting>
  <conditionalFormatting sqref="E50 Q49">
    <cfRule type="cellIs" dxfId="52" priority="41" stopIfTrue="1" operator="equal">
      <formula>221144</formula>
    </cfRule>
    <cfRule type="cellIs" dxfId="51" priority="42" stopIfTrue="1" operator="equal">
      <formula>221136</formula>
    </cfRule>
  </conditionalFormatting>
  <conditionalFormatting sqref="E50 Q49">
    <cfRule type="cellIs" dxfId="50" priority="40" operator="equal">
      <formula>221140</formula>
    </cfRule>
  </conditionalFormatting>
  <conditionalFormatting sqref="G37">
    <cfRule type="cellIs" dxfId="49" priority="39" stopIfTrue="1" operator="between">
      <formula>221101</formula>
      <formula>221140</formula>
    </cfRule>
  </conditionalFormatting>
  <conditionalFormatting sqref="R39">
    <cfRule type="cellIs" dxfId="48" priority="38" stopIfTrue="1" operator="between">
      <formula>221101</formula>
      <formula>221140</formula>
    </cfRule>
  </conditionalFormatting>
  <conditionalFormatting sqref="R37">
    <cfRule type="cellIs" dxfId="47" priority="37" stopIfTrue="1" operator="between">
      <formula>221101</formula>
      <formula>221140</formula>
    </cfRule>
  </conditionalFormatting>
  <conditionalFormatting sqref="E37 Q37">
    <cfRule type="cellIs" dxfId="46" priority="36" stopIfTrue="1" operator="between">
      <formula>221101</formula>
      <formula>221140</formula>
    </cfRule>
  </conditionalFormatting>
  <conditionalFormatting sqref="E37 Q37">
    <cfRule type="cellIs" dxfId="45" priority="34" stopIfTrue="1" operator="equal">
      <formula>221144</formula>
    </cfRule>
    <cfRule type="cellIs" dxfId="44" priority="35" stopIfTrue="1" operator="equal">
      <formula>221136</formula>
    </cfRule>
  </conditionalFormatting>
  <conditionalFormatting sqref="E37 Q37">
    <cfRule type="cellIs" dxfId="43" priority="33" operator="equal">
      <formula>221140</formula>
    </cfRule>
  </conditionalFormatting>
  <conditionalFormatting sqref="Q5:Q6">
    <cfRule type="cellIs" dxfId="42" priority="31" stopIfTrue="1" operator="between">
      <formula>221101</formula>
      <formula>221140</formula>
    </cfRule>
  </conditionalFormatting>
  <conditionalFormatting sqref="Q5:Q6">
    <cfRule type="cellIs" dxfId="41" priority="29" stopIfTrue="1" operator="equal">
      <formula>221144</formula>
    </cfRule>
    <cfRule type="cellIs" dxfId="40" priority="30" stopIfTrue="1" operator="equal">
      <formula>221136</formula>
    </cfRule>
  </conditionalFormatting>
  <conditionalFormatting sqref="Q5:Q6">
    <cfRule type="cellIs" dxfId="39" priority="27" stopIfTrue="1" operator="equal">
      <formula>221144</formula>
    </cfRule>
    <cfRule type="cellIs" dxfId="38" priority="28" stopIfTrue="1" operator="equal">
      <formula>221136</formula>
    </cfRule>
  </conditionalFormatting>
  <conditionalFormatting sqref="Q5:Q6">
    <cfRule type="cellIs" dxfId="37" priority="26" operator="equal">
      <formula>221140</formula>
    </cfRule>
  </conditionalFormatting>
  <conditionalFormatting sqref="Q38:Q40">
    <cfRule type="cellIs" dxfId="36" priority="25" stopIfTrue="1" operator="between">
      <formula>221101</formula>
      <formula>221140</formula>
    </cfRule>
  </conditionalFormatting>
  <conditionalFormatting sqref="Q38:Q40">
    <cfRule type="cellIs" dxfId="35" priority="23" stopIfTrue="1" operator="equal">
      <formula>221144</formula>
    </cfRule>
    <cfRule type="cellIs" dxfId="34" priority="24" stopIfTrue="1" operator="equal">
      <formula>221136</formula>
    </cfRule>
  </conditionalFormatting>
  <conditionalFormatting sqref="Q38:Q40">
    <cfRule type="cellIs" dxfId="33" priority="22" operator="equal">
      <formula>221140</formula>
    </cfRule>
  </conditionalFormatting>
  <conditionalFormatting sqref="Q126:Q127">
    <cfRule type="cellIs" dxfId="32" priority="21" stopIfTrue="1" operator="between">
      <formula>221101</formula>
      <formula>221140</formula>
    </cfRule>
  </conditionalFormatting>
  <conditionalFormatting sqref="Q126:Q127">
    <cfRule type="cellIs" dxfId="31" priority="19" stopIfTrue="1" operator="equal">
      <formula>221144</formula>
    </cfRule>
    <cfRule type="cellIs" dxfId="30" priority="20" stopIfTrue="1" operator="equal">
      <formula>221136</formula>
    </cfRule>
  </conditionalFormatting>
  <conditionalFormatting sqref="Q126:Q127">
    <cfRule type="cellIs" dxfId="29" priority="18" operator="equal">
      <formula>221140</formula>
    </cfRule>
  </conditionalFormatting>
  <conditionalFormatting sqref="A83:D88 H83:XFD88 F82:F84 F86:F88 A1:XFD82 A89:XFD1048576">
    <cfRule type="cellIs" dxfId="0" priority="17" operator="between">
      <formula>"xc 950"</formula>
      <formula>"xc 999"</formula>
    </cfRule>
  </conditionalFormatting>
  <conditionalFormatting sqref="E82:E84 E86:E88">
    <cfRule type="cellIs" dxfId="21" priority="16" stopIfTrue="1" operator="between">
      <formula>221101</formula>
      <formula>221140</formula>
    </cfRule>
  </conditionalFormatting>
  <conditionalFormatting sqref="E82:E84 E86:E88">
    <cfRule type="cellIs" dxfId="20" priority="14" stopIfTrue="1" operator="equal">
      <formula>221144</formula>
    </cfRule>
    <cfRule type="cellIs" dxfId="19" priority="15" stopIfTrue="1" operator="equal">
      <formula>221136</formula>
    </cfRule>
  </conditionalFormatting>
  <conditionalFormatting sqref="E82:E84 E86:E88">
    <cfRule type="cellIs" dxfId="18" priority="13" stopIfTrue="1" operator="equal">
      <formula>221140</formula>
    </cfRule>
  </conditionalFormatting>
  <conditionalFormatting sqref="G82:G84 G86:G88">
    <cfRule type="cellIs" dxfId="17" priority="12" stopIfTrue="1" operator="between">
      <formula>221101</formula>
      <formula>221140</formula>
    </cfRule>
  </conditionalFormatting>
  <conditionalFormatting sqref="F85">
    <cfRule type="cellIs" dxfId="16" priority="11" stopIfTrue="1" operator="notEqual">
      <formula>"FP"</formula>
    </cfRule>
  </conditionalFormatting>
  <conditionalFormatting sqref="E85">
    <cfRule type="cellIs" dxfId="15" priority="10" stopIfTrue="1" operator="between">
      <formula>221101</formula>
      <formula>221140</formula>
    </cfRule>
  </conditionalFormatting>
  <conditionalFormatting sqref="E85">
    <cfRule type="cellIs" dxfId="14" priority="8" stopIfTrue="1" operator="equal">
      <formula>221144</formula>
    </cfRule>
    <cfRule type="cellIs" dxfId="13" priority="9" stopIfTrue="1" operator="equal">
      <formula>221136</formula>
    </cfRule>
  </conditionalFormatting>
  <conditionalFormatting sqref="E85">
    <cfRule type="cellIs" dxfId="12" priority="7" operator="equal">
      <formula>221140</formula>
    </cfRule>
  </conditionalFormatting>
  <conditionalFormatting sqref="E85:G85">
    <cfRule type="cellIs" dxfId="11" priority="6" operator="between">
      <formula>"xc 950"</formula>
      <formula>"xc 999"</formula>
    </cfRule>
  </conditionalFormatting>
  <conditionalFormatting sqref="E85">
    <cfRule type="cellIs" dxfId="10" priority="5" stopIfTrue="1" operator="between">
      <formula>221101</formula>
      <formula>221140</formula>
    </cfRule>
  </conditionalFormatting>
  <conditionalFormatting sqref="E85">
    <cfRule type="cellIs" dxfId="9" priority="3" stopIfTrue="1" operator="equal">
      <formula>221144</formula>
    </cfRule>
    <cfRule type="cellIs" dxfId="8" priority="4" stopIfTrue="1" operator="equal">
      <formula>221136</formula>
    </cfRule>
  </conditionalFormatting>
  <conditionalFormatting sqref="E85">
    <cfRule type="cellIs" dxfId="7" priority="2" stopIfTrue="1" operator="equal">
      <formula>221140</formula>
    </cfRule>
  </conditionalFormatting>
  <conditionalFormatting sqref="G85">
    <cfRule type="cellIs" dxfId="6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0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90"/>
  <sheetViews>
    <sheetView view="pageBreakPreview" topLeftCell="A109" zoomScaleNormal="70" zoomScaleSheetLayoutView="100" workbookViewId="0">
      <selection activeCell="R127" sqref="R127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109</v>
      </c>
      <c r="B3" s="118"/>
      <c r="C3" s="9"/>
      <c r="D3" s="255">
        <f>'DEPT BAL'!$D$4-1</f>
        <v>43065</v>
      </c>
      <c r="E3" s="255"/>
      <c r="I3" s="8" t="s">
        <v>110</v>
      </c>
      <c r="J3" s="118"/>
      <c r="L3" s="252">
        <f>D3+1</f>
        <v>43066</v>
      </c>
      <c r="M3" s="252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420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4" t="s">
        <v>524</v>
      </c>
      <c r="B5" s="142" t="s">
        <v>525</v>
      </c>
      <c r="C5" s="170" t="s">
        <v>130</v>
      </c>
      <c r="D5" s="71" t="s">
        <v>513</v>
      </c>
      <c r="E5" s="40"/>
      <c r="F5" s="135"/>
      <c r="G5" s="12"/>
      <c r="H5" s="174" t="str">
        <f>$I$2</f>
        <v>EC</v>
      </c>
      <c r="I5" s="10" t="s">
        <v>51</v>
      </c>
      <c r="J5" s="120" t="s">
        <v>211</v>
      </c>
      <c r="K5" s="209" t="s">
        <v>388</v>
      </c>
      <c r="L5" s="11" t="s">
        <v>60</v>
      </c>
      <c r="M5" s="13" t="s">
        <v>229</v>
      </c>
      <c r="N5" s="78">
        <v>1032.8900000000001</v>
      </c>
      <c r="O5" s="40"/>
      <c r="P5" s="107"/>
      <c r="Q5" s="40"/>
      <c r="R5" s="222"/>
      <c r="S5" s="115" t="str">
        <f>IF(N5&gt;0,"Yes","")</f>
        <v>Yes</v>
      </c>
    </row>
    <row r="6" spans="1:19" ht="21.75" customHeight="1" x14ac:dyDescent="0.2">
      <c r="A6" s="68" t="s">
        <v>510</v>
      </c>
      <c r="B6" s="215"/>
      <c r="C6" s="29" t="s">
        <v>130</v>
      </c>
      <c r="D6" s="71" t="s">
        <v>513</v>
      </c>
      <c r="E6" s="40"/>
      <c r="F6" s="135"/>
      <c r="G6" s="17"/>
      <c r="H6" s="174" t="str">
        <f t="shared" ref="H6:H17" si="0">$I$2</f>
        <v>EC</v>
      </c>
      <c r="I6" s="14" t="s">
        <v>31</v>
      </c>
      <c r="J6" s="126" t="s">
        <v>250</v>
      </c>
      <c r="K6" s="135" t="s">
        <v>199</v>
      </c>
      <c r="L6" s="15" t="s">
        <v>61</v>
      </c>
      <c r="M6" s="19" t="s">
        <v>321</v>
      </c>
      <c r="N6" s="79">
        <v>920.97</v>
      </c>
      <c r="O6" s="40"/>
      <c r="P6" s="108"/>
      <c r="Q6" s="40"/>
      <c r="R6" s="223"/>
      <c r="S6" s="116" t="str">
        <f>IF(N6&gt;0,"Yes","")</f>
        <v>Yes</v>
      </c>
    </row>
    <row r="7" spans="1:19" ht="21.75" customHeight="1" x14ac:dyDescent="0.2">
      <c r="A7" s="68" t="s">
        <v>528</v>
      </c>
      <c r="B7" s="121" t="s">
        <v>529</v>
      </c>
      <c r="C7" s="30" t="s">
        <v>130</v>
      </c>
      <c r="D7" s="18" t="s">
        <v>523</v>
      </c>
      <c r="E7" s="40"/>
      <c r="F7" s="135"/>
      <c r="G7" s="17"/>
      <c r="H7" s="174" t="str">
        <f t="shared" si="0"/>
        <v>EC</v>
      </c>
      <c r="I7" s="14" t="s">
        <v>30</v>
      </c>
      <c r="J7" s="126" t="s">
        <v>265</v>
      </c>
      <c r="K7" s="135" t="s">
        <v>218</v>
      </c>
      <c r="L7" s="15" t="s">
        <v>60</v>
      </c>
      <c r="M7" s="19" t="s">
        <v>378</v>
      </c>
      <c r="N7" s="79">
        <v>1035.1400000000001</v>
      </c>
      <c r="O7" s="40"/>
      <c r="P7" s="108"/>
      <c r="Q7" s="40">
        <v>221132</v>
      </c>
      <c r="R7" s="224" t="s">
        <v>575</v>
      </c>
      <c r="S7" s="116" t="str">
        <f t="shared" ref="S7:S16" si="1">IF(N7&gt;0,"Yes","")</f>
        <v>Yes</v>
      </c>
    </row>
    <row r="8" spans="1:19" ht="21.75" customHeight="1" x14ac:dyDescent="0.2">
      <c r="A8" s="14" t="s">
        <v>521</v>
      </c>
      <c r="B8" s="181"/>
      <c r="C8" s="32" t="s">
        <v>130</v>
      </c>
      <c r="D8" s="18" t="s">
        <v>523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251</v>
      </c>
      <c r="K8" s="135" t="s">
        <v>286</v>
      </c>
      <c r="L8" s="30" t="s">
        <v>56</v>
      </c>
      <c r="M8" s="94" t="s">
        <v>311</v>
      </c>
      <c r="N8" s="99">
        <v>971.07</v>
      </c>
      <c r="O8" s="40"/>
      <c r="P8" s="108"/>
      <c r="Q8" s="40"/>
      <c r="R8" s="223"/>
      <c r="S8" s="116" t="str">
        <f t="shared" si="1"/>
        <v>Yes</v>
      </c>
    </row>
    <row r="9" spans="1:19" ht="21.75" customHeight="1" x14ac:dyDescent="0.2">
      <c r="A9" s="14" t="s">
        <v>500</v>
      </c>
      <c r="B9" s="121" t="s">
        <v>543</v>
      </c>
      <c r="C9" s="240" t="s">
        <v>130</v>
      </c>
      <c r="D9" s="18" t="s">
        <v>499</v>
      </c>
      <c r="E9" s="40">
        <v>221132</v>
      </c>
      <c r="F9" s="135"/>
      <c r="G9" s="224" t="s">
        <v>575</v>
      </c>
      <c r="H9" s="174" t="str">
        <f>$I$2</f>
        <v>EC</v>
      </c>
      <c r="I9" s="14" t="s">
        <v>38</v>
      </c>
      <c r="J9" s="121" t="s">
        <v>150</v>
      </c>
      <c r="K9" s="140" t="s">
        <v>297</v>
      </c>
      <c r="L9" s="15" t="s">
        <v>55</v>
      </c>
      <c r="M9" s="19" t="s">
        <v>379</v>
      </c>
      <c r="N9" s="79">
        <v>990.47</v>
      </c>
      <c r="O9" s="40"/>
      <c r="P9" s="108"/>
      <c r="Q9" s="40"/>
      <c r="R9" s="223"/>
      <c r="S9" s="116" t="str">
        <f t="shared" si="1"/>
        <v>Yes</v>
      </c>
    </row>
    <row r="10" spans="1:19" ht="21.75" customHeight="1" x14ac:dyDescent="0.2">
      <c r="A10" s="68" t="s">
        <v>496</v>
      </c>
      <c r="B10" s="181"/>
      <c r="C10" s="240" t="s">
        <v>130</v>
      </c>
      <c r="D10" s="18" t="s">
        <v>499</v>
      </c>
      <c r="E10" s="40"/>
      <c r="F10" s="135"/>
      <c r="G10" s="224"/>
      <c r="H10" s="174" t="str">
        <f t="shared" si="0"/>
        <v>EC</v>
      </c>
      <c r="I10" s="14" t="s">
        <v>105</v>
      </c>
      <c r="J10" s="181"/>
      <c r="K10" s="210"/>
      <c r="L10" s="15" t="s">
        <v>58</v>
      </c>
      <c r="M10" s="19" t="s">
        <v>312</v>
      </c>
      <c r="N10" s="79">
        <v>900.47</v>
      </c>
      <c r="O10" s="40"/>
      <c r="P10" s="108"/>
      <c r="Q10" s="40"/>
      <c r="R10" s="224"/>
      <c r="S10" s="116" t="str">
        <f t="shared" si="1"/>
        <v>Yes</v>
      </c>
    </row>
    <row r="11" spans="1:19" ht="21.75" customHeight="1" x14ac:dyDescent="0.2">
      <c r="A11" s="68"/>
      <c r="B11" s="126"/>
      <c r="C11" s="240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40"/>
      <c r="P11" s="108"/>
      <c r="Q11" s="40"/>
      <c r="R11" s="224"/>
      <c r="S11" s="116" t="str">
        <f t="shared" si="1"/>
        <v/>
      </c>
    </row>
    <row r="12" spans="1:19" ht="21.75" customHeight="1" x14ac:dyDescent="0.2">
      <c r="A12" s="68"/>
      <c r="B12" s="126"/>
      <c r="C12" s="240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08"/>
      <c r="Q12" s="40"/>
      <c r="R12" s="224"/>
      <c r="S12" s="116" t="str">
        <f t="shared" si="1"/>
        <v/>
      </c>
    </row>
    <row r="13" spans="1:19" ht="21.75" customHeight="1" x14ac:dyDescent="0.2">
      <c r="A13" s="68"/>
      <c r="B13" s="126"/>
      <c r="C13" s="240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40"/>
      <c r="P13" s="108"/>
      <c r="Q13" s="40"/>
      <c r="R13" s="224"/>
      <c r="S13" s="116" t="str">
        <f t="shared" si="1"/>
        <v/>
      </c>
    </row>
    <row r="14" spans="1:19" ht="21.75" customHeight="1" x14ac:dyDescent="0.2">
      <c r="A14" s="68"/>
      <c r="B14" s="126"/>
      <c r="C14" s="240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4"/>
      <c r="S14" s="116" t="str">
        <f t="shared" si="1"/>
        <v/>
      </c>
    </row>
    <row r="15" spans="1:19" ht="21.75" customHeight="1" x14ac:dyDescent="0.2">
      <c r="A15" s="68"/>
      <c r="B15" s="126"/>
      <c r="C15" s="240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4"/>
      <c r="S15" s="116" t="str">
        <f t="shared" si="1"/>
        <v/>
      </c>
    </row>
    <row r="16" spans="1:19" ht="21.75" customHeight="1" x14ac:dyDescent="0.2">
      <c r="A16" s="68"/>
      <c r="B16" s="126"/>
      <c r="C16" s="240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4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1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5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109</v>
      </c>
      <c r="B23" s="118"/>
      <c r="C23" s="239"/>
      <c r="D23" s="256">
        <f>'[1]DEPT BAL'!$D$4-1</f>
        <v>43065</v>
      </c>
      <c r="E23" s="256"/>
      <c r="F23" s="138"/>
      <c r="I23" s="8" t="s">
        <v>110</v>
      </c>
      <c r="J23" s="118"/>
      <c r="L23" s="252">
        <f>D23+1</f>
        <v>43066</v>
      </c>
      <c r="M23" s="252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167" t="s">
        <v>420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462</v>
      </c>
      <c r="B25" s="120" t="s">
        <v>544</v>
      </c>
      <c r="C25" s="11" t="s">
        <v>137</v>
      </c>
      <c r="D25" s="25" t="s">
        <v>464</v>
      </c>
      <c r="E25" s="40">
        <v>220025</v>
      </c>
      <c r="F25" s="134"/>
      <c r="G25" s="12" t="s">
        <v>616</v>
      </c>
      <c r="H25" s="174" t="str">
        <f t="shared" ref="H25:H30" si="2">$I$22</f>
        <v>TY</v>
      </c>
      <c r="I25" s="10" t="s">
        <v>89</v>
      </c>
      <c r="J25" s="120" t="s">
        <v>256</v>
      </c>
      <c r="K25" s="209" t="s">
        <v>286</v>
      </c>
      <c r="L25" s="11" t="s">
        <v>59</v>
      </c>
      <c r="M25" s="13" t="s">
        <v>335</v>
      </c>
      <c r="N25" s="78">
        <v>965.76</v>
      </c>
      <c r="O25" s="39"/>
      <c r="P25" s="167"/>
      <c r="Q25" s="40">
        <v>220025</v>
      </c>
      <c r="R25" s="222" t="s">
        <v>616</v>
      </c>
      <c r="S25" s="115" t="str">
        <f t="shared" ref="S25:S30" si="3">IF(N25&gt;0,"Yes","")</f>
        <v>Yes</v>
      </c>
    </row>
    <row r="26" spans="1:19" ht="21.75" customHeight="1" x14ac:dyDescent="0.2">
      <c r="A26" s="14" t="s">
        <v>465</v>
      </c>
      <c r="B26" s="181"/>
      <c r="C26" s="30" t="s">
        <v>137</v>
      </c>
      <c r="D26" s="18" t="s">
        <v>464</v>
      </c>
      <c r="E26" s="40">
        <v>220007</v>
      </c>
      <c r="F26" s="135"/>
      <c r="G26" s="17" t="s">
        <v>643</v>
      </c>
      <c r="H26" s="174" t="str">
        <f t="shared" si="2"/>
        <v>TY</v>
      </c>
      <c r="I26" s="14" t="s">
        <v>25</v>
      </c>
      <c r="J26" s="126" t="s">
        <v>257</v>
      </c>
      <c r="K26" s="135" t="s">
        <v>278</v>
      </c>
      <c r="L26" s="15" t="s">
        <v>62</v>
      </c>
      <c r="M26" s="19" t="s">
        <v>288</v>
      </c>
      <c r="N26" s="79">
        <v>1009.6</v>
      </c>
      <c r="O26" s="40"/>
      <c r="P26" s="90"/>
      <c r="Q26" s="40"/>
      <c r="R26" s="223"/>
      <c r="S26" s="116" t="str">
        <f t="shared" si="3"/>
        <v>Yes</v>
      </c>
    </row>
    <row r="27" spans="1:19" ht="21.75" customHeight="1" x14ac:dyDescent="0.2">
      <c r="A27" s="14" t="s">
        <v>541</v>
      </c>
      <c r="B27" s="126"/>
      <c r="C27" s="30"/>
      <c r="D27" s="18"/>
      <c r="E27" s="40"/>
      <c r="F27" s="135"/>
      <c r="G27" s="17"/>
      <c r="H27" s="174" t="str">
        <f t="shared" si="2"/>
        <v>TY</v>
      </c>
      <c r="I27" s="14" t="s">
        <v>32</v>
      </c>
      <c r="J27" s="121" t="s">
        <v>258</v>
      </c>
      <c r="K27" s="140" t="s">
        <v>293</v>
      </c>
      <c r="L27" s="15" t="s">
        <v>61</v>
      </c>
      <c r="M27" s="19" t="s">
        <v>188</v>
      </c>
      <c r="N27" s="79">
        <v>889.99</v>
      </c>
      <c r="O27" s="40"/>
      <c r="P27" s="113"/>
      <c r="Q27" s="40"/>
      <c r="R27" s="223"/>
      <c r="S27" s="116" t="str">
        <f t="shared" si="3"/>
        <v>Yes</v>
      </c>
    </row>
    <row r="28" spans="1:19" ht="21.75" customHeight="1" x14ac:dyDescent="0.2">
      <c r="A28" s="14" t="s">
        <v>541</v>
      </c>
      <c r="B28" s="126"/>
      <c r="C28" s="32"/>
      <c r="D28" s="18"/>
      <c r="E28" s="40"/>
      <c r="F28" s="135"/>
      <c r="G28" s="17"/>
      <c r="H28" s="174" t="str">
        <f t="shared" si="2"/>
        <v>TY</v>
      </c>
      <c r="I28" s="14" t="s">
        <v>86</v>
      </c>
      <c r="J28" s="181"/>
      <c r="K28" s="210"/>
      <c r="L28" s="15" t="s">
        <v>62</v>
      </c>
      <c r="M28" s="19" t="s">
        <v>318</v>
      </c>
      <c r="N28" s="79">
        <v>844.14</v>
      </c>
      <c r="O28" s="40"/>
      <c r="P28" s="113"/>
      <c r="Q28" s="40">
        <v>220007</v>
      </c>
      <c r="R28" s="223" t="s">
        <v>643</v>
      </c>
      <c r="S28" s="116" t="str">
        <f t="shared" si="3"/>
        <v>Yes</v>
      </c>
    </row>
    <row r="29" spans="1:19" ht="21.75" customHeight="1" x14ac:dyDescent="0.2">
      <c r="A29" s="14"/>
      <c r="B29" s="126"/>
      <c r="C29" s="240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3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1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5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109</v>
      </c>
      <c r="B35" s="118"/>
      <c r="C35" s="239"/>
      <c r="D35" s="256">
        <f>'[1]DEPT BAL'!$D$4-1</f>
        <v>43065</v>
      </c>
      <c r="E35" s="256"/>
      <c r="F35" s="138"/>
      <c r="I35" s="8" t="s">
        <v>110</v>
      </c>
      <c r="J35" s="118"/>
      <c r="L35" s="252">
        <f>D35+1</f>
        <v>43066</v>
      </c>
      <c r="M35" s="252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420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0" t="s">
        <v>504</v>
      </c>
      <c r="B37" s="120" t="s">
        <v>545</v>
      </c>
      <c r="C37" s="11" t="s">
        <v>137</v>
      </c>
      <c r="D37" s="25" t="s">
        <v>505</v>
      </c>
      <c r="E37" s="40">
        <v>220032</v>
      </c>
      <c r="F37" s="134"/>
      <c r="G37" s="223" t="s">
        <v>569</v>
      </c>
      <c r="H37" s="174" t="str">
        <f t="shared" ref="H37:H42" si="4">$I$34</f>
        <v>XW</v>
      </c>
      <c r="I37" s="10" t="s">
        <v>45</v>
      </c>
      <c r="J37" s="120" t="s">
        <v>249</v>
      </c>
      <c r="K37" s="209" t="s">
        <v>298</v>
      </c>
      <c r="L37" s="11" t="s">
        <v>56</v>
      </c>
      <c r="M37" s="13" t="s">
        <v>287</v>
      </c>
      <c r="N37" s="78">
        <v>956.01</v>
      </c>
      <c r="O37" s="39"/>
      <c r="P37" s="167"/>
      <c r="Q37" s="39"/>
      <c r="R37" s="222"/>
      <c r="S37" s="115" t="str">
        <f t="shared" ref="S37:S42" si="5">IF(N37&gt;0,"Yes","")</f>
        <v>Yes</v>
      </c>
    </row>
    <row r="38" spans="1:19" ht="21.75" customHeight="1" x14ac:dyDescent="0.2">
      <c r="A38" s="14" t="s">
        <v>469</v>
      </c>
      <c r="B38" s="121" t="s">
        <v>546</v>
      </c>
      <c r="C38" s="30" t="s">
        <v>136</v>
      </c>
      <c r="D38" s="18" t="s">
        <v>468</v>
      </c>
      <c r="E38" s="40"/>
      <c r="F38" s="135"/>
      <c r="G38" s="90"/>
      <c r="H38" s="174" t="str">
        <f t="shared" si="4"/>
        <v>XW</v>
      </c>
      <c r="I38" s="14" t="s">
        <v>44</v>
      </c>
      <c r="J38" s="126" t="s">
        <v>260</v>
      </c>
      <c r="K38" s="135" t="s">
        <v>367</v>
      </c>
      <c r="L38" s="15" t="s">
        <v>56</v>
      </c>
      <c r="M38" s="19" t="s">
        <v>358</v>
      </c>
      <c r="N38" s="79">
        <v>869.21</v>
      </c>
      <c r="O38" s="40"/>
      <c r="P38" s="90"/>
      <c r="Q38" s="40">
        <v>220032</v>
      </c>
      <c r="R38" s="223" t="s">
        <v>569</v>
      </c>
      <c r="S38" s="116" t="str">
        <f t="shared" si="5"/>
        <v>Yes</v>
      </c>
    </row>
    <row r="39" spans="1:19" ht="21.75" customHeight="1" x14ac:dyDescent="0.2">
      <c r="A39" s="14" t="s">
        <v>466</v>
      </c>
      <c r="B39" s="181"/>
      <c r="C39" s="32" t="s">
        <v>136</v>
      </c>
      <c r="D39" s="18" t="s">
        <v>468</v>
      </c>
      <c r="E39" s="40"/>
      <c r="F39" s="135"/>
      <c r="G39" s="90"/>
      <c r="H39" s="174" t="str">
        <f t="shared" si="4"/>
        <v>XW</v>
      </c>
      <c r="I39" s="14" t="s">
        <v>390</v>
      </c>
      <c r="J39" s="126" t="s">
        <v>290</v>
      </c>
      <c r="K39" s="135" t="s">
        <v>291</v>
      </c>
      <c r="L39" s="15"/>
      <c r="M39" s="19"/>
      <c r="N39" s="79">
        <v>0</v>
      </c>
      <c r="O39" s="40"/>
      <c r="P39" s="113"/>
      <c r="Q39" s="40"/>
      <c r="R39" s="223"/>
      <c r="S39" s="116" t="str">
        <f t="shared" si="5"/>
        <v/>
      </c>
    </row>
    <row r="40" spans="1:19" ht="21.75" customHeight="1" x14ac:dyDescent="0.2">
      <c r="A40" s="14"/>
      <c r="B40" s="126"/>
      <c r="C40" s="240"/>
      <c r="D40" s="18"/>
      <c r="E40" s="40"/>
      <c r="F40" s="135"/>
      <c r="G40" s="17"/>
      <c r="H40" s="174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40"/>
      <c r="R40" s="223"/>
      <c r="S40" s="116" t="str">
        <f t="shared" si="5"/>
        <v/>
      </c>
    </row>
    <row r="41" spans="1:19" ht="21.75" customHeight="1" x14ac:dyDescent="0.2">
      <c r="A41" s="14"/>
      <c r="B41" s="126"/>
      <c r="C41" s="240"/>
      <c r="D41" s="18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4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1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5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109</v>
      </c>
      <c r="B47" s="118"/>
      <c r="C47" s="239"/>
      <c r="D47" s="256">
        <f>'[1]DEPT BAL'!$D$4-1</f>
        <v>43065</v>
      </c>
      <c r="E47" s="256"/>
      <c r="F47" s="138"/>
      <c r="I47" s="8" t="s">
        <v>110</v>
      </c>
      <c r="J47" s="118"/>
      <c r="L47" s="252">
        <f>D47+1</f>
        <v>43066</v>
      </c>
      <c r="M47" s="252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420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484</v>
      </c>
      <c r="B49" s="121" t="s">
        <v>547</v>
      </c>
      <c r="C49" s="240" t="s">
        <v>228</v>
      </c>
      <c r="D49" s="18" t="s">
        <v>483</v>
      </c>
      <c r="E49" s="40"/>
      <c r="F49" s="134"/>
      <c r="G49" s="12"/>
      <c r="H49" s="174" t="str">
        <f t="shared" ref="H49:H56" si="6">$I$46</f>
        <v>MA</v>
      </c>
      <c r="I49" s="10" t="s">
        <v>34</v>
      </c>
      <c r="J49" s="120" t="s">
        <v>253</v>
      </c>
      <c r="K49" s="209" t="s">
        <v>218</v>
      </c>
      <c r="L49" s="11" t="s">
        <v>56</v>
      </c>
      <c r="M49" s="13" t="s">
        <v>282</v>
      </c>
      <c r="N49" s="78">
        <v>823.21</v>
      </c>
      <c r="O49" s="40"/>
      <c r="P49" s="167"/>
      <c r="Q49" s="40"/>
      <c r="R49" s="226"/>
      <c r="S49" s="115" t="str">
        <f t="shared" ref="S49:S56" si="7">IF(N49&gt;0,"Yes","")</f>
        <v>Yes</v>
      </c>
    </row>
    <row r="50" spans="1:19" ht="21.75" customHeight="1" x14ac:dyDescent="0.2">
      <c r="A50" s="68" t="s">
        <v>481</v>
      </c>
      <c r="B50" s="181"/>
      <c r="C50" s="83" t="s">
        <v>228</v>
      </c>
      <c r="D50" s="18" t="s">
        <v>483</v>
      </c>
      <c r="E50" s="40">
        <v>221131</v>
      </c>
      <c r="F50" s="135"/>
      <c r="G50" s="90" t="s">
        <v>618</v>
      </c>
      <c r="H50" s="174" t="str">
        <f t="shared" si="6"/>
        <v>MA</v>
      </c>
      <c r="I50" s="14" t="s">
        <v>146</v>
      </c>
      <c r="J50" s="126" t="s">
        <v>138</v>
      </c>
      <c r="K50" s="154" t="s">
        <v>154</v>
      </c>
      <c r="L50" s="15" t="s">
        <v>55</v>
      </c>
      <c r="M50" s="19" t="s">
        <v>319</v>
      </c>
      <c r="N50" s="98">
        <v>863.74</v>
      </c>
      <c r="O50" s="40"/>
      <c r="P50" s="108"/>
      <c r="Q50" s="40"/>
      <c r="R50" s="223"/>
      <c r="S50" s="116" t="str">
        <f t="shared" si="7"/>
        <v>Yes</v>
      </c>
    </row>
    <row r="51" spans="1:19" ht="21.75" customHeight="1" x14ac:dyDescent="0.2">
      <c r="A51" s="68" t="s">
        <v>503</v>
      </c>
      <c r="B51" s="121" t="s">
        <v>548</v>
      </c>
      <c r="C51" s="83" t="s">
        <v>228</v>
      </c>
      <c r="D51" s="18" t="s">
        <v>502</v>
      </c>
      <c r="E51" s="40"/>
      <c r="F51" s="135"/>
      <c r="G51" s="17"/>
      <c r="H51" s="174" t="str">
        <f t="shared" si="6"/>
        <v>MA</v>
      </c>
      <c r="I51" s="14" t="s">
        <v>24</v>
      </c>
      <c r="J51" s="126" t="s">
        <v>255</v>
      </c>
      <c r="K51" s="135" t="s">
        <v>330</v>
      </c>
      <c r="L51" s="15" t="s">
        <v>56</v>
      </c>
      <c r="M51" s="19" t="s">
        <v>285</v>
      </c>
      <c r="N51" s="79">
        <v>804.67</v>
      </c>
      <c r="O51" s="40"/>
      <c r="P51" s="112"/>
      <c r="Q51" s="40">
        <v>221131</v>
      </c>
      <c r="R51" s="90" t="s">
        <v>618</v>
      </c>
      <c r="S51" s="116" t="str">
        <f t="shared" si="7"/>
        <v>Yes</v>
      </c>
    </row>
    <row r="52" spans="1:19" ht="21.75" customHeight="1" x14ac:dyDescent="0.2">
      <c r="A52" s="14" t="s">
        <v>501</v>
      </c>
      <c r="B52" s="181"/>
      <c r="C52" s="83" t="s">
        <v>228</v>
      </c>
      <c r="D52" s="31" t="s">
        <v>502</v>
      </c>
      <c r="E52" s="40"/>
      <c r="F52" s="135"/>
      <c r="G52" s="17"/>
      <c r="H52" s="174" t="str">
        <f t="shared" si="6"/>
        <v>MA</v>
      </c>
      <c r="I52" s="14" t="s">
        <v>37</v>
      </c>
      <c r="J52" s="126" t="s">
        <v>263</v>
      </c>
      <c r="K52" s="135" t="s">
        <v>221</v>
      </c>
      <c r="L52" s="15" t="s">
        <v>58</v>
      </c>
      <c r="M52" s="19" t="s">
        <v>300</v>
      </c>
      <c r="N52" s="79">
        <v>817.99</v>
      </c>
      <c r="O52" s="40"/>
      <c r="P52" s="108"/>
      <c r="Q52" s="40"/>
      <c r="R52" s="223"/>
      <c r="S52" s="116" t="str">
        <f t="shared" si="7"/>
        <v>Yes</v>
      </c>
    </row>
    <row r="53" spans="1:19" ht="21.75" customHeight="1" x14ac:dyDescent="0.2">
      <c r="A53" s="14"/>
      <c r="B53" s="126"/>
      <c r="C53" s="72"/>
      <c r="D53" s="18"/>
      <c r="E53" s="40"/>
      <c r="F53" s="154"/>
      <c r="G53" s="90"/>
      <c r="H53" s="174" t="str">
        <f t="shared" si="6"/>
        <v>MA</v>
      </c>
      <c r="I53" s="14"/>
      <c r="J53" s="180"/>
      <c r="K53" s="154"/>
      <c r="L53" s="29"/>
      <c r="M53" s="77"/>
      <c r="N53" s="98"/>
      <c r="O53" s="40"/>
      <c r="P53" s="108"/>
      <c r="Q53" s="40"/>
      <c r="R53" s="223"/>
      <c r="S53" s="116" t="str">
        <f t="shared" si="7"/>
        <v/>
      </c>
    </row>
    <row r="54" spans="1:19" ht="21.75" customHeight="1" x14ac:dyDescent="0.2">
      <c r="A54" s="148"/>
      <c r="B54" s="180"/>
      <c r="C54" s="153"/>
      <c r="D54" s="82"/>
      <c r="E54" s="69"/>
      <c r="F54" s="140"/>
      <c r="G54" s="17"/>
      <c r="H54" s="174" t="str">
        <f t="shared" si="6"/>
        <v>MA</v>
      </c>
      <c r="I54" s="14"/>
      <c r="J54" s="180"/>
      <c r="K54" s="154"/>
      <c r="L54" s="81"/>
      <c r="M54" s="94"/>
      <c r="N54" s="99"/>
      <c r="O54" s="69"/>
      <c r="P54" s="114"/>
      <c r="Q54" s="69"/>
      <c r="R54" s="224"/>
      <c r="S54" s="116" t="str">
        <f t="shared" si="7"/>
        <v/>
      </c>
    </row>
    <row r="55" spans="1:19" ht="21.75" customHeight="1" x14ac:dyDescent="0.2">
      <c r="A55" s="14"/>
      <c r="B55" s="180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4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5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109</v>
      </c>
      <c r="B61" s="118"/>
      <c r="C61" s="239"/>
      <c r="D61" s="256">
        <f>'[1]DEPT BAL'!$D$4-1</f>
        <v>43065</v>
      </c>
      <c r="E61" s="256"/>
      <c r="F61" s="138"/>
      <c r="I61" s="8" t="s">
        <v>110</v>
      </c>
      <c r="J61" s="118"/>
      <c r="L61" s="252">
        <f>D61+1</f>
        <v>43066</v>
      </c>
      <c r="M61" s="252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420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458</v>
      </c>
      <c r="B63" s="120" t="s">
        <v>549</v>
      </c>
      <c r="C63" s="11" t="s">
        <v>225</v>
      </c>
      <c r="D63" s="25" t="s">
        <v>460</v>
      </c>
      <c r="E63" s="39">
        <v>221144</v>
      </c>
      <c r="F63" s="154" t="s">
        <v>586</v>
      </c>
      <c r="G63" s="203" t="s">
        <v>640</v>
      </c>
      <c r="H63" s="174" t="str">
        <f>$I$60</f>
        <v>CZ</v>
      </c>
      <c r="I63" s="10" t="s">
        <v>52</v>
      </c>
      <c r="J63" s="120" t="s">
        <v>198</v>
      </c>
      <c r="K63" s="209" t="s">
        <v>230</v>
      </c>
      <c r="L63" s="11" t="s">
        <v>59</v>
      </c>
      <c r="M63" s="13" t="s">
        <v>360</v>
      </c>
      <c r="N63" s="78">
        <v>897.69</v>
      </c>
      <c r="O63" s="39"/>
      <c r="P63" s="107"/>
      <c r="Q63" s="39"/>
      <c r="R63" s="222"/>
      <c r="S63" s="115" t="str">
        <f>IF(N63&gt;0,"Yes","")</f>
        <v>Yes</v>
      </c>
    </row>
    <row r="64" spans="1:19" ht="21.75" customHeight="1" x14ac:dyDescent="0.2">
      <c r="A64" s="68" t="s">
        <v>461</v>
      </c>
      <c r="B64" s="181"/>
      <c r="C64" s="100" t="s">
        <v>225</v>
      </c>
      <c r="D64" s="18" t="s">
        <v>460</v>
      </c>
      <c r="E64" s="40"/>
      <c r="F64" s="154"/>
      <c r="G64" s="90"/>
      <c r="H64" s="174" t="str">
        <f t="shared" ref="H64:H89" si="8">$I$60</f>
        <v>CZ</v>
      </c>
      <c r="I64" s="14" t="s">
        <v>103</v>
      </c>
      <c r="J64" s="181"/>
      <c r="K64" s="210"/>
      <c r="L64" s="15" t="s">
        <v>55</v>
      </c>
      <c r="M64" s="19" t="s">
        <v>178</v>
      </c>
      <c r="N64" s="79">
        <v>806.31</v>
      </c>
      <c r="O64" s="40"/>
      <c r="P64" s="108"/>
      <c r="Q64" s="40"/>
      <c r="R64" s="223"/>
      <c r="S64" s="116" t="str">
        <f>IF(N64&gt;0,"Yes","")</f>
        <v>Yes</v>
      </c>
    </row>
    <row r="65" spans="1:19" ht="21.75" customHeight="1" x14ac:dyDescent="0.2">
      <c r="A65" s="68" t="s">
        <v>531</v>
      </c>
      <c r="B65" s="121" t="s">
        <v>550</v>
      </c>
      <c r="C65" s="190" t="s">
        <v>225</v>
      </c>
      <c r="D65" s="18" t="s">
        <v>533</v>
      </c>
      <c r="E65" s="40">
        <v>221141</v>
      </c>
      <c r="F65" s="154"/>
      <c r="G65" s="246" t="s">
        <v>614</v>
      </c>
      <c r="H65" s="174" t="str">
        <f t="shared" si="8"/>
        <v>CZ</v>
      </c>
      <c r="I65" s="14" t="s">
        <v>107</v>
      </c>
      <c r="J65" s="121" t="s">
        <v>202</v>
      </c>
      <c r="K65" s="140" t="s">
        <v>216</v>
      </c>
      <c r="L65" s="70" t="s">
        <v>57</v>
      </c>
      <c r="M65" s="19" t="s">
        <v>299</v>
      </c>
      <c r="N65" s="79">
        <v>795.67</v>
      </c>
      <c r="O65" s="40"/>
      <c r="P65" s="108"/>
      <c r="Q65" s="40"/>
      <c r="R65" s="223"/>
      <c r="S65" s="116" t="str">
        <f t="shared" ref="S65:S88" si="9">IF(N65&gt;0,"Yes","")</f>
        <v>Yes</v>
      </c>
    </row>
    <row r="66" spans="1:19" ht="21.75" customHeight="1" x14ac:dyDescent="0.2">
      <c r="A66" s="14" t="s">
        <v>534</v>
      </c>
      <c r="B66" s="181"/>
      <c r="C66" s="30" t="s">
        <v>225</v>
      </c>
      <c r="D66" s="18" t="s">
        <v>533</v>
      </c>
      <c r="E66" s="40">
        <v>220018</v>
      </c>
      <c r="F66" s="154"/>
      <c r="G66" s="224" t="s">
        <v>596</v>
      </c>
      <c r="H66" s="174" t="str">
        <f t="shared" si="8"/>
        <v>CZ</v>
      </c>
      <c r="I66" s="14" t="s">
        <v>27</v>
      </c>
      <c r="J66" s="181"/>
      <c r="K66" s="210"/>
      <c r="L66" s="70" t="s">
        <v>58</v>
      </c>
      <c r="M66" s="19" t="s">
        <v>312</v>
      </c>
      <c r="N66" s="79">
        <v>1053.7</v>
      </c>
      <c r="O66" s="40"/>
      <c r="P66" s="108"/>
      <c r="Q66" s="40"/>
      <c r="R66" s="223"/>
      <c r="S66" s="116" t="str">
        <f t="shared" si="9"/>
        <v>Yes</v>
      </c>
    </row>
    <row r="67" spans="1:19" ht="21.75" customHeight="1" x14ac:dyDescent="0.2">
      <c r="A67" s="14" t="s">
        <v>476</v>
      </c>
      <c r="B67" s="121" t="s">
        <v>551</v>
      </c>
      <c r="C67" s="32" t="s">
        <v>225</v>
      </c>
      <c r="D67" s="18" t="s">
        <v>475</v>
      </c>
      <c r="E67" s="40">
        <v>221136</v>
      </c>
      <c r="F67" s="154" t="s">
        <v>587</v>
      </c>
      <c r="G67" s="113"/>
      <c r="H67" s="174" t="str">
        <f t="shared" si="8"/>
        <v>CZ</v>
      </c>
      <c r="I67" s="14" t="s">
        <v>47</v>
      </c>
      <c r="J67" s="126" t="s">
        <v>247</v>
      </c>
      <c r="K67" s="135" t="s">
        <v>267</v>
      </c>
      <c r="L67" s="70" t="s">
        <v>66</v>
      </c>
      <c r="M67" s="19" t="s">
        <v>322</v>
      </c>
      <c r="N67" s="79">
        <v>848.14</v>
      </c>
      <c r="O67" s="40"/>
      <c r="P67" s="108"/>
      <c r="Q67" s="40"/>
      <c r="R67" s="223"/>
      <c r="S67" s="116" t="str">
        <f t="shared" si="9"/>
        <v>Yes</v>
      </c>
    </row>
    <row r="68" spans="1:19" ht="21.75" customHeight="1" x14ac:dyDescent="0.2">
      <c r="A68" s="68" t="s">
        <v>473</v>
      </c>
      <c r="B68" s="181"/>
      <c r="C68" s="30" t="s">
        <v>225</v>
      </c>
      <c r="D68" s="18" t="s">
        <v>475</v>
      </c>
      <c r="E68" s="40">
        <v>221140</v>
      </c>
      <c r="F68" s="154" t="s">
        <v>571</v>
      </c>
      <c r="G68" s="90"/>
      <c r="H68" s="174" t="str">
        <f t="shared" si="8"/>
        <v>CZ</v>
      </c>
      <c r="I68" s="14" t="s">
        <v>87</v>
      </c>
      <c r="J68" s="121" t="s">
        <v>246</v>
      </c>
      <c r="K68" s="140" t="s">
        <v>268</v>
      </c>
      <c r="L68" s="15" t="s">
        <v>66</v>
      </c>
      <c r="M68" s="19" t="s">
        <v>295</v>
      </c>
      <c r="N68" s="79">
        <v>889.04</v>
      </c>
      <c r="O68" s="40"/>
      <c r="P68" s="108"/>
      <c r="Q68" s="40"/>
      <c r="R68" s="223"/>
      <c r="S68" s="116" t="str">
        <f t="shared" si="9"/>
        <v>Yes</v>
      </c>
    </row>
    <row r="69" spans="1:19" ht="21.75" customHeight="1" x14ac:dyDescent="0.2">
      <c r="A69" s="68" t="s">
        <v>454</v>
      </c>
      <c r="B69" s="121" t="s">
        <v>552</v>
      </c>
      <c r="C69" s="32" t="s">
        <v>225</v>
      </c>
      <c r="D69" s="18" t="s">
        <v>456</v>
      </c>
      <c r="E69" s="40"/>
      <c r="F69" s="154"/>
      <c r="G69" s="189"/>
      <c r="H69" s="174" t="str">
        <f t="shared" si="8"/>
        <v>CZ</v>
      </c>
      <c r="I69" s="14" t="s">
        <v>85</v>
      </c>
      <c r="J69" s="181"/>
      <c r="K69" s="210"/>
      <c r="L69" s="15" t="s">
        <v>62</v>
      </c>
      <c r="M69" s="19" t="s">
        <v>175</v>
      </c>
      <c r="N69" s="79">
        <v>972.81</v>
      </c>
      <c r="O69" s="40"/>
      <c r="P69" s="108" t="s">
        <v>149</v>
      </c>
      <c r="Q69" s="40"/>
      <c r="R69" s="223"/>
      <c r="S69" s="116" t="str">
        <f t="shared" si="9"/>
        <v>Yes</v>
      </c>
    </row>
    <row r="70" spans="1:19" ht="21.75" customHeight="1" x14ac:dyDescent="0.2">
      <c r="A70" s="14" t="s">
        <v>457</v>
      </c>
      <c r="B70" s="181"/>
      <c r="C70" s="240" t="s">
        <v>225</v>
      </c>
      <c r="D70" s="18" t="s">
        <v>456</v>
      </c>
      <c r="E70" s="40">
        <v>220017</v>
      </c>
      <c r="F70" s="154"/>
      <c r="G70" s="90" t="s">
        <v>646</v>
      </c>
      <c r="H70" s="174" t="str">
        <f t="shared" si="8"/>
        <v>CZ</v>
      </c>
      <c r="I70" s="95" t="s">
        <v>88</v>
      </c>
      <c r="J70" s="126" t="s">
        <v>276</v>
      </c>
      <c r="K70" s="135" t="s">
        <v>196</v>
      </c>
      <c r="L70" s="15" t="s">
        <v>57</v>
      </c>
      <c r="M70" s="19" t="s">
        <v>415</v>
      </c>
      <c r="N70" s="79">
        <v>770.92</v>
      </c>
      <c r="O70" s="40"/>
      <c r="P70" s="108"/>
      <c r="Q70" s="40">
        <v>220017</v>
      </c>
      <c r="R70" s="223" t="s">
        <v>646</v>
      </c>
      <c r="S70" s="116" t="str">
        <f t="shared" si="9"/>
        <v>Yes</v>
      </c>
    </row>
    <row r="71" spans="1:19" ht="21.75" customHeight="1" x14ac:dyDescent="0.2">
      <c r="A71" s="14" t="s">
        <v>480</v>
      </c>
      <c r="B71" s="121" t="s">
        <v>553</v>
      </c>
      <c r="C71" s="240" t="s">
        <v>228</v>
      </c>
      <c r="D71" s="18" t="s">
        <v>479</v>
      </c>
      <c r="E71" s="40"/>
      <c r="F71" s="154"/>
      <c r="G71" s="90"/>
      <c r="H71" s="174" t="str">
        <f t="shared" si="8"/>
        <v>CZ</v>
      </c>
      <c r="I71" s="14" t="s">
        <v>21</v>
      </c>
      <c r="J71" s="121" t="s">
        <v>210</v>
      </c>
      <c r="K71" s="140" t="s">
        <v>277</v>
      </c>
      <c r="L71" s="30" t="s">
        <v>59</v>
      </c>
      <c r="M71" s="35" t="s">
        <v>145</v>
      </c>
      <c r="N71" s="97">
        <v>788.11</v>
      </c>
      <c r="O71" s="40"/>
      <c r="P71" s="108"/>
      <c r="Q71" s="40"/>
      <c r="R71" s="224"/>
      <c r="S71" s="116" t="str">
        <f t="shared" si="9"/>
        <v>Yes</v>
      </c>
    </row>
    <row r="72" spans="1:19" ht="21.75" customHeight="1" x14ac:dyDescent="0.2">
      <c r="A72" s="14" t="s">
        <v>477</v>
      </c>
      <c r="B72" s="181"/>
      <c r="C72" s="30" t="s">
        <v>228</v>
      </c>
      <c r="D72" s="18" t="s">
        <v>479</v>
      </c>
      <c r="E72" s="40">
        <v>221135</v>
      </c>
      <c r="F72" s="154" t="s">
        <v>571</v>
      </c>
      <c r="G72" s="90"/>
      <c r="H72" s="174" t="str">
        <f t="shared" si="8"/>
        <v>CZ</v>
      </c>
      <c r="I72" s="14" t="s">
        <v>48</v>
      </c>
      <c r="J72" s="181"/>
      <c r="K72" s="210"/>
      <c r="L72" s="30" t="s">
        <v>56</v>
      </c>
      <c r="M72" s="35" t="s">
        <v>372</v>
      </c>
      <c r="N72" s="97">
        <v>952.57</v>
      </c>
      <c r="O72" s="40"/>
      <c r="P72" s="108"/>
      <c r="Q72" s="40">
        <v>220018</v>
      </c>
      <c r="R72" s="224" t="s">
        <v>596</v>
      </c>
      <c r="S72" s="116" t="str">
        <f t="shared" si="9"/>
        <v>Yes</v>
      </c>
    </row>
    <row r="73" spans="1:19" ht="21.75" customHeight="1" x14ac:dyDescent="0.2">
      <c r="A73" s="14" t="s">
        <v>490</v>
      </c>
      <c r="B73" s="121" t="s">
        <v>554</v>
      </c>
      <c r="C73" s="32" t="s">
        <v>225</v>
      </c>
      <c r="D73" s="18" t="s">
        <v>489</v>
      </c>
      <c r="E73" s="40">
        <v>220022</v>
      </c>
      <c r="F73" s="154" t="s">
        <v>591</v>
      </c>
      <c r="G73" s="90"/>
      <c r="H73" s="174" t="str">
        <f t="shared" si="8"/>
        <v>CZ</v>
      </c>
      <c r="I73" s="14" t="s">
        <v>36</v>
      </c>
      <c r="J73" s="121" t="s">
        <v>248</v>
      </c>
      <c r="K73" s="140" t="s">
        <v>269</v>
      </c>
      <c r="L73" s="30" t="s">
        <v>60</v>
      </c>
      <c r="M73" s="35" t="s">
        <v>323</v>
      </c>
      <c r="N73" s="97">
        <v>894.53</v>
      </c>
      <c r="O73" s="40"/>
      <c r="P73" s="108"/>
      <c r="Q73" s="40">
        <v>221141</v>
      </c>
      <c r="R73" s="224" t="s">
        <v>614</v>
      </c>
      <c r="S73" s="116" t="str">
        <f t="shared" si="9"/>
        <v>Yes</v>
      </c>
    </row>
    <row r="74" spans="1:19" ht="21.75" customHeight="1" x14ac:dyDescent="0.2">
      <c r="A74" s="14" t="s">
        <v>487</v>
      </c>
      <c r="B74" s="181"/>
      <c r="C74" s="30" t="s">
        <v>225</v>
      </c>
      <c r="D74" s="18" t="s">
        <v>489</v>
      </c>
      <c r="E74" s="40">
        <v>221123</v>
      </c>
      <c r="F74" s="154" t="s">
        <v>571</v>
      </c>
      <c r="G74" s="191"/>
      <c r="H74" s="174" t="str">
        <f t="shared" si="8"/>
        <v>CZ</v>
      </c>
      <c r="I74" s="14" t="s">
        <v>22</v>
      </c>
      <c r="J74" s="181"/>
      <c r="K74" s="210"/>
      <c r="L74" s="30" t="s">
        <v>56</v>
      </c>
      <c r="M74" s="35" t="s">
        <v>358</v>
      </c>
      <c r="N74" s="97">
        <v>738.81</v>
      </c>
      <c r="O74" s="40"/>
      <c r="P74" s="108"/>
      <c r="Q74" s="40">
        <v>221129</v>
      </c>
      <c r="R74" s="224" t="s">
        <v>583</v>
      </c>
      <c r="S74" s="116" t="str">
        <f t="shared" si="9"/>
        <v>Yes</v>
      </c>
    </row>
    <row r="75" spans="1:19" ht="21.75" customHeight="1" x14ac:dyDescent="0.2">
      <c r="A75" s="14" t="s">
        <v>535</v>
      </c>
      <c r="B75" s="121" t="s">
        <v>555</v>
      </c>
      <c r="C75" s="32" t="s">
        <v>225</v>
      </c>
      <c r="D75" s="18" t="s">
        <v>537</v>
      </c>
      <c r="E75" s="40">
        <v>221123</v>
      </c>
      <c r="F75" s="154" t="s">
        <v>592</v>
      </c>
      <c r="G75" s="90"/>
      <c r="H75" s="174" t="str">
        <f t="shared" si="8"/>
        <v>CZ</v>
      </c>
      <c r="I75" s="14" t="s">
        <v>164</v>
      </c>
      <c r="J75" s="126" t="s">
        <v>139</v>
      </c>
      <c r="K75" s="135" t="s">
        <v>297</v>
      </c>
      <c r="L75" s="30" t="s">
        <v>56</v>
      </c>
      <c r="M75" s="35" t="s">
        <v>313</v>
      </c>
      <c r="N75" s="79">
        <v>108.22</v>
      </c>
      <c r="O75" s="40"/>
      <c r="P75" s="112"/>
      <c r="Q75" s="40"/>
      <c r="R75" s="224"/>
      <c r="S75" s="116" t="str">
        <f t="shared" si="9"/>
        <v>Yes</v>
      </c>
    </row>
    <row r="76" spans="1:19" ht="21.75" customHeight="1" x14ac:dyDescent="0.2">
      <c r="A76" s="14" t="s">
        <v>538</v>
      </c>
      <c r="B76" s="181"/>
      <c r="C76" s="30" t="s">
        <v>225</v>
      </c>
      <c r="D76" s="18" t="s">
        <v>537</v>
      </c>
      <c r="E76" s="40"/>
      <c r="F76" s="154"/>
      <c r="G76" s="90"/>
      <c r="H76" s="174" t="str">
        <f t="shared" si="8"/>
        <v>CZ</v>
      </c>
      <c r="I76" s="14" t="s">
        <v>41</v>
      </c>
      <c r="J76" s="121" t="s">
        <v>252</v>
      </c>
      <c r="K76" s="140" t="s">
        <v>331</v>
      </c>
      <c r="L76" s="15" t="s">
        <v>59</v>
      </c>
      <c r="M76" s="19" t="s">
        <v>132</v>
      </c>
      <c r="N76" s="79">
        <v>750.82</v>
      </c>
      <c r="O76" s="40"/>
      <c r="P76" s="113"/>
      <c r="Q76" s="40">
        <v>221144</v>
      </c>
      <c r="R76" s="224" t="s">
        <v>640</v>
      </c>
      <c r="S76" s="116" t="str">
        <f t="shared" si="9"/>
        <v>Yes</v>
      </c>
    </row>
    <row r="77" spans="1:19" ht="21.75" customHeight="1" x14ac:dyDescent="0.2">
      <c r="A77" s="14" t="s">
        <v>495</v>
      </c>
      <c r="B77" s="126" t="s">
        <v>177</v>
      </c>
      <c r="C77" s="32" t="s">
        <v>225</v>
      </c>
      <c r="D77" s="18" t="s">
        <v>410</v>
      </c>
      <c r="E77" s="40">
        <v>221129</v>
      </c>
      <c r="F77" s="154"/>
      <c r="G77" s="224" t="s">
        <v>583</v>
      </c>
      <c r="H77" s="174" t="str">
        <f t="shared" si="8"/>
        <v>CZ</v>
      </c>
      <c r="I77" s="14" t="s">
        <v>50</v>
      </c>
      <c r="J77" s="122"/>
      <c r="K77" s="214"/>
      <c r="L77" s="15" t="s">
        <v>56</v>
      </c>
      <c r="M77" s="19" t="s">
        <v>315</v>
      </c>
      <c r="N77" s="79">
        <v>853.4</v>
      </c>
      <c r="O77" s="40"/>
      <c r="P77" s="108" t="s">
        <v>149</v>
      </c>
      <c r="Q77" s="40">
        <v>221128</v>
      </c>
      <c r="R77" s="246" t="s">
        <v>565</v>
      </c>
      <c r="S77" s="116" t="str">
        <f t="shared" si="9"/>
        <v>Yes</v>
      </c>
    </row>
    <row r="78" spans="1:19" ht="21.75" customHeight="1" x14ac:dyDescent="0.2">
      <c r="A78" s="93" t="s">
        <v>446</v>
      </c>
      <c r="B78" s="127" t="s">
        <v>556</v>
      </c>
      <c r="C78" s="29" t="s">
        <v>436</v>
      </c>
      <c r="D78" s="82" t="s">
        <v>299</v>
      </c>
      <c r="E78" s="40"/>
      <c r="F78" s="141"/>
      <c r="G78" s="189"/>
      <c r="H78" s="174" t="str">
        <f t="shared" si="8"/>
        <v>CZ</v>
      </c>
      <c r="I78" s="14" t="s">
        <v>46</v>
      </c>
      <c r="J78" s="181"/>
      <c r="K78" s="210"/>
      <c r="L78" s="30" t="s">
        <v>58</v>
      </c>
      <c r="M78" s="35" t="s">
        <v>240</v>
      </c>
      <c r="N78" s="97">
        <v>941.23</v>
      </c>
      <c r="O78" s="40"/>
      <c r="P78" s="108" t="s">
        <v>149</v>
      </c>
      <c r="Q78" s="40"/>
      <c r="R78" s="224"/>
      <c r="S78" s="116" t="str">
        <f t="shared" si="9"/>
        <v>Yes</v>
      </c>
    </row>
    <row r="79" spans="1:19" ht="21.75" customHeight="1" x14ac:dyDescent="0.2">
      <c r="A79" s="68" t="s">
        <v>448</v>
      </c>
      <c r="B79" s="181"/>
      <c r="C79" s="240" t="s">
        <v>436</v>
      </c>
      <c r="D79" s="31" t="s">
        <v>299</v>
      </c>
      <c r="E79" s="40">
        <v>221128</v>
      </c>
      <c r="F79" s="141" t="s">
        <v>649</v>
      </c>
      <c r="G79" s="184" t="s">
        <v>565</v>
      </c>
      <c r="I79" s="14" t="s">
        <v>35</v>
      </c>
      <c r="J79" s="126" t="s">
        <v>290</v>
      </c>
      <c r="K79" s="135" t="s">
        <v>291</v>
      </c>
      <c r="L79" s="30"/>
      <c r="M79" s="35"/>
      <c r="N79" s="97">
        <v>0</v>
      </c>
      <c r="O79" s="40"/>
      <c r="P79" s="108"/>
      <c r="Q79" s="40"/>
      <c r="R79" s="224"/>
      <c r="S79" s="116" t="str">
        <f t="shared" si="9"/>
        <v/>
      </c>
    </row>
    <row r="80" spans="1:19" ht="21.75" customHeight="1" x14ac:dyDescent="0.2">
      <c r="A80" s="163"/>
      <c r="B80" s="126"/>
      <c r="C80" s="240"/>
      <c r="D80" s="31"/>
      <c r="E80" s="40"/>
      <c r="F80" s="141"/>
      <c r="G80" s="184"/>
      <c r="I80" s="14"/>
      <c r="J80" s="126"/>
      <c r="K80" s="135"/>
      <c r="L80" s="30"/>
      <c r="M80" s="35"/>
      <c r="N80" s="97"/>
      <c r="O80" s="40"/>
      <c r="P80" s="108"/>
      <c r="Q80" s="40"/>
      <c r="R80" s="224"/>
      <c r="S80" s="116" t="str">
        <f t="shared" si="9"/>
        <v/>
      </c>
    </row>
    <row r="81" spans="1:19" ht="21.75" customHeight="1" x14ac:dyDescent="0.2">
      <c r="A81" s="163"/>
      <c r="B81" s="126"/>
      <c r="C81" s="240"/>
      <c r="D81" s="31"/>
      <c r="E81" s="69"/>
      <c r="F81" s="141"/>
      <c r="G81" s="184"/>
      <c r="I81" s="14"/>
      <c r="J81" s="126"/>
      <c r="K81" s="135"/>
      <c r="L81" s="15"/>
      <c r="M81" s="19"/>
      <c r="N81" s="79"/>
      <c r="O81" s="69"/>
      <c r="P81" s="109"/>
      <c r="Q81" s="69"/>
      <c r="R81" s="224"/>
      <c r="S81" s="116" t="str">
        <f t="shared" si="9"/>
        <v/>
      </c>
    </row>
    <row r="82" spans="1:19" ht="21.75" customHeight="1" x14ac:dyDescent="0.2">
      <c r="A82" s="68"/>
      <c r="B82" s="126"/>
      <c r="C82" s="240"/>
      <c r="D82" s="31"/>
      <c r="E82" s="69"/>
      <c r="F82" s="141"/>
      <c r="G82" s="108"/>
      <c r="I82" s="14"/>
      <c r="J82" s="126"/>
      <c r="K82" s="135"/>
      <c r="L82" s="30"/>
      <c r="M82" s="35"/>
      <c r="N82" s="97"/>
      <c r="O82" s="69"/>
      <c r="P82" s="109"/>
      <c r="Q82" s="69"/>
      <c r="R82" s="224"/>
      <c r="S82" s="116" t="str">
        <f t="shared" si="9"/>
        <v/>
      </c>
    </row>
    <row r="83" spans="1:19" ht="21.75" customHeight="1" x14ac:dyDescent="0.2">
      <c r="A83" s="95"/>
      <c r="B83" s="126"/>
      <c r="C83" s="240"/>
      <c r="D83" s="31"/>
      <c r="E83" s="69"/>
      <c r="F83" s="140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69"/>
      <c r="R83" s="224"/>
      <c r="S83" s="116" t="str">
        <f t="shared" si="9"/>
        <v/>
      </c>
    </row>
    <row r="84" spans="1:19" ht="21.75" customHeight="1" x14ac:dyDescent="0.2">
      <c r="A84" s="95"/>
      <c r="B84" s="126"/>
      <c r="C84" s="240"/>
      <c r="D84" s="31"/>
      <c r="E84" s="69"/>
      <c r="F84" s="140"/>
      <c r="G84" s="17"/>
      <c r="H84" s="174" t="str">
        <f t="shared" si="8"/>
        <v>CZ</v>
      </c>
      <c r="I84" s="95"/>
      <c r="J84" s="126"/>
      <c r="K84" s="135"/>
      <c r="L84" s="30"/>
      <c r="M84" s="35"/>
      <c r="N84" s="97"/>
      <c r="O84" s="69"/>
      <c r="P84" s="109"/>
      <c r="Q84" s="69"/>
      <c r="R84" s="224"/>
      <c r="S84" s="116" t="str">
        <f t="shared" si="9"/>
        <v/>
      </c>
    </row>
    <row r="85" spans="1:19" ht="21.75" customHeight="1" x14ac:dyDescent="0.2">
      <c r="A85" s="95"/>
      <c r="B85" s="126"/>
      <c r="C85" s="240"/>
      <c r="D85" s="31"/>
      <c r="E85" s="40"/>
      <c r="F85" s="140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4"/>
      <c r="S85" s="116" t="str">
        <f t="shared" si="9"/>
        <v/>
      </c>
    </row>
    <row r="86" spans="1:19" ht="21.75" customHeight="1" x14ac:dyDescent="0.2">
      <c r="A86" s="95"/>
      <c r="B86" s="180"/>
      <c r="C86" s="240"/>
      <c r="D86" s="18"/>
      <c r="E86" s="69"/>
      <c r="F86" s="135"/>
      <c r="G86" s="17"/>
      <c r="H86" s="174" t="str">
        <f t="shared" si="8"/>
        <v>CZ</v>
      </c>
      <c r="I86" s="14"/>
      <c r="J86" s="126"/>
      <c r="K86" s="135"/>
      <c r="L86" s="30"/>
      <c r="M86" s="35"/>
      <c r="N86" s="99"/>
      <c r="O86" s="69"/>
      <c r="P86" s="109"/>
      <c r="Q86" s="69"/>
      <c r="R86" s="224"/>
      <c r="S86" s="116" t="str">
        <f t="shared" si="9"/>
        <v/>
      </c>
    </row>
    <row r="87" spans="1:19" ht="21.75" customHeight="1" x14ac:dyDescent="0.2">
      <c r="A87" s="14"/>
      <c r="B87" s="126"/>
      <c r="C87" s="240"/>
      <c r="D87" s="16"/>
      <c r="E87" s="40"/>
      <c r="F87" s="135"/>
      <c r="G87" s="17"/>
      <c r="H87" s="174" t="str">
        <f t="shared" si="8"/>
        <v>CZ</v>
      </c>
      <c r="I87" s="14"/>
      <c r="J87" s="179"/>
      <c r="K87" s="135"/>
      <c r="L87" s="30"/>
      <c r="M87" s="35"/>
      <c r="N87" s="97"/>
      <c r="O87" s="40"/>
      <c r="P87" s="109"/>
      <c r="Q87" s="40"/>
      <c r="R87" s="224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33"/>
      <c r="E88" s="85"/>
      <c r="F88" s="135"/>
      <c r="G88" s="17"/>
      <c r="H88" s="174" t="str">
        <f t="shared" si="8"/>
        <v>CZ</v>
      </c>
      <c r="I88" s="14"/>
      <c r="J88" s="179"/>
      <c r="K88" s="135"/>
      <c r="L88" s="15"/>
      <c r="M88" s="19"/>
      <c r="N88" s="79"/>
      <c r="O88" s="85"/>
      <c r="P88" s="109"/>
      <c r="Q88" s="85"/>
      <c r="R88" s="224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5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109</v>
      </c>
      <c r="B94" s="118"/>
      <c r="C94" s="239"/>
      <c r="D94" s="256">
        <f>'[1]DEPT BAL'!$D$4-1</f>
        <v>43065</v>
      </c>
      <c r="E94" s="256"/>
      <c r="F94" s="138"/>
      <c r="I94" s="8" t="s">
        <v>110</v>
      </c>
      <c r="J94" s="118"/>
      <c r="L94" s="252">
        <f>D94+1</f>
        <v>43066</v>
      </c>
      <c r="M94" s="252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420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517</v>
      </c>
      <c r="B96" s="120" t="s">
        <v>557</v>
      </c>
      <c r="C96" s="34" t="s">
        <v>224</v>
      </c>
      <c r="D96" s="18" t="s">
        <v>519</v>
      </c>
      <c r="E96" s="40">
        <v>220033</v>
      </c>
      <c r="F96" s="154"/>
      <c r="G96" s="193" t="s">
        <v>642</v>
      </c>
      <c r="H96" s="174" t="str">
        <f>$I$93</f>
        <v>BK</v>
      </c>
      <c r="I96" s="10" t="s">
        <v>39</v>
      </c>
      <c r="J96" s="120" t="s">
        <v>377</v>
      </c>
      <c r="K96" s="209" t="s">
        <v>444</v>
      </c>
      <c r="L96" s="11" t="s">
        <v>56</v>
      </c>
      <c r="M96" s="13" t="s">
        <v>143</v>
      </c>
      <c r="N96" s="78">
        <v>872.22</v>
      </c>
      <c r="O96" s="40"/>
      <c r="P96" s="107"/>
      <c r="Q96" s="40">
        <v>220033</v>
      </c>
      <c r="R96" s="222" t="s">
        <v>642</v>
      </c>
      <c r="S96" s="115" t="str">
        <f t="shared" ref="S96:S103" si="10">IF(N96&gt;0,"Yes","")</f>
        <v>Yes</v>
      </c>
    </row>
    <row r="97" spans="1:19" ht="21.75" customHeight="1" x14ac:dyDescent="0.2">
      <c r="A97" s="14" t="s">
        <v>526</v>
      </c>
      <c r="B97" s="181"/>
      <c r="C97" s="30" t="s">
        <v>224</v>
      </c>
      <c r="D97" s="18" t="s">
        <v>519</v>
      </c>
      <c r="E97" s="40">
        <v>221122</v>
      </c>
      <c r="F97" s="154" t="s">
        <v>564</v>
      </c>
      <c r="G97" s="90"/>
      <c r="H97" s="174" t="str">
        <f t="shared" ref="H97:H103" si="11">$I$93</f>
        <v>BK</v>
      </c>
      <c r="I97" s="14" t="s">
        <v>148</v>
      </c>
      <c r="J97" s="126" t="s">
        <v>203</v>
      </c>
      <c r="K97" s="135" t="s">
        <v>280</v>
      </c>
      <c r="L97" s="15" t="s">
        <v>57</v>
      </c>
      <c r="M97" s="19" t="s">
        <v>371</v>
      </c>
      <c r="N97" s="79">
        <v>1017.1</v>
      </c>
      <c r="O97" s="40"/>
      <c r="P97" s="108"/>
      <c r="Q97" s="40"/>
      <c r="R97" s="223"/>
      <c r="S97" s="116" t="str">
        <f t="shared" si="10"/>
        <v>Yes</v>
      </c>
    </row>
    <row r="98" spans="1:19" ht="21.75" customHeight="1" x14ac:dyDescent="0.2">
      <c r="A98" s="14" t="s">
        <v>506</v>
      </c>
      <c r="B98" s="121" t="s">
        <v>558</v>
      </c>
      <c r="C98" s="32" t="s">
        <v>224</v>
      </c>
      <c r="D98" s="71" t="s">
        <v>509</v>
      </c>
      <c r="E98" s="40"/>
      <c r="F98" s="154"/>
      <c r="G98" s="90"/>
      <c r="H98" s="174" t="str">
        <f t="shared" si="11"/>
        <v>BK</v>
      </c>
      <c r="I98" s="68" t="s">
        <v>33</v>
      </c>
      <c r="J98" s="126" t="s">
        <v>195</v>
      </c>
      <c r="K98" s="135" t="s">
        <v>217</v>
      </c>
      <c r="L98" s="15" t="s">
        <v>62</v>
      </c>
      <c r="M98" s="19" t="s">
        <v>329</v>
      </c>
      <c r="N98" s="79">
        <v>954.92</v>
      </c>
      <c r="O98" s="40"/>
      <c r="P98" s="108"/>
      <c r="Q98" s="40"/>
      <c r="R98" s="223"/>
      <c r="S98" s="116" t="str">
        <f t="shared" si="10"/>
        <v>Yes</v>
      </c>
    </row>
    <row r="99" spans="1:19" ht="21.75" customHeight="1" x14ac:dyDescent="0.2">
      <c r="A99" s="14" t="s">
        <v>520</v>
      </c>
      <c r="B99" s="181"/>
      <c r="C99" s="240" t="s">
        <v>224</v>
      </c>
      <c r="D99" s="18" t="s">
        <v>509</v>
      </c>
      <c r="E99" s="40">
        <v>221137</v>
      </c>
      <c r="F99" s="154"/>
      <c r="G99" s="224" t="s">
        <v>579</v>
      </c>
      <c r="H99" s="174" t="str">
        <f t="shared" si="11"/>
        <v>BK</v>
      </c>
      <c r="I99" s="68" t="s">
        <v>26</v>
      </c>
      <c r="J99" s="126" t="s">
        <v>197</v>
      </c>
      <c r="K99" s="135" t="s">
        <v>271</v>
      </c>
      <c r="L99" s="15" t="s">
        <v>56</v>
      </c>
      <c r="M99" s="19" t="s">
        <v>283</v>
      </c>
      <c r="N99" s="79">
        <v>795.28</v>
      </c>
      <c r="O99" s="40"/>
      <c r="P99" s="108" t="s">
        <v>149</v>
      </c>
      <c r="Q99" s="40">
        <v>221137</v>
      </c>
      <c r="R99" s="224" t="s">
        <v>579</v>
      </c>
      <c r="S99" s="116" t="str">
        <f t="shared" si="10"/>
        <v>Yes</v>
      </c>
    </row>
    <row r="100" spans="1:19" ht="21.75" customHeight="1" x14ac:dyDescent="0.2">
      <c r="A100" s="14"/>
      <c r="B100" s="126"/>
      <c r="C100" s="240"/>
      <c r="D100" s="18"/>
      <c r="E100" s="40"/>
      <c r="F100" s="135"/>
      <c r="G100" s="17"/>
      <c r="H100" s="174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40"/>
      <c r="R100" s="223"/>
      <c r="S100" s="116" t="str">
        <f t="shared" si="10"/>
        <v/>
      </c>
    </row>
    <row r="101" spans="1:19" ht="21.75" customHeight="1" x14ac:dyDescent="0.2">
      <c r="A101" s="95"/>
      <c r="B101" s="126"/>
      <c r="C101" s="240"/>
      <c r="D101" s="18"/>
      <c r="E101" s="40"/>
      <c r="F101" s="135"/>
      <c r="G101" s="17"/>
      <c r="H101" s="174" t="str">
        <f t="shared" si="11"/>
        <v>BK</v>
      </c>
      <c r="I101" s="14"/>
      <c r="J101" s="126"/>
      <c r="K101" s="135"/>
      <c r="L101" s="30"/>
      <c r="M101" s="35"/>
      <c r="N101" s="97"/>
      <c r="O101" s="40"/>
      <c r="P101" s="108"/>
      <c r="Q101" s="40"/>
      <c r="R101" s="224"/>
      <c r="S101" s="116" t="str">
        <f t="shared" si="10"/>
        <v/>
      </c>
    </row>
    <row r="102" spans="1:19" ht="21.75" customHeight="1" x14ac:dyDescent="0.2">
      <c r="A102" s="95"/>
      <c r="B102" s="126"/>
      <c r="C102" s="240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4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1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5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109</v>
      </c>
      <c r="B108" s="118"/>
      <c r="C108" s="239"/>
      <c r="D108" s="256">
        <f>'[1]DEPT BAL'!$D$4-1</f>
        <v>43065</v>
      </c>
      <c r="E108" s="256"/>
      <c r="F108" s="138"/>
      <c r="I108" s="8" t="s">
        <v>110</v>
      </c>
      <c r="J108" s="118"/>
      <c r="L108" s="252">
        <f>D108+1</f>
        <v>43066</v>
      </c>
      <c r="M108" s="252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420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4" t="s">
        <v>453</v>
      </c>
      <c r="B110" s="121" t="s">
        <v>450</v>
      </c>
      <c r="C110" s="240" t="s">
        <v>559</v>
      </c>
      <c r="D110" s="18" t="s">
        <v>452</v>
      </c>
      <c r="E110" s="39"/>
      <c r="F110" s="154"/>
      <c r="G110" s="193"/>
      <c r="H110" s="174" t="str">
        <f>$I$107</f>
        <v>LA</v>
      </c>
      <c r="I110" s="14" t="s">
        <v>54</v>
      </c>
      <c r="J110" s="121" t="s">
        <v>303</v>
      </c>
      <c r="K110" s="213" t="s">
        <v>292</v>
      </c>
      <c r="L110" s="15" t="s">
        <v>55</v>
      </c>
      <c r="M110" s="19" t="s">
        <v>188</v>
      </c>
      <c r="N110" s="79">
        <v>835.16</v>
      </c>
      <c r="O110" s="39"/>
      <c r="P110" s="108"/>
      <c r="Q110" s="39">
        <v>220001</v>
      </c>
      <c r="R110" s="223" t="s">
        <v>618</v>
      </c>
      <c r="S110" s="115" t="str">
        <f>IF(N110&gt;0,"Yes","")</f>
        <v>Yes</v>
      </c>
    </row>
    <row r="111" spans="1:19" ht="21.75" customHeight="1" x14ac:dyDescent="0.2">
      <c r="A111" s="14" t="s">
        <v>449</v>
      </c>
      <c r="B111" s="181"/>
      <c r="C111" s="240" t="s">
        <v>559</v>
      </c>
      <c r="D111" s="18" t="s">
        <v>452</v>
      </c>
      <c r="E111" s="40"/>
      <c r="F111" s="154"/>
      <c r="G111" s="17"/>
      <c r="H111" s="174" t="str">
        <f t="shared" ref="H111:H119" si="12">$I$107</f>
        <v>LA</v>
      </c>
      <c r="I111" s="14" t="s">
        <v>165</v>
      </c>
      <c r="J111" s="181"/>
      <c r="K111" s="210"/>
      <c r="L111" s="30" t="s">
        <v>58</v>
      </c>
      <c r="M111" s="35" t="s">
        <v>300</v>
      </c>
      <c r="N111" s="97">
        <v>1132.5899999999999</v>
      </c>
      <c r="O111" s="40"/>
      <c r="P111" s="108"/>
      <c r="Q111" s="40"/>
      <c r="R111" s="224"/>
      <c r="S111" s="116" t="str">
        <f>IF(N111&gt;0,"Yes","")</f>
        <v>Yes</v>
      </c>
    </row>
    <row r="112" spans="1:19" ht="21.75" customHeight="1" x14ac:dyDescent="0.2">
      <c r="A112" s="14" t="s">
        <v>542</v>
      </c>
      <c r="B112" s="121"/>
      <c r="C112" s="30"/>
      <c r="D112" s="18"/>
      <c r="E112" s="40">
        <v>221138</v>
      </c>
      <c r="F112" s="154"/>
      <c r="G112" s="90" t="s">
        <v>639</v>
      </c>
      <c r="H112" s="174" t="str">
        <f t="shared" si="12"/>
        <v>LA</v>
      </c>
      <c r="I112" s="14" t="s">
        <v>23</v>
      </c>
      <c r="J112" s="121" t="s">
        <v>233</v>
      </c>
      <c r="K112" s="140" t="s">
        <v>220</v>
      </c>
      <c r="L112" s="30" t="s">
        <v>56</v>
      </c>
      <c r="M112" s="35" t="s">
        <v>372</v>
      </c>
      <c r="N112" s="97">
        <v>1059</v>
      </c>
      <c r="O112" s="40"/>
      <c r="P112" s="108"/>
      <c r="Q112" s="40"/>
      <c r="R112" s="17"/>
      <c r="S112" s="116" t="str">
        <f t="shared" ref="S112:S118" si="13">IF(N112&gt;0,"Yes","")</f>
        <v>Yes</v>
      </c>
    </row>
    <row r="113" spans="1:19" ht="21.75" customHeight="1" x14ac:dyDescent="0.2">
      <c r="A113" s="14" t="s">
        <v>541</v>
      </c>
      <c r="B113" s="126"/>
      <c r="C113" s="32"/>
      <c r="D113" s="71"/>
      <c r="E113" s="40"/>
      <c r="F113" s="154"/>
      <c r="G113" s="90"/>
      <c r="H113" s="174" t="str">
        <f t="shared" si="12"/>
        <v>LA</v>
      </c>
      <c r="I113" s="14" t="s">
        <v>64</v>
      </c>
      <c r="J113" s="181"/>
      <c r="K113" s="210"/>
      <c r="L113" s="30" t="s">
        <v>59</v>
      </c>
      <c r="M113" s="35" t="s">
        <v>132</v>
      </c>
      <c r="N113" s="97">
        <v>755.72</v>
      </c>
      <c r="O113" s="40"/>
      <c r="P113" s="108"/>
      <c r="Q113" s="40"/>
      <c r="R113" s="224"/>
      <c r="S113" s="116" t="str">
        <f t="shared" si="13"/>
        <v>Yes</v>
      </c>
    </row>
    <row r="114" spans="1:19" ht="21.75" customHeight="1" x14ac:dyDescent="0.2">
      <c r="A114" s="14" t="s">
        <v>541</v>
      </c>
      <c r="B114" s="180"/>
      <c r="C114" s="29"/>
      <c r="D114" s="71"/>
      <c r="E114" s="40">
        <v>220001</v>
      </c>
      <c r="F114" s="154"/>
      <c r="G114" s="90" t="s">
        <v>618</v>
      </c>
      <c r="H114" s="174" t="str">
        <f t="shared" si="12"/>
        <v>LA</v>
      </c>
      <c r="I114" s="14" t="s">
        <v>104</v>
      </c>
      <c r="J114" s="126" t="s">
        <v>262</v>
      </c>
      <c r="K114" s="135" t="s">
        <v>305</v>
      </c>
      <c r="L114" s="30" t="s">
        <v>57</v>
      </c>
      <c r="M114" s="35" t="s">
        <v>281</v>
      </c>
      <c r="N114" s="97">
        <v>1003.16</v>
      </c>
      <c r="O114" s="40"/>
      <c r="P114" s="17"/>
      <c r="Q114" s="40">
        <v>221138</v>
      </c>
      <c r="R114" s="224" t="s">
        <v>639</v>
      </c>
      <c r="S114" s="116" t="str">
        <f t="shared" si="13"/>
        <v>Yes</v>
      </c>
    </row>
    <row r="115" spans="1:19" ht="21.75" customHeight="1" x14ac:dyDescent="0.2">
      <c r="A115" s="14"/>
      <c r="B115" s="126"/>
      <c r="C115" s="240"/>
      <c r="D115" s="18"/>
      <c r="E115" s="40"/>
      <c r="F115" s="135"/>
      <c r="G115" s="96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4"/>
      <c r="S115" s="116" t="str">
        <f t="shared" si="13"/>
        <v/>
      </c>
    </row>
    <row r="116" spans="1:19" ht="21.75" customHeight="1" x14ac:dyDescent="0.2">
      <c r="A116" s="14"/>
      <c r="B116" s="126"/>
      <c r="C116" s="240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4"/>
      <c r="S116" s="116" t="str">
        <f t="shared" si="13"/>
        <v/>
      </c>
    </row>
    <row r="117" spans="1:19" ht="21.75" customHeight="1" x14ac:dyDescent="0.2">
      <c r="A117" s="95"/>
      <c r="B117" s="126"/>
      <c r="C117" s="240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4"/>
      <c r="S117" s="116" t="str">
        <f t="shared" si="13"/>
        <v/>
      </c>
    </row>
    <row r="118" spans="1:19" ht="21.75" customHeight="1" x14ac:dyDescent="0.2">
      <c r="A118" s="14"/>
      <c r="B118" s="126"/>
      <c r="C118" s="240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4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1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5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109</v>
      </c>
      <c r="B124" s="118"/>
      <c r="C124" s="239"/>
      <c r="D124" s="256">
        <f>'[1]DEPT BAL'!$D$4-1</f>
        <v>43065</v>
      </c>
      <c r="E124" s="256"/>
      <c r="F124" s="138"/>
      <c r="I124" s="8" t="s">
        <v>110</v>
      </c>
      <c r="J124" s="118"/>
      <c r="L124" s="252">
        <f>D124+1</f>
        <v>43066</v>
      </c>
      <c r="M124" s="252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420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4" t="s">
        <v>542</v>
      </c>
      <c r="B126" s="120"/>
      <c r="C126" s="11"/>
      <c r="D126" s="25"/>
      <c r="E126" s="39"/>
      <c r="F126" s="192"/>
      <c r="G126" s="202"/>
      <c r="H126" s="174" t="str">
        <f>$I$123</f>
        <v>PZ</v>
      </c>
      <c r="I126" s="10" t="s">
        <v>106</v>
      </c>
      <c r="J126" s="120" t="s">
        <v>204</v>
      </c>
      <c r="K126" s="209" t="s">
        <v>269</v>
      </c>
      <c r="L126" s="11" t="s">
        <v>66</v>
      </c>
      <c r="M126" s="13" t="s">
        <v>295</v>
      </c>
      <c r="N126" s="78">
        <v>891.23</v>
      </c>
      <c r="O126" s="39"/>
      <c r="P126" s="107"/>
      <c r="Q126" s="39"/>
      <c r="R126" s="226"/>
      <c r="S126" s="115" t="str">
        <f>IF(N126&gt;0,"Yes","")</f>
        <v>Yes</v>
      </c>
    </row>
    <row r="127" spans="1:19" ht="21.75" customHeight="1" x14ac:dyDescent="0.2">
      <c r="A127" s="14" t="s">
        <v>541</v>
      </c>
      <c r="B127" s="126"/>
      <c r="C127" s="240"/>
      <c r="D127" s="18"/>
      <c r="E127" s="40"/>
      <c r="F127" s="154"/>
      <c r="G127" s="90"/>
      <c r="H127" s="174" t="str">
        <f>$I$123</f>
        <v>PZ</v>
      </c>
      <c r="I127" s="14" t="s">
        <v>28</v>
      </c>
      <c r="J127" s="126" t="s">
        <v>183</v>
      </c>
      <c r="K127" s="135" t="s">
        <v>309</v>
      </c>
      <c r="L127" s="15" t="s">
        <v>62</v>
      </c>
      <c r="M127" s="19" t="s">
        <v>261</v>
      </c>
      <c r="N127" s="79">
        <v>769.78</v>
      </c>
      <c r="O127" s="40"/>
      <c r="P127" s="108"/>
      <c r="Q127" s="40"/>
      <c r="R127" s="223"/>
      <c r="S127" s="116" t="str">
        <f>IF(N127&gt;0,"Yes","")</f>
        <v>Yes</v>
      </c>
    </row>
    <row r="128" spans="1:19" ht="21.75" customHeight="1" x14ac:dyDescent="0.2">
      <c r="A128" s="14"/>
      <c r="B128" s="126"/>
      <c r="C128" s="240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3"/>
      <c r="S128" s="116" t="str">
        <f>IF(N128&gt;0,"Yes","")</f>
        <v/>
      </c>
    </row>
    <row r="129" spans="1:19" ht="21.75" customHeight="1" x14ac:dyDescent="0.2">
      <c r="A129" s="14"/>
      <c r="B129" s="126"/>
      <c r="C129" s="240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3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1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5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109</v>
      </c>
      <c r="B135" s="118"/>
      <c r="C135" s="239"/>
      <c r="D135" s="256">
        <f>'[1]DEPT BAL'!$D$4-1</f>
        <v>43065</v>
      </c>
      <c r="E135" s="256"/>
      <c r="F135" s="138"/>
      <c r="I135" s="8" t="s">
        <v>110</v>
      </c>
      <c r="J135" s="118"/>
      <c r="L135" s="252">
        <f>D135+1</f>
        <v>43066</v>
      </c>
      <c r="M135" s="252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420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514</v>
      </c>
      <c r="B137" s="122" t="s">
        <v>560</v>
      </c>
      <c r="C137" s="36" t="s">
        <v>174</v>
      </c>
      <c r="D137" s="18" t="s">
        <v>486</v>
      </c>
      <c r="E137" s="40">
        <v>220020</v>
      </c>
      <c r="F137" s="154"/>
      <c r="G137" s="223" t="s">
        <v>613</v>
      </c>
      <c r="H137" s="174" t="str">
        <f>$I$134</f>
        <v>EH</v>
      </c>
      <c r="I137" s="10" t="s">
        <v>49</v>
      </c>
      <c r="J137" s="120" t="s">
        <v>144</v>
      </c>
      <c r="K137" s="209" t="s">
        <v>218</v>
      </c>
      <c r="L137" s="11" t="s">
        <v>66</v>
      </c>
      <c r="M137" s="13" t="s">
        <v>289</v>
      </c>
      <c r="N137" s="78">
        <v>999.19</v>
      </c>
      <c r="O137" s="40"/>
      <c r="P137" s="107"/>
      <c r="Q137" s="40"/>
      <c r="R137" s="222"/>
      <c r="S137" s="115" t="str">
        <f>IF(N137&gt;0,"Yes","")</f>
        <v>Yes</v>
      </c>
    </row>
    <row r="138" spans="1:19" ht="21.75" customHeight="1" x14ac:dyDescent="0.2">
      <c r="A138" s="14" t="s">
        <v>485</v>
      </c>
      <c r="B138" s="181"/>
      <c r="C138" s="83" t="s">
        <v>174</v>
      </c>
      <c r="D138" s="18" t="s">
        <v>486</v>
      </c>
      <c r="E138" s="40"/>
      <c r="F138" s="154"/>
      <c r="G138" s="90"/>
      <c r="H138" s="174" t="str">
        <f t="shared" ref="H138:H145" si="14">$I$134</f>
        <v>EH</v>
      </c>
      <c r="I138" s="14" t="s">
        <v>42</v>
      </c>
      <c r="J138" s="181"/>
      <c r="K138" s="210"/>
      <c r="L138" s="15" t="s">
        <v>62</v>
      </c>
      <c r="M138" s="19" t="s">
        <v>175</v>
      </c>
      <c r="N138" s="79">
        <v>979.62</v>
      </c>
      <c r="O138" s="40"/>
      <c r="P138" s="108" t="s">
        <v>149</v>
      </c>
      <c r="Q138" s="40"/>
      <c r="R138" s="223"/>
      <c r="S138" s="116" t="str">
        <f>IF(N138&gt;0,"Yes","")</f>
        <v>Yes</v>
      </c>
    </row>
    <row r="139" spans="1:19" ht="21.75" customHeight="1" x14ac:dyDescent="0.2">
      <c r="A139" s="14" t="s">
        <v>539</v>
      </c>
      <c r="B139" s="121" t="s">
        <v>561</v>
      </c>
      <c r="C139" s="30" t="s">
        <v>174</v>
      </c>
      <c r="D139" s="18" t="s">
        <v>472</v>
      </c>
      <c r="E139" s="40">
        <v>220021</v>
      </c>
      <c r="F139" s="154"/>
      <c r="G139" s="90" t="s">
        <v>636</v>
      </c>
      <c r="H139" s="174" t="str">
        <f t="shared" si="14"/>
        <v>EH</v>
      </c>
      <c r="I139" s="14" t="s">
        <v>29</v>
      </c>
      <c r="J139" s="121" t="s">
        <v>219</v>
      </c>
      <c r="K139" s="140" t="s">
        <v>154</v>
      </c>
      <c r="L139" s="15" t="s">
        <v>56</v>
      </c>
      <c r="M139" s="19" t="s">
        <v>283</v>
      </c>
      <c r="N139" s="79">
        <v>900.4</v>
      </c>
      <c r="O139" s="40"/>
      <c r="P139" s="108" t="s">
        <v>149</v>
      </c>
      <c r="Q139" s="40">
        <v>221137</v>
      </c>
      <c r="R139" s="223" t="s">
        <v>633</v>
      </c>
      <c r="S139" s="116" t="str">
        <f t="shared" ref="S139:S144" si="15">IF(N139&gt;0,"Yes","")</f>
        <v>Yes</v>
      </c>
    </row>
    <row r="140" spans="1:19" ht="21.75" customHeight="1" x14ac:dyDescent="0.2">
      <c r="A140" s="14" t="s">
        <v>470</v>
      </c>
      <c r="B140" s="181"/>
      <c r="C140" s="32" t="s">
        <v>174</v>
      </c>
      <c r="D140" s="18" t="s">
        <v>472</v>
      </c>
      <c r="E140" s="40">
        <v>221137</v>
      </c>
      <c r="F140" s="154"/>
      <c r="G140" s="189" t="s">
        <v>633</v>
      </c>
      <c r="H140" s="174" t="str">
        <f t="shared" si="14"/>
        <v>EH</v>
      </c>
      <c r="I140" s="14" t="s">
        <v>65</v>
      </c>
      <c r="J140" s="181"/>
      <c r="K140" s="210"/>
      <c r="L140" s="15" t="s">
        <v>56</v>
      </c>
      <c r="M140" s="19" t="s">
        <v>359</v>
      </c>
      <c r="N140" s="79">
        <v>757.26</v>
      </c>
      <c r="O140" s="40"/>
      <c r="P140" s="108"/>
      <c r="Q140" s="40">
        <v>220016</v>
      </c>
      <c r="R140" s="90" t="s">
        <v>566</v>
      </c>
      <c r="S140" s="116" t="str">
        <f t="shared" si="15"/>
        <v>Yes</v>
      </c>
    </row>
    <row r="141" spans="1:19" ht="21.75" customHeight="1" x14ac:dyDescent="0.2">
      <c r="A141" s="14" t="s">
        <v>491</v>
      </c>
      <c r="B141" s="121" t="s">
        <v>562</v>
      </c>
      <c r="C141" s="240" t="s">
        <v>174</v>
      </c>
      <c r="D141" s="18" t="s">
        <v>412</v>
      </c>
      <c r="E141" s="40">
        <v>220013</v>
      </c>
      <c r="F141" s="154"/>
      <c r="G141" s="90" t="s">
        <v>615</v>
      </c>
      <c r="H141" s="174" t="str">
        <f t="shared" si="14"/>
        <v>EH</v>
      </c>
      <c r="I141" s="14" t="s">
        <v>90</v>
      </c>
      <c r="J141" s="126" t="s">
        <v>200</v>
      </c>
      <c r="K141" s="135" t="s">
        <v>268</v>
      </c>
      <c r="L141" s="15" t="s">
        <v>59</v>
      </c>
      <c r="M141" s="19" t="s">
        <v>360</v>
      </c>
      <c r="N141" s="79">
        <v>883.4</v>
      </c>
      <c r="O141" s="40"/>
      <c r="P141" s="108"/>
      <c r="Q141" s="40">
        <v>220013</v>
      </c>
      <c r="R141" s="189" t="s">
        <v>615</v>
      </c>
      <c r="S141" s="116" t="str">
        <f t="shared" si="15"/>
        <v>Yes</v>
      </c>
    </row>
    <row r="142" spans="1:19" ht="21.75" customHeight="1" x14ac:dyDescent="0.2">
      <c r="A142" s="14" t="s">
        <v>494</v>
      </c>
      <c r="B142" s="181"/>
      <c r="C142" s="240" t="s">
        <v>174</v>
      </c>
      <c r="D142" s="16" t="s">
        <v>412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354</v>
      </c>
      <c r="K142" s="135" t="s">
        <v>413</v>
      </c>
      <c r="L142" s="15" t="s">
        <v>59</v>
      </c>
      <c r="M142" s="19" t="s">
        <v>333</v>
      </c>
      <c r="N142" s="79">
        <v>732.99</v>
      </c>
      <c r="O142" s="40"/>
      <c r="P142" s="108"/>
      <c r="Q142" s="40">
        <v>220021</v>
      </c>
      <c r="R142" s="223" t="s">
        <v>636</v>
      </c>
      <c r="S142" s="116" t="str">
        <f t="shared" si="15"/>
        <v>Yes</v>
      </c>
    </row>
    <row r="143" spans="1:19" ht="21.75" customHeight="1" x14ac:dyDescent="0.2">
      <c r="A143" s="14" t="s">
        <v>542</v>
      </c>
      <c r="B143" s="121"/>
      <c r="C143" s="240"/>
      <c r="D143" s="16"/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212</v>
      </c>
      <c r="K143" s="135" t="s">
        <v>364</v>
      </c>
      <c r="L143" s="15" t="s">
        <v>56</v>
      </c>
      <c r="M143" s="15" t="s">
        <v>143</v>
      </c>
      <c r="N143" s="79">
        <v>798.04</v>
      </c>
      <c r="O143" s="40"/>
      <c r="P143" s="108"/>
      <c r="Q143" s="40">
        <v>220020</v>
      </c>
      <c r="R143" s="223" t="s">
        <v>613</v>
      </c>
      <c r="S143" s="116" t="str">
        <f t="shared" si="15"/>
        <v>Yes</v>
      </c>
    </row>
    <row r="144" spans="1:19" ht="21.75" customHeight="1" x14ac:dyDescent="0.2">
      <c r="A144" s="14" t="s">
        <v>541</v>
      </c>
      <c r="B144" s="126"/>
      <c r="C144" s="240"/>
      <c r="D144" s="16"/>
      <c r="E144" s="40">
        <v>220016</v>
      </c>
      <c r="F144" s="154"/>
      <c r="G144" s="90" t="s">
        <v>566</v>
      </c>
      <c r="H144" s="174" t="str">
        <f t="shared" si="14"/>
        <v>EH</v>
      </c>
      <c r="I144" s="14" t="s">
        <v>147</v>
      </c>
      <c r="J144" s="126" t="s">
        <v>355</v>
      </c>
      <c r="K144" s="135" t="s">
        <v>365</v>
      </c>
      <c r="L144" s="15" t="s">
        <v>59</v>
      </c>
      <c r="M144" s="15" t="s">
        <v>366</v>
      </c>
      <c r="N144" s="79">
        <v>883.15</v>
      </c>
      <c r="O144" s="40"/>
      <c r="P144" s="108"/>
      <c r="Q144" s="40"/>
      <c r="R144" s="223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1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5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5*")+COUNTIF($A$3:$A$148,"XC 9*")</f>
        <v>53</v>
      </c>
      <c r="B149" s="8" t="s">
        <v>170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171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Monday</v>
      </c>
      <c r="H150" s="176"/>
      <c r="I150" s="253">
        <f>$L$3</f>
        <v>43066</v>
      </c>
      <c r="J150" s="253"/>
    </row>
    <row r="151" spans="1:19" s="1" customFormat="1" ht="6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4" t="s">
        <v>5</v>
      </c>
      <c r="K152" s="254"/>
      <c r="M152" s="6" t="s">
        <v>98</v>
      </c>
    </row>
    <row r="153" spans="1:19" ht="19.5" customHeight="1" x14ac:dyDescent="0.2">
      <c r="D153" s="196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51">
        <f>INDEX($I$5:$Q$148, MATCH($I153,I$5:I$148,0),9)</f>
        <v>0</v>
      </c>
      <c r="K153" s="251"/>
      <c r="L153" s="6" t="str">
        <f t="shared" ref="L153:L186" si="18">INDEX($H$5:$H$148, MATCH($I153,I$5:I$148,0))</f>
        <v>CZ</v>
      </c>
      <c r="M153" s="196">
        <f t="shared" ref="M153:M186" si="19">INDEX($I$5:$N$148, MATCH($I153,I$5:I$148,0),6)</f>
        <v>788.11</v>
      </c>
      <c r="N153" s="8"/>
    </row>
    <row r="154" spans="1:19" ht="19.5" customHeight="1" x14ac:dyDescent="0.2">
      <c r="D154" s="196">
        <f t="shared" si="16"/>
        <v>0</v>
      </c>
      <c r="E154" s="86">
        <f t="shared" si="17"/>
        <v>0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51">
        <f t="shared" ref="J154:J186" si="21">INDEX($I$5:$Q$148, MATCH($I154,I$5:I$148,0),9)</f>
        <v>221129</v>
      </c>
      <c r="K154" s="251"/>
      <c r="L154" s="6" t="str">
        <f t="shared" si="18"/>
        <v>CZ</v>
      </c>
      <c r="M154" s="196">
        <f t="shared" si="19"/>
        <v>738.81</v>
      </c>
      <c r="N154" s="8"/>
    </row>
    <row r="155" spans="1:19" ht="19.5" customHeight="1" x14ac:dyDescent="0.2">
      <c r="D155" s="196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221141</v>
      </c>
      <c r="I155" s="15" t="s">
        <v>23</v>
      </c>
      <c r="J155" s="251">
        <f t="shared" si="21"/>
        <v>0</v>
      </c>
      <c r="K155" s="251"/>
      <c r="L155" s="6" t="str">
        <f t="shared" si="18"/>
        <v>LA</v>
      </c>
      <c r="M155" s="196">
        <f t="shared" si="19"/>
        <v>1059</v>
      </c>
      <c r="N155" s="8"/>
    </row>
    <row r="156" spans="1:19" ht="19.5" customHeight="1" x14ac:dyDescent="0.2">
      <c r="D156" s="196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51">
        <f t="shared" si="21"/>
        <v>221131</v>
      </c>
      <c r="K156" s="251"/>
      <c r="L156" s="6" t="str">
        <f t="shared" si="18"/>
        <v>MA</v>
      </c>
      <c r="M156" s="196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6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51">
        <f t="shared" si="21"/>
        <v>0</v>
      </c>
      <c r="K157" s="251"/>
      <c r="L157" s="6" t="str">
        <f t="shared" si="18"/>
        <v>TY</v>
      </c>
      <c r="M157" s="196">
        <f t="shared" si="19"/>
        <v>1009.6</v>
      </c>
      <c r="N157" s="8"/>
      <c r="O157" s="37"/>
      <c r="P157" s="105"/>
      <c r="Q157" s="37"/>
      <c r="R157" s="37"/>
    </row>
    <row r="158" spans="1:19" ht="19.5" customHeight="1" x14ac:dyDescent="0.2">
      <c r="D158" s="196">
        <f t="shared" si="16"/>
        <v>872.22</v>
      </c>
      <c r="E158" s="86" t="str">
        <f t="shared" si="17"/>
        <v>BK</v>
      </c>
      <c r="F158" s="15" t="s">
        <v>39</v>
      </c>
      <c r="G158" s="28">
        <f t="shared" si="20"/>
        <v>220033</v>
      </c>
      <c r="I158" s="15" t="s">
        <v>26</v>
      </c>
      <c r="J158" s="251">
        <f t="shared" si="21"/>
        <v>221137</v>
      </c>
      <c r="K158" s="251"/>
      <c r="L158" s="6" t="str">
        <f t="shared" si="18"/>
        <v>BK</v>
      </c>
      <c r="M158" s="196">
        <f t="shared" si="19"/>
        <v>795.28</v>
      </c>
      <c r="N158" s="8"/>
    </row>
    <row r="159" spans="1:19" ht="19.5" customHeight="1" x14ac:dyDescent="0.2">
      <c r="D159" s="196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51">
        <f t="shared" si="21"/>
        <v>0</v>
      </c>
      <c r="K159" s="251"/>
      <c r="L159" s="6" t="str">
        <f t="shared" si="18"/>
        <v>CZ</v>
      </c>
      <c r="M159" s="196">
        <f t="shared" si="19"/>
        <v>1053.7</v>
      </c>
      <c r="N159" s="8"/>
    </row>
    <row r="160" spans="1:19" ht="19.5" customHeight="1" x14ac:dyDescent="0.2">
      <c r="D160" s="196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221144</v>
      </c>
      <c r="I160" s="15" t="s">
        <v>28</v>
      </c>
      <c r="J160" s="251">
        <f t="shared" si="21"/>
        <v>0</v>
      </c>
      <c r="K160" s="251"/>
      <c r="L160" s="6" t="str">
        <f t="shared" si="18"/>
        <v>PZ</v>
      </c>
      <c r="M160" s="196">
        <f t="shared" si="19"/>
        <v>769.78</v>
      </c>
      <c r="N160" s="8"/>
    </row>
    <row r="161" spans="4:14" ht="19.5" customHeight="1" x14ac:dyDescent="0.2">
      <c r="D161" s="196">
        <f t="shared" si="16"/>
        <v>979.62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51">
        <f t="shared" si="21"/>
        <v>221137</v>
      </c>
      <c r="K161" s="251"/>
      <c r="L161" s="6" t="str">
        <f t="shared" si="18"/>
        <v>EH</v>
      </c>
      <c r="M161" s="196">
        <f t="shared" si="19"/>
        <v>900.4</v>
      </c>
      <c r="N161" s="8"/>
    </row>
    <row r="162" spans="4:14" ht="19.5" customHeight="1" x14ac:dyDescent="0.2">
      <c r="D162" s="196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220021</v>
      </c>
      <c r="I162" s="15" t="s">
        <v>30</v>
      </c>
      <c r="J162" s="251">
        <f t="shared" si="21"/>
        <v>221132</v>
      </c>
      <c r="K162" s="251"/>
      <c r="L162" s="6" t="str">
        <f t="shared" si="18"/>
        <v>EC</v>
      </c>
      <c r="M162" s="196">
        <f t="shared" si="19"/>
        <v>1035.1400000000001</v>
      </c>
      <c r="N162" s="8"/>
    </row>
    <row r="163" spans="4:14" ht="19.5" customHeight="1" x14ac:dyDescent="0.2">
      <c r="D163" s="196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220032</v>
      </c>
      <c r="I163" s="15" t="s">
        <v>31</v>
      </c>
      <c r="J163" s="251">
        <f t="shared" si="21"/>
        <v>0</v>
      </c>
      <c r="K163" s="251"/>
      <c r="L163" s="6" t="str">
        <f t="shared" si="18"/>
        <v>EC</v>
      </c>
      <c r="M163" s="196">
        <f t="shared" si="19"/>
        <v>920.97</v>
      </c>
      <c r="N163" s="8"/>
    </row>
    <row r="164" spans="4:14" ht="19.5" customHeight="1" x14ac:dyDescent="0.2">
      <c r="D164" s="196">
        <f t="shared" si="16"/>
        <v>956.01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51">
        <f t="shared" si="21"/>
        <v>0</v>
      </c>
      <c r="K164" s="251"/>
      <c r="L164" s="6" t="str">
        <f t="shared" si="18"/>
        <v>TY</v>
      </c>
      <c r="M164" s="196">
        <f t="shared" si="19"/>
        <v>889.99</v>
      </c>
      <c r="N164" s="8"/>
    </row>
    <row r="165" spans="4:14" ht="19.5" customHeight="1" x14ac:dyDescent="0.2">
      <c r="D165" s="196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51">
        <f t="shared" si="21"/>
        <v>0</v>
      </c>
      <c r="K165" s="251"/>
      <c r="L165" s="6" t="str">
        <f t="shared" si="18"/>
        <v>BK</v>
      </c>
      <c r="M165" s="196">
        <f t="shared" si="19"/>
        <v>954.92</v>
      </c>
      <c r="N165" s="8"/>
    </row>
    <row r="166" spans="4:14" ht="19.5" customHeight="1" x14ac:dyDescent="0.2">
      <c r="D166" s="196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51">
        <f t="shared" si="21"/>
        <v>0</v>
      </c>
      <c r="K166" s="251"/>
      <c r="L166" s="6" t="str">
        <f t="shared" si="18"/>
        <v>CZ</v>
      </c>
      <c r="M166" s="196">
        <f t="shared" si="19"/>
        <v>795.67</v>
      </c>
      <c r="N166" s="8"/>
    </row>
    <row r="167" spans="4:14" ht="19.5" customHeight="1" x14ac:dyDescent="0.2">
      <c r="D167" s="196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220018</v>
      </c>
      <c r="I167" s="15" t="s">
        <v>104</v>
      </c>
      <c r="J167" s="251">
        <f t="shared" si="21"/>
        <v>221138</v>
      </c>
      <c r="K167" s="251"/>
      <c r="L167" s="6" t="str">
        <f t="shared" si="18"/>
        <v>LA</v>
      </c>
      <c r="M167" s="196">
        <f t="shared" si="19"/>
        <v>1003.16</v>
      </c>
      <c r="N167" s="8"/>
    </row>
    <row r="168" spans="4:14" ht="19.5" customHeight="1" x14ac:dyDescent="0.2">
      <c r="D168" s="196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51">
        <f t="shared" si="21"/>
        <v>0</v>
      </c>
      <c r="K168" s="251"/>
      <c r="L168" s="6" t="str">
        <f t="shared" si="18"/>
        <v>PZ</v>
      </c>
      <c r="M168" s="196">
        <f t="shared" si="19"/>
        <v>891.23</v>
      </c>
      <c r="N168" s="8"/>
    </row>
    <row r="169" spans="4:14" ht="19.5" customHeight="1" x14ac:dyDescent="0.2">
      <c r="D169" s="196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221128</v>
      </c>
      <c r="I169" s="15" t="s">
        <v>103</v>
      </c>
      <c r="J169" s="251">
        <f t="shared" si="21"/>
        <v>0</v>
      </c>
      <c r="K169" s="251"/>
      <c r="L169" s="6" t="str">
        <f t="shared" si="18"/>
        <v>CZ</v>
      </c>
      <c r="M169" s="196">
        <f t="shared" si="19"/>
        <v>806.31</v>
      </c>
      <c r="N169" s="8"/>
    </row>
    <row r="170" spans="4:14" ht="19.5" customHeight="1" x14ac:dyDescent="0.2">
      <c r="D170" s="196">
        <f t="shared" si="16"/>
        <v>1032.8900000000001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51">
        <f t="shared" si="21"/>
        <v>0</v>
      </c>
      <c r="K170" s="251"/>
      <c r="L170" s="6" t="str">
        <f t="shared" si="18"/>
        <v>EC</v>
      </c>
      <c r="M170" s="196">
        <f t="shared" si="19"/>
        <v>900.47</v>
      </c>
      <c r="N170" s="8"/>
    </row>
    <row r="171" spans="4:14" ht="19.5" customHeight="1" x14ac:dyDescent="0.2">
      <c r="D171" s="196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51" t="e">
        <f t="shared" si="21"/>
        <v>#N/A</v>
      </c>
      <c r="K171" s="251"/>
      <c r="L171" s="6" t="e">
        <f t="shared" si="18"/>
        <v>#N/A</v>
      </c>
      <c r="M171" s="196" t="e">
        <f t="shared" si="19"/>
        <v>#N/A</v>
      </c>
      <c r="N171" s="8"/>
    </row>
    <row r="172" spans="4:14" ht="19.5" customHeight="1" x14ac:dyDescent="0.2">
      <c r="D172" s="196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220020</v>
      </c>
      <c r="I172" s="15" t="s">
        <v>119</v>
      </c>
      <c r="J172" s="251" t="e">
        <f t="shared" si="21"/>
        <v>#N/A</v>
      </c>
      <c r="K172" s="251"/>
      <c r="L172" s="6" t="e">
        <f t="shared" si="18"/>
        <v>#N/A</v>
      </c>
      <c r="M172" s="196" t="e">
        <f t="shared" si="19"/>
        <v>#N/A</v>
      </c>
      <c r="N172" s="8"/>
    </row>
    <row r="173" spans="4:14" ht="19.5" customHeight="1" x14ac:dyDescent="0.2">
      <c r="D173" s="196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220001</v>
      </c>
      <c r="I173" s="15" t="s">
        <v>120</v>
      </c>
      <c r="J173" s="251" t="e">
        <f t="shared" si="21"/>
        <v>#N/A</v>
      </c>
      <c r="K173" s="251"/>
      <c r="L173" s="6" t="e">
        <f t="shared" si="18"/>
        <v>#N/A</v>
      </c>
      <c r="M173" s="196" t="e">
        <f t="shared" si="19"/>
        <v>#N/A</v>
      </c>
      <c r="N173" s="8"/>
    </row>
    <row r="174" spans="4:14" ht="19.5" customHeight="1" x14ac:dyDescent="0.2">
      <c r="D174" s="196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140</v>
      </c>
      <c r="J174" s="251" t="e">
        <f t="shared" si="21"/>
        <v>#N/A</v>
      </c>
      <c r="K174" s="251"/>
      <c r="L174" s="6" t="e">
        <f t="shared" si="18"/>
        <v>#N/A</v>
      </c>
      <c r="M174" s="196" t="e">
        <f t="shared" si="19"/>
        <v>#N/A</v>
      </c>
      <c r="N174" s="8"/>
    </row>
    <row r="175" spans="4:14" ht="19.5" customHeight="1" x14ac:dyDescent="0.2">
      <c r="D175" s="196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220016</v>
      </c>
      <c r="I175" s="15" t="s">
        <v>142</v>
      </c>
      <c r="J175" s="251" t="e">
        <f t="shared" si="21"/>
        <v>#N/A</v>
      </c>
      <c r="K175" s="251"/>
      <c r="L175" s="6" t="e">
        <f t="shared" si="18"/>
        <v>#N/A</v>
      </c>
      <c r="M175" s="196" t="e">
        <f t="shared" si="19"/>
        <v>#N/A</v>
      </c>
      <c r="N175" s="8"/>
    </row>
    <row r="176" spans="4:14" ht="19.5" customHeight="1" x14ac:dyDescent="0.2">
      <c r="D176" s="196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141</v>
      </c>
      <c r="J176" s="251" t="e">
        <f t="shared" si="21"/>
        <v>#N/A</v>
      </c>
      <c r="K176" s="251"/>
      <c r="L176" s="6" t="e">
        <f t="shared" si="18"/>
        <v>#N/A</v>
      </c>
      <c r="M176" s="196" t="e">
        <f t="shared" si="19"/>
        <v>#N/A</v>
      </c>
      <c r="N176" s="8"/>
    </row>
    <row r="177" spans="3:14" ht="19.5" customHeight="1" x14ac:dyDescent="0.2">
      <c r="D177" s="196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220007</v>
      </c>
      <c r="I177" s="15" t="s">
        <v>166</v>
      </c>
      <c r="J177" s="251" t="e">
        <f t="shared" si="21"/>
        <v>#N/A</v>
      </c>
      <c r="K177" s="251"/>
      <c r="L177" s="6" t="e">
        <f t="shared" si="18"/>
        <v>#N/A</v>
      </c>
      <c r="M177" s="196" t="e">
        <f t="shared" si="19"/>
        <v>#N/A</v>
      </c>
      <c r="N177" s="8"/>
    </row>
    <row r="178" spans="3:14" ht="19.5" customHeight="1" x14ac:dyDescent="0.2">
      <c r="D178" s="196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167</v>
      </c>
      <c r="J178" s="251" t="e">
        <f t="shared" si="21"/>
        <v>#N/A</v>
      </c>
      <c r="K178" s="251"/>
      <c r="L178" s="6" t="e">
        <f t="shared" si="18"/>
        <v>#N/A</v>
      </c>
      <c r="M178" s="196" t="e">
        <f t="shared" si="19"/>
        <v>#N/A</v>
      </c>
      <c r="N178" s="8"/>
    </row>
    <row r="179" spans="3:14" ht="19.5" customHeight="1" x14ac:dyDescent="0.2">
      <c r="D179" s="196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220025</v>
      </c>
      <c r="I179" s="15" t="s">
        <v>168</v>
      </c>
      <c r="J179" s="251" t="e">
        <f t="shared" si="21"/>
        <v>#N/A</v>
      </c>
      <c r="K179" s="251"/>
      <c r="L179" s="6" t="e">
        <f t="shared" si="18"/>
        <v>#N/A</v>
      </c>
      <c r="M179" s="196" t="e">
        <f t="shared" si="19"/>
        <v>#N/A</v>
      </c>
      <c r="N179" s="8"/>
    </row>
    <row r="180" spans="3:14" ht="19.5" customHeight="1" x14ac:dyDescent="0.2">
      <c r="D180" s="196">
        <f t="shared" si="16"/>
        <v>770.92</v>
      </c>
      <c r="E180" s="86" t="str">
        <f t="shared" si="17"/>
        <v>CZ</v>
      </c>
      <c r="F180" s="15" t="s">
        <v>88</v>
      </c>
      <c r="G180" s="28">
        <f t="shared" si="20"/>
        <v>220017</v>
      </c>
      <c r="I180" s="15" t="s">
        <v>169</v>
      </c>
      <c r="J180" s="251" t="e">
        <f t="shared" si="21"/>
        <v>#N/A</v>
      </c>
      <c r="K180" s="251"/>
      <c r="L180" s="6" t="e">
        <f t="shared" si="18"/>
        <v>#N/A</v>
      </c>
      <c r="M180" s="196" t="e">
        <f t="shared" si="19"/>
        <v>#N/A</v>
      </c>
      <c r="N180" s="8"/>
    </row>
    <row r="181" spans="3:14" ht="19.5" customHeight="1" x14ac:dyDescent="0.2">
      <c r="D181" s="196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220013</v>
      </c>
      <c r="I181" s="15"/>
      <c r="J181" s="251" t="e">
        <f t="shared" si="21"/>
        <v>#N/A</v>
      </c>
      <c r="K181" s="251"/>
      <c r="L181" s="6" t="e">
        <f t="shared" si="18"/>
        <v>#N/A</v>
      </c>
      <c r="M181" s="196" t="e">
        <f t="shared" si="19"/>
        <v>#N/A</v>
      </c>
      <c r="N181" s="8"/>
    </row>
    <row r="182" spans="3:14" ht="19.5" customHeight="1" x14ac:dyDescent="0.2">
      <c r="D182" s="196">
        <f t="shared" si="16"/>
        <v>863.74</v>
      </c>
      <c r="E182" s="86" t="str">
        <f t="shared" si="17"/>
        <v>MA</v>
      </c>
      <c r="F182" s="15" t="s">
        <v>146</v>
      </c>
      <c r="G182" s="28">
        <f t="shared" si="20"/>
        <v>0</v>
      </c>
      <c r="I182" s="15"/>
      <c r="J182" s="251" t="e">
        <f t="shared" si="21"/>
        <v>#N/A</v>
      </c>
      <c r="K182" s="251"/>
      <c r="L182" s="6" t="e">
        <f t="shared" si="18"/>
        <v>#N/A</v>
      </c>
      <c r="M182" s="196" t="e">
        <f t="shared" si="19"/>
        <v>#N/A</v>
      </c>
      <c r="N182" s="8"/>
    </row>
    <row r="183" spans="3:14" ht="19.5" customHeight="1" x14ac:dyDescent="0.2">
      <c r="D183" s="196">
        <f t="shared" si="16"/>
        <v>883.15</v>
      </c>
      <c r="E183" s="86" t="str">
        <f t="shared" si="17"/>
        <v>EH</v>
      </c>
      <c r="F183" s="15" t="s">
        <v>147</v>
      </c>
      <c r="G183" s="28">
        <f t="shared" si="20"/>
        <v>0</v>
      </c>
      <c r="I183" s="15"/>
      <c r="J183" s="251" t="e">
        <f t="shared" si="21"/>
        <v>#N/A</v>
      </c>
      <c r="K183" s="251"/>
      <c r="L183" s="6" t="e">
        <f t="shared" si="18"/>
        <v>#N/A</v>
      </c>
      <c r="M183" s="196" t="e">
        <f t="shared" si="19"/>
        <v>#N/A</v>
      </c>
      <c r="N183" s="8"/>
    </row>
    <row r="184" spans="3:14" ht="19.5" customHeight="1" x14ac:dyDescent="0.2">
      <c r="D184" s="196">
        <f t="shared" si="16"/>
        <v>1017.1</v>
      </c>
      <c r="E184" s="86" t="str">
        <f t="shared" si="17"/>
        <v>BK</v>
      </c>
      <c r="F184" s="15" t="s">
        <v>148</v>
      </c>
      <c r="G184" s="28">
        <f t="shared" si="20"/>
        <v>0</v>
      </c>
      <c r="I184" s="15"/>
      <c r="J184" s="251" t="e">
        <f t="shared" si="21"/>
        <v>#N/A</v>
      </c>
      <c r="K184" s="251"/>
      <c r="L184" s="6" t="e">
        <f t="shared" si="18"/>
        <v>#N/A</v>
      </c>
      <c r="M184" s="196" t="e">
        <f t="shared" si="19"/>
        <v>#N/A</v>
      </c>
      <c r="N184" s="8"/>
    </row>
    <row r="185" spans="3:14" ht="19.5" customHeight="1" x14ac:dyDescent="0.2">
      <c r="D185" s="221">
        <f t="shared" si="16"/>
        <v>108.22</v>
      </c>
      <c r="E185" s="86" t="str">
        <f t="shared" si="17"/>
        <v>CZ</v>
      </c>
      <c r="F185" s="30" t="s">
        <v>164</v>
      </c>
      <c r="G185" s="28">
        <f t="shared" si="20"/>
        <v>0</v>
      </c>
      <c r="I185" s="15"/>
      <c r="J185" s="251" t="e">
        <f t="shared" si="21"/>
        <v>#N/A</v>
      </c>
      <c r="K185" s="251"/>
      <c r="L185" s="6" t="e">
        <f t="shared" si="18"/>
        <v>#N/A</v>
      </c>
      <c r="M185" s="196" t="e">
        <f t="shared" si="19"/>
        <v>#N/A</v>
      </c>
      <c r="N185" s="8"/>
    </row>
    <row r="186" spans="3:14" ht="19.5" customHeight="1" x14ac:dyDescent="0.2">
      <c r="C186" s="130"/>
      <c r="D186" s="196">
        <f t="shared" si="16"/>
        <v>1132.5899999999999</v>
      </c>
      <c r="E186" s="216" t="str">
        <f t="shared" si="17"/>
        <v>LA</v>
      </c>
      <c r="F186" s="15" t="s">
        <v>165</v>
      </c>
      <c r="G186" s="28">
        <f t="shared" si="20"/>
        <v>0</v>
      </c>
      <c r="I186" s="15"/>
      <c r="J186" s="251" t="e">
        <f t="shared" si="21"/>
        <v>#N/A</v>
      </c>
      <c r="K186" s="251"/>
      <c r="L186" s="6" t="e">
        <f t="shared" si="18"/>
        <v>#N/A</v>
      </c>
      <c r="M186" s="196" t="e">
        <f t="shared" si="19"/>
        <v>#N/A</v>
      </c>
      <c r="N186" s="8"/>
    </row>
    <row r="187" spans="3:14" ht="19.5" customHeight="1" x14ac:dyDescent="0.2">
      <c r="C187" s="130"/>
      <c r="D187" s="196">
        <f t="shared" si="16"/>
        <v>0</v>
      </c>
      <c r="E187" s="216" t="str">
        <f t="shared" si="17"/>
        <v>XW</v>
      </c>
      <c r="F187" s="15" t="s">
        <v>390</v>
      </c>
      <c r="G187" s="28">
        <f t="shared" si="20"/>
        <v>0</v>
      </c>
      <c r="I187" s="84"/>
      <c r="J187" s="220"/>
      <c r="K187" s="220"/>
      <c r="M187" s="219"/>
      <c r="N187" s="8"/>
    </row>
    <row r="188" spans="3:14" ht="19.5" customHeight="1" x14ac:dyDescent="0.2">
      <c r="C188" s="92" t="s">
        <v>92</v>
      </c>
      <c r="D188" s="197">
        <f>SUMIF(D153:D186,"&gt;0")</f>
        <v>28660.3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7">
        <f>SUMIF(M153:M180,"&gt;0")</f>
        <v>16117.209999999997</v>
      </c>
    </row>
    <row r="189" spans="3:14" ht="20.100000000000001" customHeight="1" x14ac:dyDescent="0.2">
      <c r="C189" s="6" t="s">
        <v>155</v>
      </c>
      <c r="D189" s="197">
        <f>D188+M188</f>
        <v>44777.509999999995</v>
      </c>
      <c r="E189" s="42" t="s">
        <v>155</v>
      </c>
      <c r="F189" s="7">
        <f>F188+J188</f>
        <v>52</v>
      </c>
      <c r="I189" s="42"/>
      <c r="J189" s="7"/>
      <c r="L189" s="92"/>
      <c r="M189" s="197"/>
    </row>
    <row r="190" spans="3:14" ht="20.100000000000001" customHeight="1" x14ac:dyDescent="0.2"/>
  </sheetData>
  <mergeCells count="54">
    <mergeCell ref="J185:K185"/>
    <mergeCell ref="J186:K186"/>
    <mergeCell ref="J156:K156"/>
    <mergeCell ref="D47:E47"/>
    <mergeCell ref="J153:K153"/>
    <mergeCell ref="J154:K154"/>
    <mergeCell ref="D135:E135"/>
    <mergeCell ref="D61:E61"/>
    <mergeCell ref="J168:K168"/>
    <mergeCell ref="J169:K169"/>
    <mergeCell ref="J170:K170"/>
    <mergeCell ref="J171:K171"/>
    <mergeCell ref="J165:K165"/>
    <mergeCell ref="J166:K166"/>
    <mergeCell ref="J167:K167"/>
    <mergeCell ref="J164:K164"/>
    <mergeCell ref="D3:E3"/>
    <mergeCell ref="L3:M3"/>
    <mergeCell ref="L23:M23"/>
    <mergeCell ref="L35:M35"/>
    <mergeCell ref="D23:E23"/>
    <mergeCell ref="D35:E35"/>
    <mergeCell ref="I150:J150"/>
    <mergeCell ref="J152:K152"/>
    <mergeCell ref="D94:E94"/>
    <mergeCell ref="D108:E108"/>
    <mergeCell ref="L108:M108"/>
    <mergeCell ref="L94:M94"/>
    <mergeCell ref="L61:M61"/>
    <mergeCell ref="L135:M135"/>
    <mergeCell ref="L47:M47"/>
    <mergeCell ref="D124:E124"/>
    <mergeCell ref="L124:M124"/>
    <mergeCell ref="J161:K161"/>
    <mergeCell ref="J162:K162"/>
    <mergeCell ref="J163:K163"/>
    <mergeCell ref="J155:K155"/>
    <mergeCell ref="J159:K159"/>
    <mergeCell ref="J160:K160"/>
    <mergeCell ref="J157:K157"/>
    <mergeCell ref="J158:K158"/>
    <mergeCell ref="J181:K181"/>
    <mergeCell ref="J184:K184"/>
    <mergeCell ref="J172:K172"/>
    <mergeCell ref="J173:K173"/>
    <mergeCell ref="J174:K174"/>
    <mergeCell ref="J179:K179"/>
    <mergeCell ref="J175:K175"/>
    <mergeCell ref="J176:K176"/>
    <mergeCell ref="J177:K177"/>
    <mergeCell ref="J178:K178"/>
    <mergeCell ref="J183:K183"/>
    <mergeCell ref="J182:K182"/>
    <mergeCell ref="J180:K180"/>
  </mergeCells>
  <phoneticPr fontId="0" type="noConversion"/>
  <conditionalFormatting sqref="E153:E187">
    <cfRule type="expression" dxfId="1067" priority="232" stopIfTrue="1">
      <formula>F153=0</formula>
    </cfRule>
  </conditionalFormatting>
  <conditionalFormatting sqref="G153:G187">
    <cfRule type="cellIs" dxfId="1066" priority="233" stopIfTrue="1" operator="between">
      <formula>221100</formula>
      <formula>221140</formula>
    </cfRule>
    <cfRule type="expression" dxfId="1065" priority="234" stopIfTrue="1">
      <formula>F153=0</formula>
    </cfRule>
  </conditionalFormatting>
  <conditionalFormatting sqref="D153:D187">
    <cfRule type="expression" dxfId="1064" priority="235" stopIfTrue="1">
      <formula>F153=0</formula>
    </cfRule>
  </conditionalFormatting>
  <conditionalFormatting sqref="F153:F187 I153:I187">
    <cfRule type="expression" dxfId="1063" priority="236" stopIfTrue="1">
      <formula>G153&gt;221144</formula>
    </cfRule>
    <cfRule type="expression" dxfId="1062" priority="237" stopIfTrue="1">
      <formula>G153=0</formula>
    </cfRule>
  </conditionalFormatting>
  <conditionalFormatting sqref="L153:L187">
    <cfRule type="expression" dxfId="1061" priority="238" stopIfTrue="1">
      <formula>I153=0</formula>
    </cfRule>
  </conditionalFormatting>
  <conditionalFormatting sqref="J153:K187">
    <cfRule type="cellIs" dxfId="1060" priority="239" stopIfTrue="1" operator="between">
      <formula>220001</formula>
      <formula>220034</formula>
    </cfRule>
    <cfRule type="cellIs" dxfId="1059" priority="240" stopIfTrue="1" operator="between">
      <formula>221141</formula>
      <formula>221144</formula>
    </cfRule>
    <cfRule type="expression" dxfId="1058" priority="241" stopIfTrue="1">
      <formula>I153=0</formula>
    </cfRule>
  </conditionalFormatting>
  <conditionalFormatting sqref="M153:M187">
    <cfRule type="expression" dxfId="1057" priority="242" stopIfTrue="1">
      <formula>I153=0</formula>
    </cfRule>
  </conditionalFormatting>
  <conditionalFormatting sqref="R5:R6 R25:R30 R37 R49:R50 R110:R111 R96:R98 R63:R71 R126:R130 R137:R139 R113:R119 R52:R56 R39:R42 R75:R76 R142 R100:R103 R73 R8:R9 R144:R145 R78:R89 R11:R17">
    <cfRule type="cellIs" dxfId="1056" priority="243" stopIfTrue="1" operator="between">
      <formula>221101</formula>
      <formula>221140</formula>
    </cfRule>
  </conditionalFormatting>
  <conditionalFormatting sqref="F126:F130 F96:F103 F137:F143 F63:F89 F110:F119 F49:F56 F37:F42 F25:F30 F5:F17 F145">
    <cfRule type="cellIs" dxfId="1055" priority="244" stopIfTrue="1" operator="notEqual">
      <formula>"FP"</formula>
    </cfRule>
  </conditionalFormatting>
  <conditionalFormatting sqref="I25:I30 I37:I42 I49:I56 I63:I89 I96:I103 I110:I119 I126:I130 I137:I145 I5:I17">
    <cfRule type="cellIs" dxfId="1054" priority="245" stopIfTrue="1" operator="between">
      <formula>"XC 501"</formula>
      <formula>"XC 549"</formula>
    </cfRule>
    <cfRule type="cellIs" dxfId="1053" priority="246" stopIfTrue="1" operator="between">
      <formula>"XC 201"</formula>
      <formula>"XC 399"</formula>
    </cfRule>
    <cfRule type="cellIs" dxfId="1052" priority="247" stopIfTrue="1" operator="between">
      <formula>"XC 801"</formula>
      <formula>"XC 899"</formula>
    </cfRule>
  </conditionalFormatting>
  <conditionalFormatting sqref="P5:P17">
    <cfRule type="containsText" dxfId="1051" priority="230" stopIfTrue="1" operator="containsText" text="Couples In Traffic">
      <formula>NOT(ISERROR(SEARCH("Couples In Traffic",P5)))</formula>
    </cfRule>
    <cfRule type="expression" dxfId="1050" priority="231" stopIfTrue="1">
      <formula>"Couples In Traffic"</formula>
    </cfRule>
  </conditionalFormatting>
  <conditionalFormatting sqref="P24">
    <cfRule type="containsText" dxfId="1049" priority="226" stopIfTrue="1" operator="containsText" text="Couples In Traffic">
      <formula>NOT(ISERROR(SEARCH("Couples In Traffic",P24)))</formula>
    </cfRule>
    <cfRule type="expression" dxfId="1048" priority="227" stopIfTrue="1">
      <formula>"Couples In Traffic"</formula>
    </cfRule>
  </conditionalFormatting>
  <conditionalFormatting sqref="P25:P30">
    <cfRule type="containsText" dxfId="1047" priority="224" stopIfTrue="1" operator="containsText" text="Couples In Traffic">
      <formula>NOT(ISERROR(SEARCH("Couples In Traffic",P25)))</formula>
    </cfRule>
    <cfRule type="expression" dxfId="1046" priority="225" stopIfTrue="1">
      <formula>"Couples In Traffic"</formula>
    </cfRule>
  </conditionalFormatting>
  <conditionalFormatting sqref="P37:P42">
    <cfRule type="containsText" dxfId="1045" priority="222" stopIfTrue="1" operator="containsText" text="Couples In Traffic">
      <formula>NOT(ISERROR(SEARCH("Couples In Traffic",P37)))</formula>
    </cfRule>
    <cfRule type="expression" dxfId="1044" priority="223" stopIfTrue="1">
      <formula>"Couples In Traffic"</formula>
    </cfRule>
  </conditionalFormatting>
  <conditionalFormatting sqref="P49:P56">
    <cfRule type="containsText" dxfId="1043" priority="220" stopIfTrue="1" operator="containsText" text="Couples In Traffic">
      <formula>NOT(ISERROR(SEARCH("Couples In Traffic",P49)))</formula>
    </cfRule>
    <cfRule type="expression" dxfId="1042" priority="221" stopIfTrue="1">
      <formula>"Couples In Traffic"</formula>
    </cfRule>
  </conditionalFormatting>
  <conditionalFormatting sqref="P63:P89">
    <cfRule type="containsText" dxfId="1041" priority="218" stopIfTrue="1" operator="containsText" text="Couples In Traffic">
      <formula>NOT(ISERROR(SEARCH("Couples In Traffic",P63)))</formula>
    </cfRule>
    <cfRule type="expression" dxfId="1040" priority="219" stopIfTrue="1">
      <formula>"Couples In Traffic"</formula>
    </cfRule>
  </conditionalFormatting>
  <conditionalFormatting sqref="P96:P103">
    <cfRule type="containsText" dxfId="1039" priority="216" stopIfTrue="1" operator="containsText" text="Couples In Traffic">
      <formula>NOT(ISERROR(SEARCH("Couples In Traffic",P96)))</formula>
    </cfRule>
    <cfRule type="expression" dxfId="1038" priority="217" stopIfTrue="1">
      <formula>"Couples In Traffic"</formula>
    </cfRule>
  </conditionalFormatting>
  <conditionalFormatting sqref="P110:P119">
    <cfRule type="containsText" dxfId="1037" priority="214" stopIfTrue="1" operator="containsText" text="Couples In Traffic">
      <formula>NOT(ISERROR(SEARCH("Couples In Traffic",P110)))</formula>
    </cfRule>
    <cfRule type="expression" dxfId="1036" priority="215" stopIfTrue="1">
      <formula>"Couples In Traffic"</formula>
    </cfRule>
  </conditionalFormatting>
  <conditionalFormatting sqref="P126:P130">
    <cfRule type="containsText" dxfId="1035" priority="212" stopIfTrue="1" operator="containsText" text="Couples In Traffic">
      <formula>NOT(ISERROR(SEARCH("Couples In Traffic",P126)))</formula>
    </cfRule>
    <cfRule type="expression" dxfId="1034" priority="213" stopIfTrue="1">
      <formula>"Couples In Traffic"</formula>
    </cfRule>
  </conditionalFormatting>
  <conditionalFormatting sqref="P137:P145">
    <cfRule type="containsText" dxfId="1033" priority="210" stopIfTrue="1" operator="containsText" text="Couples In Traffic">
      <formula>NOT(ISERROR(SEARCH("Couples In Traffic",P137)))</formula>
    </cfRule>
    <cfRule type="expression" dxfId="1032" priority="211" stopIfTrue="1">
      <formula>"Couples In Traffic"</formula>
    </cfRule>
  </conditionalFormatting>
  <conditionalFormatting sqref="O5:O17">
    <cfRule type="cellIs" dxfId="1031" priority="204" stopIfTrue="1" operator="between">
      <formula>221101</formula>
      <formula>221140</formula>
    </cfRule>
  </conditionalFormatting>
  <conditionalFormatting sqref="O5:O17">
    <cfRule type="cellIs" dxfId="1030" priority="202" stopIfTrue="1" operator="equal">
      <formula>221144</formula>
    </cfRule>
    <cfRule type="cellIs" dxfId="1029" priority="203" stopIfTrue="1" operator="equal">
      <formula>221136</formula>
    </cfRule>
  </conditionalFormatting>
  <conditionalFormatting sqref="O5:O17">
    <cfRule type="cellIs" dxfId="1028" priority="200" stopIfTrue="1" operator="equal">
      <formula>221144</formula>
    </cfRule>
    <cfRule type="cellIs" dxfId="1027" priority="201" stopIfTrue="1" operator="equal">
      <formula>221136</formula>
    </cfRule>
  </conditionalFormatting>
  <conditionalFormatting sqref="O25:O30">
    <cfRule type="cellIs" dxfId="1026" priority="196" stopIfTrue="1" operator="between">
      <formula>221101</formula>
      <formula>221140</formula>
    </cfRule>
  </conditionalFormatting>
  <conditionalFormatting sqref="O25:O30">
    <cfRule type="cellIs" dxfId="1025" priority="194" stopIfTrue="1" operator="equal">
      <formula>221144</formula>
    </cfRule>
    <cfRule type="cellIs" dxfId="1024" priority="195" stopIfTrue="1" operator="equal">
      <formula>221136</formula>
    </cfRule>
  </conditionalFormatting>
  <conditionalFormatting sqref="O37:O42">
    <cfRule type="cellIs" dxfId="1023" priority="190" stopIfTrue="1" operator="between">
      <formula>221101</formula>
      <formula>221140</formula>
    </cfRule>
  </conditionalFormatting>
  <conditionalFormatting sqref="O37:O42">
    <cfRule type="cellIs" dxfId="1022" priority="188" stopIfTrue="1" operator="equal">
      <formula>221144</formula>
    </cfRule>
    <cfRule type="cellIs" dxfId="1021" priority="189" stopIfTrue="1" operator="equal">
      <formula>221136</formula>
    </cfRule>
  </conditionalFormatting>
  <conditionalFormatting sqref="O49:O56">
    <cfRule type="cellIs" dxfId="1020" priority="182" stopIfTrue="1" operator="between">
      <formula>221101</formula>
      <formula>221140</formula>
    </cfRule>
  </conditionalFormatting>
  <conditionalFormatting sqref="O49:O56">
    <cfRule type="cellIs" dxfId="1019" priority="180" stopIfTrue="1" operator="equal">
      <formula>221144</formula>
    </cfRule>
    <cfRule type="cellIs" dxfId="1018" priority="181" stopIfTrue="1" operator="equal">
      <formula>221136</formula>
    </cfRule>
  </conditionalFormatting>
  <conditionalFormatting sqref="O49:O56">
    <cfRule type="cellIs" dxfId="1017" priority="178" stopIfTrue="1" operator="equal">
      <formula>221144</formula>
    </cfRule>
    <cfRule type="cellIs" dxfId="1016" priority="179" stopIfTrue="1" operator="equal">
      <formula>221136</formula>
    </cfRule>
  </conditionalFormatting>
  <conditionalFormatting sqref="O63:O89">
    <cfRule type="cellIs" dxfId="1015" priority="174" stopIfTrue="1" operator="between">
      <formula>221101</formula>
      <formula>221140</formula>
    </cfRule>
  </conditionalFormatting>
  <conditionalFormatting sqref="O63:O89">
    <cfRule type="cellIs" dxfId="1014" priority="172" stopIfTrue="1" operator="equal">
      <formula>221144</formula>
    </cfRule>
    <cfRule type="cellIs" dxfId="1013" priority="173" stopIfTrue="1" operator="equal">
      <formula>221136</formula>
    </cfRule>
  </conditionalFormatting>
  <conditionalFormatting sqref="O96:O103">
    <cfRule type="cellIs" dxfId="1012" priority="168" stopIfTrue="1" operator="between">
      <formula>221101</formula>
      <formula>221140</formula>
    </cfRule>
  </conditionalFormatting>
  <conditionalFormatting sqref="O96:O103">
    <cfRule type="cellIs" dxfId="1011" priority="166" stopIfTrue="1" operator="equal">
      <formula>221144</formula>
    </cfRule>
    <cfRule type="cellIs" dxfId="1010" priority="167" stopIfTrue="1" operator="equal">
      <formula>221136</formula>
    </cfRule>
  </conditionalFormatting>
  <conditionalFormatting sqref="O110:O119">
    <cfRule type="cellIs" dxfId="1009" priority="162" stopIfTrue="1" operator="between">
      <formula>221101</formula>
      <formula>221140</formula>
    </cfRule>
  </conditionalFormatting>
  <conditionalFormatting sqref="O110:O119">
    <cfRule type="cellIs" dxfId="1008" priority="160" stopIfTrue="1" operator="equal">
      <formula>221144</formula>
    </cfRule>
    <cfRule type="cellIs" dxfId="1007" priority="161" stopIfTrue="1" operator="equal">
      <formula>221136</formula>
    </cfRule>
  </conditionalFormatting>
  <conditionalFormatting sqref="O126:O130">
    <cfRule type="cellIs" dxfId="1006" priority="156" stopIfTrue="1" operator="between">
      <formula>221101</formula>
      <formula>221140</formula>
    </cfRule>
  </conditionalFormatting>
  <conditionalFormatting sqref="O126:O130">
    <cfRule type="cellIs" dxfId="1005" priority="154" stopIfTrue="1" operator="equal">
      <formula>221144</formula>
    </cfRule>
    <cfRule type="cellIs" dxfId="1004" priority="155" stopIfTrue="1" operator="equal">
      <formula>221136</formula>
    </cfRule>
  </conditionalFormatting>
  <conditionalFormatting sqref="O137:O145">
    <cfRule type="cellIs" dxfId="1003" priority="150" stopIfTrue="1" operator="between">
      <formula>221101</formula>
      <formula>221140</formula>
    </cfRule>
  </conditionalFormatting>
  <conditionalFormatting sqref="O137:O145">
    <cfRule type="cellIs" dxfId="1002" priority="148" stopIfTrue="1" operator="equal">
      <formula>221144</formula>
    </cfRule>
    <cfRule type="cellIs" dxfId="1001" priority="149" stopIfTrue="1" operator="equal">
      <formula>221136</formula>
    </cfRule>
  </conditionalFormatting>
  <conditionalFormatting sqref="O137:O145 O5:O17 O25:O30 O37:O42 O49:O56 O63:O89 O96:O103 O110:O119 O126:O130">
    <cfRule type="cellIs" dxfId="1000" priority="147" operator="equal">
      <formula>221140</formula>
    </cfRule>
  </conditionalFormatting>
  <conditionalFormatting sqref="Q137:Q139 Q5:Q6 Q26:Q30 Q37 Q49:Q50 Q63:Q71 Q96:Q98 Q110:Q111 Q126:Q130 Q113:Q119 Q52:Q56 Q39:Q42 Q75:Q89 Q142 Q100:Q103 Q73 Q8:Q9 Q144:Q145 Q11:Q17">
    <cfRule type="cellIs" dxfId="999" priority="115" operator="equal">
      <formula>221140</formula>
    </cfRule>
  </conditionalFormatting>
  <conditionalFormatting sqref="Q5:Q6 Q8:Q9 Q11:Q17">
    <cfRule type="cellIs" dxfId="998" priority="146" stopIfTrue="1" operator="between">
      <formula>221101</formula>
      <formula>221140</formula>
    </cfRule>
  </conditionalFormatting>
  <conditionalFormatting sqref="Q5:Q6 Q8:Q9 Q11:Q17">
    <cfRule type="cellIs" dxfId="997" priority="144" stopIfTrue="1" operator="equal">
      <formula>221144</formula>
    </cfRule>
    <cfRule type="cellIs" dxfId="996" priority="145" stopIfTrue="1" operator="equal">
      <formula>221136</formula>
    </cfRule>
  </conditionalFormatting>
  <conditionalFormatting sqref="Q5:Q6 Q8:Q9 Q11:Q17">
    <cfRule type="cellIs" dxfId="995" priority="142" stopIfTrue="1" operator="equal">
      <formula>221144</formula>
    </cfRule>
    <cfRule type="cellIs" dxfId="994" priority="143" stopIfTrue="1" operator="equal">
      <formula>221136</formula>
    </cfRule>
  </conditionalFormatting>
  <conditionalFormatting sqref="Q26:Q30">
    <cfRule type="cellIs" dxfId="993" priority="141" stopIfTrue="1" operator="between">
      <formula>221101</formula>
      <formula>221140</formula>
    </cfRule>
  </conditionalFormatting>
  <conditionalFormatting sqref="Q26:Q30">
    <cfRule type="cellIs" dxfId="992" priority="139" stopIfTrue="1" operator="equal">
      <formula>221144</formula>
    </cfRule>
    <cfRule type="cellIs" dxfId="991" priority="140" stopIfTrue="1" operator="equal">
      <formula>221136</formula>
    </cfRule>
  </conditionalFormatting>
  <conditionalFormatting sqref="Q37 Q39:Q42">
    <cfRule type="cellIs" dxfId="990" priority="138" stopIfTrue="1" operator="between">
      <formula>221101</formula>
      <formula>221140</formula>
    </cfRule>
  </conditionalFormatting>
  <conditionalFormatting sqref="Q37 Q39:Q42">
    <cfRule type="cellIs" dxfId="989" priority="136" stopIfTrue="1" operator="equal">
      <formula>221144</formula>
    </cfRule>
    <cfRule type="cellIs" dxfId="988" priority="137" stopIfTrue="1" operator="equal">
      <formula>221136</formula>
    </cfRule>
  </conditionalFormatting>
  <conditionalFormatting sqref="Q49:Q50 Q52:Q56">
    <cfRule type="cellIs" dxfId="987" priority="135" stopIfTrue="1" operator="between">
      <formula>221101</formula>
      <formula>221140</formula>
    </cfRule>
  </conditionalFormatting>
  <conditionalFormatting sqref="Q49:Q50 Q52:Q56">
    <cfRule type="cellIs" dxfId="986" priority="133" stopIfTrue="1" operator="equal">
      <formula>221144</formula>
    </cfRule>
    <cfRule type="cellIs" dxfId="985" priority="134" stopIfTrue="1" operator="equal">
      <formula>221136</formula>
    </cfRule>
  </conditionalFormatting>
  <conditionalFormatting sqref="Q49:Q50 Q52:Q56">
    <cfRule type="cellIs" dxfId="984" priority="131" stopIfTrue="1" operator="equal">
      <formula>221144</formula>
    </cfRule>
    <cfRule type="cellIs" dxfId="983" priority="132" stopIfTrue="1" operator="equal">
      <formula>221136</formula>
    </cfRule>
  </conditionalFormatting>
  <conditionalFormatting sqref="Q63:Q71 Q75:Q89 Q73">
    <cfRule type="cellIs" dxfId="982" priority="130" stopIfTrue="1" operator="between">
      <formula>221101</formula>
      <formula>221140</formula>
    </cfRule>
  </conditionalFormatting>
  <conditionalFormatting sqref="Q63:Q71 Q75:Q89 Q73">
    <cfRule type="cellIs" dxfId="981" priority="128" stopIfTrue="1" operator="equal">
      <formula>221144</formula>
    </cfRule>
    <cfRule type="cellIs" dxfId="980" priority="129" stopIfTrue="1" operator="equal">
      <formula>221136</formula>
    </cfRule>
  </conditionalFormatting>
  <conditionalFormatting sqref="Q96:Q98 Q100:Q103">
    <cfRule type="cellIs" dxfId="979" priority="127" stopIfTrue="1" operator="between">
      <formula>221101</formula>
      <formula>221140</formula>
    </cfRule>
  </conditionalFormatting>
  <conditionalFormatting sqref="Q96:Q98 Q100:Q103">
    <cfRule type="cellIs" dxfId="978" priority="125" stopIfTrue="1" operator="equal">
      <formula>221144</formula>
    </cfRule>
    <cfRule type="cellIs" dxfId="977" priority="126" stopIfTrue="1" operator="equal">
      <formula>221136</formula>
    </cfRule>
  </conditionalFormatting>
  <conditionalFormatting sqref="Q110:Q111 Q113:Q119">
    <cfRule type="cellIs" dxfId="976" priority="124" stopIfTrue="1" operator="between">
      <formula>221101</formula>
      <formula>221140</formula>
    </cfRule>
  </conditionalFormatting>
  <conditionalFormatting sqref="Q110:Q111 Q113:Q119">
    <cfRule type="cellIs" dxfId="975" priority="122" stopIfTrue="1" operator="equal">
      <formula>221144</formula>
    </cfRule>
    <cfRule type="cellIs" dxfId="974" priority="123" stopIfTrue="1" operator="equal">
      <formula>221136</formula>
    </cfRule>
  </conditionalFormatting>
  <conditionalFormatting sqref="Q126:Q130">
    <cfRule type="cellIs" dxfId="973" priority="121" stopIfTrue="1" operator="between">
      <formula>221101</formula>
      <formula>221140</formula>
    </cfRule>
  </conditionalFormatting>
  <conditionalFormatting sqref="Q126:Q130">
    <cfRule type="cellIs" dxfId="972" priority="119" stopIfTrue="1" operator="equal">
      <formula>221144</formula>
    </cfRule>
    <cfRule type="cellIs" dxfId="971" priority="120" stopIfTrue="1" operator="equal">
      <formula>221136</formula>
    </cfRule>
  </conditionalFormatting>
  <conditionalFormatting sqref="Q137:Q139 Q142 Q144:Q145">
    <cfRule type="cellIs" dxfId="970" priority="118" stopIfTrue="1" operator="between">
      <formula>221101</formula>
      <formula>221140</formula>
    </cfRule>
  </conditionalFormatting>
  <conditionalFormatting sqref="Q137:Q139 Q142 Q144:Q145">
    <cfRule type="cellIs" dxfId="969" priority="116" stopIfTrue="1" operator="equal">
      <formula>221144</formula>
    </cfRule>
    <cfRule type="cellIs" dxfId="968" priority="117" stopIfTrue="1" operator="equal">
      <formula>221136</formula>
    </cfRule>
  </conditionalFormatting>
  <conditionalFormatting sqref="A25:A26 A37:A42 A49:A56 A63:A89 A96:A103 A110:A111 A128:A130 A137:A142 A5:A17 A29:A30 A115:A119 A145">
    <cfRule type="cellIs" dxfId="967" priority="112" stopIfTrue="1" operator="between">
      <formula>"XC 501"</formula>
      <formula>"XC 549"</formula>
    </cfRule>
    <cfRule type="cellIs" dxfId="966" priority="113" stopIfTrue="1" operator="between">
      <formula>"XC 201"</formula>
      <formula>"XC 399"</formula>
    </cfRule>
    <cfRule type="cellIs" dxfId="965" priority="114" stopIfTrue="1" operator="between">
      <formula>"XC 801"</formula>
      <formula>"XC 899"</formula>
    </cfRule>
  </conditionalFormatting>
  <conditionalFormatting sqref="E5:E8 E11:E17">
    <cfRule type="cellIs" dxfId="964" priority="111" stopIfTrue="1" operator="between">
      <formula>221101</formula>
      <formula>221140</formula>
    </cfRule>
  </conditionalFormatting>
  <conditionalFormatting sqref="E5:E8 E11:E17">
    <cfRule type="cellIs" dxfId="963" priority="109" stopIfTrue="1" operator="equal">
      <formula>221144</formula>
    </cfRule>
    <cfRule type="cellIs" dxfId="962" priority="110" stopIfTrue="1" operator="equal">
      <formula>221136</formula>
    </cfRule>
  </conditionalFormatting>
  <conditionalFormatting sqref="E5:E8 E11:E17">
    <cfRule type="cellIs" dxfId="961" priority="107" stopIfTrue="1" operator="equal">
      <formula>221144</formula>
    </cfRule>
    <cfRule type="cellIs" dxfId="960" priority="108" stopIfTrue="1" operator="equal">
      <formula>221136</formula>
    </cfRule>
  </conditionalFormatting>
  <conditionalFormatting sqref="E26:E30">
    <cfRule type="cellIs" dxfId="959" priority="106" stopIfTrue="1" operator="between">
      <formula>221101</formula>
      <formula>221140</formula>
    </cfRule>
  </conditionalFormatting>
  <conditionalFormatting sqref="E26:E30">
    <cfRule type="cellIs" dxfId="958" priority="104" stopIfTrue="1" operator="equal">
      <formula>221144</formula>
    </cfRule>
    <cfRule type="cellIs" dxfId="957" priority="105" stopIfTrue="1" operator="equal">
      <formula>221136</formula>
    </cfRule>
  </conditionalFormatting>
  <conditionalFormatting sqref="E38:E42">
    <cfRule type="cellIs" dxfId="956" priority="103" stopIfTrue="1" operator="between">
      <formula>221101</formula>
      <formula>221140</formula>
    </cfRule>
  </conditionalFormatting>
  <conditionalFormatting sqref="E38:E42">
    <cfRule type="cellIs" dxfId="955" priority="101" stopIfTrue="1" operator="equal">
      <formula>221144</formula>
    </cfRule>
    <cfRule type="cellIs" dxfId="954" priority="102" stopIfTrue="1" operator="equal">
      <formula>221136</formula>
    </cfRule>
  </conditionalFormatting>
  <conditionalFormatting sqref="E49 E51:E56">
    <cfRule type="cellIs" dxfId="953" priority="100" stopIfTrue="1" operator="between">
      <formula>221101</formula>
      <formula>221140</formula>
    </cfRule>
  </conditionalFormatting>
  <conditionalFormatting sqref="E49 E51:E56">
    <cfRule type="cellIs" dxfId="952" priority="98" stopIfTrue="1" operator="equal">
      <formula>221144</formula>
    </cfRule>
    <cfRule type="cellIs" dxfId="951" priority="99" stopIfTrue="1" operator="equal">
      <formula>221136</formula>
    </cfRule>
  </conditionalFormatting>
  <conditionalFormatting sqref="E49 E51:E56">
    <cfRule type="cellIs" dxfId="950" priority="96" stopIfTrue="1" operator="equal">
      <formula>221144</formula>
    </cfRule>
    <cfRule type="cellIs" dxfId="949" priority="97" stopIfTrue="1" operator="equal">
      <formula>221136</formula>
    </cfRule>
  </conditionalFormatting>
  <conditionalFormatting sqref="E63:E65 E78:E89 E67:E76">
    <cfRule type="cellIs" dxfId="948" priority="95" stopIfTrue="1" operator="between">
      <formula>221101</formula>
      <formula>221140</formula>
    </cfRule>
  </conditionalFormatting>
  <conditionalFormatting sqref="E63:E65 E78:E89 E67:E76">
    <cfRule type="cellIs" dxfId="947" priority="93" stopIfTrue="1" operator="equal">
      <formula>221144</formula>
    </cfRule>
    <cfRule type="cellIs" dxfId="946" priority="94" stopIfTrue="1" operator="equal">
      <formula>221136</formula>
    </cfRule>
  </conditionalFormatting>
  <conditionalFormatting sqref="E96:E98 E100:E103">
    <cfRule type="cellIs" dxfId="945" priority="92" stopIfTrue="1" operator="between">
      <formula>221101</formula>
      <formula>221140</formula>
    </cfRule>
  </conditionalFormatting>
  <conditionalFormatting sqref="E96:E98 E100:E103">
    <cfRule type="cellIs" dxfId="944" priority="90" stopIfTrue="1" operator="equal">
      <formula>221144</formula>
    </cfRule>
    <cfRule type="cellIs" dxfId="943" priority="91" stopIfTrue="1" operator="equal">
      <formula>221136</formula>
    </cfRule>
  </conditionalFormatting>
  <conditionalFormatting sqref="E110 E112:E119">
    <cfRule type="cellIs" dxfId="942" priority="89" stopIfTrue="1" operator="between">
      <formula>221101</formula>
      <formula>221140</formula>
    </cfRule>
  </conditionalFormatting>
  <conditionalFormatting sqref="E110 E112:E119">
    <cfRule type="cellIs" dxfId="941" priority="87" stopIfTrue="1" operator="equal">
      <formula>221144</formula>
    </cfRule>
    <cfRule type="cellIs" dxfId="940" priority="88" stopIfTrue="1" operator="equal">
      <formula>221136</formula>
    </cfRule>
  </conditionalFormatting>
  <conditionalFormatting sqref="E126:E130">
    <cfRule type="cellIs" dxfId="939" priority="86" stopIfTrue="1" operator="between">
      <formula>221101</formula>
      <formula>221140</formula>
    </cfRule>
  </conditionalFormatting>
  <conditionalFormatting sqref="E126:E130">
    <cfRule type="cellIs" dxfId="938" priority="84" stopIfTrue="1" operator="equal">
      <formula>221144</formula>
    </cfRule>
    <cfRule type="cellIs" dxfId="937" priority="85" stopIfTrue="1" operator="equal">
      <formula>221136</formula>
    </cfRule>
  </conditionalFormatting>
  <conditionalFormatting sqref="E138:E139 E142:E143 E145">
    <cfRule type="cellIs" dxfId="936" priority="83" stopIfTrue="1" operator="between">
      <formula>221101</formula>
      <formula>221140</formula>
    </cfRule>
  </conditionalFormatting>
  <conditionalFormatting sqref="E138:E139 E142:E143 E145">
    <cfRule type="cellIs" dxfId="935" priority="81" stopIfTrue="1" operator="equal">
      <formula>221144</formula>
    </cfRule>
    <cfRule type="cellIs" dxfId="934" priority="82" stopIfTrue="1" operator="equal">
      <formula>221136</formula>
    </cfRule>
  </conditionalFormatting>
  <conditionalFormatting sqref="E5:E8 E26:E30 E38:E42 E49 E63:E65 E96:E98 E110 E126:E130 E138:E139 E112:E119 E51:E56 E78:E89 E142:E143 E100:E103 E67:E76 E11:E17 E145">
    <cfRule type="cellIs" dxfId="933" priority="80" operator="equal">
      <formula>221140</formula>
    </cfRule>
  </conditionalFormatting>
  <conditionalFormatting sqref="A27:A28">
    <cfRule type="cellIs" dxfId="932" priority="77" stopIfTrue="1" operator="between">
      <formula>"XC 501"</formula>
      <formula>"XC 549"</formula>
    </cfRule>
    <cfRule type="cellIs" dxfId="931" priority="78" stopIfTrue="1" operator="between">
      <formula>"XC 201"</formula>
      <formula>"XC 399"</formula>
    </cfRule>
    <cfRule type="cellIs" dxfId="930" priority="79" stopIfTrue="1" operator="between">
      <formula>"XC 801"</formula>
      <formula>"XC 899"</formula>
    </cfRule>
  </conditionalFormatting>
  <conditionalFormatting sqref="A112:A114">
    <cfRule type="cellIs" dxfId="929" priority="74" stopIfTrue="1" operator="between">
      <formula>"XC 501"</formula>
      <formula>"XC 549"</formula>
    </cfRule>
    <cfRule type="cellIs" dxfId="928" priority="75" stopIfTrue="1" operator="between">
      <formula>"XC 201"</formula>
      <formula>"XC 399"</formula>
    </cfRule>
    <cfRule type="cellIs" dxfId="927" priority="76" stopIfTrue="1" operator="between">
      <formula>"XC 801"</formula>
      <formula>"XC 899"</formula>
    </cfRule>
  </conditionalFormatting>
  <conditionalFormatting sqref="A126:A127">
    <cfRule type="cellIs" dxfId="926" priority="71" stopIfTrue="1" operator="between">
      <formula>"XC 501"</formula>
      <formula>"XC 549"</formula>
    </cfRule>
    <cfRule type="cellIs" dxfId="925" priority="72" stopIfTrue="1" operator="between">
      <formula>"XC 201"</formula>
      <formula>"XC 399"</formula>
    </cfRule>
    <cfRule type="cellIs" dxfId="924" priority="73" stopIfTrue="1" operator="between">
      <formula>"XC 801"</formula>
      <formula>"XC 899"</formula>
    </cfRule>
  </conditionalFormatting>
  <conditionalFormatting sqref="A143:A144">
    <cfRule type="cellIs" dxfId="923" priority="68" stopIfTrue="1" operator="between">
      <formula>"XC 501"</formula>
      <formula>"XC 549"</formula>
    </cfRule>
    <cfRule type="cellIs" dxfId="922" priority="69" stopIfTrue="1" operator="between">
      <formula>"XC 201"</formula>
      <formula>"XC 399"</formula>
    </cfRule>
    <cfRule type="cellIs" dxfId="921" priority="70" stopIfTrue="1" operator="between">
      <formula>"XC 801"</formula>
      <formula>"XC 899"</formula>
    </cfRule>
  </conditionalFormatting>
  <conditionalFormatting sqref="E111 Q112">
    <cfRule type="cellIs" dxfId="920" priority="67" stopIfTrue="1" operator="between">
      <formula>221101</formula>
      <formula>221140</formula>
    </cfRule>
  </conditionalFormatting>
  <conditionalFormatting sqref="E111 Q112">
    <cfRule type="cellIs" dxfId="919" priority="65" stopIfTrue="1" operator="equal">
      <formula>221144</formula>
    </cfRule>
    <cfRule type="cellIs" dxfId="918" priority="66" stopIfTrue="1" operator="equal">
      <formula>221136</formula>
    </cfRule>
  </conditionalFormatting>
  <conditionalFormatting sqref="E111 Q112">
    <cfRule type="cellIs" dxfId="917" priority="64" operator="equal">
      <formula>221140</formula>
    </cfRule>
  </conditionalFormatting>
  <conditionalFormatting sqref="E50 Q51">
    <cfRule type="cellIs" dxfId="916" priority="63" stopIfTrue="1" operator="between">
      <formula>221101</formula>
      <formula>221140</formula>
    </cfRule>
  </conditionalFormatting>
  <conditionalFormatting sqref="E50 Q51">
    <cfRule type="cellIs" dxfId="915" priority="61" stopIfTrue="1" operator="equal">
      <formula>221144</formula>
    </cfRule>
    <cfRule type="cellIs" dxfId="914" priority="62" stopIfTrue="1" operator="equal">
      <formula>221136</formula>
    </cfRule>
  </conditionalFormatting>
  <conditionalFormatting sqref="E50 Q51">
    <cfRule type="cellIs" dxfId="913" priority="60" operator="equal">
      <formula>221140</formula>
    </cfRule>
  </conditionalFormatting>
  <conditionalFormatting sqref="R38 G37">
    <cfRule type="cellIs" dxfId="912" priority="59" stopIfTrue="1" operator="between">
      <formula>221101</formula>
      <formula>221140</formula>
    </cfRule>
  </conditionalFormatting>
  <conditionalFormatting sqref="E37 Q38">
    <cfRule type="cellIs" dxfId="911" priority="58" stopIfTrue="1" operator="between">
      <formula>221101</formula>
      <formula>221140</formula>
    </cfRule>
  </conditionalFormatting>
  <conditionalFormatting sqref="E37 Q38">
    <cfRule type="cellIs" dxfId="910" priority="56" stopIfTrue="1" operator="equal">
      <formula>221144</formula>
    </cfRule>
    <cfRule type="cellIs" dxfId="909" priority="57" stopIfTrue="1" operator="equal">
      <formula>221136</formula>
    </cfRule>
  </conditionalFormatting>
  <conditionalFormatting sqref="E37 Q38">
    <cfRule type="cellIs" dxfId="908" priority="55" operator="equal">
      <formula>221140</formula>
    </cfRule>
  </conditionalFormatting>
  <conditionalFormatting sqref="G77">
    <cfRule type="cellIs" dxfId="907" priority="54" stopIfTrue="1" operator="between">
      <formula>221101</formula>
      <formula>221140</formula>
    </cfRule>
  </conditionalFormatting>
  <conditionalFormatting sqref="R74">
    <cfRule type="cellIs" dxfId="906" priority="53" stopIfTrue="1" operator="between">
      <formula>221101</formula>
      <formula>221140</formula>
    </cfRule>
  </conditionalFormatting>
  <conditionalFormatting sqref="Q74">
    <cfRule type="cellIs" dxfId="905" priority="52" stopIfTrue="1" operator="between">
      <formula>221101</formula>
      <formula>221140</formula>
    </cfRule>
  </conditionalFormatting>
  <conditionalFormatting sqref="Q74">
    <cfRule type="cellIs" dxfId="904" priority="50" stopIfTrue="1" operator="equal">
      <formula>221144</formula>
    </cfRule>
    <cfRule type="cellIs" dxfId="903" priority="51" stopIfTrue="1" operator="equal">
      <formula>221136</formula>
    </cfRule>
  </conditionalFormatting>
  <conditionalFormatting sqref="Q74">
    <cfRule type="cellIs" dxfId="902" priority="49" operator="equal">
      <formula>221140</formula>
    </cfRule>
  </conditionalFormatting>
  <conditionalFormatting sqref="E77">
    <cfRule type="cellIs" dxfId="901" priority="48" stopIfTrue="1" operator="between">
      <formula>221101</formula>
      <formula>221140</formula>
    </cfRule>
  </conditionalFormatting>
  <conditionalFormatting sqref="E77">
    <cfRule type="cellIs" dxfId="900" priority="46" stopIfTrue="1" operator="equal">
      <formula>221144</formula>
    </cfRule>
    <cfRule type="cellIs" dxfId="899" priority="47" stopIfTrue="1" operator="equal">
      <formula>221136</formula>
    </cfRule>
  </conditionalFormatting>
  <conditionalFormatting sqref="E77">
    <cfRule type="cellIs" dxfId="898" priority="45" operator="equal">
      <formula>221140</formula>
    </cfRule>
  </conditionalFormatting>
  <conditionalFormatting sqref="E141 Q140">
    <cfRule type="cellIs" dxfId="897" priority="44" stopIfTrue="1" operator="between">
      <formula>221101</formula>
      <formula>221140</formula>
    </cfRule>
  </conditionalFormatting>
  <conditionalFormatting sqref="E141 Q140">
    <cfRule type="cellIs" dxfId="896" priority="42" stopIfTrue="1" operator="equal">
      <formula>221144</formula>
    </cfRule>
    <cfRule type="cellIs" dxfId="895" priority="43" stopIfTrue="1" operator="equal">
      <formula>221136</formula>
    </cfRule>
  </conditionalFormatting>
  <conditionalFormatting sqref="E141 Q140">
    <cfRule type="cellIs" dxfId="894" priority="41" operator="equal">
      <formula>221140</formula>
    </cfRule>
  </conditionalFormatting>
  <conditionalFormatting sqref="R99 G99">
    <cfRule type="cellIs" dxfId="893" priority="40" stopIfTrue="1" operator="between">
      <formula>221101</formula>
      <formula>221140</formula>
    </cfRule>
  </conditionalFormatting>
  <conditionalFormatting sqref="E99 Q99">
    <cfRule type="cellIs" dxfId="892" priority="39" stopIfTrue="1" operator="between">
      <formula>221101</formula>
      <formula>221140</formula>
    </cfRule>
  </conditionalFormatting>
  <conditionalFormatting sqref="E99 Q99">
    <cfRule type="cellIs" dxfId="891" priority="37" stopIfTrue="1" operator="equal">
      <formula>221144</formula>
    </cfRule>
    <cfRule type="cellIs" dxfId="890" priority="38" stopIfTrue="1" operator="equal">
      <formula>221136</formula>
    </cfRule>
  </conditionalFormatting>
  <conditionalFormatting sqref="E99 Q99">
    <cfRule type="cellIs" dxfId="889" priority="36" operator="equal">
      <formula>221140</formula>
    </cfRule>
  </conditionalFormatting>
  <conditionalFormatting sqref="R72 G66">
    <cfRule type="cellIs" dxfId="888" priority="35" stopIfTrue="1" operator="between">
      <formula>221101</formula>
      <formula>221140</formula>
    </cfRule>
  </conditionalFormatting>
  <conditionalFormatting sqref="E66 Q72">
    <cfRule type="cellIs" dxfId="887" priority="34" stopIfTrue="1" operator="between">
      <formula>221101</formula>
      <formula>221140</formula>
    </cfRule>
  </conditionalFormatting>
  <conditionalFormatting sqref="E66 Q72">
    <cfRule type="cellIs" dxfId="886" priority="32" stopIfTrue="1" operator="equal">
      <formula>221144</formula>
    </cfRule>
    <cfRule type="cellIs" dxfId="885" priority="33" stopIfTrue="1" operator="equal">
      <formula>221136</formula>
    </cfRule>
  </conditionalFormatting>
  <conditionalFormatting sqref="E66 Q72">
    <cfRule type="cellIs" dxfId="884" priority="31" operator="equal">
      <formula>221140</formula>
    </cfRule>
  </conditionalFormatting>
  <conditionalFormatting sqref="R7 G10">
    <cfRule type="cellIs" dxfId="883" priority="30" stopIfTrue="1" operator="between">
      <formula>221101</formula>
      <formula>221140</formula>
    </cfRule>
  </conditionalFormatting>
  <conditionalFormatting sqref="E10 Q7">
    <cfRule type="cellIs" dxfId="882" priority="29" stopIfTrue="1" operator="between">
      <formula>221101</formula>
      <formula>221140</formula>
    </cfRule>
  </conditionalFormatting>
  <conditionalFormatting sqref="E10 Q7">
    <cfRule type="cellIs" dxfId="881" priority="27" stopIfTrue="1" operator="equal">
      <formula>221144</formula>
    </cfRule>
    <cfRule type="cellIs" dxfId="880" priority="28" stopIfTrue="1" operator="equal">
      <formula>221136</formula>
    </cfRule>
  </conditionalFormatting>
  <conditionalFormatting sqref="E10 Q7">
    <cfRule type="cellIs" dxfId="879" priority="26" operator="equal">
      <formula>221140</formula>
    </cfRule>
  </conditionalFormatting>
  <conditionalFormatting sqref="R143 G137">
    <cfRule type="cellIs" dxfId="878" priority="25" stopIfTrue="1" operator="between">
      <formula>221101</formula>
      <formula>221140</formula>
    </cfRule>
  </conditionalFormatting>
  <conditionalFormatting sqref="E137 Q143">
    <cfRule type="cellIs" dxfId="877" priority="24" stopIfTrue="1" operator="between">
      <formula>221101</formula>
      <formula>221140</formula>
    </cfRule>
  </conditionalFormatting>
  <conditionalFormatting sqref="E137 Q143">
    <cfRule type="cellIs" dxfId="876" priority="22" stopIfTrue="1" operator="equal">
      <formula>221144</formula>
    </cfRule>
    <cfRule type="cellIs" dxfId="875" priority="23" stopIfTrue="1" operator="equal">
      <formula>221136</formula>
    </cfRule>
  </conditionalFormatting>
  <conditionalFormatting sqref="E137 Q143">
    <cfRule type="cellIs" dxfId="874" priority="21" operator="equal">
      <formula>221140</formula>
    </cfRule>
  </conditionalFormatting>
  <conditionalFormatting sqref="G65">
    <cfRule type="cellIs" dxfId="873" priority="20" stopIfTrue="1" operator="between">
      <formula>221101</formula>
      <formula>221140</formula>
    </cfRule>
  </conditionalFormatting>
  <conditionalFormatting sqref="R77">
    <cfRule type="cellIs" dxfId="872" priority="19" stopIfTrue="1" operator="between">
      <formula>221101</formula>
      <formula>221140</formula>
    </cfRule>
  </conditionalFormatting>
  <conditionalFormatting sqref="E9 Q10">
    <cfRule type="cellIs" dxfId="871" priority="6" operator="equal">
      <formula>221140</formula>
    </cfRule>
  </conditionalFormatting>
  <conditionalFormatting sqref="E140 Q141">
    <cfRule type="cellIs" dxfId="870" priority="18" stopIfTrue="1" operator="between">
      <formula>221101</formula>
      <formula>221140</formula>
    </cfRule>
  </conditionalFormatting>
  <conditionalFormatting sqref="E140 Q141">
    <cfRule type="cellIs" dxfId="869" priority="16" stopIfTrue="1" operator="equal">
      <formula>221144</formula>
    </cfRule>
    <cfRule type="cellIs" dxfId="868" priority="17" stopIfTrue="1" operator="equal">
      <formula>221136</formula>
    </cfRule>
  </conditionalFormatting>
  <conditionalFormatting sqref="E140 Q141">
    <cfRule type="cellIs" dxfId="867" priority="15" operator="equal">
      <formula>221140</formula>
    </cfRule>
  </conditionalFormatting>
  <conditionalFormatting sqref="E25 Q25">
    <cfRule type="cellIs" dxfId="866" priority="14" stopIfTrue="1" operator="between">
      <formula>221101</formula>
      <formula>221140</formula>
    </cfRule>
  </conditionalFormatting>
  <conditionalFormatting sqref="E25 Q25">
    <cfRule type="cellIs" dxfId="865" priority="12" stopIfTrue="1" operator="equal">
      <formula>221144</formula>
    </cfRule>
    <cfRule type="cellIs" dxfId="864" priority="13" stopIfTrue="1" operator="equal">
      <formula>221136</formula>
    </cfRule>
  </conditionalFormatting>
  <conditionalFormatting sqref="E25 Q25">
    <cfRule type="cellIs" dxfId="863" priority="11" operator="equal">
      <formula>221140</formula>
    </cfRule>
  </conditionalFormatting>
  <conditionalFormatting sqref="R10 G9">
    <cfRule type="cellIs" dxfId="862" priority="10" stopIfTrue="1" operator="between">
      <formula>221101</formula>
      <formula>221140</formula>
    </cfRule>
  </conditionalFormatting>
  <conditionalFormatting sqref="E9 Q10">
    <cfRule type="cellIs" dxfId="861" priority="9" stopIfTrue="1" operator="between">
      <formula>221101</formula>
      <formula>221140</formula>
    </cfRule>
  </conditionalFormatting>
  <conditionalFormatting sqref="E9 Q10">
    <cfRule type="cellIs" dxfId="860" priority="7" stopIfTrue="1" operator="equal">
      <formula>221144</formula>
    </cfRule>
    <cfRule type="cellIs" dxfId="859" priority="8" stopIfTrue="1" operator="equal">
      <formula>221136</formula>
    </cfRule>
  </conditionalFormatting>
  <conditionalFormatting sqref="F144">
    <cfRule type="cellIs" dxfId="5" priority="5" stopIfTrue="1" operator="notEqual">
      <formula>"FP"</formula>
    </cfRule>
  </conditionalFormatting>
  <conditionalFormatting sqref="E144">
    <cfRule type="cellIs" dxfId="4" priority="4" stopIfTrue="1" operator="between">
      <formula>221101</formula>
      <formula>221140</formula>
    </cfRule>
  </conditionalFormatting>
  <conditionalFormatting sqref="E144">
    <cfRule type="cellIs" dxfId="3" priority="2" stopIfTrue="1" operator="equal">
      <formula>221144</formula>
    </cfRule>
    <cfRule type="cellIs" dxfId="2" priority="3" stopIfTrue="1" operator="equal">
      <formula>221136</formula>
    </cfRule>
  </conditionalFormatting>
  <conditionalFormatting sqref="E144">
    <cfRule type="cellIs" dxfId="1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90"/>
  <sheetViews>
    <sheetView view="pageBreakPreview" topLeftCell="A28" zoomScaleNormal="70" zoomScaleSheetLayoutView="100" workbookViewId="0">
      <selection activeCell="Q38" sqref="Q38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117</v>
      </c>
      <c r="B3" s="118"/>
      <c r="C3" s="9"/>
      <c r="D3" s="255">
        <f>'DEPT BAL'!$E$4-1</f>
        <v>43066</v>
      </c>
      <c r="E3" s="255"/>
      <c r="I3" s="8" t="s">
        <v>118</v>
      </c>
      <c r="J3" s="118"/>
      <c r="L3" s="252">
        <f>D3+1</f>
        <v>43067</v>
      </c>
      <c r="M3" s="252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420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279</v>
      </c>
      <c r="C5" s="11" t="s">
        <v>130</v>
      </c>
      <c r="D5" s="25" t="s">
        <v>318</v>
      </c>
      <c r="E5" s="40">
        <v>220007</v>
      </c>
      <c r="F5" s="192"/>
      <c r="G5" s="193" t="s">
        <v>643</v>
      </c>
      <c r="H5" s="174" t="str">
        <f>$I$2</f>
        <v>EC</v>
      </c>
      <c r="I5" s="10" t="s">
        <v>51</v>
      </c>
      <c r="J5" s="120" t="s">
        <v>211</v>
      </c>
      <c r="K5" s="209" t="s">
        <v>368</v>
      </c>
      <c r="L5" s="11" t="s">
        <v>60</v>
      </c>
      <c r="M5" s="13" t="s">
        <v>229</v>
      </c>
      <c r="N5" s="78">
        <v>1031.6199999999999</v>
      </c>
      <c r="O5" s="40"/>
      <c r="P5" s="107"/>
      <c r="Q5" s="40">
        <v>220007</v>
      </c>
      <c r="R5" s="222" t="s">
        <v>643</v>
      </c>
      <c r="S5" s="115" t="str">
        <f>IF(N5&gt;0,"Yes","")</f>
        <v>Yes</v>
      </c>
    </row>
    <row r="6" spans="1:19" ht="21.75" customHeight="1" x14ac:dyDescent="0.2">
      <c r="A6" s="14" t="s">
        <v>28</v>
      </c>
      <c r="B6" s="126" t="s">
        <v>182</v>
      </c>
      <c r="C6" s="15" t="s">
        <v>130</v>
      </c>
      <c r="D6" s="18" t="s">
        <v>261</v>
      </c>
      <c r="E6" s="40"/>
      <c r="F6" s="154"/>
      <c r="G6" s="90"/>
      <c r="H6" s="174" t="str">
        <f t="shared" ref="H6:H17" si="0">$I$2</f>
        <v>EC</v>
      </c>
      <c r="I6" s="14" t="s">
        <v>31</v>
      </c>
      <c r="J6" s="180" t="s">
        <v>250</v>
      </c>
      <c r="K6" s="154" t="s">
        <v>199</v>
      </c>
      <c r="L6" s="15" t="s">
        <v>61</v>
      </c>
      <c r="M6" s="19" t="s">
        <v>321</v>
      </c>
      <c r="N6" s="79">
        <v>920.97</v>
      </c>
      <c r="O6" s="40"/>
      <c r="P6" s="108"/>
      <c r="Q6" s="40"/>
      <c r="R6" s="223"/>
      <c r="S6" s="116" t="str">
        <f>IF(N6&gt;0,"Yes","")</f>
        <v>Yes</v>
      </c>
    </row>
    <row r="7" spans="1:19" ht="21.75" customHeight="1" x14ac:dyDescent="0.2">
      <c r="A7" s="14" t="s">
        <v>25</v>
      </c>
      <c r="B7" s="126" t="s">
        <v>232</v>
      </c>
      <c r="C7" s="15" t="s">
        <v>130</v>
      </c>
      <c r="D7" s="18" t="s">
        <v>288</v>
      </c>
      <c r="E7" s="40"/>
      <c r="F7" s="154"/>
      <c r="G7" s="90"/>
      <c r="H7" s="174" t="str">
        <f t="shared" si="0"/>
        <v>EC</v>
      </c>
      <c r="I7" s="14" t="s">
        <v>30</v>
      </c>
      <c r="J7" s="180" t="s">
        <v>265</v>
      </c>
      <c r="K7" s="154" t="s">
        <v>218</v>
      </c>
      <c r="L7" s="15" t="s">
        <v>60</v>
      </c>
      <c r="M7" s="19" t="s">
        <v>378</v>
      </c>
      <c r="N7" s="79">
        <v>1035.1400000000001</v>
      </c>
      <c r="O7" s="40"/>
      <c r="P7" s="108"/>
      <c r="Q7" s="40"/>
      <c r="R7" s="223"/>
      <c r="S7" s="116" t="str">
        <f t="shared" ref="S7:S16" si="1">IF(N7&gt;0,"Yes","")</f>
        <v>Yes</v>
      </c>
    </row>
    <row r="8" spans="1:19" ht="21.75" customHeight="1" x14ac:dyDescent="0.2">
      <c r="A8" s="14" t="s">
        <v>85</v>
      </c>
      <c r="B8" s="121" t="s">
        <v>273</v>
      </c>
      <c r="C8" s="15" t="s">
        <v>131</v>
      </c>
      <c r="D8" s="18" t="s">
        <v>175</v>
      </c>
      <c r="E8" s="40"/>
      <c r="F8" s="154"/>
      <c r="G8" s="90"/>
      <c r="H8" s="174" t="str">
        <f t="shared" si="0"/>
        <v>EC</v>
      </c>
      <c r="I8" s="68" t="s">
        <v>40</v>
      </c>
      <c r="J8" s="180" t="s">
        <v>251</v>
      </c>
      <c r="K8" s="154" t="s">
        <v>286</v>
      </c>
      <c r="L8" s="30" t="s">
        <v>56</v>
      </c>
      <c r="M8" s="94" t="s">
        <v>311</v>
      </c>
      <c r="N8" s="99">
        <v>971.07</v>
      </c>
      <c r="O8" s="40"/>
      <c r="P8" s="108" t="s">
        <v>149</v>
      </c>
      <c r="Q8" s="40"/>
      <c r="R8" s="223"/>
      <c r="S8" s="116" t="str">
        <f t="shared" si="1"/>
        <v>Yes</v>
      </c>
    </row>
    <row r="9" spans="1:19" ht="21.75" customHeight="1" x14ac:dyDescent="0.2">
      <c r="A9" s="14" t="s">
        <v>42</v>
      </c>
      <c r="B9" s="181"/>
      <c r="C9" s="30" t="s">
        <v>131</v>
      </c>
      <c r="D9" s="18" t="s">
        <v>175</v>
      </c>
      <c r="E9" s="40"/>
      <c r="F9" s="154"/>
      <c r="G9" s="90"/>
      <c r="H9" s="174" t="str">
        <f>$I$2</f>
        <v>EC</v>
      </c>
      <c r="I9" s="14" t="s">
        <v>38</v>
      </c>
      <c r="J9" s="127" t="s">
        <v>150</v>
      </c>
      <c r="K9" s="141" t="s">
        <v>297</v>
      </c>
      <c r="L9" s="15" t="s">
        <v>55</v>
      </c>
      <c r="M9" s="19" t="s">
        <v>379</v>
      </c>
      <c r="N9" s="79">
        <v>990.47</v>
      </c>
      <c r="O9" s="40"/>
      <c r="P9" s="108"/>
      <c r="Q9" s="40"/>
      <c r="R9" s="223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152</v>
      </c>
      <c r="C10" s="32" t="s">
        <v>130</v>
      </c>
      <c r="D10" s="18" t="s">
        <v>329</v>
      </c>
      <c r="E10" s="40"/>
      <c r="F10" s="154"/>
      <c r="G10" s="90"/>
      <c r="H10" s="174" t="str">
        <f t="shared" si="0"/>
        <v>EC</v>
      </c>
      <c r="I10" s="14" t="s">
        <v>105</v>
      </c>
      <c r="J10" s="215"/>
      <c r="K10" s="199"/>
      <c r="L10" s="15" t="s">
        <v>58</v>
      </c>
      <c r="M10" s="19" t="s">
        <v>312</v>
      </c>
      <c r="N10" s="79">
        <v>900.47</v>
      </c>
      <c r="O10" s="40"/>
      <c r="P10" s="108"/>
      <c r="Q10" s="40"/>
      <c r="R10" s="224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80"/>
      <c r="K11" s="154"/>
      <c r="L11" s="30"/>
      <c r="M11" s="35"/>
      <c r="N11" s="97"/>
      <c r="O11" s="40"/>
      <c r="P11" s="108"/>
      <c r="Q11" s="40"/>
      <c r="R11" s="224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80"/>
      <c r="K12" s="154"/>
      <c r="L12" s="30"/>
      <c r="M12" s="35"/>
      <c r="N12" s="97"/>
      <c r="O12" s="40"/>
      <c r="P12" s="108"/>
      <c r="Q12" s="40"/>
      <c r="R12" s="224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80"/>
      <c r="K13" s="154"/>
      <c r="L13" s="30"/>
      <c r="M13" s="94"/>
      <c r="N13" s="99"/>
      <c r="O13" s="40"/>
      <c r="P13" s="108"/>
      <c r="Q13" s="40"/>
      <c r="R13" s="224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4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4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4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5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117</v>
      </c>
      <c r="B23" s="118"/>
      <c r="C23" s="9"/>
      <c r="D23" s="255">
        <f>'DEPT BAL'!$E$4-1</f>
        <v>43066</v>
      </c>
      <c r="E23" s="255"/>
      <c r="F23" s="138"/>
      <c r="I23" s="8" t="s">
        <v>118</v>
      </c>
      <c r="J23" s="118"/>
      <c r="L23" s="252">
        <f>D23+1</f>
        <v>43067</v>
      </c>
      <c r="M23" s="252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420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244</v>
      </c>
      <c r="C25" s="11" t="s">
        <v>134</v>
      </c>
      <c r="D25" s="25" t="s">
        <v>322</v>
      </c>
      <c r="E25" s="39"/>
      <c r="F25" s="192"/>
      <c r="G25" s="193"/>
      <c r="H25" s="174" t="str">
        <f t="shared" ref="H25:H30" si="2">$I$22</f>
        <v>TY</v>
      </c>
      <c r="I25" s="10" t="s">
        <v>89</v>
      </c>
      <c r="J25" s="120" t="s">
        <v>256</v>
      </c>
      <c r="K25" s="209" t="s">
        <v>286</v>
      </c>
      <c r="L25" s="11" t="s">
        <v>59</v>
      </c>
      <c r="M25" s="13" t="s">
        <v>335</v>
      </c>
      <c r="N25" s="78">
        <v>965.76</v>
      </c>
      <c r="O25" s="39"/>
      <c r="P25" s="107"/>
      <c r="Q25" s="39"/>
      <c r="R25" s="222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275</v>
      </c>
      <c r="C26" s="15" t="s">
        <v>134</v>
      </c>
      <c r="D26" s="18" t="s">
        <v>295</v>
      </c>
      <c r="E26" s="40"/>
      <c r="F26" s="154"/>
      <c r="G26" s="90"/>
      <c r="H26" s="174" t="str">
        <f t="shared" si="2"/>
        <v>TY</v>
      </c>
      <c r="I26" s="14" t="s">
        <v>35</v>
      </c>
      <c r="J26" s="126" t="s">
        <v>257</v>
      </c>
      <c r="K26" s="135" t="s">
        <v>278</v>
      </c>
      <c r="L26" s="15" t="s">
        <v>62</v>
      </c>
      <c r="M26" s="19" t="s">
        <v>288</v>
      </c>
      <c r="N26" s="79">
        <v>1009.6</v>
      </c>
      <c r="O26" s="40"/>
      <c r="P26" s="108"/>
      <c r="Q26" s="40"/>
      <c r="R26" s="223"/>
      <c r="S26" s="116" t="str">
        <f t="shared" si="3"/>
        <v>Yes</v>
      </c>
    </row>
    <row r="27" spans="1:19" ht="21.75" customHeight="1" x14ac:dyDescent="0.2">
      <c r="A27" s="14" t="s">
        <v>87</v>
      </c>
      <c r="B27" s="181"/>
      <c r="C27" s="15" t="s">
        <v>134</v>
      </c>
      <c r="D27" s="18" t="s">
        <v>295</v>
      </c>
      <c r="E27" s="40"/>
      <c r="F27" s="154"/>
      <c r="G27" s="90"/>
      <c r="H27" s="174" t="str">
        <f t="shared" si="2"/>
        <v>TY</v>
      </c>
      <c r="I27" s="14" t="s">
        <v>32</v>
      </c>
      <c r="J27" s="121" t="s">
        <v>258</v>
      </c>
      <c r="K27" s="140" t="s">
        <v>293</v>
      </c>
      <c r="L27" s="15" t="s">
        <v>61</v>
      </c>
      <c r="M27" s="19" t="s">
        <v>188</v>
      </c>
      <c r="N27" s="79">
        <v>889.99</v>
      </c>
      <c r="O27" s="40"/>
      <c r="P27" s="112"/>
      <c r="Q27" s="40"/>
      <c r="R27" s="223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192</v>
      </c>
      <c r="C28" s="15" t="s">
        <v>134</v>
      </c>
      <c r="D28" s="18" t="s">
        <v>289</v>
      </c>
      <c r="E28" s="40"/>
      <c r="F28" s="154"/>
      <c r="G28" s="90"/>
      <c r="H28" s="174" t="str">
        <f t="shared" si="2"/>
        <v>TY</v>
      </c>
      <c r="I28" s="14" t="s">
        <v>86</v>
      </c>
      <c r="J28" s="181"/>
      <c r="K28" s="210"/>
      <c r="L28" s="15" t="s">
        <v>62</v>
      </c>
      <c r="M28" s="19" t="s">
        <v>318</v>
      </c>
      <c r="N28" s="79">
        <v>844.14</v>
      </c>
      <c r="O28" s="40"/>
      <c r="P28" s="108"/>
      <c r="Q28" s="40"/>
      <c r="R28" s="223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3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5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117</v>
      </c>
      <c r="B35" s="118"/>
      <c r="C35" s="9"/>
      <c r="D35" s="255">
        <f>'DEPT BAL'!$E$4-1</f>
        <v>43066</v>
      </c>
      <c r="E35" s="255"/>
      <c r="F35" s="138"/>
      <c r="I35" s="8" t="s">
        <v>118</v>
      </c>
      <c r="J35" s="118"/>
      <c r="L35" s="252">
        <f>D35+1</f>
        <v>43067</v>
      </c>
      <c r="M35" s="252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420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193</v>
      </c>
      <c r="C37" s="15" t="s">
        <v>136</v>
      </c>
      <c r="D37" s="18" t="s">
        <v>229</v>
      </c>
      <c r="E37" s="39"/>
      <c r="F37" s="134"/>
      <c r="G37" s="12"/>
      <c r="H37" s="174" t="str">
        <f t="shared" ref="H37:H42" si="4">$I$34</f>
        <v>XW</v>
      </c>
      <c r="I37" s="10" t="s">
        <v>45</v>
      </c>
      <c r="J37" s="120" t="s">
        <v>249</v>
      </c>
      <c r="K37" s="209" t="s">
        <v>223</v>
      </c>
      <c r="L37" s="11" t="s">
        <v>56</v>
      </c>
      <c r="M37" s="13" t="s">
        <v>287</v>
      </c>
      <c r="N37" s="78">
        <v>956.01</v>
      </c>
      <c r="O37" s="39"/>
      <c r="P37" s="167"/>
      <c r="Q37" s="39"/>
      <c r="R37" s="222"/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308</v>
      </c>
      <c r="C38" s="15" t="s">
        <v>136</v>
      </c>
      <c r="D38" s="18" t="s">
        <v>378</v>
      </c>
      <c r="E38" s="40">
        <v>221132</v>
      </c>
      <c r="F38" s="135" t="s">
        <v>589</v>
      </c>
      <c r="G38" s="17" t="s">
        <v>645</v>
      </c>
      <c r="H38" s="174" t="str">
        <f t="shared" si="4"/>
        <v>XW</v>
      </c>
      <c r="I38" s="14" t="s">
        <v>25</v>
      </c>
      <c r="J38" s="126" t="s">
        <v>259</v>
      </c>
      <c r="K38" s="135" t="s">
        <v>310</v>
      </c>
      <c r="L38" s="15" t="s">
        <v>62</v>
      </c>
      <c r="M38" s="19" t="s">
        <v>266</v>
      </c>
      <c r="N38" s="79">
        <v>955.85</v>
      </c>
      <c r="O38" s="40"/>
      <c r="P38" s="90"/>
      <c r="Q38" s="40">
        <v>221132</v>
      </c>
      <c r="R38" s="223" t="s">
        <v>645</v>
      </c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194</v>
      </c>
      <c r="C39" s="15" t="s">
        <v>137</v>
      </c>
      <c r="D39" s="18" t="s">
        <v>323</v>
      </c>
      <c r="E39" s="40">
        <v>221141</v>
      </c>
      <c r="F39" s="135"/>
      <c r="G39" s="17" t="s">
        <v>614</v>
      </c>
      <c r="H39" s="174" t="str">
        <f t="shared" si="4"/>
        <v>XW</v>
      </c>
      <c r="I39" s="14" t="s">
        <v>44</v>
      </c>
      <c r="J39" s="126" t="s">
        <v>260</v>
      </c>
      <c r="K39" s="135" t="s">
        <v>367</v>
      </c>
      <c r="L39" s="15" t="s">
        <v>56</v>
      </c>
      <c r="M39" s="19" t="s">
        <v>358</v>
      </c>
      <c r="N39" s="79">
        <v>869.21</v>
      </c>
      <c r="O39" s="40"/>
      <c r="P39" s="113"/>
      <c r="Q39" s="40">
        <v>221141</v>
      </c>
      <c r="R39" s="223" t="s">
        <v>614</v>
      </c>
      <c r="S39" s="116" t="str">
        <f t="shared" si="5"/>
        <v>Yes</v>
      </c>
    </row>
    <row r="40" spans="1:19" ht="21.75" customHeight="1" x14ac:dyDescent="0.2">
      <c r="A40" s="14" t="s">
        <v>390</v>
      </c>
      <c r="B40" s="126" t="s">
        <v>290</v>
      </c>
      <c r="C40" s="15"/>
      <c r="D40" s="16"/>
      <c r="E40" s="40"/>
      <c r="F40" s="135"/>
      <c r="G40" s="90"/>
      <c r="H40" s="174" t="str">
        <f t="shared" si="4"/>
        <v>XW</v>
      </c>
      <c r="I40" s="14" t="s">
        <v>390</v>
      </c>
      <c r="J40" s="126" t="s">
        <v>290</v>
      </c>
      <c r="K40" s="135" t="s">
        <v>291</v>
      </c>
      <c r="L40" s="15"/>
      <c r="M40" s="19"/>
      <c r="N40" s="79">
        <v>0</v>
      </c>
      <c r="O40" s="40"/>
      <c r="P40" s="113"/>
      <c r="Q40" s="40"/>
      <c r="R40" s="223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4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5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117</v>
      </c>
      <c r="B47" s="118"/>
      <c r="C47" s="9"/>
      <c r="D47" s="255">
        <f>'DEPT BAL'!$E$4-1</f>
        <v>43066</v>
      </c>
      <c r="E47" s="255"/>
      <c r="F47" s="138"/>
      <c r="I47" s="8" t="s">
        <v>118</v>
      </c>
      <c r="J47" s="118"/>
      <c r="L47" s="252">
        <f>D47+1</f>
        <v>43067</v>
      </c>
      <c r="M47" s="252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420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186</v>
      </c>
      <c r="C49" s="15" t="s">
        <v>228</v>
      </c>
      <c r="D49" s="18" t="s">
        <v>178</v>
      </c>
      <c r="E49" s="40"/>
      <c r="F49" s="134"/>
      <c r="G49" s="193"/>
      <c r="H49" s="174" t="str">
        <f t="shared" ref="H49:H56" si="6">$I$46</f>
        <v>MA</v>
      </c>
      <c r="I49" s="10" t="s">
        <v>34</v>
      </c>
      <c r="J49" s="120" t="s">
        <v>253</v>
      </c>
      <c r="K49" s="211" t="s">
        <v>218</v>
      </c>
      <c r="L49" s="11" t="s">
        <v>56</v>
      </c>
      <c r="M49" s="13" t="s">
        <v>282</v>
      </c>
      <c r="N49" s="144">
        <v>823.21</v>
      </c>
      <c r="O49" s="40"/>
      <c r="P49" s="167"/>
      <c r="Q49" s="40">
        <v>220001</v>
      </c>
      <c r="R49" s="222" t="s">
        <v>618</v>
      </c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187</v>
      </c>
      <c r="C50" s="15" t="s">
        <v>228</v>
      </c>
      <c r="D50" s="18" t="s">
        <v>188</v>
      </c>
      <c r="E50" s="40">
        <v>220001</v>
      </c>
      <c r="F50" s="135"/>
      <c r="G50" s="90" t="s">
        <v>618</v>
      </c>
      <c r="H50" s="174" t="str">
        <f t="shared" si="6"/>
        <v>MA</v>
      </c>
      <c r="I50" s="14" t="s">
        <v>146</v>
      </c>
      <c r="J50" s="126" t="s">
        <v>138</v>
      </c>
      <c r="K50" s="135" t="s">
        <v>154</v>
      </c>
      <c r="L50" s="15" t="s">
        <v>55</v>
      </c>
      <c r="M50" s="19" t="s">
        <v>319</v>
      </c>
      <c r="N50" s="79">
        <v>863.74</v>
      </c>
      <c r="O50" s="40"/>
      <c r="P50" s="108"/>
      <c r="Q50" s="40"/>
      <c r="R50" s="223"/>
      <c r="S50" s="116" t="str">
        <f t="shared" si="7"/>
        <v>Yes</v>
      </c>
    </row>
    <row r="51" spans="1:19" ht="21.75" customHeight="1" x14ac:dyDescent="0.2">
      <c r="A51" s="14" t="s">
        <v>146</v>
      </c>
      <c r="B51" s="126" t="s">
        <v>189</v>
      </c>
      <c r="C51" s="15" t="s">
        <v>228</v>
      </c>
      <c r="D51" s="18" t="s">
        <v>319</v>
      </c>
      <c r="E51" s="40"/>
      <c r="F51" s="135"/>
      <c r="G51" s="90"/>
      <c r="H51" s="174" t="str">
        <f t="shared" si="6"/>
        <v>MA</v>
      </c>
      <c r="I51" s="14" t="s">
        <v>24</v>
      </c>
      <c r="J51" s="126" t="s">
        <v>255</v>
      </c>
      <c r="K51" s="135" t="s">
        <v>330</v>
      </c>
      <c r="L51" s="15" t="s">
        <v>56</v>
      </c>
      <c r="M51" s="19" t="s">
        <v>285</v>
      </c>
      <c r="N51" s="79">
        <v>804.67</v>
      </c>
      <c r="O51" s="40"/>
      <c r="P51" s="112"/>
      <c r="Q51" s="40"/>
      <c r="R51" s="223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190</v>
      </c>
      <c r="C52" s="15" t="s">
        <v>228</v>
      </c>
      <c r="D52" s="18" t="s">
        <v>379</v>
      </c>
      <c r="E52" s="40"/>
      <c r="F52" s="135"/>
      <c r="G52" s="90"/>
      <c r="H52" s="174" t="str">
        <f t="shared" si="6"/>
        <v>MA</v>
      </c>
      <c r="I52" s="14" t="s">
        <v>37</v>
      </c>
      <c r="J52" s="126" t="s">
        <v>263</v>
      </c>
      <c r="K52" s="135" t="s">
        <v>221</v>
      </c>
      <c r="L52" s="15" t="s">
        <v>58</v>
      </c>
      <c r="M52" s="19" t="s">
        <v>300</v>
      </c>
      <c r="N52" s="79">
        <v>817.99</v>
      </c>
      <c r="O52" s="40"/>
      <c r="P52" s="108"/>
      <c r="Q52" s="40"/>
      <c r="R52" s="223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90"/>
      <c r="H53" s="174" t="str">
        <f t="shared" si="6"/>
        <v>MA</v>
      </c>
      <c r="I53" s="14"/>
      <c r="J53" s="180"/>
      <c r="K53" s="154"/>
      <c r="L53" s="29"/>
      <c r="M53" s="77"/>
      <c r="N53" s="98"/>
      <c r="O53" s="40"/>
      <c r="P53" s="108"/>
      <c r="Q53" s="40"/>
      <c r="R53" s="223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0"/>
      <c r="K54" s="154"/>
      <c r="L54" s="81"/>
      <c r="M54" s="94"/>
      <c r="N54" s="99"/>
      <c r="O54" s="69"/>
      <c r="P54" s="114"/>
      <c r="Q54" s="69"/>
      <c r="R54" s="224"/>
      <c r="S54" s="116" t="str">
        <f t="shared" si="7"/>
        <v/>
      </c>
    </row>
    <row r="55" spans="1:19" ht="21.75" customHeight="1" x14ac:dyDescent="0.2">
      <c r="A55" s="14"/>
      <c r="B55" s="180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4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5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117</v>
      </c>
      <c r="B61" s="118"/>
      <c r="C61" s="9"/>
      <c r="D61" s="255">
        <f>'DEPT BAL'!$E$4-1</f>
        <v>43066</v>
      </c>
      <c r="E61" s="255"/>
      <c r="F61" s="138"/>
      <c r="I61" s="8" t="s">
        <v>118</v>
      </c>
      <c r="J61" s="118"/>
      <c r="L61" s="252">
        <f>D61+1</f>
        <v>43067</v>
      </c>
      <c r="M61" s="252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420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316</v>
      </c>
      <c r="C63" s="11" t="s">
        <v>317</v>
      </c>
      <c r="D63" s="25" t="s">
        <v>315</v>
      </c>
      <c r="E63" s="39">
        <v>221128</v>
      </c>
      <c r="F63" s="192" t="s">
        <v>593</v>
      </c>
      <c r="G63" s="246" t="s">
        <v>650</v>
      </c>
      <c r="H63" s="174" t="str">
        <f>$I$60</f>
        <v>CZ</v>
      </c>
      <c r="I63" s="10" t="s">
        <v>52</v>
      </c>
      <c r="J63" s="120" t="s">
        <v>198</v>
      </c>
      <c r="K63" s="209" t="s">
        <v>230</v>
      </c>
      <c r="L63" s="11" t="s">
        <v>59</v>
      </c>
      <c r="M63" s="13" t="s">
        <v>360</v>
      </c>
      <c r="N63" s="78">
        <v>897.69</v>
      </c>
      <c r="O63" s="39"/>
      <c r="P63" s="107"/>
      <c r="Q63" s="39"/>
      <c r="R63" s="222"/>
      <c r="S63" s="115" t="str">
        <f>IF(N63&gt;0,"Yes","")</f>
        <v>Yes</v>
      </c>
    </row>
    <row r="64" spans="1:19" ht="21.75" customHeight="1" x14ac:dyDescent="0.2">
      <c r="A64" s="14" t="s">
        <v>44</v>
      </c>
      <c r="B64" s="121" t="s">
        <v>357</v>
      </c>
      <c r="C64" s="30" t="s">
        <v>225</v>
      </c>
      <c r="D64" s="18" t="s">
        <v>358</v>
      </c>
      <c r="E64" s="40">
        <v>220032</v>
      </c>
      <c r="F64" s="154" t="s">
        <v>590</v>
      </c>
      <c r="G64" s="90"/>
      <c r="H64" s="174" t="str">
        <f t="shared" ref="H64:H89" si="8">$I$60</f>
        <v>CZ</v>
      </c>
      <c r="I64" s="14" t="s">
        <v>103</v>
      </c>
      <c r="J64" s="181"/>
      <c r="K64" s="210"/>
      <c r="L64" s="15" t="s">
        <v>55</v>
      </c>
      <c r="M64" s="19" t="s">
        <v>178</v>
      </c>
      <c r="N64" s="79">
        <v>806.31</v>
      </c>
      <c r="O64" s="40"/>
      <c r="P64" s="108"/>
      <c r="Q64" s="40"/>
      <c r="R64" s="223"/>
      <c r="S64" s="116" t="str">
        <f>IF(N64&gt;0,"Yes","")</f>
        <v>Yes</v>
      </c>
    </row>
    <row r="65" spans="1:19" ht="21.75" customHeight="1" x14ac:dyDescent="0.2">
      <c r="A65" s="14" t="s">
        <v>22</v>
      </c>
      <c r="B65" s="181"/>
      <c r="C65" s="30" t="s">
        <v>225</v>
      </c>
      <c r="D65" s="18" t="s">
        <v>358</v>
      </c>
      <c r="E65" s="40">
        <v>221129</v>
      </c>
      <c r="F65" s="154" t="s">
        <v>592</v>
      </c>
      <c r="G65" s="90"/>
      <c r="H65" s="174" t="str">
        <f t="shared" si="8"/>
        <v>CZ</v>
      </c>
      <c r="I65" s="14" t="s">
        <v>107</v>
      </c>
      <c r="J65" s="121" t="s">
        <v>202</v>
      </c>
      <c r="K65" s="140" t="s">
        <v>222</v>
      </c>
      <c r="L65" s="70" t="s">
        <v>57</v>
      </c>
      <c r="M65" s="19" t="s">
        <v>299</v>
      </c>
      <c r="N65" s="79">
        <v>793.87</v>
      </c>
      <c r="O65" s="40"/>
      <c r="P65" s="108"/>
      <c r="Q65" s="40"/>
      <c r="R65" s="223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179</v>
      </c>
      <c r="C66" s="32" t="s">
        <v>225</v>
      </c>
      <c r="D66" s="18" t="s">
        <v>282</v>
      </c>
      <c r="E66" s="40"/>
      <c r="F66" s="154"/>
      <c r="G66" s="90"/>
      <c r="H66" s="174" t="str">
        <f t="shared" si="8"/>
        <v>CZ</v>
      </c>
      <c r="I66" s="14" t="s">
        <v>27</v>
      </c>
      <c r="J66" s="181"/>
      <c r="K66" s="210"/>
      <c r="L66" s="70" t="s">
        <v>58</v>
      </c>
      <c r="M66" s="19" t="s">
        <v>312</v>
      </c>
      <c r="N66" s="79">
        <v>1051.9000000000001</v>
      </c>
      <c r="O66" s="40"/>
      <c r="P66" s="108"/>
      <c r="Q66" s="40"/>
      <c r="R66" s="223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235</v>
      </c>
      <c r="C67" s="30" t="s">
        <v>225</v>
      </c>
      <c r="D67" s="18" t="s">
        <v>287</v>
      </c>
      <c r="E67" s="40"/>
      <c r="F67" s="154"/>
      <c r="G67" s="90"/>
      <c r="H67" s="174" t="str">
        <f t="shared" si="8"/>
        <v>CZ</v>
      </c>
      <c r="I67" s="14" t="s">
        <v>164</v>
      </c>
      <c r="J67" s="126" t="s">
        <v>139</v>
      </c>
      <c r="K67" s="135" t="s">
        <v>216</v>
      </c>
      <c r="L67" s="70" t="s">
        <v>56</v>
      </c>
      <c r="M67" s="19" t="s">
        <v>313</v>
      </c>
      <c r="N67" s="79">
        <v>111.19</v>
      </c>
      <c r="O67" s="40"/>
      <c r="P67" s="108"/>
      <c r="Q67" s="40"/>
      <c r="R67" s="224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214</v>
      </c>
      <c r="C68" s="32" t="s">
        <v>225</v>
      </c>
      <c r="D68" s="18" t="s">
        <v>359</v>
      </c>
      <c r="E68" s="40">
        <v>220016</v>
      </c>
      <c r="F68" s="141" t="s">
        <v>593</v>
      </c>
      <c r="G68" s="201" t="s">
        <v>594</v>
      </c>
      <c r="H68" s="174" t="str">
        <f t="shared" si="8"/>
        <v>CZ</v>
      </c>
      <c r="I68" s="14" t="s">
        <v>47</v>
      </c>
      <c r="J68" s="126" t="s">
        <v>247</v>
      </c>
      <c r="K68" s="135" t="s">
        <v>267</v>
      </c>
      <c r="L68" s="15" t="s">
        <v>66</v>
      </c>
      <c r="M68" s="19" t="s">
        <v>322</v>
      </c>
      <c r="N68" s="79">
        <v>848.14</v>
      </c>
      <c r="O68" s="40"/>
      <c r="P68" s="108"/>
      <c r="Q68" s="40"/>
      <c r="R68" s="223"/>
      <c r="S68" s="116" t="str">
        <f t="shared" si="9"/>
        <v>Yes</v>
      </c>
    </row>
    <row r="69" spans="1:19" ht="21.75" customHeight="1" x14ac:dyDescent="0.2">
      <c r="A69" s="14" t="s">
        <v>164</v>
      </c>
      <c r="B69" s="126" t="s">
        <v>177</v>
      </c>
      <c r="C69" s="15" t="s">
        <v>225</v>
      </c>
      <c r="D69" s="18" t="s">
        <v>313</v>
      </c>
      <c r="E69" s="40"/>
      <c r="F69" s="154"/>
      <c r="G69" s="113"/>
      <c r="H69" s="174" t="str">
        <f t="shared" si="8"/>
        <v>CZ</v>
      </c>
      <c r="I69" s="14" t="s">
        <v>87</v>
      </c>
      <c r="J69" s="121" t="s">
        <v>246</v>
      </c>
      <c r="K69" s="140" t="s">
        <v>268</v>
      </c>
      <c r="L69" s="15" t="s">
        <v>66</v>
      </c>
      <c r="M69" s="19" t="s">
        <v>295</v>
      </c>
      <c r="N69" s="79">
        <v>889.04</v>
      </c>
      <c r="O69" s="40"/>
      <c r="P69" s="108"/>
      <c r="Q69" s="40"/>
      <c r="R69" s="223"/>
      <c r="S69" s="116" t="str">
        <f t="shared" si="9"/>
        <v>Yes</v>
      </c>
    </row>
    <row r="70" spans="1:19" ht="21.75" customHeight="1" x14ac:dyDescent="0.2">
      <c r="A70" s="95" t="s">
        <v>24</v>
      </c>
      <c r="B70" s="126" t="s">
        <v>181</v>
      </c>
      <c r="C70" s="30" t="s">
        <v>225</v>
      </c>
      <c r="D70" s="18" t="s">
        <v>285</v>
      </c>
      <c r="E70" s="40">
        <v>221131</v>
      </c>
      <c r="F70" s="154" t="s">
        <v>593</v>
      </c>
      <c r="G70" s="90" t="s">
        <v>576</v>
      </c>
      <c r="H70" s="174" t="str">
        <f t="shared" si="8"/>
        <v>CZ</v>
      </c>
      <c r="I70" s="95" t="s">
        <v>85</v>
      </c>
      <c r="J70" s="181"/>
      <c r="K70" s="210"/>
      <c r="L70" s="15" t="s">
        <v>62</v>
      </c>
      <c r="M70" s="19" t="s">
        <v>175</v>
      </c>
      <c r="N70" s="79">
        <v>972.81</v>
      </c>
      <c r="O70" s="40"/>
      <c r="P70" s="108" t="s">
        <v>149</v>
      </c>
      <c r="Q70" s="40"/>
      <c r="R70" s="223"/>
      <c r="S70" s="116" t="str">
        <f t="shared" si="9"/>
        <v>Yes</v>
      </c>
    </row>
    <row r="71" spans="1:19" ht="21.75" customHeight="1" x14ac:dyDescent="0.2">
      <c r="A71" s="14" t="s">
        <v>40</v>
      </c>
      <c r="B71" s="126" t="s">
        <v>180</v>
      </c>
      <c r="C71" s="32" t="s">
        <v>225</v>
      </c>
      <c r="D71" s="18" t="s">
        <v>311</v>
      </c>
      <c r="E71" s="40"/>
      <c r="F71" s="154"/>
      <c r="G71" s="113"/>
      <c r="H71" s="174" t="str">
        <f t="shared" si="8"/>
        <v>CZ</v>
      </c>
      <c r="I71" s="14" t="s">
        <v>88</v>
      </c>
      <c r="J71" s="126" t="s">
        <v>276</v>
      </c>
      <c r="K71" s="135" t="s">
        <v>196</v>
      </c>
      <c r="L71" s="30" t="s">
        <v>57</v>
      </c>
      <c r="M71" s="35" t="s">
        <v>415</v>
      </c>
      <c r="N71" s="97">
        <v>769.73</v>
      </c>
      <c r="O71" s="40"/>
      <c r="P71" s="108"/>
      <c r="Q71" s="40"/>
      <c r="R71" s="224"/>
      <c r="S71" s="116" t="str">
        <f t="shared" si="9"/>
        <v>Yes</v>
      </c>
    </row>
    <row r="72" spans="1:19" ht="21.75" customHeight="1" x14ac:dyDescent="0.2">
      <c r="A72" s="14" t="s">
        <v>29</v>
      </c>
      <c r="B72" s="121" t="s">
        <v>207</v>
      </c>
      <c r="C72" s="15" t="s">
        <v>225</v>
      </c>
      <c r="D72" s="18" t="s">
        <v>283</v>
      </c>
      <c r="E72" s="40">
        <v>221137</v>
      </c>
      <c r="F72" s="154" t="s">
        <v>595</v>
      </c>
      <c r="G72" s="191"/>
      <c r="H72" s="174" t="str">
        <f t="shared" si="8"/>
        <v>CZ</v>
      </c>
      <c r="I72" s="14" t="s">
        <v>21</v>
      </c>
      <c r="J72" s="121" t="s">
        <v>210</v>
      </c>
      <c r="K72" s="140" t="s">
        <v>277</v>
      </c>
      <c r="L72" s="30" t="s">
        <v>59</v>
      </c>
      <c r="M72" s="35" t="s">
        <v>145</v>
      </c>
      <c r="N72" s="97">
        <v>788.11</v>
      </c>
      <c r="O72" s="40"/>
      <c r="P72" s="108"/>
      <c r="Q72" s="40"/>
      <c r="R72" s="224"/>
      <c r="S72" s="116" t="str">
        <f t="shared" si="9"/>
        <v>Yes</v>
      </c>
    </row>
    <row r="73" spans="1:19" ht="21.75" customHeight="1" x14ac:dyDescent="0.2">
      <c r="A73" s="14" t="s">
        <v>26</v>
      </c>
      <c r="B73" s="181"/>
      <c r="C73" s="15" t="s">
        <v>225</v>
      </c>
      <c r="D73" s="18" t="s">
        <v>283</v>
      </c>
      <c r="E73" s="40"/>
      <c r="F73" s="154"/>
      <c r="G73" s="113"/>
      <c r="H73" s="174" t="str">
        <f t="shared" si="8"/>
        <v>CZ</v>
      </c>
      <c r="I73" s="14" t="s">
        <v>48</v>
      </c>
      <c r="J73" s="181"/>
      <c r="K73" s="210"/>
      <c r="L73" s="30" t="s">
        <v>56</v>
      </c>
      <c r="M73" s="35" t="s">
        <v>372</v>
      </c>
      <c r="N73" s="97">
        <v>952.57</v>
      </c>
      <c r="O73" s="40"/>
      <c r="P73" s="108"/>
      <c r="Q73" s="40"/>
      <c r="R73" s="224"/>
      <c r="S73" s="116" t="str">
        <f t="shared" si="9"/>
        <v>Yes</v>
      </c>
    </row>
    <row r="74" spans="1:19" ht="21.75" customHeight="1" x14ac:dyDescent="0.2">
      <c r="A74" s="14" t="s">
        <v>39</v>
      </c>
      <c r="B74" s="121" t="s">
        <v>215</v>
      </c>
      <c r="C74" s="30" t="s">
        <v>225</v>
      </c>
      <c r="D74" s="18" t="s">
        <v>143</v>
      </c>
      <c r="E74" s="40">
        <v>220033</v>
      </c>
      <c r="F74" s="154"/>
      <c r="G74" s="189" t="s">
        <v>642</v>
      </c>
      <c r="H74" s="174" t="str">
        <f t="shared" si="8"/>
        <v>CZ</v>
      </c>
      <c r="I74" s="14" t="s">
        <v>36</v>
      </c>
      <c r="J74" s="121" t="s">
        <v>248</v>
      </c>
      <c r="K74" s="140" t="s">
        <v>269</v>
      </c>
      <c r="L74" s="30" t="s">
        <v>60</v>
      </c>
      <c r="M74" s="35" t="s">
        <v>323</v>
      </c>
      <c r="N74" s="79">
        <v>894.53</v>
      </c>
      <c r="O74" s="40"/>
      <c r="P74" s="108"/>
      <c r="Q74" s="40">
        <v>220033</v>
      </c>
      <c r="R74" s="224" t="s">
        <v>642</v>
      </c>
      <c r="S74" s="116" t="str">
        <f t="shared" si="9"/>
        <v>Yes</v>
      </c>
    </row>
    <row r="75" spans="1:19" ht="21.75" customHeight="1" x14ac:dyDescent="0.2">
      <c r="A75" s="14" t="s">
        <v>53</v>
      </c>
      <c r="B75" s="181"/>
      <c r="C75" s="32" t="s">
        <v>225</v>
      </c>
      <c r="D75" s="18" t="s">
        <v>143</v>
      </c>
      <c r="E75" s="40">
        <v>220020</v>
      </c>
      <c r="F75" s="154" t="s">
        <v>574</v>
      </c>
      <c r="G75" s="191"/>
      <c r="H75" s="174" t="str">
        <f t="shared" si="8"/>
        <v>CZ</v>
      </c>
      <c r="I75" s="14" t="s">
        <v>22</v>
      </c>
      <c r="J75" s="181"/>
      <c r="K75" s="210"/>
      <c r="L75" s="15" t="s">
        <v>56</v>
      </c>
      <c r="M75" s="19" t="s">
        <v>358</v>
      </c>
      <c r="N75" s="79">
        <v>738.81</v>
      </c>
      <c r="O75" s="40"/>
      <c r="P75" s="112"/>
      <c r="Q75" s="40">
        <v>221128</v>
      </c>
      <c r="R75" s="90" t="s">
        <v>614</v>
      </c>
      <c r="S75" s="116" t="str">
        <f t="shared" si="9"/>
        <v>Yes</v>
      </c>
    </row>
    <row r="76" spans="1:19" ht="21.75" customHeight="1" x14ac:dyDescent="0.2">
      <c r="A76" s="14" t="s">
        <v>23</v>
      </c>
      <c r="B76" s="121" t="s">
        <v>205</v>
      </c>
      <c r="C76" s="30" t="s">
        <v>225</v>
      </c>
      <c r="D76" s="18" t="s">
        <v>372</v>
      </c>
      <c r="E76" s="40"/>
      <c r="F76" s="154"/>
      <c r="G76" s="90"/>
      <c r="H76" s="174" t="str">
        <f t="shared" si="8"/>
        <v>CZ</v>
      </c>
      <c r="I76" s="14" t="s">
        <v>41</v>
      </c>
      <c r="J76" s="121" t="s">
        <v>252</v>
      </c>
      <c r="K76" s="140" t="s">
        <v>331</v>
      </c>
      <c r="L76" s="15" t="s">
        <v>59</v>
      </c>
      <c r="M76" s="19" t="s">
        <v>132</v>
      </c>
      <c r="N76" s="79">
        <v>750.82</v>
      </c>
      <c r="O76" s="40"/>
      <c r="P76" s="113"/>
      <c r="Q76" s="40"/>
      <c r="R76" s="224"/>
      <c r="S76" s="116" t="str">
        <f t="shared" si="9"/>
        <v>Yes</v>
      </c>
    </row>
    <row r="77" spans="1:19" ht="21.75" customHeight="1" x14ac:dyDescent="0.2">
      <c r="A77" s="14" t="s">
        <v>48</v>
      </c>
      <c r="B77" s="181"/>
      <c r="C77" s="32" t="s">
        <v>225</v>
      </c>
      <c r="D77" s="18" t="s">
        <v>372</v>
      </c>
      <c r="E77" s="40">
        <v>220018</v>
      </c>
      <c r="F77" s="154" t="s">
        <v>597</v>
      </c>
      <c r="G77" s="189"/>
      <c r="H77" s="174" t="str">
        <f t="shared" si="8"/>
        <v>CZ</v>
      </c>
      <c r="I77" s="14" t="s">
        <v>50</v>
      </c>
      <c r="J77" s="122"/>
      <c r="K77" s="214"/>
      <c r="L77" s="30" t="s">
        <v>56</v>
      </c>
      <c r="M77" s="35" t="s">
        <v>315</v>
      </c>
      <c r="N77" s="97">
        <v>853.4</v>
      </c>
      <c r="O77" s="40"/>
      <c r="P77" s="108" t="s">
        <v>149</v>
      </c>
      <c r="Q77" s="40"/>
      <c r="R77" s="246"/>
      <c r="S77" s="116" t="str">
        <f t="shared" si="9"/>
        <v>Yes</v>
      </c>
    </row>
    <row r="78" spans="1:19" ht="21.75" customHeight="1" x14ac:dyDescent="0.2">
      <c r="A78" s="14" t="s">
        <v>35</v>
      </c>
      <c r="B78" s="126" t="s">
        <v>290</v>
      </c>
      <c r="C78" s="15"/>
      <c r="D78" s="18"/>
      <c r="E78" s="40"/>
      <c r="F78" s="135"/>
      <c r="G78" s="17"/>
      <c r="H78" s="174" t="str">
        <f t="shared" si="8"/>
        <v>CZ</v>
      </c>
      <c r="I78" s="14" t="s">
        <v>46</v>
      </c>
      <c r="J78" s="181"/>
      <c r="K78" s="210"/>
      <c r="L78" s="30" t="s">
        <v>58</v>
      </c>
      <c r="M78" s="35" t="s">
        <v>240</v>
      </c>
      <c r="N78" s="97">
        <v>941.23</v>
      </c>
      <c r="O78" s="40"/>
      <c r="P78" s="108" t="s">
        <v>149</v>
      </c>
      <c r="Q78" s="40"/>
      <c r="R78" s="224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40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40"/>
      <c r="P79" s="108"/>
      <c r="Q79" s="40"/>
      <c r="R79" s="224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31"/>
      <c r="E80" s="40"/>
      <c r="F80" s="140"/>
      <c r="G80" s="184"/>
      <c r="I80" s="14"/>
      <c r="J80" s="126"/>
      <c r="K80" s="135"/>
      <c r="L80" s="15"/>
      <c r="M80" s="19"/>
      <c r="N80" s="79"/>
      <c r="O80" s="40"/>
      <c r="P80" s="108"/>
      <c r="Q80" s="40"/>
      <c r="R80" s="224"/>
      <c r="S80" s="116" t="str">
        <f t="shared" si="9"/>
        <v/>
      </c>
    </row>
    <row r="81" spans="1:19" ht="21.75" customHeight="1" x14ac:dyDescent="0.2">
      <c r="A81" s="148"/>
      <c r="B81" s="180"/>
      <c r="C81" s="29"/>
      <c r="D81" s="82"/>
      <c r="E81" s="69"/>
      <c r="F81" s="141"/>
      <c r="G81" s="17"/>
      <c r="I81" s="14"/>
      <c r="J81" s="126"/>
      <c r="K81" s="135"/>
      <c r="L81" s="30"/>
      <c r="M81" s="35"/>
      <c r="N81" s="97"/>
      <c r="O81" s="69"/>
      <c r="P81" s="109"/>
      <c r="Q81" s="69"/>
      <c r="R81" s="224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40"/>
      <c r="G82" s="185"/>
      <c r="I82" s="148"/>
      <c r="J82" s="180"/>
      <c r="K82" s="154"/>
      <c r="L82" s="81"/>
      <c r="M82" s="94"/>
      <c r="N82" s="99"/>
      <c r="O82" s="69"/>
      <c r="P82" s="109"/>
      <c r="Q82" s="69"/>
      <c r="R82" s="224"/>
      <c r="S82" s="116" t="str">
        <f t="shared" si="9"/>
        <v/>
      </c>
    </row>
    <row r="83" spans="1:19" ht="21.75" customHeight="1" x14ac:dyDescent="0.2">
      <c r="A83" s="95"/>
      <c r="B83" s="126"/>
      <c r="C83" s="15"/>
      <c r="D83" s="82"/>
      <c r="E83" s="69"/>
      <c r="F83" s="140"/>
      <c r="G83" s="17"/>
      <c r="I83" s="95"/>
      <c r="J83" s="126"/>
      <c r="K83" s="135"/>
      <c r="L83" s="30"/>
      <c r="M83" s="35"/>
      <c r="N83" s="97"/>
      <c r="O83" s="69"/>
      <c r="P83" s="109"/>
      <c r="Q83" s="69"/>
      <c r="R83" s="224"/>
      <c r="S83" s="116" t="str">
        <f t="shared" si="9"/>
        <v/>
      </c>
    </row>
    <row r="84" spans="1:19" ht="21.75" customHeight="1" x14ac:dyDescent="0.2">
      <c r="A84" s="95"/>
      <c r="B84" s="126"/>
      <c r="C84" s="15"/>
      <c r="D84" s="82"/>
      <c r="E84" s="69"/>
      <c r="F84" s="140"/>
      <c r="G84" s="17"/>
      <c r="I84" s="95"/>
      <c r="J84" s="126"/>
      <c r="K84" s="135"/>
      <c r="L84" s="30"/>
      <c r="M84" s="35"/>
      <c r="N84" s="97"/>
      <c r="O84" s="69"/>
      <c r="P84" s="109"/>
      <c r="Q84" s="69"/>
      <c r="R84" s="224"/>
      <c r="S84" s="116" t="str">
        <f t="shared" si="9"/>
        <v/>
      </c>
    </row>
    <row r="85" spans="1:19" ht="21.75" customHeight="1" x14ac:dyDescent="0.2">
      <c r="A85" s="148"/>
      <c r="B85" s="180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4"/>
      <c r="S85" s="116" t="str">
        <f t="shared" si="9"/>
        <v/>
      </c>
    </row>
    <row r="86" spans="1:19" ht="21.75" customHeight="1" x14ac:dyDescent="0.2">
      <c r="A86" s="164"/>
      <c r="B86" s="180"/>
      <c r="C86" s="29"/>
      <c r="D86" s="82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69"/>
      <c r="P86" s="109"/>
      <c r="Q86" s="69"/>
      <c r="R86" s="224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40"/>
      <c r="P87" s="109"/>
      <c r="Q87" s="40"/>
      <c r="R87" s="224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85"/>
      <c r="P88" s="109"/>
      <c r="Q88" s="85"/>
      <c r="R88" s="224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5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117</v>
      </c>
      <c r="B94" s="118"/>
      <c r="C94" s="9"/>
      <c r="D94" s="255">
        <f>'DEPT BAL'!$E$4-1</f>
        <v>43066</v>
      </c>
      <c r="E94" s="255"/>
      <c r="F94" s="138"/>
      <c r="I94" s="8" t="s">
        <v>118</v>
      </c>
      <c r="J94" s="118"/>
      <c r="L94" s="252">
        <f>D94+1</f>
        <v>43067</v>
      </c>
      <c r="M94" s="252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420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176</v>
      </c>
      <c r="C96" s="15" t="s">
        <v>224</v>
      </c>
      <c r="D96" s="18" t="s">
        <v>299</v>
      </c>
      <c r="E96" s="40"/>
      <c r="F96" s="154"/>
      <c r="G96" s="193"/>
      <c r="H96" s="174" t="str">
        <f>$I$93</f>
        <v>BK</v>
      </c>
      <c r="I96" s="10" t="s">
        <v>39</v>
      </c>
      <c r="J96" s="120" t="s">
        <v>377</v>
      </c>
      <c r="K96" s="209" t="s">
        <v>216</v>
      </c>
      <c r="L96" s="11" t="s">
        <v>56</v>
      </c>
      <c r="M96" s="13" t="s">
        <v>143</v>
      </c>
      <c r="N96" s="78">
        <v>870.28</v>
      </c>
      <c r="O96" s="40"/>
      <c r="P96" s="107"/>
      <c r="Q96" s="40"/>
      <c r="R96" s="222"/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370</v>
      </c>
      <c r="C97" s="15" t="s">
        <v>414</v>
      </c>
      <c r="D97" s="18" t="s">
        <v>415</v>
      </c>
      <c r="E97" s="40">
        <v>220017</v>
      </c>
      <c r="F97" s="154"/>
      <c r="G97" s="90" t="s">
        <v>646</v>
      </c>
      <c r="H97" s="174" t="str">
        <f t="shared" ref="H97:H103" si="11">$I$93</f>
        <v>BK</v>
      </c>
      <c r="I97" s="14" t="s">
        <v>148</v>
      </c>
      <c r="J97" s="126" t="s">
        <v>203</v>
      </c>
      <c r="K97" s="135" t="s">
        <v>280</v>
      </c>
      <c r="L97" s="15" t="s">
        <v>57</v>
      </c>
      <c r="M97" s="19" t="s">
        <v>371</v>
      </c>
      <c r="N97" s="79">
        <v>1017.1</v>
      </c>
      <c r="O97" s="40"/>
      <c r="P97" s="108"/>
      <c r="Q97" s="40">
        <v>220017</v>
      </c>
      <c r="R97" s="223" t="s">
        <v>646</v>
      </c>
      <c r="S97" s="116" t="str">
        <f t="shared" si="10"/>
        <v>Yes</v>
      </c>
    </row>
    <row r="98" spans="1:19" ht="21.75" customHeight="1" x14ac:dyDescent="0.2">
      <c r="A98" s="14" t="s">
        <v>148</v>
      </c>
      <c r="B98" s="126" t="s">
        <v>234</v>
      </c>
      <c r="C98" s="15" t="s">
        <v>224</v>
      </c>
      <c r="D98" s="71" t="s">
        <v>371</v>
      </c>
      <c r="E98" s="40"/>
      <c r="F98" s="154"/>
      <c r="G98" s="189"/>
      <c r="H98" s="174" t="str">
        <f t="shared" si="11"/>
        <v>BK</v>
      </c>
      <c r="I98" s="68" t="s">
        <v>33</v>
      </c>
      <c r="J98" s="126" t="s">
        <v>195</v>
      </c>
      <c r="K98" s="135" t="s">
        <v>217</v>
      </c>
      <c r="L98" s="15" t="s">
        <v>62</v>
      </c>
      <c r="M98" s="19" t="s">
        <v>329</v>
      </c>
      <c r="N98" s="79">
        <v>954.92</v>
      </c>
      <c r="O98" s="40"/>
      <c r="P98" s="108"/>
      <c r="Q98" s="40"/>
      <c r="R98" s="223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153</v>
      </c>
      <c r="C99" s="15" t="s">
        <v>224</v>
      </c>
      <c r="D99" s="18" t="s">
        <v>281</v>
      </c>
      <c r="E99" s="40">
        <v>221138</v>
      </c>
      <c r="F99" s="135"/>
      <c r="G99" s="17" t="s">
        <v>639</v>
      </c>
      <c r="H99" s="174" t="str">
        <f t="shared" si="11"/>
        <v>BK</v>
      </c>
      <c r="I99" s="93" t="s">
        <v>26</v>
      </c>
      <c r="J99" s="180" t="s">
        <v>197</v>
      </c>
      <c r="K99" s="154" t="s">
        <v>271</v>
      </c>
      <c r="L99" s="29" t="s">
        <v>56</v>
      </c>
      <c r="M99" s="77" t="s">
        <v>283</v>
      </c>
      <c r="N99" s="98">
        <v>795.28</v>
      </c>
      <c r="O99" s="40"/>
      <c r="P99" s="108" t="s">
        <v>149</v>
      </c>
      <c r="Q99" s="40">
        <v>221138</v>
      </c>
      <c r="R99" s="223" t="s">
        <v>639</v>
      </c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0"/>
      <c r="K100" s="154"/>
      <c r="L100" s="29"/>
      <c r="M100" s="77"/>
      <c r="N100" s="98"/>
      <c r="O100" s="40"/>
      <c r="P100" s="108"/>
      <c r="Q100" s="40"/>
      <c r="R100" s="223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0"/>
      <c r="K101" s="154"/>
      <c r="L101" s="81"/>
      <c r="M101" s="94"/>
      <c r="N101" s="99"/>
      <c r="O101" s="40"/>
      <c r="P101" s="108"/>
      <c r="Q101" s="40"/>
      <c r="R101" s="224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4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5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117</v>
      </c>
      <c r="B108" s="118"/>
      <c r="C108" s="9"/>
      <c r="D108" s="255">
        <f>'DEPT BAL'!$E$4-1</f>
        <v>43066</v>
      </c>
      <c r="E108" s="255"/>
      <c r="F108" s="138"/>
      <c r="I108" s="8" t="s">
        <v>118</v>
      </c>
      <c r="J108" s="118"/>
      <c r="L108" s="252">
        <f>D108+1</f>
        <v>43067</v>
      </c>
      <c r="M108" s="252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420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239</v>
      </c>
      <c r="C110" s="11" t="s">
        <v>133</v>
      </c>
      <c r="D110" s="25" t="s">
        <v>240</v>
      </c>
      <c r="E110" s="39"/>
      <c r="F110" s="192"/>
      <c r="G110" s="193"/>
      <c r="H110" s="174" t="str">
        <f>$I$107</f>
        <v>LA</v>
      </c>
      <c r="I110" s="14" t="s">
        <v>54</v>
      </c>
      <c r="J110" s="121" t="s">
        <v>303</v>
      </c>
      <c r="K110" s="213" t="s">
        <v>292</v>
      </c>
      <c r="L110" s="15" t="s">
        <v>55</v>
      </c>
      <c r="M110" s="19" t="s">
        <v>188</v>
      </c>
      <c r="N110" s="79">
        <v>835.16</v>
      </c>
      <c r="O110" s="39"/>
      <c r="P110" s="108"/>
      <c r="Q110" s="39"/>
      <c r="R110" s="223"/>
      <c r="S110" s="115" t="str">
        <f>IF(N110&gt;0,"Yes","")</f>
        <v>Yes</v>
      </c>
    </row>
    <row r="111" spans="1:19" ht="21.75" customHeight="1" x14ac:dyDescent="0.2">
      <c r="A111" s="14" t="s">
        <v>37</v>
      </c>
      <c r="B111" s="121" t="s">
        <v>241</v>
      </c>
      <c r="C111" s="15" t="s">
        <v>133</v>
      </c>
      <c r="D111" s="18" t="s">
        <v>300</v>
      </c>
      <c r="E111" s="40"/>
      <c r="F111" s="154"/>
      <c r="G111" s="90"/>
      <c r="H111" s="174" t="str">
        <f t="shared" ref="H111:H119" si="12">$I$107</f>
        <v>LA</v>
      </c>
      <c r="I111" s="14" t="s">
        <v>165</v>
      </c>
      <c r="J111" s="181"/>
      <c r="K111" s="210"/>
      <c r="L111" s="30" t="s">
        <v>58</v>
      </c>
      <c r="M111" s="35" t="s">
        <v>300</v>
      </c>
      <c r="N111" s="97">
        <v>1132.5899999999999</v>
      </c>
      <c r="O111" s="40"/>
      <c r="P111" s="108"/>
      <c r="Q111" s="40"/>
      <c r="R111" s="224"/>
      <c r="S111" s="116" t="str">
        <f>IF(N111&gt;0,"Yes","")</f>
        <v>Yes</v>
      </c>
    </row>
    <row r="112" spans="1:19" ht="21.75" customHeight="1" x14ac:dyDescent="0.2">
      <c r="A112" s="14" t="s">
        <v>165</v>
      </c>
      <c r="B112" s="181"/>
      <c r="C112" s="15" t="s">
        <v>133</v>
      </c>
      <c r="D112" s="18" t="s">
        <v>300</v>
      </c>
      <c r="E112" s="40"/>
      <c r="F112" s="154"/>
      <c r="G112" s="90"/>
      <c r="H112" s="174" t="str">
        <f t="shared" si="12"/>
        <v>LA</v>
      </c>
      <c r="I112" s="14" t="s">
        <v>23</v>
      </c>
      <c r="J112" s="121" t="s">
        <v>231</v>
      </c>
      <c r="K112" s="140" t="s">
        <v>325</v>
      </c>
      <c r="L112" s="30" t="s">
        <v>56</v>
      </c>
      <c r="M112" s="35" t="s">
        <v>372</v>
      </c>
      <c r="N112" s="97">
        <v>1059</v>
      </c>
      <c r="O112" s="40"/>
      <c r="P112" s="108"/>
      <c r="Q112" s="40">
        <v>221131</v>
      </c>
      <c r="R112" s="224" t="s">
        <v>618</v>
      </c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242</v>
      </c>
      <c r="C113" s="30" t="s">
        <v>133</v>
      </c>
      <c r="D113" s="18" t="s">
        <v>312</v>
      </c>
      <c r="E113" s="40">
        <v>221131</v>
      </c>
      <c r="F113" s="154"/>
      <c r="G113" s="224" t="s">
        <v>618</v>
      </c>
      <c r="H113" s="174" t="str">
        <f t="shared" si="12"/>
        <v>LA</v>
      </c>
      <c r="I113" s="14" t="s">
        <v>64</v>
      </c>
      <c r="J113" s="181"/>
      <c r="K113" s="210"/>
      <c r="L113" s="30" t="s">
        <v>59</v>
      </c>
      <c r="M113" s="35" t="s">
        <v>132</v>
      </c>
      <c r="N113" s="97">
        <v>755.72</v>
      </c>
      <c r="O113" s="40"/>
      <c r="P113" s="108"/>
      <c r="Q113" s="40"/>
      <c r="R113" s="224"/>
      <c r="S113" s="116" t="str">
        <f t="shared" si="13"/>
        <v>Yes</v>
      </c>
    </row>
    <row r="114" spans="1:19" ht="21.75" customHeight="1" x14ac:dyDescent="0.2">
      <c r="A114" s="14" t="s">
        <v>27</v>
      </c>
      <c r="B114" s="181"/>
      <c r="C114" s="32" t="s">
        <v>133</v>
      </c>
      <c r="D114" s="18" t="s">
        <v>312</v>
      </c>
      <c r="E114" s="40"/>
      <c r="F114" s="154"/>
      <c r="G114" s="189"/>
      <c r="H114" s="174" t="str">
        <f t="shared" si="12"/>
        <v>LA</v>
      </c>
      <c r="I114" s="14" t="s">
        <v>104</v>
      </c>
      <c r="J114" s="126" t="s">
        <v>262</v>
      </c>
      <c r="K114" s="135" t="s">
        <v>305</v>
      </c>
      <c r="L114" s="30" t="s">
        <v>57</v>
      </c>
      <c r="M114" s="35" t="s">
        <v>281</v>
      </c>
      <c r="N114" s="97">
        <v>1003.16</v>
      </c>
      <c r="O114" s="40"/>
      <c r="P114" s="17"/>
      <c r="Q114" s="40"/>
      <c r="R114" s="224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54"/>
      <c r="G115" s="200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4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4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4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4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5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117</v>
      </c>
      <c r="B124" s="118"/>
      <c r="C124" s="9"/>
      <c r="D124" s="255">
        <f>'DEPT BAL'!$E$4-1</f>
        <v>43066</v>
      </c>
      <c r="E124" s="255"/>
      <c r="F124" s="138"/>
      <c r="I124" s="8" t="s">
        <v>118</v>
      </c>
      <c r="J124" s="118"/>
      <c r="L124" s="252">
        <f>D124+1</f>
        <v>43067</v>
      </c>
      <c r="M124" s="252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420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301</v>
      </c>
      <c r="C126" s="11" t="s">
        <v>320</v>
      </c>
      <c r="D126" s="25" t="s">
        <v>321</v>
      </c>
      <c r="E126" s="39"/>
      <c r="F126" s="192"/>
      <c r="G126" s="12"/>
      <c r="H126" s="174" t="str">
        <f>$I$123</f>
        <v>PZ</v>
      </c>
      <c r="I126" s="10" t="s">
        <v>106</v>
      </c>
      <c r="J126" s="120" t="s">
        <v>204</v>
      </c>
      <c r="K126" s="209" t="s">
        <v>269</v>
      </c>
      <c r="L126" s="11" t="s">
        <v>66</v>
      </c>
      <c r="M126" s="13" t="s">
        <v>295</v>
      </c>
      <c r="N126" s="78">
        <v>891.23</v>
      </c>
      <c r="O126" s="39"/>
      <c r="P126" s="107"/>
      <c r="Q126" s="39"/>
      <c r="R126" s="226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243</v>
      </c>
      <c r="C127" s="15" t="s">
        <v>320</v>
      </c>
      <c r="D127" s="18" t="s">
        <v>188</v>
      </c>
      <c r="E127" s="40"/>
      <c r="F127" s="154"/>
      <c r="G127" s="17"/>
      <c r="H127" s="174" t="str">
        <f>$I$123</f>
        <v>PZ</v>
      </c>
      <c r="I127" s="14" t="s">
        <v>28</v>
      </c>
      <c r="J127" s="126" t="s">
        <v>183</v>
      </c>
      <c r="K127" s="135" t="s">
        <v>309</v>
      </c>
      <c r="L127" s="15" t="s">
        <v>62</v>
      </c>
      <c r="M127" s="19" t="s">
        <v>261</v>
      </c>
      <c r="N127" s="79">
        <v>769.78</v>
      </c>
      <c r="O127" s="40"/>
      <c r="P127" s="108"/>
      <c r="Q127" s="40"/>
      <c r="R127" s="223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3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3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5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117</v>
      </c>
      <c r="B135" s="118"/>
      <c r="C135" s="9"/>
      <c r="D135" s="255">
        <f>'DEPT BAL'!$E$4-1</f>
        <v>43066</v>
      </c>
      <c r="E135" s="255"/>
      <c r="F135" s="138"/>
      <c r="I135" s="8" t="s">
        <v>118</v>
      </c>
      <c r="J135" s="118"/>
      <c r="L135" s="252">
        <f>D135+1</f>
        <v>43067</v>
      </c>
      <c r="M135" s="252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420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332</v>
      </c>
      <c r="C137" s="149" t="s">
        <v>208</v>
      </c>
      <c r="D137" s="18" t="s">
        <v>333</v>
      </c>
      <c r="E137" s="40">
        <v>220021</v>
      </c>
      <c r="F137" s="154"/>
      <c r="G137" s="202" t="s">
        <v>636</v>
      </c>
      <c r="H137" s="174" t="str">
        <f>$I$134</f>
        <v>EH</v>
      </c>
      <c r="I137" s="10" t="s">
        <v>49</v>
      </c>
      <c r="J137" s="120" t="s">
        <v>144</v>
      </c>
      <c r="K137" s="209" t="s">
        <v>218</v>
      </c>
      <c r="L137" s="11" t="s">
        <v>66</v>
      </c>
      <c r="M137" s="13" t="s">
        <v>289</v>
      </c>
      <c r="N137" s="78">
        <v>999.19</v>
      </c>
      <c r="O137" s="40"/>
      <c r="P137" s="107"/>
      <c r="Q137" s="40"/>
      <c r="R137" s="222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236</v>
      </c>
      <c r="C138" s="19" t="s">
        <v>226</v>
      </c>
      <c r="D138" s="18" t="s">
        <v>145</v>
      </c>
      <c r="E138" s="40"/>
      <c r="F138" s="154"/>
      <c r="G138" s="90"/>
      <c r="H138" s="174" t="str">
        <f t="shared" ref="H138:H145" si="14">$I$134</f>
        <v>EH</v>
      </c>
      <c r="I138" s="14" t="s">
        <v>42</v>
      </c>
      <c r="J138" s="181"/>
      <c r="K138" s="210"/>
      <c r="L138" s="15" t="s">
        <v>56</v>
      </c>
      <c r="M138" s="19" t="s">
        <v>311</v>
      </c>
      <c r="N138" s="79">
        <v>954.11</v>
      </c>
      <c r="O138" s="40"/>
      <c r="P138" s="108" t="s">
        <v>149</v>
      </c>
      <c r="Q138" s="40">
        <v>220021</v>
      </c>
      <c r="R138" s="223" t="s">
        <v>636</v>
      </c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237</v>
      </c>
      <c r="C139" s="30" t="s">
        <v>226</v>
      </c>
      <c r="D139" s="18" t="s">
        <v>132</v>
      </c>
      <c r="E139" s="40">
        <v>221144</v>
      </c>
      <c r="F139" s="154"/>
      <c r="G139" s="90" t="s">
        <v>640</v>
      </c>
      <c r="H139" s="174" t="str">
        <f t="shared" si="14"/>
        <v>EH</v>
      </c>
      <c r="I139" s="14" t="s">
        <v>29</v>
      </c>
      <c r="J139" s="127" t="s">
        <v>219</v>
      </c>
      <c r="K139" s="141" t="s">
        <v>154</v>
      </c>
      <c r="L139" s="15" t="s">
        <v>56</v>
      </c>
      <c r="M139" s="19" t="s">
        <v>283</v>
      </c>
      <c r="N139" s="79">
        <v>900.4</v>
      </c>
      <c r="O139" s="40"/>
      <c r="P139" s="108" t="s">
        <v>149</v>
      </c>
      <c r="Q139" s="40"/>
      <c r="R139" s="223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1"/>
      <c r="C140" s="32" t="s">
        <v>226</v>
      </c>
      <c r="D140" s="18" t="s">
        <v>132</v>
      </c>
      <c r="E140" s="40"/>
      <c r="F140" s="154"/>
      <c r="G140" s="189"/>
      <c r="H140" s="174" t="str">
        <f t="shared" si="14"/>
        <v>EH</v>
      </c>
      <c r="I140" s="14" t="s">
        <v>65</v>
      </c>
      <c r="J140" s="181"/>
      <c r="K140" s="210"/>
      <c r="L140" s="15" t="s">
        <v>56</v>
      </c>
      <c r="M140" s="19" t="s">
        <v>359</v>
      </c>
      <c r="N140" s="79">
        <v>757.26</v>
      </c>
      <c r="O140" s="40"/>
      <c r="P140" s="108"/>
      <c r="Q140" s="40">
        <v>220025</v>
      </c>
      <c r="R140" s="223" t="s">
        <v>616</v>
      </c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334</v>
      </c>
      <c r="C141" s="15" t="s">
        <v>227</v>
      </c>
      <c r="D141" s="18" t="s">
        <v>335</v>
      </c>
      <c r="E141" s="40">
        <v>220025</v>
      </c>
      <c r="F141" s="154"/>
      <c r="G141" s="90" t="s">
        <v>616</v>
      </c>
      <c r="H141" s="174" t="str">
        <f t="shared" si="14"/>
        <v>EH</v>
      </c>
      <c r="I141" s="14" t="s">
        <v>90</v>
      </c>
      <c r="J141" s="126" t="s">
        <v>200</v>
      </c>
      <c r="K141" s="135" t="s">
        <v>268</v>
      </c>
      <c r="L141" s="15" t="s">
        <v>59</v>
      </c>
      <c r="M141" s="19" t="s">
        <v>360</v>
      </c>
      <c r="N141" s="79">
        <v>883.4</v>
      </c>
      <c r="O141" s="40"/>
      <c r="P141" s="108"/>
      <c r="Q141" s="40">
        <v>221144</v>
      </c>
      <c r="R141" s="223" t="s">
        <v>640</v>
      </c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213</v>
      </c>
      <c r="C142" s="15" t="s">
        <v>226</v>
      </c>
      <c r="D142" s="16" t="s">
        <v>360</v>
      </c>
      <c r="E142" s="40">
        <v>220013</v>
      </c>
      <c r="F142" s="135"/>
      <c r="G142" s="189" t="s">
        <v>615</v>
      </c>
      <c r="H142" s="174" t="str">
        <f t="shared" si="14"/>
        <v>EH</v>
      </c>
      <c r="I142" s="14" t="s">
        <v>43</v>
      </c>
      <c r="J142" s="126" t="s">
        <v>354</v>
      </c>
      <c r="K142" s="135" t="s">
        <v>297</v>
      </c>
      <c r="L142" s="15" t="s">
        <v>59</v>
      </c>
      <c r="M142" s="19" t="s">
        <v>333</v>
      </c>
      <c r="N142" s="79">
        <v>732.99</v>
      </c>
      <c r="O142" s="40"/>
      <c r="P142" s="108"/>
      <c r="Q142" s="40"/>
      <c r="R142" s="223"/>
      <c r="S142" s="116" t="str">
        <f t="shared" si="15"/>
        <v>Yes</v>
      </c>
    </row>
    <row r="143" spans="1:19" ht="21.75" customHeight="1" x14ac:dyDescent="0.2">
      <c r="A143" s="14" t="s">
        <v>52</v>
      </c>
      <c r="B143" s="181"/>
      <c r="C143" s="15" t="s">
        <v>227</v>
      </c>
      <c r="D143" s="16" t="s">
        <v>360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212</v>
      </c>
      <c r="K143" s="135" t="s">
        <v>364</v>
      </c>
      <c r="L143" s="15" t="s">
        <v>56</v>
      </c>
      <c r="M143" s="15" t="s">
        <v>143</v>
      </c>
      <c r="N143" s="79">
        <v>798.04</v>
      </c>
      <c r="O143" s="40"/>
      <c r="P143" s="108"/>
      <c r="Q143" s="40">
        <v>220013</v>
      </c>
      <c r="R143" s="189" t="s">
        <v>615</v>
      </c>
      <c r="S143" s="116" t="str">
        <f t="shared" si="15"/>
        <v>Yes</v>
      </c>
    </row>
    <row r="144" spans="1:19" ht="21.75" customHeight="1" x14ac:dyDescent="0.2">
      <c r="A144" s="14" t="s">
        <v>147</v>
      </c>
      <c r="B144" s="126" t="s">
        <v>238</v>
      </c>
      <c r="C144" s="15" t="s">
        <v>174</v>
      </c>
      <c r="D144" s="16" t="s">
        <v>366</v>
      </c>
      <c r="E144" s="40"/>
      <c r="F144" s="135"/>
      <c r="G144" s="17"/>
      <c r="H144" s="174" t="str">
        <f t="shared" si="14"/>
        <v>EH</v>
      </c>
      <c r="I144" s="14" t="s">
        <v>147</v>
      </c>
      <c r="J144" s="126" t="s">
        <v>355</v>
      </c>
      <c r="K144" s="135" t="s">
        <v>365</v>
      </c>
      <c r="L144" s="15" t="s">
        <v>59</v>
      </c>
      <c r="M144" s="15" t="s">
        <v>366</v>
      </c>
      <c r="N144" s="79">
        <v>883.15</v>
      </c>
      <c r="O144" s="40"/>
      <c r="P144" s="108"/>
      <c r="Q144" s="40"/>
      <c r="R144" s="223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5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170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171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Tuesday</v>
      </c>
      <c r="H150" s="176"/>
      <c r="I150" s="253">
        <f>$L$3</f>
        <v>43067</v>
      </c>
      <c r="J150" s="253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4" t="s">
        <v>5</v>
      </c>
      <c r="K152" s="254"/>
      <c r="M152" s="6" t="s">
        <v>98</v>
      </c>
    </row>
    <row r="153" spans="1:19" ht="19.5" customHeight="1" x14ac:dyDescent="0.2">
      <c r="D153" s="196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220001</v>
      </c>
      <c r="I153" s="15" t="s">
        <v>21</v>
      </c>
      <c r="J153" s="251">
        <f>INDEX($I$5:$Q$148, MATCH($I153,I$5:I$148,0),9)</f>
        <v>0</v>
      </c>
      <c r="K153" s="251"/>
      <c r="L153" s="6" t="str">
        <f t="shared" ref="L153:L186" si="18">INDEX($H$5:$H$148, MATCH($I153,I$5:I$148,0))</f>
        <v>CZ</v>
      </c>
      <c r="M153" s="196">
        <f t="shared" ref="M153:M186" si="19">INDEX($I$5:$N$148, MATCH($I153,I$5:I$148,0),6)</f>
        <v>788.11</v>
      </c>
      <c r="N153" s="8"/>
    </row>
    <row r="154" spans="1:19" ht="19.5" customHeight="1" x14ac:dyDescent="0.2">
      <c r="D154" s="196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51">
        <f t="shared" ref="J154:J186" si="21">INDEX($I$5:$Q$148, MATCH($I154,I$5:I$148,0),9)</f>
        <v>221128</v>
      </c>
      <c r="K154" s="251"/>
      <c r="L154" s="6" t="str">
        <f t="shared" si="18"/>
        <v>CZ</v>
      </c>
      <c r="M154" s="196">
        <f t="shared" si="19"/>
        <v>738.81</v>
      </c>
      <c r="N154" s="8"/>
    </row>
    <row r="155" spans="1:19" ht="19.5" customHeight="1" x14ac:dyDescent="0.2">
      <c r="D155" s="196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220033</v>
      </c>
      <c r="I155" s="15" t="s">
        <v>23</v>
      </c>
      <c r="J155" s="251">
        <f t="shared" si="21"/>
        <v>221131</v>
      </c>
      <c r="K155" s="251"/>
      <c r="L155" s="6" t="str">
        <f t="shared" si="18"/>
        <v>LA</v>
      </c>
      <c r="M155" s="196">
        <f t="shared" si="19"/>
        <v>1059</v>
      </c>
      <c r="N155" s="8"/>
    </row>
    <row r="156" spans="1:19" ht="19.5" customHeight="1" x14ac:dyDescent="0.2">
      <c r="D156" s="196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51">
        <f t="shared" si="21"/>
        <v>0</v>
      </c>
      <c r="K156" s="251"/>
      <c r="L156" s="6" t="str">
        <f t="shared" si="18"/>
        <v>MA</v>
      </c>
      <c r="M156" s="196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6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51">
        <f t="shared" si="21"/>
        <v>221132</v>
      </c>
      <c r="K157" s="251"/>
      <c r="L157" s="6" t="str">
        <f t="shared" si="18"/>
        <v>XW</v>
      </c>
      <c r="M157" s="196">
        <f t="shared" si="19"/>
        <v>955.85</v>
      </c>
      <c r="N157" s="8"/>
      <c r="O157" s="37"/>
      <c r="P157" s="105"/>
      <c r="Q157" s="37"/>
      <c r="R157" s="37"/>
    </row>
    <row r="158" spans="1:19" ht="19.5" customHeight="1" x14ac:dyDescent="0.2">
      <c r="D158" s="196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51">
        <f t="shared" si="21"/>
        <v>221138</v>
      </c>
      <c r="K158" s="251"/>
      <c r="L158" s="6" t="str">
        <f t="shared" si="18"/>
        <v>BK</v>
      </c>
      <c r="M158" s="196">
        <f t="shared" si="19"/>
        <v>795.28</v>
      </c>
      <c r="N158" s="8"/>
    </row>
    <row r="159" spans="1:19" ht="19.5" customHeight="1" x14ac:dyDescent="0.2">
      <c r="D159" s="196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51">
        <f t="shared" si="21"/>
        <v>0</v>
      </c>
      <c r="K159" s="251"/>
      <c r="L159" s="6" t="str">
        <f t="shared" si="18"/>
        <v>CZ</v>
      </c>
      <c r="M159" s="196">
        <f t="shared" si="19"/>
        <v>1051.9000000000001</v>
      </c>
      <c r="N159" s="8"/>
    </row>
    <row r="160" spans="1:19" ht="19.5" customHeight="1" x14ac:dyDescent="0.2">
      <c r="D160" s="196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51">
        <f t="shared" si="21"/>
        <v>0</v>
      </c>
      <c r="K160" s="251"/>
      <c r="L160" s="6" t="str">
        <f t="shared" si="18"/>
        <v>PZ</v>
      </c>
      <c r="M160" s="196">
        <f t="shared" si="19"/>
        <v>769.78</v>
      </c>
      <c r="N160" s="8"/>
    </row>
    <row r="161" spans="4:14" ht="19.5" customHeight="1" x14ac:dyDescent="0.2">
      <c r="D161" s="196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220021</v>
      </c>
      <c r="I161" s="15" t="s">
        <v>29</v>
      </c>
      <c r="J161" s="251">
        <f t="shared" si="21"/>
        <v>0</v>
      </c>
      <c r="K161" s="251"/>
      <c r="L161" s="6" t="str">
        <f t="shared" si="18"/>
        <v>EH</v>
      </c>
      <c r="M161" s="196">
        <f t="shared" si="19"/>
        <v>900.4</v>
      </c>
      <c r="N161" s="8"/>
    </row>
    <row r="162" spans="4:14" ht="19.5" customHeight="1" x14ac:dyDescent="0.2">
      <c r="D162" s="196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51">
        <f t="shared" si="21"/>
        <v>0</v>
      </c>
      <c r="K162" s="251"/>
      <c r="L162" s="6" t="str">
        <f t="shared" si="18"/>
        <v>EC</v>
      </c>
      <c r="M162" s="196">
        <f t="shared" si="19"/>
        <v>1035.1400000000001</v>
      </c>
      <c r="N162" s="8"/>
    </row>
    <row r="163" spans="4:14" ht="19.5" customHeight="1" x14ac:dyDescent="0.2">
      <c r="D163" s="196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221141</v>
      </c>
      <c r="I163" s="15" t="s">
        <v>31</v>
      </c>
      <c r="J163" s="251">
        <f t="shared" si="21"/>
        <v>0</v>
      </c>
      <c r="K163" s="251"/>
      <c r="L163" s="6" t="str">
        <f t="shared" si="18"/>
        <v>EC</v>
      </c>
      <c r="M163" s="196">
        <f t="shared" si="19"/>
        <v>920.97</v>
      </c>
      <c r="N163" s="8"/>
    </row>
    <row r="164" spans="4:14" ht="19.5" customHeight="1" x14ac:dyDescent="0.2">
      <c r="D164" s="196">
        <f t="shared" si="16"/>
        <v>956.01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51">
        <f t="shared" si="21"/>
        <v>0</v>
      </c>
      <c r="K164" s="251"/>
      <c r="L164" s="6" t="str">
        <f t="shared" si="18"/>
        <v>TY</v>
      </c>
      <c r="M164" s="196">
        <f t="shared" si="19"/>
        <v>889.99</v>
      </c>
      <c r="N164" s="8"/>
    </row>
    <row r="165" spans="4:14" ht="19.5" customHeight="1" x14ac:dyDescent="0.2">
      <c r="D165" s="196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51">
        <f t="shared" si="21"/>
        <v>0</v>
      </c>
      <c r="K165" s="251"/>
      <c r="L165" s="6" t="str">
        <f t="shared" si="18"/>
        <v>BK</v>
      </c>
      <c r="M165" s="196">
        <f t="shared" si="19"/>
        <v>954.92</v>
      </c>
      <c r="N165" s="8"/>
    </row>
    <row r="166" spans="4:14" ht="19.5" customHeight="1" x14ac:dyDescent="0.2">
      <c r="D166" s="196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51">
        <f t="shared" si="21"/>
        <v>0</v>
      </c>
      <c r="K166" s="251"/>
      <c r="L166" s="6" t="str">
        <f t="shared" si="18"/>
        <v>CZ</v>
      </c>
      <c r="M166" s="196">
        <f t="shared" si="19"/>
        <v>793.87</v>
      </c>
      <c r="N166" s="8"/>
    </row>
    <row r="167" spans="4:14" ht="19.5" customHeight="1" x14ac:dyDescent="0.2">
      <c r="D167" s="196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51">
        <f t="shared" si="21"/>
        <v>0</v>
      </c>
      <c r="K167" s="251"/>
      <c r="L167" s="6" t="str">
        <f t="shared" si="18"/>
        <v>LA</v>
      </c>
      <c r="M167" s="196">
        <f t="shared" si="19"/>
        <v>1003.16</v>
      </c>
      <c r="N167" s="8"/>
    </row>
    <row r="168" spans="4:14" ht="19.5" customHeight="1" x14ac:dyDescent="0.2">
      <c r="D168" s="196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51">
        <f t="shared" si="21"/>
        <v>0</v>
      </c>
      <c r="K168" s="251"/>
      <c r="L168" s="6" t="str">
        <f t="shared" si="18"/>
        <v>PZ</v>
      </c>
      <c r="M168" s="196">
        <f t="shared" si="19"/>
        <v>891.23</v>
      </c>
      <c r="N168" s="8"/>
    </row>
    <row r="169" spans="4:14" ht="19.5" customHeight="1" x14ac:dyDescent="0.2">
      <c r="D169" s="196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51">
        <f t="shared" si="21"/>
        <v>0</v>
      </c>
      <c r="K169" s="251"/>
      <c r="L169" s="6" t="str">
        <f t="shared" si="18"/>
        <v>CZ</v>
      </c>
      <c r="M169" s="196">
        <f t="shared" si="19"/>
        <v>806.31</v>
      </c>
      <c r="N169" s="8"/>
    </row>
    <row r="170" spans="4:14" ht="19.5" customHeight="1" x14ac:dyDescent="0.2">
      <c r="D170" s="196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20"/>
        <v>220007</v>
      </c>
      <c r="I170" s="15" t="s">
        <v>105</v>
      </c>
      <c r="J170" s="251">
        <f t="shared" si="21"/>
        <v>0</v>
      </c>
      <c r="K170" s="251"/>
      <c r="L170" s="6" t="str">
        <f t="shared" si="18"/>
        <v>EC</v>
      </c>
      <c r="M170" s="196">
        <f t="shared" si="19"/>
        <v>900.47</v>
      </c>
      <c r="N170" s="8"/>
    </row>
    <row r="171" spans="4:14" ht="19.5" customHeight="1" x14ac:dyDescent="0.2">
      <c r="D171" s="196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51" t="e">
        <f t="shared" si="21"/>
        <v>#N/A</v>
      </c>
      <c r="K171" s="251"/>
      <c r="L171" s="6" t="e">
        <f t="shared" si="18"/>
        <v>#N/A</v>
      </c>
      <c r="M171" s="196" t="e">
        <f t="shared" si="19"/>
        <v>#N/A</v>
      </c>
      <c r="N171" s="8"/>
    </row>
    <row r="172" spans="4:14" ht="19.5" customHeight="1" x14ac:dyDescent="0.2">
      <c r="D172" s="196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220013</v>
      </c>
      <c r="I172" s="15" t="s">
        <v>119</v>
      </c>
      <c r="J172" s="251" t="e">
        <f t="shared" si="21"/>
        <v>#N/A</v>
      </c>
      <c r="K172" s="251"/>
      <c r="L172" s="6" t="e">
        <f t="shared" si="18"/>
        <v>#N/A</v>
      </c>
      <c r="M172" s="196" t="e">
        <f t="shared" si="19"/>
        <v>#N/A</v>
      </c>
      <c r="N172" s="8"/>
    </row>
    <row r="173" spans="4:14" ht="19.5" customHeight="1" x14ac:dyDescent="0.2">
      <c r="D173" s="196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51" t="e">
        <f t="shared" si="21"/>
        <v>#N/A</v>
      </c>
      <c r="K173" s="251"/>
      <c r="L173" s="6" t="e">
        <f t="shared" si="18"/>
        <v>#N/A</v>
      </c>
      <c r="M173" s="196" t="e">
        <f t="shared" si="19"/>
        <v>#N/A</v>
      </c>
      <c r="N173" s="8"/>
    </row>
    <row r="174" spans="4:14" ht="19.5" customHeight="1" x14ac:dyDescent="0.2">
      <c r="D174" s="196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140</v>
      </c>
      <c r="J174" s="251" t="e">
        <f t="shared" si="21"/>
        <v>#N/A</v>
      </c>
      <c r="K174" s="251"/>
      <c r="L174" s="6" t="e">
        <f t="shared" si="18"/>
        <v>#N/A</v>
      </c>
      <c r="M174" s="196" t="e">
        <f t="shared" si="19"/>
        <v>#N/A</v>
      </c>
      <c r="N174" s="8"/>
    </row>
    <row r="175" spans="4:14" ht="19.5" customHeight="1" x14ac:dyDescent="0.2">
      <c r="D175" s="196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220025</v>
      </c>
      <c r="I175" s="15" t="s">
        <v>142</v>
      </c>
      <c r="J175" s="251" t="e">
        <f t="shared" si="21"/>
        <v>#N/A</v>
      </c>
      <c r="K175" s="251"/>
      <c r="L175" s="6" t="e">
        <f t="shared" si="18"/>
        <v>#N/A</v>
      </c>
      <c r="M175" s="196" t="e">
        <f t="shared" si="19"/>
        <v>#N/A</v>
      </c>
      <c r="N175" s="8"/>
    </row>
    <row r="176" spans="4:14" ht="19.5" customHeight="1" x14ac:dyDescent="0.2">
      <c r="D176" s="196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141</v>
      </c>
      <c r="J176" s="251" t="e">
        <f t="shared" si="21"/>
        <v>#N/A</v>
      </c>
      <c r="K176" s="251"/>
      <c r="L176" s="6" t="e">
        <f t="shared" si="18"/>
        <v>#N/A</v>
      </c>
      <c r="M176" s="196" t="e">
        <f t="shared" si="19"/>
        <v>#N/A</v>
      </c>
      <c r="N176" s="8"/>
    </row>
    <row r="177" spans="3:14" ht="19.5" customHeight="1" x14ac:dyDescent="0.2">
      <c r="D177" s="196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166</v>
      </c>
      <c r="J177" s="251" t="e">
        <f t="shared" si="21"/>
        <v>#N/A</v>
      </c>
      <c r="K177" s="251"/>
      <c r="L177" s="6" t="e">
        <f t="shared" si="18"/>
        <v>#N/A</v>
      </c>
      <c r="M177" s="196" t="e">
        <f t="shared" si="19"/>
        <v>#N/A</v>
      </c>
      <c r="N177" s="8"/>
    </row>
    <row r="178" spans="3:14" ht="19.5" customHeight="1" x14ac:dyDescent="0.2">
      <c r="D178" s="196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167</v>
      </c>
      <c r="J178" s="251" t="e">
        <f t="shared" si="21"/>
        <v>#N/A</v>
      </c>
      <c r="K178" s="251"/>
      <c r="L178" s="6" t="e">
        <f t="shared" si="18"/>
        <v>#N/A</v>
      </c>
      <c r="M178" s="196" t="e">
        <f t="shared" si="19"/>
        <v>#N/A</v>
      </c>
      <c r="N178" s="8"/>
    </row>
    <row r="179" spans="3:14" ht="19.5" customHeight="1" x14ac:dyDescent="0.2">
      <c r="D179" s="196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168</v>
      </c>
      <c r="J179" s="251" t="e">
        <f t="shared" si="21"/>
        <v>#N/A</v>
      </c>
      <c r="K179" s="251"/>
      <c r="L179" s="6" t="e">
        <f t="shared" si="18"/>
        <v>#N/A</v>
      </c>
      <c r="M179" s="196" t="e">
        <f t="shared" si="19"/>
        <v>#N/A</v>
      </c>
      <c r="N179" s="8"/>
    </row>
    <row r="180" spans="3:14" ht="19.5" customHeight="1" x14ac:dyDescent="0.2">
      <c r="D180" s="196">
        <f t="shared" si="16"/>
        <v>769.73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169</v>
      </c>
      <c r="J180" s="251" t="e">
        <f t="shared" si="21"/>
        <v>#N/A</v>
      </c>
      <c r="K180" s="251"/>
      <c r="L180" s="6" t="e">
        <f t="shared" si="18"/>
        <v>#N/A</v>
      </c>
      <c r="M180" s="196" t="e">
        <f t="shared" si="19"/>
        <v>#N/A</v>
      </c>
      <c r="N180" s="8"/>
    </row>
    <row r="181" spans="3:14" ht="19.5" customHeight="1" x14ac:dyDescent="0.2">
      <c r="D181" s="196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221144</v>
      </c>
      <c r="I181" s="15"/>
      <c r="J181" s="251" t="e">
        <f t="shared" si="21"/>
        <v>#N/A</v>
      </c>
      <c r="K181" s="251"/>
      <c r="L181" s="6" t="e">
        <f t="shared" si="18"/>
        <v>#N/A</v>
      </c>
      <c r="M181" s="196" t="e">
        <f t="shared" si="19"/>
        <v>#N/A</v>
      </c>
      <c r="N181" s="8"/>
    </row>
    <row r="182" spans="3:14" ht="19.5" customHeight="1" x14ac:dyDescent="0.2">
      <c r="D182" s="196">
        <f t="shared" si="16"/>
        <v>863.74</v>
      </c>
      <c r="E182" s="86" t="str">
        <f t="shared" si="17"/>
        <v>MA</v>
      </c>
      <c r="F182" s="15" t="s">
        <v>146</v>
      </c>
      <c r="G182" s="28">
        <f t="shared" si="20"/>
        <v>0</v>
      </c>
      <c r="I182" s="15"/>
      <c r="J182" s="251" t="e">
        <f t="shared" si="21"/>
        <v>#N/A</v>
      </c>
      <c r="K182" s="251"/>
      <c r="L182" s="6" t="e">
        <f t="shared" si="18"/>
        <v>#N/A</v>
      </c>
      <c r="M182" s="196" t="e">
        <f t="shared" si="19"/>
        <v>#N/A</v>
      </c>
      <c r="N182" s="8"/>
    </row>
    <row r="183" spans="3:14" ht="19.5" customHeight="1" x14ac:dyDescent="0.2">
      <c r="D183" s="196">
        <f t="shared" si="16"/>
        <v>883.15</v>
      </c>
      <c r="E183" s="86" t="str">
        <f t="shared" si="17"/>
        <v>EH</v>
      </c>
      <c r="F183" s="15" t="s">
        <v>147</v>
      </c>
      <c r="G183" s="28">
        <f t="shared" si="20"/>
        <v>0</v>
      </c>
      <c r="I183" s="15"/>
      <c r="J183" s="251" t="e">
        <f t="shared" si="21"/>
        <v>#N/A</v>
      </c>
      <c r="K183" s="251"/>
      <c r="L183" s="6" t="e">
        <f t="shared" si="18"/>
        <v>#N/A</v>
      </c>
      <c r="M183" s="196" t="e">
        <f t="shared" si="19"/>
        <v>#N/A</v>
      </c>
      <c r="N183" s="8"/>
    </row>
    <row r="184" spans="3:14" ht="19.5" customHeight="1" x14ac:dyDescent="0.2">
      <c r="D184" s="196">
        <f t="shared" si="16"/>
        <v>1017.1</v>
      </c>
      <c r="E184" s="86" t="str">
        <f t="shared" si="17"/>
        <v>BK</v>
      </c>
      <c r="F184" s="15" t="s">
        <v>148</v>
      </c>
      <c r="G184" s="28">
        <f t="shared" si="20"/>
        <v>220017</v>
      </c>
      <c r="I184" s="15"/>
      <c r="J184" s="251" t="e">
        <f t="shared" si="21"/>
        <v>#N/A</v>
      </c>
      <c r="K184" s="251"/>
      <c r="L184" s="6" t="e">
        <f t="shared" si="18"/>
        <v>#N/A</v>
      </c>
      <c r="M184" s="196" t="e">
        <f t="shared" si="19"/>
        <v>#N/A</v>
      </c>
      <c r="N184" s="8"/>
    </row>
    <row r="185" spans="3:14" ht="19.5" customHeight="1" x14ac:dyDescent="0.2">
      <c r="D185" s="221">
        <f t="shared" si="16"/>
        <v>111.19</v>
      </c>
      <c r="E185" s="86" t="str">
        <f t="shared" si="17"/>
        <v>CZ</v>
      </c>
      <c r="F185" s="30" t="s">
        <v>164</v>
      </c>
      <c r="G185" s="28">
        <f t="shared" si="20"/>
        <v>0</v>
      </c>
      <c r="I185" s="15"/>
      <c r="J185" s="251" t="e">
        <f t="shared" si="21"/>
        <v>#N/A</v>
      </c>
      <c r="K185" s="251"/>
      <c r="L185" s="6" t="e">
        <f t="shared" si="18"/>
        <v>#N/A</v>
      </c>
      <c r="M185" s="196" t="e">
        <f t="shared" si="19"/>
        <v>#N/A</v>
      </c>
      <c r="N185" s="8"/>
    </row>
    <row r="186" spans="3:14" ht="19.5" customHeight="1" x14ac:dyDescent="0.2">
      <c r="C186" s="130"/>
      <c r="D186" s="196">
        <f t="shared" si="16"/>
        <v>1132.5899999999999</v>
      </c>
      <c r="E186" s="216" t="str">
        <f t="shared" si="17"/>
        <v>LA</v>
      </c>
      <c r="F186" s="15" t="s">
        <v>165</v>
      </c>
      <c r="G186" s="28">
        <f t="shared" si="20"/>
        <v>0</v>
      </c>
      <c r="I186" s="15"/>
      <c r="J186" s="251" t="e">
        <f t="shared" si="21"/>
        <v>#N/A</v>
      </c>
      <c r="K186" s="251"/>
      <c r="L186" s="6" t="e">
        <f t="shared" si="18"/>
        <v>#N/A</v>
      </c>
      <c r="M186" s="196" t="e">
        <f t="shared" si="19"/>
        <v>#N/A</v>
      </c>
      <c r="N186" s="8"/>
    </row>
    <row r="187" spans="3:14" ht="19.5" customHeight="1" x14ac:dyDescent="0.2">
      <c r="C187" s="130"/>
      <c r="D187" s="196">
        <f t="shared" si="16"/>
        <v>0</v>
      </c>
      <c r="E187" s="216" t="str">
        <f t="shared" si="17"/>
        <v>XW</v>
      </c>
      <c r="F187" s="15" t="s">
        <v>390</v>
      </c>
      <c r="G187" s="28">
        <f t="shared" si="20"/>
        <v>0</v>
      </c>
      <c r="I187" s="84"/>
      <c r="J187" s="220"/>
      <c r="K187" s="220"/>
      <c r="M187" s="219"/>
      <c r="N187" s="8"/>
    </row>
    <row r="188" spans="3:14" ht="19.5" customHeight="1" x14ac:dyDescent="0.2">
      <c r="C188" s="92" t="s">
        <v>92</v>
      </c>
      <c r="D188" s="197">
        <f>SUMIF(D153:D186,"&gt;0")</f>
        <v>29642.959999999999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7">
        <f>SUMIF(M153:M180,"&gt;0")</f>
        <v>16059.859999999999</v>
      </c>
    </row>
    <row r="189" spans="3:14" ht="20.100000000000001" customHeight="1" x14ac:dyDescent="0.2">
      <c r="C189" s="6" t="s">
        <v>155</v>
      </c>
      <c r="D189" s="197">
        <f>D188+M188</f>
        <v>45702.82</v>
      </c>
      <c r="E189" s="42" t="s">
        <v>155</v>
      </c>
      <c r="F189" s="7">
        <f>F188+J188</f>
        <v>52</v>
      </c>
      <c r="I189" s="42"/>
      <c r="J189" s="7"/>
      <c r="L189" s="92"/>
      <c r="M189" s="197"/>
    </row>
    <row r="190" spans="3:14" ht="20.100000000000001" customHeight="1" x14ac:dyDescent="0.2"/>
  </sheetData>
  <mergeCells count="54">
    <mergeCell ref="J163:K163"/>
    <mergeCell ref="J164:K164"/>
    <mergeCell ref="D124:E124"/>
    <mergeCell ref="D135:E135"/>
    <mergeCell ref="D108:E108"/>
    <mergeCell ref="J161:K161"/>
    <mergeCell ref="J162:K162"/>
    <mergeCell ref="J160:K160"/>
    <mergeCell ref="L124:M124"/>
    <mergeCell ref="L94:M94"/>
    <mergeCell ref="L61:M61"/>
    <mergeCell ref="L47:M47"/>
    <mergeCell ref="J155:K155"/>
    <mergeCell ref="L108:M108"/>
    <mergeCell ref="D47:E47"/>
    <mergeCell ref="D94:E94"/>
    <mergeCell ref="D61:E61"/>
    <mergeCell ref="L3:M3"/>
    <mergeCell ref="L23:M23"/>
    <mergeCell ref="L35:M35"/>
    <mergeCell ref="D3:E3"/>
    <mergeCell ref="D23:E23"/>
    <mergeCell ref="D35:E35"/>
    <mergeCell ref="J168:K168"/>
    <mergeCell ref="J169:K169"/>
    <mergeCell ref="J170:K170"/>
    <mergeCell ref="J171:K171"/>
    <mergeCell ref="L135:M135"/>
    <mergeCell ref="J152:K152"/>
    <mergeCell ref="J153:K153"/>
    <mergeCell ref="J154:K154"/>
    <mergeCell ref="I150:J150"/>
    <mergeCell ref="J165:K165"/>
    <mergeCell ref="J156:K156"/>
    <mergeCell ref="J167:K167"/>
    <mergeCell ref="J157:K157"/>
    <mergeCell ref="J158:K158"/>
    <mergeCell ref="J159:K159"/>
    <mergeCell ref="J166:K166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85:K185"/>
    <mergeCell ref="J186:K186"/>
    <mergeCell ref="J180:K180"/>
    <mergeCell ref="J181:K181"/>
    <mergeCell ref="J184:K184"/>
    <mergeCell ref="J182:K182"/>
    <mergeCell ref="J183:K183"/>
  </mergeCells>
  <phoneticPr fontId="0" type="noConversion"/>
  <conditionalFormatting sqref="E153:E187">
    <cfRule type="expression" dxfId="858" priority="132" stopIfTrue="1">
      <formula>F153=0</formula>
    </cfRule>
  </conditionalFormatting>
  <conditionalFormatting sqref="G153:G187">
    <cfRule type="cellIs" dxfId="857" priority="133" stopIfTrue="1" operator="between">
      <formula>221100</formula>
      <formula>221140</formula>
    </cfRule>
    <cfRule type="expression" dxfId="856" priority="134" stopIfTrue="1">
      <formula>F153=0</formula>
    </cfRule>
  </conditionalFormatting>
  <conditionalFormatting sqref="D153:D187">
    <cfRule type="expression" dxfId="855" priority="135" stopIfTrue="1">
      <formula>F153=0</formula>
    </cfRule>
  </conditionalFormatting>
  <conditionalFormatting sqref="F153:F187 I153:I187">
    <cfRule type="expression" dxfId="854" priority="136" stopIfTrue="1">
      <formula>G153&gt;221144</formula>
    </cfRule>
    <cfRule type="expression" dxfId="853" priority="137" stopIfTrue="1">
      <formula>G153=0</formula>
    </cfRule>
  </conditionalFormatting>
  <conditionalFormatting sqref="L153:L187">
    <cfRule type="expression" dxfId="852" priority="138" stopIfTrue="1">
      <formula>I153=0</formula>
    </cfRule>
  </conditionalFormatting>
  <conditionalFormatting sqref="J153:K187">
    <cfRule type="cellIs" dxfId="851" priority="139" stopIfTrue="1" operator="between">
      <formula>220001</formula>
      <formula>220034</formula>
    </cfRule>
    <cfRule type="cellIs" dxfId="850" priority="140" stopIfTrue="1" operator="between">
      <formula>221141</formula>
      <formula>221144</formula>
    </cfRule>
    <cfRule type="expression" dxfId="849" priority="141" stopIfTrue="1">
      <formula>I153=0</formula>
    </cfRule>
  </conditionalFormatting>
  <conditionalFormatting sqref="M153:M187">
    <cfRule type="expression" dxfId="848" priority="142" stopIfTrue="1">
      <formula>I153=0</formula>
    </cfRule>
  </conditionalFormatting>
  <conditionalFormatting sqref="R5:R17 R25:R30 R37:R42 R49:R56 R63:R74 R126:R130 R110:R111 R96:R103 R137:R142 R76 R78:R89 R144:R145 R113:R119">
    <cfRule type="cellIs" dxfId="847" priority="143" stopIfTrue="1" operator="between">
      <formula>221101</formula>
      <formula>221140</formula>
    </cfRule>
  </conditionalFormatting>
  <conditionalFormatting sqref="F126:F130 F137:F145 F96:F103 F110:F119 F63:F89 F49:F56 F37:F42 F25:F30 F5:F17">
    <cfRule type="cellIs" dxfId="846" priority="144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845" priority="145" stopIfTrue="1" operator="between">
      <formula>"XC 501"</formula>
      <formula>"XC 549"</formula>
    </cfRule>
    <cfRule type="cellIs" dxfId="844" priority="146" stopIfTrue="1" operator="between">
      <formula>"XC 201"</formula>
      <formula>"XC 399"</formula>
    </cfRule>
    <cfRule type="cellIs" dxfId="843" priority="147" stopIfTrue="1" operator="between">
      <formula>"XC 801"</formula>
      <formula>"XC 899"</formula>
    </cfRule>
  </conditionalFormatting>
  <conditionalFormatting sqref="P5:P17">
    <cfRule type="containsText" dxfId="842" priority="130" stopIfTrue="1" operator="containsText" text="Couples In Traffic">
      <formula>NOT(ISERROR(SEARCH("Couples In Traffic",P5)))</formula>
    </cfRule>
    <cfRule type="expression" dxfId="841" priority="131" stopIfTrue="1">
      <formula>"Couples In Traffic"</formula>
    </cfRule>
  </conditionalFormatting>
  <conditionalFormatting sqref="P25:P30">
    <cfRule type="containsText" dxfId="840" priority="128" stopIfTrue="1" operator="containsText" text="Couples In Traffic">
      <formula>NOT(ISERROR(SEARCH("Couples In Traffic",P25)))</formula>
    </cfRule>
    <cfRule type="expression" dxfId="839" priority="129" stopIfTrue="1">
      <formula>"Couples In Traffic"</formula>
    </cfRule>
  </conditionalFormatting>
  <conditionalFormatting sqref="P37:P42">
    <cfRule type="containsText" dxfId="838" priority="126" stopIfTrue="1" operator="containsText" text="Couples In Traffic">
      <formula>NOT(ISERROR(SEARCH("Couples In Traffic",P37)))</formula>
    </cfRule>
    <cfRule type="expression" dxfId="837" priority="127" stopIfTrue="1">
      <formula>"Couples In Traffic"</formula>
    </cfRule>
  </conditionalFormatting>
  <conditionalFormatting sqref="P49:P56">
    <cfRule type="containsText" dxfId="836" priority="124" stopIfTrue="1" operator="containsText" text="Couples In Traffic">
      <formula>NOT(ISERROR(SEARCH("Couples In Traffic",P49)))</formula>
    </cfRule>
    <cfRule type="expression" dxfId="835" priority="125" stopIfTrue="1">
      <formula>"Couples In Traffic"</formula>
    </cfRule>
  </conditionalFormatting>
  <conditionalFormatting sqref="P63:P89">
    <cfRule type="containsText" dxfId="834" priority="122" stopIfTrue="1" operator="containsText" text="Couples In Traffic">
      <formula>NOT(ISERROR(SEARCH("Couples In Traffic",P63)))</formula>
    </cfRule>
    <cfRule type="expression" dxfId="833" priority="123" stopIfTrue="1">
      <formula>"Couples In Traffic"</formula>
    </cfRule>
  </conditionalFormatting>
  <conditionalFormatting sqref="P96:P103">
    <cfRule type="containsText" dxfId="832" priority="120" stopIfTrue="1" operator="containsText" text="Couples In Traffic">
      <formula>NOT(ISERROR(SEARCH("Couples In Traffic",P96)))</formula>
    </cfRule>
    <cfRule type="expression" dxfId="831" priority="121" stopIfTrue="1">
      <formula>"Couples In Traffic"</formula>
    </cfRule>
  </conditionalFormatting>
  <conditionalFormatting sqref="P110:P119">
    <cfRule type="containsText" dxfId="830" priority="118" stopIfTrue="1" operator="containsText" text="Couples In Traffic">
      <formula>NOT(ISERROR(SEARCH("Couples In Traffic",P110)))</formula>
    </cfRule>
    <cfRule type="expression" dxfId="829" priority="119" stopIfTrue="1">
      <formula>"Couples In Traffic"</formula>
    </cfRule>
  </conditionalFormatting>
  <conditionalFormatting sqref="P126:P130">
    <cfRule type="containsText" dxfId="828" priority="116" stopIfTrue="1" operator="containsText" text="Couples In Traffic">
      <formula>NOT(ISERROR(SEARCH("Couples In Traffic",P126)))</formula>
    </cfRule>
    <cfRule type="expression" dxfId="827" priority="117" stopIfTrue="1">
      <formula>"Couples In Traffic"</formula>
    </cfRule>
  </conditionalFormatting>
  <conditionalFormatting sqref="P137:P145">
    <cfRule type="containsText" dxfId="826" priority="114" stopIfTrue="1" operator="containsText" text="Couples In Traffic">
      <formula>NOT(ISERROR(SEARCH("Couples In Traffic",P137)))</formula>
    </cfRule>
    <cfRule type="expression" dxfId="825" priority="115" stopIfTrue="1">
      <formula>"Couples In Traffic"</formula>
    </cfRule>
  </conditionalFormatting>
  <conditionalFormatting sqref="E5:E17">
    <cfRule type="cellIs" dxfId="824" priority="113" stopIfTrue="1" operator="between">
      <formula>221101</formula>
      <formula>221140</formula>
    </cfRule>
  </conditionalFormatting>
  <conditionalFormatting sqref="E5:E17">
    <cfRule type="cellIs" dxfId="823" priority="111" stopIfTrue="1" operator="equal">
      <formula>221144</formula>
    </cfRule>
    <cfRule type="cellIs" dxfId="822" priority="112" stopIfTrue="1" operator="equal">
      <formula>221136</formula>
    </cfRule>
  </conditionalFormatting>
  <conditionalFormatting sqref="E5:E17">
    <cfRule type="cellIs" dxfId="821" priority="109" stopIfTrue="1" operator="equal">
      <formula>221144</formula>
    </cfRule>
    <cfRule type="cellIs" dxfId="820" priority="110" stopIfTrue="1" operator="equal">
      <formula>221136</formula>
    </cfRule>
  </conditionalFormatting>
  <conditionalFormatting sqref="O5:O17">
    <cfRule type="cellIs" dxfId="819" priority="108" stopIfTrue="1" operator="between">
      <formula>221101</formula>
      <formula>221140</formula>
    </cfRule>
  </conditionalFormatting>
  <conditionalFormatting sqref="O5:O17">
    <cfRule type="cellIs" dxfId="818" priority="106" stopIfTrue="1" operator="equal">
      <formula>221144</formula>
    </cfRule>
    <cfRule type="cellIs" dxfId="817" priority="107" stopIfTrue="1" operator="equal">
      <formula>221136</formula>
    </cfRule>
  </conditionalFormatting>
  <conditionalFormatting sqref="O5:O17">
    <cfRule type="cellIs" dxfId="816" priority="104" stopIfTrue="1" operator="equal">
      <formula>221144</formula>
    </cfRule>
    <cfRule type="cellIs" dxfId="815" priority="105" stopIfTrue="1" operator="equal">
      <formula>221136</formula>
    </cfRule>
  </conditionalFormatting>
  <conditionalFormatting sqref="E25:E30">
    <cfRule type="cellIs" dxfId="814" priority="103" stopIfTrue="1" operator="between">
      <formula>221101</formula>
      <formula>221140</formula>
    </cfRule>
  </conditionalFormatting>
  <conditionalFormatting sqref="E25:E30">
    <cfRule type="cellIs" dxfId="813" priority="101" stopIfTrue="1" operator="equal">
      <formula>221144</formula>
    </cfRule>
    <cfRule type="cellIs" dxfId="812" priority="102" stopIfTrue="1" operator="equal">
      <formula>221136</formula>
    </cfRule>
  </conditionalFormatting>
  <conditionalFormatting sqref="O25:O30">
    <cfRule type="cellIs" dxfId="811" priority="100" stopIfTrue="1" operator="between">
      <formula>221101</formula>
      <formula>221140</formula>
    </cfRule>
  </conditionalFormatting>
  <conditionalFormatting sqref="O25:O30">
    <cfRule type="cellIs" dxfId="810" priority="98" stopIfTrue="1" operator="equal">
      <formula>221144</formula>
    </cfRule>
    <cfRule type="cellIs" dxfId="809" priority="99" stopIfTrue="1" operator="equal">
      <formula>221136</formula>
    </cfRule>
  </conditionalFormatting>
  <conditionalFormatting sqref="E37:E42">
    <cfRule type="cellIs" dxfId="808" priority="97" stopIfTrue="1" operator="between">
      <formula>221101</formula>
      <formula>221140</formula>
    </cfRule>
  </conditionalFormatting>
  <conditionalFormatting sqref="E37:E42">
    <cfRule type="cellIs" dxfId="807" priority="95" stopIfTrue="1" operator="equal">
      <formula>221144</formula>
    </cfRule>
    <cfRule type="cellIs" dxfId="806" priority="96" stopIfTrue="1" operator="equal">
      <formula>221136</formula>
    </cfRule>
  </conditionalFormatting>
  <conditionalFormatting sqref="O37:O42">
    <cfRule type="cellIs" dxfId="805" priority="94" stopIfTrue="1" operator="between">
      <formula>221101</formula>
      <formula>221140</formula>
    </cfRule>
  </conditionalFormatting>
  <conditionalFormatting sqref="O37:O42">
    <cfRule type="cellIs" dxfId="804" priority="92" stopIfTrue="1" operator="equal">
      <formula>221144</formula>
    </cfRule>
    <cfRule type="cellIs" dxfId="803" priority="93" stopIfTrue="1" operator="equal">
      <formula>221136</formula>
    </cfRule>
  </conditionalFormatting>
  <conditionalFormatting sqref="E49:E56">
    <cfRule type="cellIs" dxfId="802" priority="91" stopIfTrue="1" operator="between">
      <formula>221101</formula>
      <formula>221140</formula>
    </cfRule>
  </conditionalFormatting>
  <conditionalFormatting sqref="E49:E56">
    <cfRule type="cellIs" dxfId="801" priority="89" stopIfTrue="1" operator="equal">
      <formula>221144</formula>
    </cfRule>
    <cfRule type="cellIs" dxfId="800" priority="90" stopIfTrue="1" operator="equal">
      <formula>221136</formula>
    </cfRule>
  </conditionalFormatting>
  <conditionalFormatting sqref="E49:E56">
    <cfRule type="cellIs" dxfId="799" priority="87" stopIfTrue="1" operator="equal">
      <formula>221144</formula>
    </cfRule>
    <cfRule type="cellIs" dxfId="798" priority="88" stopIfTrue="1" operator="equal">
      <formula>221136</formula>
    </cfRule>
  </conditionalFormatting>
  <conditionalFormatting sqref="O49:O56">
    <cfRule type="cellIs" dxfId="797" priority="86" stopIfTrue="1" operator="between">
      <formula>221101</formula>
      <formula>221140</formula>
    </cfRule>
  </conditionalFormatting>
  <conditionalFormatting sqref="O49:O56">
    <cfRule type="cellIs" dxfId="796" priority="84" stopIfTrue="1" operator="equal">
      <formula>221144</formula>
    </cfRule>
    <cfRule type="cellIs" dxfId="795" priority="85" stopIfTrue="1" operator="equal">
      <formula>221136</formula>
    </cfRule>
  </conditionalFormatting>
  <conditionalFormatting sqref="O49:O56">
    <cfRule type="cellIs" dxfId="794" priority="82" stopIfTrue="1" operator="equal">
      <formula>221144</formula>
    </cfRule>
    <cfRule type="cellIs" dxfId="793" priority="83" stopIfTrue="1" operator="equal">
      <formula>221136</formula>
    </cfRule>
  </conditionalFormatting>
  <conditionalFormatting sqref="E63:E89">
    <cfRule type="cellIs" dxfId="792" priority="81" stopIfTrue="1" operator="between">
      <formula>221101</formula>
      <formula>221140</formula>
    </cfRule>
  </conditionalFormatting>
  <conditionalFormatting sqref="E63:E89">
    <cfRule type="cellIs" dxfId="791" priority="79" stopIfTrue="1" operator="equal">
      <formula>221144</formula>
    </cfRule>
    <cfRule type="cellIs" dxfId="790" priority="80" stopIfTrue="1" operator="equal">
      <formula>221136</formula>
    </cfRule>
  </conditionalFormatting>
  <conditionalFormatting sqref="O63:O89">
    <cfRule type="cellIs" dxfId="789" priority="78" stopIfTrue="1" operator="between">
      <formula>221101</formula>
      <formula>221140</formula>
    </cfRule>
  </conditionalFormatting>
  <conditionalFormatting sqref="O63:O89">
    <cfRule type="cellIs" dxfId="788" priority="76" stopIfTrue="1" operator="equal">
      <formula>221144</formula>
    </cfRule>
    <cfRule type="cellIs" dxfId="787" priority="77" stopIfTrue="1" operator="equal">
      <formula>221136</formula>
    </cfRule>
  </conditionalFormatting>
  <conditionalFormatting sqref="E96:E103">
    <cfRule type="cellIs" dxfId="786" priority="75" stopIfTrue="1" operator="between">
      <formula>221101</formula>
      <formula>221140</formula>
    </cfRule>
  </conditionalFormatting>
  <conditionalFormatting sqref="E96:E103">
    <cfRule type="cellIs" dxfId="785" priority="73" stopIfTrue="1" operator="equal">
      <formula>221144</formula>
    </cfRule>
    <cfRule type="cellIs" dxfId="784" priority="74" stopIfTrue="1" operator="equal">
      <formula>221136</formula>
    </cfRule>
  </conditionalFormatting>
  <conditionalFormatting sqref="O96:O103">
    <cfRule type="cellIs" dxfId="783" priority="72" stopIfTrue="1" operator="between">
      <formula>221101</formula>
      <formula>221140</formula>
    </cfRule>
  </conditionalFormatting>
  <conditionalFormatting sqref="O96:O103">
    <cfRule type="cellIs" dxfId="782" priority="70" stopIfTrue="1" operator="equal">
      <formula>221144</formula>
    </cfRule>
    <cfRule type="cellIs" dxfId="781" priority="71" stopIfTrue="1" operator="equal">
      <formula>221136</formula>
    </cfRule>
  </conditionalFormatting>
  <conditionalFormatting sqref="E110:E112 E114:E119">
    <cfRule type="cellIs" dxfId="780" priority="69" stopIfTrue="1" operator="between">
      <formula>221101</formula>
      <formula>221140</formula>
    </cfRule>
  </conditionalFormatting>
  <conditionalFormatting sqref="E110:E112 E114:E119">
    <cfRule type="cellIs" dxfId="779" priority="67" stopIfTrue="1" operator="equal">
      <formula>221144</formula>
    </cfRule>
    <cfRule type="cellIs" dxfId="778" priority="68" stopIfTrue="1" operator="equal">
      <formula>221136</formula>
    </cfRule>
  </conditionalFormatting>
  <conditionalFormatting sqref="O110:O119">
    <cfRule type="cellIs" dxfId="777" priority="66" stopIfTrue="1" operator="between">
      <formula>221101</formula>
      <formula>221140</formula>
    </cfRule>
  </conditionalFormatting>
  <conditionalFormatting sqref="O110:O119">
    <cfRule type="cellIs" dxfId="776" priority="64" stopIfTrue="1" operator="equal">
      <formula>221144</formula>
    </cfRule>
    <cfRule type="cellIs" dxfId="775" priority="65" stopIfTrue="1" operator="equal">
      <formula>221136</formula>
    </cfRule>
  </conditionalFormatting>
  <conditionalFormatting sqref="E126:E130">
    <cfRule type="cellIs" dxfId="774" priority="63" stopIfTrue="1" operator="between">
      <formula>221101</formula>
      <formula>221140</formula>
    </cfRule>
  </conditionalFormatting>
  <conditionalFormatting sqref="E126:E130">
    <cfRule type="cellIs" dxfId="773" priority="61" stopIfTrue="1" operator="equal">
      <formula>221144</formula>
    </cfRule>
    <cfRule type="cellIs" dxfId="772" priority="62" stopIfTrue="1" operator="equal">
      <formula>221136</formula>
    </cfRule>
  </conditionalFormatting>
  <conditionalFormatting sqref="O126:O130">
    <cfRule type="cellIs" dxfId="771" priority="60" stopIfTrue="1" operator="between">
      <formula>221101</formula>
      <formula>221140</formula>
    </cfRule>
  </conditionalFormatting>
  <conditionalFormatting sqref="O126:O130">
    <cfRule type="cellIs" dxfId="770" priority="58" stopIfTrue="1" operator="equal">
      <formula>221144</formula>
    </cfRule>
    <cfRule type="cellIs" dxfId="769" priority="59" stopIfTrue="1" operator="equal">
      <formula>221136</formula>
    </cfRule>
  </conditionalFormatting>
  <conditionalFormatting sqref="E137:E140 E143:E145">
    <cfRule type="cellIs" dxfId="768" priority="57" stopIfTrue="1" operator="between">
      <formula>221101</formula>
      <formula>221140</formula>
    </cfRule>
  </conditionalFormatting>
  <conditionalFormatting sqref="E137:E140 E143:E145">
    <cfRule type="cellIs" dxfId="767" priority="55" stopIfTrue="1" operator="equal">
      <formula>221144</formula>
    </cfRule>
    <cfRule type="cellIs" dxfId="766" priority="56" stopIfTrue="1" operator="equal">
      <formula>221136</formula>
    </cfRule>
  </conditionalFormatting>
  <conditionalFormatting sqref="O137:O145">
    <cfRule type="cellIs" dxfId="765" priority="54" stopIfTrue="1" operator="between">
      <formula>221101</formula>
      <formula>221140</formula>
    </cfRule>
  </conditionalFormatting>
  <conditionalFormatting sqref="O137:O145">
    <cfRule type="cellIs" dxfId="764" priority="52" stopIfTrue="1" operator="equal">
      <formula>221144</formula>
    </cfRule>
    <cfRule type="cellIs" dxfId="763" priority="53" stopIfTrue="1" operator="equal">
      <formula>221136</formula>
    </cfRule>
  </conditionalFormatting>
  <conditionalFormatting sqref="O137:O145 E5:E17 O5:O17 E25:E30 O25:O30 E37:E42 O37:O42 E49:E56 O49:O56 E63:E89 O63:O89 E96:E103 O96:O103 E110:E112 O110:O119 E126:E130 O126:O130 E137:E140 E143:E145 E114:E119">
    <cfRule type="cellIs" dxfId="762" priority="51" operator="equal">
      <formula>221140</formula>
    </cfRule>
  </conditionalFormatting>
  <conditionalFormatting sqref="Q137:Q139 Q5:Q17 Q25:Q30 Q37:Q42 Q49:Q56 Q63:Q74 Q96:Q103 Q110:Q111 Q126:Q130 Q76:Q89 Q144:Q145 Q141:Q142 Q113:Q119">
    <cfRule type="cellIs" dxfId="761" priority="19" operator="equal">
      <formula>221140</formula>
    </cfRule>
  </conditionalFormatting>
  <conditionalFormatting sqref="Q5:Q17">
    <cfRule type="cellIs" dxfId="760" priority="50" stopIfTrue="1" operator="between">
      <formula>221101</formula>
      <formula>221140</formula>
    </cfRule>
  </conditionalFormatting>
  <conditionalFormatting sqref="Q5:Q17">
    <cfRule type="cellIs" dxfId="759" priority="48" stopIfTrue="1" operator="equal">
      <formula>221144</formula>
    </cfRule>
    <cfRule type="cellIs" dxfId="758" priority="49" stopIfTrue="1" operator="equal">
      <formula>221136</formula>
    </cfRule>
  </conditionalFormatting>
  <conditionalFormatting sqref="Q5:Q17">
    <cfRule type="cellIs" dxfId="757" priority="46" stopIfTrue="1" operator="equal">
      <formula>221144</formula>
    </cfRule>
    <cfRule type="cellIs" dxfId="756" priority="47" stopIfTrue="1" operator="equal">
      <formula>221136</formula>
    </cfRule>
  </conditionalFormatting>
  <conditionalFormatting sqref="Q25:Q30">
    <cfRule type="cellIs" dxfId="755" priority="45" stopIfTrue="1" operator="between">
      <formula>221101</formula>
      <formula>221140</formula>
    </cfRule>
  </conditionalFormatting>
  <conditionalFormatting sqref="Q25:Q30">
    <cfRule type="cellIs" dxfId="754" priority="43" stopIfTrue="1" operator="equal">
      <formula>221144</formula>
    </cfRule>
    <cfRule type="cellIs" dxfId="753" priority="44" stopIfTrue="1" operator="equal">
      <formula>221136</formula>
    </cfRule>
  </conditionalFormatting>
  <conditionalFormatting sqref="Q37:Q42">
    <cfRule type="cellIs" dxfId="752" priority="42" stopIfTrue="1" operator="between">
      <formula>221101</formula>
      <formula>221140</formula>
    </cfRule>
  </conditionalFormatting>
  <conditionalFormatting sqref="Q37:Q42">
    <cfRule type="cellIs" dxfId="751" priority="40" stopIfTrue="1" operator="equal">
      <formula>221144</formula>
    </cfRule>
    <cfRule type="cellIs" dxfId="750" priority="41" stopIfTrue="1" operator="equal">
      <formula>221136</formula>
    </cfRule>
  </conditionalFormatting>
  <conditionalFormatting sqref="Q49:Q56">
    <cfRule type="cellIs" dxfId="749" priority="39" stopIfTrue="1" operator="between">
      <formula>221101</formula>
      <formula>221140</formula>
    </cfRule>
  </conditionalFormatting>
  <conditionalFormatting sqref="Q49:Q56">
    <cfRule type="cellIs" dxfId="748" priority="37" stopIfTrue="1" operator="equal">
      <formula>221144</formula>
    </cfRule>
    <cfRule type="cellIs" dxfId="747" priority="38" stopIfTrue="1" operator="equal">
      <formula>221136</formula>
    </cfRule>
  </conditionalFormatting>
  <conditionalFormatting sqref="Q49:Q56">
    <cfRule type="cellIs" dxfId="746" priority="35" stopIfTrue="1" operator="equal">
      <formula>221144</formula>
    </cfRule>
    <cfRule type="cellIs" dxfId="745" priority="36" stopIfTrue="1" operator="equal">
      <formula>221136</formula>
    </cfRule>
  </conditionalFormatting>
  <conditionalFormatting sqref="Q63:Q74 Q76:Q89">
    <cfRule type="cellIs" dxfId="744" priority="34" stopIfTrue="1" operator="between">
      <formula>221101</formula>
      <formula>221140</formula>
    </cfRule>
  </conditionalFormatting>
  <conditionalFormatting sqref="Q63:Q74 Q76:Q89">
    <cfRule type="cellIs" dxfId="743" priority="32" stopIfTrue="1" operator="equal">
      <formula>221144</formula>
    </cfRule>
    <cfRule type="cellIs" dxfId="742" priority="33" stopIfTrue="1" operator="equal">
      <formula>221136</formula>
    </cfRule>
  </conditionalFormatting>
  <conditionalFormatting sqref="Q96:Q103">
    <cfRule type="cellIs" dxfId="741" priority="31" stopIfTrue="1" operator="between">
      <formula>221101</formula>
      <formula>221140</formula>
    </cfRule>
  </conditionalFormatting>
  <conditionalFormatting sqref="Q96:Q103">
    <cfRule type="cellIs" dxfId="740" priority="29" stopIfTrue="1" operator="equal">
      <formula>221144</formula>
    </cfRule>
    <cfRule type="cellIs" dxfId="739" priority="30" stopIfTrue="1" operator="equal">
      <formula>221136</formula>
    </cfRule>
  </conditionalFormatting>
  <conditionalFormatting sqref="Q110:Q111 Q113:Q119">
    <cfRule type="cellIs" dxfId="738" priority="28" stopIfTrue="1" operator="between">
      <formula>221101</formula>
      <formula>221140</formula>
    </cfRule>
  </conditionalFormatting>
  <conditionalFormatting sqref="Q110:Q111 Q113:Q119">
    <cfRule type="cellIs" dxfId="737" priority="26" stopIfTrue="1" operator="equal">
      <formula>221144</formula>
    </cfRule>
    <cfRule type="cellIs" dxfId="736" priority="27" stopIfTrue="1" operator="equal">
      <formula>221136</formula>
    </cfRule>
  </conditionalFormatting>
  <conditionalFormatting sqref="Q126:Q130">
    <cfRule type="cellIs" dxfId="735" priority="25" stopIfTrue="1" operator="between">
      <formula>221101</formula>
      <formula>221140</formula>
    </cfRule>
  </conditionalFormatting>
  <conditionalFormatting sqref="Q126:Q130">
    <cfRule type="cellIs" dxfId="734" priority="23" stopIfTrue="1" operator="equal">
      <formula>221144</formula>
    </cfRule>
    <cfRule type="cellIs" dxfId="733" priority="24" stopIfTrue="1" operator="equal">
      <formula>221136</formula>
    </cfRule>
  </conditionalFormatting>
  <conditionalFormatting sqref="Q137:Q139 Q144:Q145 Q141:Q142">
    <cfRule type="cellIs" dxfId="732" priority="22" stopIfTrue="1" operator="between">
      <formula>221101</formula>
      <formula>221140</formula>
    </cfRule>
  </conditionalFormatting>
  <conditionalFormatting sqref="Q137:Q139 Q144:Q145 Q141:Q142">
    <cfRule type="cellIs" dxfId="731" priority="20" stopIfTrue="1" operator="equal">
      <formula>221144</formula>
    </cfRule>
    <cfRule type="cellIs" dxfId="730" priority="21" stopIfTrue="1" operator="equal">
      <formula>221136</formula>
    </cfRule>
  </conditionalFormatting>
  <conditionalFormatting sqref="Q75">
    <cfRule type="cellIs" dxfId="729" priority="18" stopIfTrue="1" operator="between">
      <formula>221101</formula>
      <formula>221140</formula>
    </cfRule>
  </conditionalFormatting>
  <conditionalFormatting sqref="Q75">
    <cfRule type="cellIs" dxfId="728" priority="16" stopIfTrue="1" operator="equal">
      <formula>221144</formula>
    </cfRule>
    <cfRule type="cellIs" dxfId="727" priority="17" stopIfTrue="1" operator="equal">
      <formula>221136</formula>
    </cfRule>
  </conditionalFormatting>
  <conditionalFormatting sqref="Q75">
    <cfRule type="cellIs" dxfId="726" priority="15" operator="equal">
      <formula>221140</formula>
    </cfRule>
  </conditionalFormatting>
  <conditionalFormatting sqref="R77 G63">
    <cfRule type="cellIs" dxfId="725" priority="14" stopIfTrue="1" operator="between">
      <formula>221101</formula>
      <formula>221140</formula>
    </cfRule>
  </conditionalFormatting>
  <conditionalFormatting sqref="E113 Q112">
    <cfRule type="cellIs" dxfId="724" priority="1" operator="equal">
      <formula>221140</formula>
    </cfRule>
  </conditionalFormatting>
  <conditionalFormatting sqref="E142 Q143">
    <cfRule type="cellIs" dxfId="723" priority="13" stopIfTrue="1" operator="between">
      <formula>221101</formula>
      <formula>221140</formula>
    </cfRule>
  </conditionalFormatting>
  <conditionalFormatting sqref="E142 Q143">
    <cfRule type="cellIs" dxfId="722" priority="11" stopIfTrue="1" operator="equal">
      <formula>221144</formula>
    </cfRule>
    <cfRule type="cellIs" dxfId="721" priority="12" stopIfTrue="1" operator="equal">
      <formula>221136</formula>
    </cfRule>
  </conditionalFormatting>
  <conditionalFormatting sqref="E142 Q143">
    <cfRule type="cellIs" dxfId="720" priority="10" operator="equal">
      <formula>221140</formula>
    </cfRule>
  </conditionalFormatting>
  <conditionalFormatting sqref="E141 Q140">
    <cfRule type="cellIs" dxfId="719" priority="9" stopIfTrue="1" operator="between">
      <formula>221101</formula>
      <formula>221140</formula>
    </cfRule>
  </conditionalFormatting>
  <conditionalFormatting sqref="E141 Q140">
    <cfRule type="cellIs" dxfId="718" priority="7" stopIfTrue="1" operator="equal">
      <formula>221144</formula>
    </cfRule>
    <cfRule type="cellIs" dxfId="717" priority="8" stopIfTrue="1" operator="equal">
      <formula>221136</formula>
    </cfRule>
  </conditionalFormatting>
  <conditionalFormatting sqref="E141 Q140">
    <cfRule type="cellIs" dxfId="716" priority="6" operator="equal">
      <formula>221140</formula>
    </cfRule>
  </conditionalFormatting>
  <conditionalFormatting sqref="R112 G113">
    <cfRule type="cellIs" dxfId="715" priority="5" stopIfTrue="1" operator="between">
      <formula>221101</formula>
      <formula>221140</formula>
    </cfRule>
  </conditionalFormatting>
  <conditionalFormatting sqref="E113 Q112">
    <cfRule type="cellIs" dxfId="714" priority="4" stopIfTrue="1" operator="between">
      <formula>221101</formula>
      <formula>221140</formula>
    </cfRule>
  </conditionalFormatting>
  <conditionalFormatting sqref="E113 Q112">
    <cfRule type="cellIs" dxfId="713" priority="2" stopIfTrue="1" operator="equal">
      <formula>221144</formula>
    </cfRule>
    <cfRule type="cellIs" dxfId="712" priority="3" stopIfTrue="1" operator="equal">
      <formula>221136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90"/>
  <sheetViews>
    <sheetView view="pageBreakPreview" zoomScaleNormal="70" zoomScaleSheetLayoutView="100" workbookViewId="0">
      <selection activeCell="Q8" sqref="Q8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115</v>
      </c>
      <c r="B3" s="118"/>
      <c r="C3" s="9"/>
      <c r="D3" s="255">
        <f>'DEPT BAL'!$F$4-1</f>
        <v>43067</v>
      </c>
      <c r="E3" s="255"/>
      <c r="I3" s="8" t="s">
        <v>116</v>
      </c>
      <c r="J3" s="118"/>
      <c r="L3" s="252">
        <f>D3+1</f>
        <v>43068</v>
      </c>
      <c r="M3" s="252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420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279</v>
      </c>
      <c r="C5" s="11" t="s">
        <v>130</v>
      </c>
      <c r="D5" s="25" t="s">
        <v>318</v>
      </c>
      <c r="E5" s="40"/>
      <c r="F5" s="134"/>
      <c r="G5" s="12"/>
      <c r="H5" s="174" t="str">
        <f>$I$2</f>
        <v>EC</v>
      </c>
      <c r="I5" s="10" t="s">
        <v>51</v>
      </c>
      <c r="J5" s="120" t="s">
        <v>211</v>
      </c>
      <c r="K5" s="209" t="s">
        <v>368</v>
      </c>
      <c r="L5" s="11" t="s">
        <v>60</v>
      </c>
      <c r="M5" s="13" t="s">
        <v>229</v>
      </c>
      <c r="N5" s="78">
        <v>1031.6199999999999</v>
      </c>
      <c r="O5" s="40"/>
      <c r="P5" s="107"/>
      <c r="Q5" s="40"/>
      <c r="R5" s="222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151</v>
      </c>
      <c r="C6" s="15" t="s">
        <v>130</v>
      </c>
      <c r="D6" s="18" t="s">
        <v>266</v>
      </c>
      <c r="E6" s="40">
        <v>221132</v>
      </c>
      <c r="F6" s="135"/>
      <c r="G6" s="17" t="s">
        <v>645</v>
      </c>
      <c r="H6" s="174" t="str">
        <f t="shared" ref="H6:H17" si="0">$I$2</f>
        <v>EC</v>
      </c>
      <c r="I6" s="14" t="s">
        <v>31</v>
      </c>
      <c r="J6" s="126" t="s">
        <v>250</v>
      </c>
      <c r="K6" s="135" t="s">
        <v>270</v>
      </c>
      <c r="L6" s="15" t="s">
        <v>61</v>
      </c>
      <c r="M6" s="19" t="s">
        <v>321</v>
      </c>
      <c r="N6" s="79">
        <v>920.67</v>
      </c>
      <c r="O6" s="40"/>
      <c r="P6" s="108"/>
      <c r="Q6" s="40"/>
      <c r="R6" s="223"/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182</v>
      </c>
      <c r="C7" s="15" t="s">
        <v>130</v>
      </c>
      <c r="D7" s="18" t="s">
        <v>261</v>
      </c>
      <c r="E7" s="40"/>
      <c r="F7" s="135"/>
      <c r="G7" s="17"/>
      <c r="H7" s="174" t="str">
        <f t="shared" si="0"/>
        <v>EC</v>
      </c>
      <c r="I7" s="14" t="s">
        <v>30</v>
      </c>
      <c r="J7" s="126" t="s">
        <v>265</v>
      </c>
      <c r="K7" s="135" t="s">
        <v>218</v>
      </c>
      <c r="L7" s="15" t="s">
        <v>60</v>
      </c>
      <c r="M7" s="19" t="s">
        <v>378</v>
      </c>
      <c r="N7" s="79">
        <v>1035.1400000000001</v>
      </c>
      <c r="O7" s="40"/>
      <c r="P7" s="108"/>
      <c r="Q7" s="40"/>
      <c r="R7" s="223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232</v>
      </c>
      <c r="C8" s="15" t="s">
        <v>130</v>
      </c>
      <c r="D8" s="18" t="s">
        <v>288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251</v>
      </c>
      <c r="K8" s="135" t="s">
        <v>286</v>
      </c>
      <c r="L8" s="30" t="s">
        <v>56</v>
      </c>
      <c r="M8" s="94" t="s">
        <v>311</v>
      </c>
      <c r="N8" s="99">
        <v>971.07</v>
      </c>
      <c r="O8" s="40"/>
      <c r="P8" s="108" t="s">
        <v>149</v>
      </c>
      <c r="Q8" s="40">
        <v>221132</v>
      </c>
      <c r="R8" s="223" t="s">
        <v>645</v>
      </c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273</v>
      </c>
      <c r="C9" s="30" t="s">
        <v>131</v>
      </c>
      <c r="D9" s="18" t="s">
        <v>175</v>
      </c>
      <c r="E9" s="40"/>
      <c r="F9" s="135"/>
      <c r="G9" s="17"/>
      <c r="H9" s="174" t="str">
        <f>$I$2</f>
        <v>EC</v>
      </c>
      <c r="I9" s="14" t="s">
        <v>38</v>
      </c>
      <c r="J9" s="121" t="s">
        <v>150</v>
      </c>
      <c r="K9" s="140" t="s">
        <v>297</v>
      </c>
      <c r="L9" s="15" t="s">
        <v>55</v>
      </c>
      <c r="M9" s="19" t="s">
        <v>379</v>
      </c>
      <c r="N9" s="79">
        <v>990.47</v>
      </c>
      <c r="O9" s="40"/>
      <c r="P9" s="108"/>
      <c r="Q9" s="40"/>
      <c r="R9" s="223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152</v>
      </c>
      <c r="C10" s="32" t="s">
        <v>130</v>
      </c>
      <c r="D10" s="18" t="s">
        <v>329</v>
      </c>
      <c r="E10" s="40"/>
      <c r="F10" s="135"/>
      <c r="G10" s="17"/>
      <c r="H10" s="174" t="str">
        <f t="shared" si="0"/>
        <v>EC</v>
      </c>
      <c r="I10" s="14" t="s">
        <v>105</v>
      </c>
      <c r="J10" s="181"/>
      <c r="K10" s="210"/>
      <c r="L10" s="15" t="s">
        <v>58</v>
      </c>
      <c r="M10" s="19" t="s">
        <v>312</v>
      </c>
      <c r="N10" s="79">
        <v>900.47</v>
      </c>
      <c r="O10" s="40"/>
      <c r="P10" s="108"/>
      <c r="Q10" s="40"/>
      <c r="R10" s="224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40"/>
      <c r="P11" s="108"/>
      <c r="Q11" s="40"/>
      <c r="R11" s="224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08"/>
      <c r="Q12" s="40"/>
      <c r="R12" s="224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40"/>
      <c r="P13" s="108"/>
      <c r="Q13" s="40"/>
      <c r="R13" s="224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4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4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4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5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115</v>
      </c>
      <c r="B23" s="118"/>
      <c r="C23" s="9"/>
      <c r="D23" s="255">
        <f>'DEPT BAL'!$F$4-1</f>
        <v>43067</v>
      </c>
      <c r="E23" s="255"/>
      <c r="F23" s="138"/>
      <c r="I23" s="8" t="s">
        <v>116</v>
      </c>
      <c r="J23" s="118"/>
      <c r="L23" s="252">
        <f>D23+1</f>
        <v>43068</v>
      </c>
      <c r="M23" s="252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420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244</v>
      </c>
      <c r="C25" s="11" t="s">
        <v>134</v>
      </c>
      <c r="D25" s="25" t="s">
        <v>322</v>
      </c>
      <c r="E25" s="39"/>
      <c r="F25" s="134"/>
      <c r="G25" s="12"/>
      <c r="H25" s="174" t="str">
        <f t="shared" ref="H25:H30" si="2">$I$22</f>
        <v>TY</v>
      </c>
      <c r="I25" s="10" t="s">
        <v>89</v>
      </c>
      <c r="J25" s="120" t="s">
        <v>256</v>
      </c>
      <c r="K25" s="209" t="s">
        <v>286</v>
      </c>
      <c r="L25" s="11" t="s">
        <v>59</v>
      </c>
      <c r="M25" s="13" t="s">
        <v>335</v>
      </c>
      <c r="N25" s="78">
        <v>965.76</v>
      </c>
      <c r="O25" s="39"/>
      <c r="P25" s="107"/>
      <c r="Q25" s="39"/>
      <c r="R25" s="222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275</v>
      </c>
      <c r="C26" s="15" t="s">
        <v>134</v>
      </c>
      <c r="D26" s="18" t="s">
        <v>295</v>
      </c>
      <c r="E26" s="40"/>
      <c r="F26" s="135"/>
      <c r="G26" s="17"/>
      <c r="H26" s="174" t="str">
        <f t="shared" si="2"/>
        <v>TY</v>
      </c>
      <c r="I26" s="14" t="s">
        <v>35</v>
      </c>
      <c r="J26" s="126" t="s">
        <v>257</v>
      </c>
      <c r="K26" s="135" t="s">
        <v>278</v>
      </c>
      <c r="L26" s="15" t="s">
        <v>62</v>
      </c>
      <c r="M26" s="19" t="s">
        <v>288</v>
      </c>
      <c r="N26" s="79">
        <v>1009.6</v>
      </c>
      <c r="O26" s="40"/>
      <c r="P26" s="108"/>
      <c r="Q26" s="40"/>
      <c r="R26" s="223"/>
      <c r="S26" s="116" t="str">
        <f t="shared" si="3"/>
        <v>Yes</v>
      </c>
    </row>
    <row r="27" spans="1:19" ht="21.75" customHeight="1" x14ac:dyDescent="0.2">
      <c r="A27" s="14" t="s">
        <v>87</v>
      </c>
      <c r="B27" s="181"/>
      <c r="C27" s="15" t="s">
        <v>134</v>
      </c>
      <c r="D27" s="18" t="s">
        <v>295</v>
      </c>
      <c r="E27" s="40"/>
      <c r="F27" s="135"/>
      <c r="G27" s="17"/>
      <c r="H27" s="174" t="str">
        <f t="shared" si="2"/>
        <v>TY</v>
      </c>
      <c r="I27" s="14" t="s">
        <v>32</v>
      </c>
      <c r="J27" s="121" t="s">
        <v>258</v>
      </c>
      <c r="K27" s="140" t="s">
        <v>293</v>
      </c>
      <c r="L27" s="15" t="s">
        <v>61</v>
      </c>
      <c r="M27" s="19" t="s">
        <v>188</v>
      </c>
      <c r="N27" s="79">
        <v>889.99</v>
      </c>
      <c r="O27" s="40"/>
      <c r="P27" s="112"/>
      <c r="Q27" s="40"/>
      <c r="R27" s="223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192</v>
      </c>
      <c r="C28" s="15" t="s">
        <v>134</v>
      </c>
      <c r="D28" s="18" t="s">
        <v>289</v>
      </c>
      <c r="E28" s="40"/>
      <c r="F28" s="154"/>
      <c r="G28" s="90"/>
      <c r="H28" s="174" t="str">
        <f t="shared" si="2"/>
        <v>TY</v>
      </c>
      <c r="I28" s="14" t="s">
        <v>86</v>
      </c>
      <c r="J28" s="181"/>
      <c r="K28" s="210"/>
      <c r="L28" s="15" t="s">
        <v>62</v>
      </c>
      <c r="M28" s="19" t="s">
        <v>318</v>
      </c>
      <c r="N28" s="79">
        <v>844.14</v>
      </c>
      <c r="O28" s="40"/>
      <c r="P28" s="108"/>
      <c r="Q28" s="40"/>
      <c r="R28" s="223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3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5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115</v>
      </c>
      <c r="B35" s="118"/>
      <c r="C35" s="9"/>
      <c r="D35" s="255">
        <f>'DEPT BAL'!$F$4-1</f>
        <v>43067</v>
      </c>
      <c r="E35" s="255"/>
      <c r="F35" s="138"/>
      <c r="I35" s="8" t="s">
        <v>116</v>
      </c>
      <c r="J35" s="118"/>
      <c r="L35" s="252">
        <f>D35+1</f>
        <v>43068</v>
      </c>
      <c r="M35" s="252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420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193</v>
      </c>
      <c r="C37" s="30" t="s">
        <v>136</v>
      </c>
      <c r="D37" s="18" t="s">
        <v>229</v>
      </c>
      <c r="E37" s="39">
        <v>220007</v>
      </c>
      <c r="F37" s="135"/>
      <c r="G37" s="12" t="s">
        <v>643</v>
      </c>
      <c r="H37" s="174" t="str">
        <f t="shared" ref="H37:H42" si="4">$I$34</f>
        <v>XW</v>
      </c>
      <c r="I37" s="10" t="s">
        <v>45</v>
      </c>
      <c r="J37" s="120" t="s">
        <v>249</v>
      </c>
      <c r="K37" s="209" t="s">
        <v>223</v>
      </c>
      <c r="L37" s="11" t="s">
        <v>56</v>
      </c>
      <c r="M37" s="13" t="s">
        <v>287</v>
      </c>
      <c r="N37" s="78">
        <v>957.64</v>
      </c>
      <c r="O37" s="39"/>
      <c r="P37" s="167"/>
      <c r="Q37" s="39">
        <v>220007</v>
      </c>
      <c r="R37" s="222" t="s">
        <v>643</v>
      </c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308</v>
      </c>
      <c r="C38" s="15" t="s">
        <v>136</v>
      </c>
      <c r="D38" s="18" t="s">
        <v>378</v>
      </c>
      <c r="E38" s="40"/>
      <c r="F38" s="135"/>
      <c r="G38" s="17"/>
      <c r="H38" s="174" t="str">
        <f t="shared" si="4"/>
        <v>XW</v>
      </c>
      <c r="I38" s="14" t="s">
        <v>25</v>
      </c>
      <c r="J38" s="126" t="s">
        <v>259</v>
      </c>
      <c r="K38" s="135" t="s">
        <v>310</v>
      </c>
      <c r="L38" s="15" t="s">
        <v>62</v>
      </c>
      <c r="M38" s="19" t="s">
        <v>266</v>
      </c>
      <c r="N38" s="79">
        <v>955.85</v>
      </c>
      <c r="O38" s="40"/>
      <c r="P38" s="90"/>
      <c r="Q38" s="40"/>
      <c r="R38" s="223"/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194</v>
      </c>
      <c r="C39" s="15" t="s">
        <v>137</v>
      </c>
      <c r="D39" s="18" t="s">
        <v>323</v>
      </c>
      <c r="E39" s="40">
        <v>220033</v>
      </c>
      <c r="F39" s="135"/>
      <c r="G39" s="17" t="s">
        <v>642</v>
      </c>
      <c r="H39" s="174" t="str">
        <f t="shared" si="4"/>
        <v>XW</v>
      </c>
      <c r="I39" s="14" t="s">
        <v>44</v>
      </c>
      <c r="J39" s="126" t="s">
        <v>260</v>
      </c>
      <c r="K39" s="135" t="s">
        <v>367</v>
      </c>
      <c r="L39" s="15" t="s">
        <v>56</v>
      </c>
      <c r="M39" s="19" t="s">
        <v>358</v>
      </c>
      <c r="N39" s="79">
        <v>869.21</v>
      </c>
      <c r="O39" s="40"/>
      <c r="P39" s="113"/>
      <c r="Q39" s="40">
        <v>220033</v>
      </c>
      <c r="R39" s="223" t="s">
        <v>642</v>
      </c>
      <c r="S39" s="116" t="str">
        <f t="shared" si="5"/>
        <v>Yes</v>
      </c>
    </row>
    <row r="40" spans="1:19" ht="21.75" customHeight="1" x14ac:dyDescent="0.2">
      <c r="A40" s="14" t="s">
        <v>390</v>
      </c>
      <c r="B40" s="126" t="s">
        <v>290</v>
      </c>
      <c r="C40" s="15"/>
      <c r="D40" s="18"/>
      <c r="E40" s="40"/>
      <c r="F40" s="135"/>
      <c r="G40" s="90"/>
      <c r="H40" s="174" t="str">
        <f t="shared" si="4"/>
        <v>XW</v>
      </c>
      <c r="I40" s="14" t="s">
        <v>390</v>
      </c>
      <c r="J40" s="126" t="s">
        <v>290</v>
      </c>
      <c r="K40" s="135" t="s">
        <v>291</v>
      </c>
      <c r="L40" s="15"/>
      <c r="M40" s="19"/>
      <c r="N40" s="79">
        <v>0</v>
      </c>
      <c r="O40" s="40"/>
      <c r="P40" s="113"/>
      <c r="Q40" s="40"/>
      <c r="R40" s="223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8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4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5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115</v>
      </c>
      <c r="B47" s="118"/>
      <c r="C47" s="9"/>
      <c r="D47" s="255">
        <f>'DEPT BAL'!$F$4-1</f>
        <v>43067</v>
      </c>
      <c r="E47" s="255"/>
      <c r="F47" s="138"/>
      <c r="I47" s="8" t="s">
        <v>116</v>
      </c>
      <c r="J47" s="118"/>
      <c r="L47" s="252">
        <f>D47+1</f>
        <v>43068</v>
      </c>
      <c r="M47" s="252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420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186</v>
      </c>
      <c r="C49" s="15" t="s">
        <v>228</v>
      </c>
      <c r="D49" s="18" t="s">
        <v>178</v>
      </c>
      <c r="E49" s="40"/>
      <c r="F49" s="134"/>
      <c r="G49" s="12"/>
      <c r="H49" s="174" t="str">
        <f t="shared" ref="H49:H56" si="6">$I$46</f>
        <v>MA</v>
      </c>
      <c r="I49" s="10" t="s">
        <v>34</v>
      </c>
      <c r="J49" s="120" t="s">
        <v>253</v>
      </c>
      <c r="K49" s="211" t="s">
        <v>218</v>
      </c>
      <c r="L49" s="11" t="s">
        <v>56</v>
      </c>
      <c r="M49" s="13" t="s">
        <v>282</v>
      </c>
      <c r="N49" s="144">
        <v>823.21</v>
      </c>
      <c r="O49" s="40"/>
      <c r="P49" s="167"/>
      <c r="Q49" s="40"/>
      <c r="R49" s="222"/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187</v>
      </c>
      <c r="C50" s="15" t="s">
        <v>228</v>
      </c>
      <c r="D50" s="18" t="s">
        <v>188</v>
      </c>
      <c r="E50" s="40"/>
      <c r="F50" s="135"/>
      <c r="G50" s="90"/>
      <c r="H50" s="174" t="str">
        <f t="shared" si="6"/>
        <v>MA</v>
      </c>
      <c r="I50" s="14" t="s">
        <v>146</v>
      </c>
      <c r="J50" s="126" t="s">
        <v>138</v>
      </c>
      <c r="K50" s="135" t="s">
        <v>154</v>
      </c>
      <c r="L50" s="15" t="s">
        <v>55</v>
      </c>
      <c r="M50" s="19" t="s">
        <v>319</v>
      </c>
      <c r="N50" s="79">
        <v>863.74</v>
      </c>
      <c r="O50" s="40"/>
      <c r="P50" s="108"/>
      <c r="Q50" s="40"/>
      <c r="R50" s="223"/>
      <c r="S50" s="116" t="str">
        <f t="shared" si="7"/>
        <v>Yes</v>
      </c>
    </row>
    <row r="51" spans="1:19" ht="21.75" customHeight="1" x14ac:dyDescent="0.2">
      <c r="A51" s="14" t="s">
        <v>146</v>
      </c>
      <c r="B51" s="126" t="s">
        <v>189</v>
      </c>
      <c r="C51" s="15" t="s">
        <v>228</v>
      </c>
      <c r="D51" s="18" t="s">
        <v>319</v>
      </c>
      <c r="E51" s="40"/>
      <c r="F51" s="135"/>
      <c r="G51" s="90"/>
      <c r="H51" s="174" t="str">
        <f t="shared" si="6"/>
        <v>MA</v>
      </c>
      <c r="I51" s="14" t="s">
        <v>24</v>
      </c>
      <c r="J51" s="126" t="s">
        <v>255</v>
      </c>
      <c r="K51" s="135" t="s">
        <v>330</v>
      </c>
      <c r="L51" s="15" t="s">
        <v>56</v>
      </c>
      <c r="M51" s="19" t="s">
        <v>285</v>
      </c>
      <c r="N51" s="79">
        <v>804.67</v>
      </c>
      <c r="O51" s="40"/>
      <c r="P51" s="112"/>
      <c r="Q51" s="40"/>
      <c r="R51" s="223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190</v>
      </c>
      <c r="C52" s="15" t="s">
        <v>228</v>
      </c>
      <c r="D52" s="18" t="s">
        <v>379</v>
      </c>
      <c r="E52" s="40"/>
      <c r="F52" s="154"/>
      <c r="G52" s="90"/>
      <c r="H52" s="174" t="str">
        <f t="shared" si="6"/>
        <v>MA</v>
      </c>
      <c r="I52" s="14" t="s">
        <v>37</v>
      </c>
      <c r="J52" s="126" t="s">
        <v>263</v>
      </c>
      <c r="K52" s="135" t="s">
        <v>221</v>
      </c>
      <c r="L52" s="15" t="s">
        <v>58</v>
      </c>
      <c r="M52" s="19" t="s">
        <v>300</v>
      </c>
      <c r="N52" s="79">
        <v>817.99</v>
      </c>
      <c r="O52" s="40"/>
      <c r="P52" s="108"/>
      <c r="Q52" s="40"/>
      <c r="R52" s="223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90"/>
      <c r="H53" s="174" t="str">
        <f t="shared" si="6"/>
        <v>MA</v>
      </c>
      <c r="I53" s="14"/>
      <c r="J53" s="180"/>
      <c r="K53" s="154"/>
      <c r="L53" s="29"/>
      <c r="M53" s="77"/>
      <c r="N53" s="98"/>
      <c r="O53" s="40"/>
      <c r="P53" s="108"/>
      <c r="Q53" s="40"/>
      <c r="R53" s="223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0"/>
      <c r="K54" s="154"/>
      <c r="L54" s="81"/>
      <c r="M54" s="94"/>
      <c r="N54" s="99"/>
      <c r="O54" s="69"/>
      <c r="P54" s="114"/>
      <c r="Q54" s="69"/>
      <c r="R54" s="224"/>
      <c r="S54" s="116" t="str">
        <f t="shared" si="7"/>
        <v/>
      </c>
    </row>
    <row r="55" spans="1:19" ht="21.75" customHeight="1" x14ac:dyDescent="0.2">
      <c r="A55" s="14"/>
      <c r="B55" s="180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4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5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115</v>
      </c>
      <c r="B61" s="118"/>
      <c r="C61" s="9"/>
      <c r="D61" s="255">
        <f>'DEPT BAL'!$F$4-1</f>
        <v>43067</v>
      </c>
      <c r="E61" s="255"/>
      <c r="F61" s="138"/>
      <c r="I61" s="8" t="s">
        <v>116</v>
      </c>
      <c r="J61" s="118"/>
      <c r="L61" s="252">
        <f>D61+1</f>
        <v>43068</v>
      </c>
      <c r="M61" s="252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420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316</v>
      </c>
      <c r="C63" s="11" t="s">
        <v>317</v>
      </c>
      <c r="D63" s="25" t="s">
        <v>315</v>
      </c>
      <c r="E63" s="39"/>
      <c r="F63" s="192"/>
      <c r="G63" s="193"/>
      <c r="H63" s="174" t="str">
        <f>$I$60</f>
        <v>CZ</v>
      </c>
      <c r="I63" s="10" t="s">
        <v>52</v>
      </c>
      <c r="J63" s="120" t="s">
        <v>198</v>
      </c>
      <c r="K63" s="209" t="s">
        <v>230</v>
      </c>
      <c r="L63" s="11" t="s">
        <v>59</v>
      </c>
      <c r="M63" s="13" t="s">
        <v>360</v>
      </c>
      <c r="N63" s="78">
        <v>897.69</v>
      </c>
      <c r="O63" s="39"/>
      <c r="P63" s="107"/>
      <c r="Q63" s="39"/>
      <c r="R63" s="222"/>
      <c r="S63" s="115" t="str">
        <f>IF(N63&gt;0,"Yes","")</f>
        <v>Yes</v>
      </c>
    </row>
    <row r="64" spans="1:19" ht="21.75" customHeight="1" x14ac:dyDescent="0.2">
      <c r="A64" s="14" t="s">
        <v>44</v>
      </c>
      <c r="B64" s="121" t="s">
        <v>357</v>
      </c>
      <c r="C64" s="15" t="s">
        <v>225</v>
      </c>
      <c r="D64" s="18" t="s">
        <v>358</v>
      </c>
      <c r="E64" s="40">
        <v>221141</v>
      </c>
      <c r="F64" s="154" t="s">
        <v>571</v>
      </c>
      <c r="G64" s="90"/>
      <c r="H64" s="174" t="str">
        <f t="shared" ref="H64:H89" si="8">$I$60</f>
        <v>CZ</v>
      </c>
      <c r="I64" s="14" t="s">
        <v>103</v>
      </c>
      <c r="J64" s="181"/>
      <c r="K64" s="210"/>
      <c r="L64" s="15" t="s">
        <v>55</v>
      </c>
      <c r="M64" s="19" t="s">
        <v>178</v>
      </c>
      <c r="N64" s="79">
        <v>806.31</v>
      </c>
      <c r="O64" s="40"/>
      <c r="P64" s="108"/>
      <c r="Q64" s="40"/>
      <c r="R64" s="223"/>
      <c r="S64" s="116" t="str">
        <f>IF(N64&gt;0,"Yes","")</f>
        <v>Yes</v>
      </c>
    </row>
    <row r="65" spans="1:19" ht="21.75" customHeight="1" x14ac:dyDescent="0.2">
      <c r="A65" s="14" t="s">
        <v>22</v>
      </c>
      <c r="B65" s="181"/>
      <c r="C65" s="30" t="s">
        <v>225</v>
      </c>
      <c r="D65" s="18" t="s">
        <v>358</v>
      </c>
      <c r="E65" s="40">
        <v>221128</v>
      </c>
      <c r="F65" s="154" t="s">
        <v>571</v>
      </c>
      <c r="G65" s="17"/>
      <c r="H65" s="174" t="str">
        <f t="shared" si="8"/>
        <v>CZ</v>
      </c>
      <c r="I65" s="14" t="s">
        <v>107</v>
      </c>
      <c r="J65" s="121" t="s">
        <v>202</v>
      </c>
      <c r="K65" s="140" t="s">
        <v>222</v>
      </c>
      <c r="L65" s="70" t="s">
        <v>57</v>
      </c>
      <c r="M65" s="19" t="s">
        <v>299</v>
      </c>
      <c r="N65" s="79">
        <v>793.87</v>
      </c>
      <c r="O65" s="40"/>
      <c r="P65" s="108"/>
      <c r="Q65" s="40"/>
      <c r="R65" s="223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179</v>
      </c>
      <c r="C66" s="32" t="s">
        <v>225</v>
      </c>
      <c r="D66" s="18" t="s">
        <v>282</v>
      </c>
      <c r="E66" s="40">
        <v>220001</v>
      </c>
      <c r="F66" s="135" t="s">
        <v>593</v>
      </c>
      <c r="G66" s="184" t="s">
        <v>635</v>
      </c>
      <c r="H66" s="174" t="str">
        <f t="shared" si="8"/>
        <v>CZ</v>
      </c>
      <c r="I66" s="14" t="s">
        <v>27</v>
      </c>
      <c r="J66" s="181"/>
      <c r="K66" s="210"/>
      <c r="L66" s="70" t="s">
        <v>58</v>
      </c>
      <c r="M66" s="19" t="s">
        <v>312</v>
      </c>
      <c r="N66" s="79">
        <v>1051.9000000000001</v>
      </c>
      <c r="O66" s="40"/>
      <c r="P66" s="108"/>
      <c r="Q66" s="40"/>
      <c r="R66" s="223"/>
      <c r="S66" s="116" t="str">
        <f t="shared" si="9"/>
        <v>Yes</v>
      </c>
    </row>
    <row r="67" spans="1:19" ht="21.75" customHeight="1" x14ac:dyDescent="0.2">
      <c r="A67" s="95" t="s">
        <v>45</v>
      </c>
      <c r="B67" s="126" t="s">
        <v>235</v>
      </c>
      <c r="C67" s="30" t="s">
        <v>225</v>
      </c>
      <c r="D67" s="18" t="s">
        <v>287</v>
      </c>
      <c r="E67" s="40"/>
      <c r="F67" s="135"/>
      <c r="G67" s="17"/>
      <c r="H67" s="174" t="str">
        <f t="shared" si="8"/>
        <v>CZ</v>
      </c>
      <c r="I67" s="14" t="s">
        <v>164</v>
      </c>
      <c r="J67" s="126" t="s">
        <v>369</v>
      </c>
      <c r="K67" s="135" t="s">
        <v>216</v>
      </c>
      <c r="L67" s="70" t="s">
        <v>56</v>
      </c>
      <c r="M67" s="19" t="s">
        <v>313</v>
      </c>
      <c r="N67" s="79">
        <v>153.76</v>
      </c>
      <c r="O67" s="40"/>
      <c r="P67" s="108"/>
      <c r="Q67" s="40"/>
      <c r="R67" s="223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214</v>
      </c>
      <c r="C68" s="32" t="s">
        <v>225</v>
      </c>
      <c r="D68" s="18" t="s">
        <v>359</v>
      </c>
      <c r="E68" s="40">
        <v>220025</v>
      </c>
      <c r="F68" s="154" t="s">
        <v>617</v>
      </c>
      <c r="G68" s="191" t="s">
        <v>638</v>
      </c>
      <c r="H68" s="174" t="str">
        <f t="shared" si="8"/>
        <v>CZ</v>
      </c>
      <c r="I68" s="14" t="s">
        <v>47</v>
      </c>
      <c r="J68" s="126" t="s">
        <v>247</v>
      </c>
      <c r="K68" s="135" t="s">
        <v>267</v>
      </c>
      <c r="L68" s="15" t="s">
        <v>66</v>
      </c>
      <c r="M68" s="19" t="s">
        <v>322</v>
      </c>
      <c r="N68" s="79">
        <v>848.14</v>
      </c>
      <c r="O68" s="40"/>
      <c r="P68" s="108"/>
      <c r="Q68" s="40"/>
      <c r="R68" s="223"/>
      <c r="S68" s="116" t="str">
        <f t="shared" si="9"/>
        <v>Yes</v>
      </c>
    </row>
    <row r="69" spans="1:19" ht="21.75" customHeight="1" x14ac:dyDescent="0.2">
      <c r="A69" s="14" t="s">
        <v>164</v>
      </c>
      <c r="B69" s="126" t="s">
        <v>177</v>
      </c>
      <c r="C69" s="15" t="s">
        <v>225</v>
      </c>
      <c r="D69" s="18" t="s">
        <v>313</v>
      </c>
      <c r="E69" s="40"/>
      <c r="F69" s="135"/>
      <c r="G69" s="17"/>
      <c r="H69" s="174" t="str">
        <f t="shared" si="8"/>
        <v>CZ</v>
      </c>
      <c r="I69" s="14" t="s">
        <v>87</v>
      </c>
      <c r="J69" s="121" t="s">
        <v>246</v>
      </c>
      <c r="K69" s="140" t="s">
        <v>268</v>
      </c>
      <c r="L69" s="15" t="s">
        <v>66</v>
      </c>
      <c r="M69" s="19" t="s">
        <v>295</v>
      </c>
      <c r="N69" s="79">
        <v>889.04</v>
      </c>
      <c r="O69" s="40"/>
      <c r="P69" s="108"/>
      <c r="Q69" s="40"/>
      <c r="R69" s="223"/>
      <c r="S69" s="116" t="str">
        <f t="shared" si="9"/>
        <v>Yes</v>
      </c>
    </row>
    <row r="70" spans="1:19" ht="21.75" customHeight="1" x14ac:dyDescent="0.2">
      <c r="A70" s="14" t="s">
        <v>24</v>
      </c>
      <c r="B70" s="126" t="s">
        <v>181</v>
      </c>
      <c r="C70" s="30" t="s">
        <v>225</v>
      </c>
      <c r="D70" s="18" t="s">
        <v>285</v>
      </c>
      <c r="E70" s="40"/>
      <c r="F70" s="135"/>
      <c r="G70" s="17"/>
      <c r="H70" s="174" t="str">
        <f t="shared" si="8"/>
        <v>CZ</v>
      </c>
      <c r="I70" s="95" t="s">
        <v>85</v>
      </c>
      <c r="J70" s="181"/>
      <c r="K70" s="210"/>
      <c r="L70" s="15" t="s">
        <v>62</v>
      </c>
      <c r="M70" s="19" t="s">
        <v>175</v>
      </c>
      <c r="N70" s="79">
        <v>972.81</v>
      </c>
      <c r="O70" s="40"/>
      <c r="P70" s="108" t="s">
        <v>149</v>
      </c>
      <c r="Q70" s="40"/>
      <c r="R70" s="223"/>
      <c r="S70" s="116" t="str">
        <f t="shared" si="9"/>
        <v>Yes</v>
      </c>
    </row>
    <row r="71" spans="1:19" ht="21.75" customHeight="1" x14ac:dyDescent="0.2">
      <c r="A71" s="95" t="s">
        <v>42</v>
      </c>
      <c r="B71" s="121" t="s">
        <v>180</v>
      </c>
      <c r="C71" s="32" t="s">
        <v>225</v>
      </c>
      <c r="D71" s="18" t="s">
        <v>311</v>
      </c>
      <c r="E71" s="40">
        <v>220021</v>
      </c>
      <c r="F71" s="154" t="s">
        <v>593</v>
      </c>
      <c r="G71" s="17" t="s">
        <v>637</v>
      </c>
      <c r="H71" s="174" t="str">
        <f t="shared" si="8"/>
        <v>CZ</v>
      </c>
      <c r="I71" s="14" t="s">
        <v>88</v>
      </c>
      <c r="J71" s="126" t="s">
        <v>276</v>
      </c>
      <c r="K71" s="135" t="s">
        <v>196</v>
      </c>
      <c r="L71" s="30" t="s">
        <v>57</v>
      </c>
      <c r="M71" s="35" t="s">
        <v>415</v>
      </c>
      <c r="N71" s="97">
        <v>769.73</v>
      </c>
      <c r="O71" s="40"/>
      <c r="P71" s="108"/>
      <c r="Q71" s="40"/>
      <c r="R71" s="224"/>
      <c r="S71" s="116" t="str">
        <f t="shared" si="9"/>
        <v>Yes</v>
      </c>
    </row>
    <row r="72" spans="1:19" ht="21.75" customHeight="1" x14ac:dyDescent="0.2">
      <c r="A72" s="14" t="s">
        <v>40</v>
      </c>
      <c r="B72" s="181"/>
      <c r="C72" s="15" t="s">
        <v>225</v>
      </c>
      <c r="D72" s="18" t="s">
        <v>311</v>
      </c>
      <c r="E72" s="40"/>
      <c r="F72" s="135"/>
      <c r="G72" s="17"/>
      <c r="H72" s="174" t="str">
        <f t="shared" si="8"/>
        <v>CZ</v>
      </c>
      <c r="I72" s="14" t="s">
        <v>21</v>
      </c>
      <c r="J72" s="121" t="s">
        <v>210</v>
      </c>
      <c r="K72" s="140" t="s">
        <v>277</v>
      </c>
      <c r="L72" s="30" t="s">
        <v>59</v>
      </c>
      <c r="M72" s="35" t="s">
        <v>145</v>
      </c>
      <c r="N72" s="97">
        <v>788.11</v>
      </c>
      <c r="O72" s="40"/>
      <c r="P72" s="108"/>
      <c r="Q72" s="40"/>
      <c r="R72" s="224"/>
      <c r="S72" s="116" t="str">
        <f t="shared" si="9"/>
        <v>Yes</v>
      </c>
    </row>
    <row r="73" spans="1:19" ht="21.75" customHeight="1" x14ac:dyDescent="0.2">
      <c r="A73" s="14" t="s">
        <v>29</v>
      </c>
      <c r="B73" s="121" t="s">
        <v>207</v>
      </c>
      <c r="C73" s="15" t="s">
        <v>225</v>
      </c>
      <c r="D73" s="18" t="s">
        <v>283</v>
      </c>
      <c r="E73" s="40"/>
      <c r="F73" s="135"/>
      <c r="G73" s="184"/>
      <c r="H73" s="174" t="str">
        <f t="shared" si="8"/>
        <v>CZ</v>
      </c>
      <c r="I73" s="14" t="s">
        <v>48</v>
      </c>
      <c r="J73" s="181"/>
      <c r="K73" s="210"/>
      <c r="L73" s="30" t="s">
        <v>56</v>
      </c>
      <c r="M73" s="35" t="s">
        <v>372</v>
      </c>
      <c r="N73" s="97">
        <v>952.57</v>
      </c>
      <c r="O73" s="40"/>
      <c r="P73" s="108"/>
      <c r="Q73" s="40"/>
      <c r="R73" s="224"/>
      <c r="S73" s="116" t="str">
        <f t="shared" si="9"/>
        <v>Yes</v>
      </c>
    </row>
    <row r="74" spans="1:19" ht="21.75" customHeight="1" x14ac:dyDescent="0.2">
      <c r="A74" s="14" t="s">
        <v>26</v>
      </c>
      <c r="B74" s="181"/>
      <c r="C74" s="30" t="s">
        <v>225</v>
      </c>
      <c r="D74" s="18" t="s">
        <v>283</v>
      </c>
      <c r="E74" s="40">
        <v>221138</v>
      </c>
      <c r="F74" s="135"/>
      <c r="G74" s="17" t="s">
        <v>639</v>
      </c>
      <c r="H74" s="174" t="str">
        <f t="shared" si="8"/>
        <v>CZ</v>
      </c>
      <c r="I74" s="14" t="s">
        <v>36</v>
      </c>
      <c r="J74" s="121" t="s">
        <v>248</v>
      </c>
      <c r="K74" s="140" t="s">
        <v>269</v>
      </c>
      <c r="L74" s="30" t="s">
        <v>60</v>
      </c>
      <c r="M74" s="35" t="s">
        <v>323</v>
      </c>
      <c r="N74" s="79">
        <v>894.53</v>
      </c>
      <c r="O74" s="40"/>
      <c r="P74" s="108"/>
      <c r="Q74" s="40"/>
      <c r="R74" s="224"/>
      <c r="S74" s="116" t="str">
        <f t="shared" si="9"/>
        <v>Yes</v>
      </c>
    </row>
    <row r="75" spans="1:19" ht="21.75" customHeight="1" x14ac:dyDescent="0.2">
      <c r="A75" s="14" t="s">
        <v>39</v>
      </c>
      <c r="B75" s="121" t="s">
        <v>215</v>
      </c>
      <c r="C75" s="32" t="s">
        <v>225</v>
      </c>
      <c r="D75" s="18" t="s">
        <v>143</v>
      </c>
      <c r="E75" s="40"/>
      <c r="F75" s="135"/>
      <c r="G75" s="183"/>
      <c r="H75" s="174" t="str">
        <f t="shared" si="8"/>
        <v>CZ</v>
      </c>
      <c r="I75" s="14" t="s">
        <v>22</v>
      </c>
      <c r="J75" s="181"/>
      <c r="K75" s="210"/>
      <c r="L75" s="15" t="s">
        <v>56</v>
      </c>
      <c r="M75" s="19" t="s">
        <v>358</v>
      </c>
      <c r="N75" s="79">
        <v>738.81</v>
      </c>
      <c r="O75" s="40"/>
      <c r="P75" s="112"/>
      <c r="Q75" s="40">
        <v>221138</v>
      </c>
      <c r="R75" s="224" t="s">
        <v>639</v>
      </c>
      <c r="S75" s="116" t="str">
        <f t="shared" si="9"/>
        <v>Yes</v>
      </c>
    </row>
    <row r="76" spans="1:19" ht="21.75" customHeight="1" x14ac:dyDescent="0.2">
      <c r="A76" s="14" t="s">
        <v>53</v>
      </c>
      <c r="B76" s="181"/>
      <c r="C76" s="30" t="s">
        <v>225</v>
      </c>
      <c r="D76" s="18" t="s">
        <v>143</v>
      </c>
      <c r="E76" s="40">
        <v>220013</v>
      </c>
      <c r="F76" s="135" t="s">
        <v>601</v>
      </c>
      <c r="G76" s="17"/>
      <c r="H76" s="174" t="str">
        <f t="shared" si="8"/>
        <v>CZ</v>
      </c>
      <c r="I76" s="14" t="s">
        <v>41</v>
      </c>
      <c r="J76" s="121" t="s">
        <v>252</v>
      </c>
      <c r="K76" s="140" t="s">
        <v>331</v>
      </c>
      <c r="L76" s="15" t="s">
        <v>59</v>
      </c>
      <c r="M76" s="19" t="s">
        <v>132</v>
      </c>
      <c r="N76" s="79">
        <v>750.82</v>
      </c>
      <c r="O76" s="40"/>
      <c r="P76" s="113"/>
      <c r="Q76" s="40"/>
      <c r="R76" s="224"/>
      <c r="S76" s="116" t="str">
        <f t="shared" si="9"/>
        <v>Yes</v>
      </c>
    </row>
    <row r="77" spans="1:19" ht="21.75" customHeight="1" x14ac:dyDescent="0.2">
      <c r="A77" s="14" t="s">
        <v>23</v>
      </c>
      <c r="B77" s="121" t="s">
        <v>205</v>
      </c>
      <c r="C77" s="32" t="s">
        <v>225</v>
      </c>
      <c r="D77" s="18" t="s">
        <v>372</v>
      </c>
      <c r="E77" s="40">
        <v>221131</v>
      </c>
      <c r="F77" s="135" t="s">
        <v>576</v>
      </c>
      <c r="G77" s="17"/>
      <c r="H77" s="174" t="str">
        <f t="shared" si="8"/>
        <v>CZ</v>
      </c>
      <c r="I77" s="14" t="s">
        <v>50</v>
      </c>
      <c r="J77" s="122"/>
      <c r="K77" s="214"/>
      <c r="L77" s="30" t="s">
        <v>56</v>
      </c>
      <c r="M77" s="35" t="s">
        <v>315</v>
      </c>
      <c r="N77" s="97">
        <v>853.4</v>
      </c>
      <c r="O77" s="40"/>
      <c r="P77" s="108" t="s">
        <v>149</v>
      </c>
      <c r="Q77" s="40"/>
      <c r="R77" s="224"/>
      <c r="S77" s="116" t="str">
        <f t="shared" si="9"/>
        <v>Yes</v>
      </c>
    </row>
    <row r="78" spans="1:19" ht="21.75" customHeight="1" x14ac:dyDescent="0.2">
      <c r="A78" s="14" t="s">
        <v>48</v>
      </c>
      <c r="B78" s="181"/>
      <c r="C78" s="15" t="s">
        <v>225</v>
      </c>
      <c r="D78" s="18" t="s">
        <v>372</v>
      </c>
      <c r="E78" s="40"/>
      <c r="F78" s="135"/>
      <c r="G78" s="17"/>
      <c r="H78" s="174" t="str">
        <f t="shared" si="8"/>
        <v>CZ</v>
      </c>
      <c r="I78" s="14" t="s">
        <v>46</v>
      </c>
      <c r="J78" s="181"/>
      <c r="K78" s="210"/>
      <c r="L78" s="15" t="s">
        <v>58</v>
      </c>
      <c r="M78" s="19" t="s">
        <v>240</v>
      </c>
      <c r="N78" s="97">
        <v>941.23</v>
      </c>
      <c r="O78" s="40"/>
      <c r="P78" s="108" t="s">
        <v>149</v>
      </c>
      <c r="Q78" s="40"/>
      <c r="R78" s="224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35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40"/>
      <c r="P79" s="108"/>
      <c r="Q79" s="40"/>
      <c r="R79" s="224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18"/>
      <c r="E80" s="40"/>
      <c r="F80" s="140"/>
      <c r="G80" s="17"/>
      <c r="H80" s="174" t="str">
        <f t="shared" si="8"/>
        <v>CZ</v>
      </c>
      <c r="I80" s="14"/>
      <c r="J80" s="126"/>
      <c r="K80" s="135"/>
      <c r="L80" s="15"/>
      <c r="M80" s="19"/>
      <c r="N80" s="79"/>
      <c r="O80" s="40"/>
      <c r="P80" s="108"/>
      <c r="Q80" s="40"/>
      <c r="R80" s="224"/>
      <c r="S80" s="116" t="str">
        <f t="shared" si="9"/>
        <v/>
      </c>
    </row>
    <row r="81" spans="1:19" ht="21.75" customHeight="1" x14ac:dyDescent="0.2">
      <c r="A81" s="14"/>
      <c r="B81" s="126"/>
      <c r="C81" s="15"/>
      <c r="D81" s="31"/>
      <c r="E81" s="69"/>
      <c r="F81" s="140"/>
      <c r="G81" s="17"/>
      <c r="H81" s="174" t="str">
        <f t="shared" si="8"/>
        <v>CZ</v>
      </c>
      <c r="I81" s="14"/>
      <c r="J81" s="126"/>
      <c r="K81" s="135"/>
      <c r="L81" s="30"/>
      <c r="M81" s="35"/>
      <c r="N81" s="97"/>
      <c r="O81" s="69"/>
      <c r="P81" s="109"/>
      <c r="Q81" s="69"/>
      <c r="R81" s="224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40"/>
      <c r="G82" s="17"/>
      <c r="H82" s="174" t="str">
        <f t="shared" si="8"/>
        <v>CZ</v>
      </c>
      <c r="I82" s="148"/>
      <c r="J82" s="180"/>
      <c r="K82" s="154"/>
      <c r="L82" s="81"/>
      <c r="M82" s="94"/>
      <c r="N82" s="99"/>
      <c r="O82" s="69"/>
      <c r="P82" s="109"/>
      <c r="Q82" s="69"/>
      <c r="R82" s="224"/>
      <c r="S82" s="116" t="str">
        <f t="shared" si="9"/>
        <v/>
      </c>
    </row>
    <row r="83" spans="1:19" ht="21.75" customHeight="1" x14ac:dyDescent="0.2">
      <c r="A83" s="14"/>
      <c r="B83" s="126"/>
      <c r="C83" s="15"/>
      <c r="D83" s="31"/>
      <c r="E83" s="69"/>
      <c r="F83" s="140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69"/>
      <c r="R83" s="224"/>
      <c r="S83" s="116" t="str">
        <f t="shared" si="9"/>
        <v/>
      </c>
    </row>
    <row r="84" spans="1:19" ht="21.75" customHeight="1" x14ac:dyDescent="0.2">
      <c r="A84" s="14"/>
      <c r="B84" s="126"/>
      <c r="C84" s="15"/>
      <c r="D84" s="31"/>
      <c r="E84" s="69"/>
      <c r="F84" s="140"/>
      <c r="G84" s="17"/>
      <c r="H84" s="174" t="str">
        <f t="shared" si="8"/>
        <v>CZ</v>
      </c>
      <c r="I84" s="95"/>
      <c r="J84" s="126"/>
      <c r="K84" s="135"/>
      <c r="L84" s="30"/>
      <c r="M84" s="35"/>
      <c r="N84" s="97"/>
      <c r="O84" s="69"/>
      <c r="P84" s="109"/>
      <c r="Q84" s="69"/>
      <c r="R84" s="224"/>
      <c r="S84" s="116" t="str">
        <f t="shared" si="9"/>
        <v/>
      </c>
    </row>
    <row r="85" spans="1:19" ht="21.75" customHeight="1" x14ac:dyDescent="0.2">
      <c r="A85" s="148"/>
      <c r="B85" s="180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4"/>
      <c r="S85" s="116" t="str">
        <f t="shared" si="9"/>
        <v/>
      </c>
    </row>
    <row r="86" spans="1:19" ht="21.75" customHeight="1" x14ac:dyDescent="0.2">
      <c r="A86" s="95"/>
      <c r="B86" s="126"/>
      <c r="C86" s="15"/>
      <c r="D86" s="18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69"/>
      <c r="P86" s="109"/>
      <c r="Q86" s="69"/>
      <c r="R86" s="224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40"/>
      <c r="P87" s="109"/>
      <c r="Q87" s="40"/>
      <c r="R87" s="224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85"/>
      <c r="P88" s="109"/>
      <c r="Q88" s="85"/>
      <c r="R88" s="224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5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115</v>
      </c>
      <c r="B94" s="118"/>
      <c r="C94" s="9"/>
      <c r="D94" s="255">
        <f>'DEPT BAL'!$F$4-1</f>
        <v>43067</v>
      </c>
      <c r="E94" s="255"/>
      <c r="F94" s="138"/>
      <c r="I94" s="8" t="s">
        <v>116</v>
      </c>
      <c r="J94" s="118"/>
      <c r="L94" s="252">
        <f>D94+1</f>
        <v>43068</v>
      </c>
      <c r="M94" s="252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420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176</v>
      </c>
      <c r="C96" s="15" t="s">
        <v>224</v>
      </c>
      <c r="D96" s="18" t="s">
        <v>299</v>
      </c>
      <c r="E96" s="40"/>
      <c r="F96" s="135"/>
      <c r="G96" s="12"/>
      <c r="H96" s="174" t="str">
        <f>$I$93</f>
        <v>BK</v>
      </c>
      <c r="I96" s="10" t="s">
        <v>39</v>
      </c>
      <c r="J96" s="120" t="s">
        <v>377</v>
      </c>
      <c r="K96" s="209" t="s">
        <v>216</v>
      </c>
      <c r="L96" s="11" t="s">
        <v>56</v>
      </c>
      <c r="M96" s="13" t="s">
        <v>143</v>
      </c>
      <c r="N96" s="78">
        <v>870.28</v>
      </c>
      <c r="O96" s="40"/>
      <c r="P96" s="107"/>
      <c r="Q96" s="40">
        <v>220017</v>
      </c>
      <c r="R96" s="222" t="s">
        <v>647</v>
      </c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370</v>
      </c>
      <c r="C97" s="15" t="s">
        <v>414</v>
      </c>
      <c r="D97" s="18" t="s">
        <v>415</v>
      </c>
      <c r="E97" s="40"/>
      <c r="F97" s="135"/>
      <c r="G97" s="17"/>
      <c r="H97" s="174" t="str">
        <f t="shared" ref="H97:H103" si="11">$I$93</f>
        <v>BK</v>
      </c>
      <c r="I97" s="14" t="s">
        <v>148</v>
      </c>
      <c r="J97" s="126" t="s">
        <v>203</v>
      </c>
      <c r="K97" s="135" t="s">
        <v>280</v>
      </c>
      <c r="L97" s="15" t="s">
        <v>57</v>
      </c>
      <c r="M97" s="19" t="s">
        <v>371</v>
      </c>
      <c r="N97" s="79">
        <v>1017.1</v>
      </c>
      <c r="O97" s="40"/>
      <c r="P97" s="108"/>
      <c r="Q97" s="40"/>
      <c r="R97" s="223"/>
      <c r="S97" s="116" t="str">
        <f t="shared" si="10"/>
        <v>Yes</v>
      </c>
    </row>
    <row r="98" spans="1:19" ht="21.75" customHeight="1" x14ac:dyDescent="0.2">
      <c r="A98" s="14" t="s">
        <v>148</v>
      </c>
      <c r="B98" s="126" t="s">
        <v>234</v>
      </c>
      <c r="C98" s="15" t="s">
        <v>224</v>
      </c>
      <c r="D98" s="71" t="s">
        <v>371</v>
      </c>
      <c r="E98" s="40">
        <v>220017</v>
      </c>
      <c r="F98" s="135"/>
      <c r="G98" s="17" t="s">
        <v>646</v>
      </c>
      <c r="H98" s="174" t="str">
        <f t="shared" si="11"/>
        <v>BK</v>
      </c>
      <c r="I98" s="68" t="s">
        <v>33</v>
      </c>
      <c r="J98" s="126" t="s">
        <v>195</v>
      </c>
      <c r="K98" s="135" t="s">
        <v>217</v>
      </c>
      <c r="L98" s="15" t="s">
        <v>62</v>
      </c>
      <c r="M98" s="19" t="s">
        <v>329</v>
      </c>
      <c r="N98" s="79">
        <v>954.92</v>
      </c>
      <c r="O98" s="40"/>
      <c r="P98" s="108"/>
      <c r="Q98" s="40"/>
      <c r="R98" s="223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153</v>
      </c>
      <c r="C99" s="15" t="s">
        <v>224</v>
      </c>
      <c r="D99" s="18" t="s">
        <v>281</v>
      </c>
      <c r="E99" s="40"/>
      <c r="F99" s="135"/>
      <c r="G99" s="17"/>
      <c r="H99" s="174" t="str">
        <f t="shared" si="11"/>
        <v>BK</v>
      </c>
      <c r="I99" s="93" t="s">
        <v>26</v>
      </c>
      <c r="J99" s="180" t="s">
        <v>197</v>
      </c>
      <c r="K99" s="154" t="s">
        <v>271</v>
      </c>
      <c r="L99" s="29" t="s">
        <v>56</v>
      </c>
      <c r="M99" s="77" t="s">
        <v>283</v>
      </c>
      <c r="N99" s="98">
        <v>795.28</v>
      </c>
      <c r="O99" s="40"/>
      <c r="P99" s="108" t="s">
        <v>149</v>
      </c>
      <c r="Q99" s="40"/>
      <c r="R99" s="223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0"/>
      <c r="K100" s="154"/>
      <c r="L100" s="29"/>
      <c r="M100" s="77"/>
      <c r="N100" s="98"/>
      <c r="O100" s="40"/>
      <c r="P100" s="108"/>
      <c r="Q100" s="40"/>
      <c r="R100" s="223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0"/>
      <c r="K101" s="154"/>
      <c r="L101" s="81"/>
      <c r="M101" s="94"/>
      <c r="N101" s="99"/>
      <c r="O101" s="40"/>
      <c r="P101" s="108"/>
      <c r="Q101" s="40"/>
      <c r="R101" s="224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4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5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115</v>
      </c>
      <c r="B108" s="118"/>
      <c r="C108" s="9"/>
      <c r="D108" s="255">
        <f>'DEPT BAL'!$F$4-1</f>
        <v>43067</v>
      </c>
      <c r="E108" s="255"/>
      <c r="F108" s="138"/>
      <c r="I108" s="8" t="s">
        <v>116</v>
      </c>
      <c r="J108" s="118"/>
      <c r="L108" s="252">
        <f>D108+1</f>
        <v>43068</v>
      </c>
      <c r="M108" s="252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420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239</v>
      </c>
      <c r="C110" s="11" t="s">
        <v>133</v>
      </c>
      <c r="D110" s="25" t="s">
        <v>240</v>
      </c>
      <c r="E110" s="39"/>
      <c r="F110" s="134"/>
      <c r="G110" s="12"/>
      <c r="H110" s="174" t="str">
        <f>$I$107</f>
        <v>LA</v>
      </c>
      <c r="I110" s="14" t="s">
        <v>54</v>
      </c>
      <c r="J110" s="121" t="s">
        <v>303</v>
      </c>
      <c r="K110" s="213" t="s">
        <v>292</v>
      </c>
      <c r="L110" s="15" t="s">
        <v>55</v>
      </c>
      <c r="M110" s="19" t="s">
        <v>188</v>
      </c>
      <c r="N110" s="79">
        <v>835.16</v>
      </c>
      <c r="O110" s="39"/>
      <c r="P110" s="108"/>
      <c r="Q110" s="39"/>
      <c r="R110" s="223"/>
      <c r="S110" s="115" t="str">
        <f>IF(N110&gt;0,"Yes","")</f>
        <v>Yes</v>
      </c>
    </row>
    <row r="111" spans="1:19" ht="21.75" customHeight="1" x14ac:dyDescent="0.2">
      <c r="A111" s="14" t="s">
        <v>37</v>
      </c>
      <c r="B111" s="121" t="s">
        <v>241</v>
      </c>
      <c r="C111" s="15" t="s">
        <v>133</v>
      </c>
      <c r="D111" s="18" t="s">
        <v>300</v>
      </c>
      <c r="E111" s="40"/>
      <c r="F111" s="135"/>
      <c r="G111" s="17"/>
      <c r="H111" s="174" t="str">
        <f t="shared" ref="H111:H119" si="12">$I$107</f>
        <v>LA</v>
      </c>
      <c r="I111" s="14" t="s">
        <v>165</v>
      </c>
      <c r="J111" s="181"/>
      <c r="K111" s="210"/>
      <c r="L111" s="30" t="s">
        <v>58</v>
      </c>
      <c r="M111" s="35" t="s">
        <v>300</v>
      </c>
      <c r="N111" s="97">
        <v>1132.5899999999999</v>
      </c>
      <c r="O111" s="40"/>
      <c r="P111" s="108"/>
      <c r="Q111" s="40"/>
      <c r="R111" s="224"/>
      <c r="S111" s="116" t="str">
        <f>IF(N111&gt;0,"Yes","")</f>
        <v>Yes</v>
      </c>
    </row>
    <row r="112" spans="1:19" ht="21.75" customHeight="1" x14ac:dyDescent="0.2">
      <c r="A112" s="14" t="s">
        <v>165</v>
      </c>
      <c r="B112" s="181"/>
      <c r="C112" s="15" t="s">
        <v>133</v>
      </c>
      <c r="D112" s="18" t="s">
        <v>300</v>
      </c>
      <c r="E112" s="40"/>
      <c r="F112" s="135"/>
      <c r="G112" s="17"/>
      <c r="H112" s="174" t="str">
        <f t="shared" si="12"/>
        <v>LA</v>
      </c>
      <c r="I112" s="14" t="s">
        <v>23</v>
      </c>
      <c r="J112" s="121" t="s">
        <v>231</v>
      </c>
      <c r="K112" s="140" t="s">
        <v>325</v>
      </c>
      <c r="L112" s="30" t="s">
        <v>56</v>
      </c>
      <c r="M112" s="35" t="s">
        <v>372</v>
      </c>
      <c r="N112" s="97">
        <v>1059</v>
      </c>
      <c r="O112" s="40"/>
      <c r="P112" s="108"/>
      <c r="Q112" s="40"/>
      <c r="R112" s="224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242</v>
      </c>
      <c r="C113" s="30" t="s">
        <v>133</v>
      </c>
      <c r="D113" s="18" t="s">
        <v>312</v>
      </c>
      <c r="E113" s="40"/>
      <c r="F113" s="135"/>
      <c r="G113" s="17"/>
      <c r="H113" s="174" t="str">
        <f t="shared" si="12"/>
        <v>LA</v>
      </c>
      <c r="I113" s="14" t="s">
        <v>64</v>
      </c>
      <c r="J113" s="181"/>
      <c r="K113" s="210"/>
      <c r="L113" s="30" t="s">
        <v>59</v>
      </c>
      <c r="M113" s="35" t="s">
        <v>132</v>
      </c>
      <c r="N113" s="97">
        <v>755.72</v>
      </c>
      <c r="O113" s="40"/>
      <c r="P113" s="108"/>
      <c r="Q113" s="40"/>
      <c r="R113" s="224"/>
      <c r="S113" s="116" t="str">
        <f t="shared" si="13"/>
        <v>Yes</v>
      </c>
    </row>
    <row r="114" spans="1:19" ht="21.75" customHeight="1" x14ac:dyDescent="0.2">
      <c r="A114" s="14" t="s">
        <v>27</v>
      </c>
      <c r="B114" s="181"/>
      <c r="C114" s="32" t="s">
        <v>133</v>
      </c>
      <c r="D114" s="18" t="s">
        <v>312</v>
      </c>
      <c r="E114" s="40"/>
      <c r="F114" s="135"/>
      <c r="G114" s="17"/>
      <c r="H114" s="174" t="str">
        <f t="shared" si="12"/>
        <v>LA</v>
      </c>
      <c r="I114" s="14" t="s">
        <v>104</v>
      </c>
      <c r="J114" s="126" t="s">
        <v>262</v>
      </c>
      <c r="K114" s="135" t="s">
        <v>305</v>
      </c>
      <c r="L114" s="30" t="s">
        <v>57</v>
      </c>
      <c r="M114" s="35" t="s">
        <v>281</v>
      </c>
      <c r="N114" s="97">
        <v>1003.16</v>
      </c>
      <c r="O114" s="40"/>
      <c r="P114" s="17"/>
      <c r="Q114" s="40"/>
      <c r="R114" s="224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35"/>
      <c r="G115" s="96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4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4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4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4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5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115</v>
      </c>
      <c r="B124" s="118"/>
      <c r="C124" s="9"/>
      <c r="D124" s="255">
        <f>'DEPT BAL'!$F$4-1</f>
        <v>43067</v>
      </c>
      <c r="E124" s="255"/>
      <c r="F124" s="138"/>
      <c r="I124" s="8" t="s">
        <v>116</v>
      </c>
      <c r="J124" s="118"/>
      <c r="L124" s="252">
        <f>D124+1</f>
        <v>43068</v>
      </c>
      <c r="M124" s="252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420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301</v>
      </c>
      <c r="C126" s="11" t="s">
        <v>320</v>
      </c>
      <c r="D126" s="25" t="s">
        <v>321</v>
      </c>
      <c r="E126" s="39"/>
      <c r="F126" s="134"/>
      <c r="G126" s="12"/>
      <c r="H126" s="174" t="str">
        <f>$I$123</f>
        <v>PZ</v>
      </c>
      <c r="I126" s="10" t="s">
        <v>106</v>
      </c>
      <c r="J126" s="120" t="s">
        <v>204</v>
      </c>
      <c r="K126" s="209" t="s">
        <v>269</v>
      </c>
      <c r="L126" s="11" t="s">
        <v>66</v>
      </c>
      <c r="M126" s="13" t="s">
        <v>295</v>
      </c>
      <c r="N126" s="78">
        <v>891.23</v>
      </c>
      <c r="O126" s="39"/>
      <c r="P126" s="107"/>
      <c r="Q126" s="39"/>
      <c r="R126" s="226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243</v>
      </c>
      <c r="C127" s="15" t="s">
        <v>320</v>
      </c>
      <c r="D127" s="18" t="s">
        <v>188</v>
      </c>
      <c r="E127" s="40"/>
      <c r="F127" s="135"/>
      <c r="G127" s="17"/>
      <c r="H127" s="174" t="str">
        <f>$I$123</f>
        <v>PZ</v>
      </c>
      <c r="I127" s="14" t="s">
        <v>28</v>
      </c>
      <c r="J127" s="126" t="s">
        <v>183</v>
      </c>
      <c r="K127" s="135" t="s">
        <v>309</v>
      </c>
      <c r="L127" s="15" t="s">
        <v>62</v>
      </c>
      <c r="M127" s="19" t="s">
        <v>261</v>
      </c>
      <c r="N127" s="79">
        <v>769.78</v>
      </c>
      <c r="O127" s="40"/>
      <c r="P127" s="108"/>
      <c r="Q127" s="40"/>
      <c r="R127" s="223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3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3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5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115</v>
      </c>
      <c r="B135" s="118"/>
      <c r="C135" s="9"/>
      <c r="D135" s="255">
        <f>'DEPT BAL'!$F$4-1</f>
        <v>43067</v>
      </c>
      <c r="E135" s="255"/>
      <c r="F135" s="138"/>
      <c r="I135" s="8" t="s">
        <v>116</v>
      </c>
      <c r="J135" s="118"/>
      <c r="L135" s="252">
        <f>D135+1</f>
        <v>43068</v>
      </c>
      <c r="M135" s="252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420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332</v>
      </c>
      <c r="C137" s="149" t="s">
        <v>208</v>
      </c>
      <c r="D137" s="18" t="s">
        <v>333</v>
      </c>
      <c r="E137" s="40"/>
      <c r="F137" s="135"/>
      <c r="G137" s="12"/>
      <c r="H137" s="174" t="str">
        <f>$I$134</f>
        <v>EH</v>
      </c>
      <c r="I137" s="10" t="s">
        <v>49</v>
      </c>
      <c r="J137" s="120" t="s">
        <v>144</v>
      </c>
      <c r="K137" s="209" t="s">
        <v>218</v>
      </c>
      <c r="L137" s="11" t="s">
        <v>66</v>
      </c>
      <c r="M137" s="13" t="s">
        <v>289</v>
      </c>
      <c r="N137" s="78">
        <v>999.19</v>
      </c>
      <c r="O137" s="40"/>
      <c r="P137" s="107"/>
      <c r="Q137" s="40"/>
      <c r="R137" s="222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236</v>
      </c>
      <c r="C138" s="19" t="s">
        <v>226</v>
      </c>
      <c r="D138" s="18" t="s">
        <v>145</v>
      </c>
      <c r="E138" s="40"/>
      <c r="F138" s="135"/>
      <c r="G138" s="17"/>
      <c r="H138" s="174" t="str">
        <f t="shared" ref="H138:H145" si="14">$I$134</f>
        <v>EH</v>
      </c>
      <c r="I138" s="14" t="s">
        <v>42</v>
      </c>
      <c r="J138" s="181"/>
      <c r="K138" s="210"/>
      <c r="L138" s="15" t="s">
        <v>56</v>
      </c>
      <c r="M138" s="19" t="s">
        <v>311</v>
      </c>
      <c r="N138" s="79">
        <v>954.11</v>
      </c>
      <c r="O138" s="40"/>
      <c r="P138" s="108" t="s">
        <v>149</v>
      </c>
      <c r="Q138" s="40"/>
      <c r="R138" s="223"/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237</v>
      </c>
      <c r="C139" s="30" t="s">
        <v>226</v>
      </c>
      <c r="D139" s="18" t="s">
        <v>132</v>
      </c>
      <c r="E139" s="40"/>
      <c r="F139" s="135"/>
      <c r="G139" s="17"/>
      <c r="H139" s="174" t="str">
        <f t="shared" si="14"/>
        <v>EH</v>
      </c>
      <c r="I139" s="14" t="s">
        <v>29</v>
      </c>
      <c r="J139" s="121" t="s">
        <v>219</v>
      </c>
      <c r="K139" s="140" t="s">
        <v>154</v>
      </c>
      <c r="L139" s="15" t="s">
        <v>56</v>
      </c>
      <c r="M139" s="19" t="s">
        <v>283</v>
      </c>
      <c r="N139" s="79">
        <v>900.4</v>
      </c>
      <c r="O139" s="40"/>
      <c r="P139" s="108" t="s">
        <v>149</v>
      </c>
      <c r="Q139" s="40"/>
      <c r="R139" s="223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1"/>
      <c r="C140" s="32" t="s">
        <v>226</v>
      </c>
      <c r="D140" s="18" t="s">
        <v>132</v>
      </c>
      <c r="E140" s="40"/>
      <c r="F140" s="135"/>
      <c r="G140" s="17"/>
      <c r="H140" s="174" t="str">
        <f t="shared" si="14"/>
        <v>EH</v>
      </c>
      <c r="I140" s="14" t="s">
        <v>65</v>
      </c>
      <c r="J140" s="181"/>
      <c r="K140" s="210"/>
      <c r="L140" s="15" t="s">
        <v>56</v>
      </c>
      <c r="M140" s="19" t="s">
        <v>359</v>
      </c>
      <c r="N140" s="79">
        <v>757.26</v>
      </c>
      <c r="O140" s="40"/>
      <c r="P140" s="108"/>
      <c r="Q140" s="40">
        <v>221144</v>
      </c>
      <c r="R140" s="223" t="s">
        <v>640</v>
      </c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334</v>
      </c>
      <c r="C141" s="15" t="s">
        <v>227</v>
      </c>
      <c r="D141" s="18" t="s">
        <v>335</v>
      </c>
      <c r="E141" s="40"/>
      <c r="F141" s="135"/>
      <c r="G141" s="17"/>
      <c r="H141" s="174" t="str">
        <f t="shared" si="14"/>
        <v>EH</v>
      </c>
      <c r="I141" s="14" t="s">
        <v>90</v>
      </c>
      <c r="J141" s="126" t="s">
        <v>200</v>
      </c>
      <c r="K141" s="135" t="s">
        <v>268</v>
      </c>
      <c r="L141" s="15" t="s">
        <v>59</v>
      </c>
      <c r="M141" s="19" t="s">
        <v>360</v>
      </c>
      <c r="N141" s="79">
        <v>883.4</v>
      </c>
      <c r="O141" s="40"/>
      <c r="P141" s="108"/>
      <c r="Q141" s="40"/>
      <c r="R141" s="223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213</v>
      </c>
      <c r="C142" s="15" t="s">
        <v>226</v>
      </c>
      <c r="D142" s="16" t="s">
        <v>360</v>
      </c>
      <c r="E142" s="40">
        <v>221144</v>
      </c>
      <c r="F142" s="135"/>
      <c r="G142" s="17" t="s">
        <v>640</v>
      </c>
      <c r="H142" s="174" t="str">
        <f t="shared" si="14"/>
        <v>EH</v>
      </c>
      <c r="I142" s="14" t="s">
        <v>43</v>
      </c>
      <c r="J142" s="126" t="s">
        <v>354</v>
      </c>
      <c r="K142" s="135" t="s">
        <v>297</v>
      </c>
      <c r="L142" s="15" t="s">
        <v>59</v>
      </c>
      <c r="M142" s="19" t="s">
        <v>333</v>
      </c>
      <c r="N142" s="79">
        <v>732.99</v>
      </c>
      <c r="O142" s="40"/>
      <c r="P142" s="108"/>
      <c r="Q142" s="40"/>
      <c r="R142" s="223"/>
      <c r="S142" s="116" t="str">
        <f t="shared" si="15"/>
        <v>Yes</v>
      </c>
    </row>
    <row r="143" spans="1:19" ht="21.75" customHeight="1" x14ac:dyDescent="0.2">
      <c r="A143" s="14" t="s">
        <v>52</v>
      </c>
      <c r="B143" s="181"/>
      <c r="C143" s="15" t="s">
        <v>227</v>
      </c>
      <c r="D143" s="16" t="s">
        <v>360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212</v>
      </c>
      <c r="K143" s="135" t="s">
        <v>364</v>
      </c>
      <c r="L143" s="15" t="s">
        <v>56</v>
      </c>
      <c r="M143" s="15" t="s">
        <v>143</v>
      </c>
      <c r="N143" s="79">
        <v>798.04</v>
      </c>
      <c r="O143" s="40"/>
      <c r="P143" s="108"/>
      <c r="Q143" s="40"/>
      <c r="R143" s="223"/>
      <c r="S143" s="116" t="str">
        <f t="shared" si="15"/>
        <v>Yes</v>
      </c>
    </row>
    <row r="144" spans="1:19" ht="21.75" customHeight="1" x14ac:dyDescent="0.2">
      <c r="A144" s="14" t="s">
        <v>147</v>
      </c>
      <c r="B144" s="126" t="s">
        <v>238</v>
      </c>
      <c r="C144" s="15" t="s">
        <v>174</v>
      </c>
      <c r="D144" s="16" t="s">
        <v>366</v>
      </c>
      <c r="E144" s="40"/>
      <c r="F144" s="135"/>
      <c r="G144" s="17"/>
      <c r="H144" s="174" t="str">
        <f t="shared" si="14"/>
        <v>EH</v>
      </c>
      <c r="I144" s="14" t="s">
        <v>147</v>
      </c>
      <c r="J144" s="126" t="s">
        <v>355</v>
      </c>
      <c r="K144" s="135" t="s">
        <v>365</v>
      </c>
      <c r="L144" s="15" t="s">
        <v>59</v>
      </c>
      <c r="M144" s="15" t="s">
        <v>366</v>
      </c>
      <c r="N144" s="79">
        <v>883.15</v>
      </c>
      <c r="O144" s="40"/>
      <c r="P144" s="108"/>
      <c r="Q144" s="40"/>
      <c r="R144" s="223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5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170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171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Wednesday</v>
      </c>
      <c r="H150" s="176"/>
      <c r="I150" s="253">
        <f>$L$3</f>
        <v>43068</v>
      </c>
      <c r="J150" s="253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4" t="s">
        <v>5</v>
      </c>
      <c r="K152" s="254"/>
      <c r="M152" s="6" t="s">
        <v>98</v>
      </c>
    </row>
    <row r="153" spans="1:19" ht="19.5" customHeight="1" x14ac:dyDescent="0.2">
      <c r="D153" s="196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51">
        <f>INDEX($I$5:$Q$148, MATCH($I153,I$5:I$148,0),9)</f>
        <v>0</v>
      </c>
      <c r="K153" s="251"/>
      <c r="L153" s="6" t="str">
        <f t="shared" ref="L153:L186" si="18">INDEX($H$5:$H$148, MATCH($I153,I$5:I$148,0))</f>
        <v>CZ</v>
      </c>
      <c r="M153" s="196">
        <f t="shared" ref="M153:M186" si="19">INDEX($I$5:$N$148, MATCH($I153,I$5:I$148,0),6)</f>
        <v>788.11</v>
      </c>
      <c r="N153" s="8"/>
    </row>
    <row r="154" spans="1:19" ht="19.5" customHeight="1" x14ac:dyDescent="0.2">
      <c r="D154" s="196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51">
        <f t="shared" ref="J154:J186" si="21">INDEX($I$5:$Q$148, MATCH($I154,I$5:I$148,0),9)</f>
        <v>221138</v>
      </c>
      <c r="K154" s="251"/>
      <c r="L154" s="6" t="str">
        <f t="shared" si="18"/>
        <v>CZ</v>
      </c>
      <c r="M154" s="196">
        <f t="shared" si="19"/>
        <v>738.81</v>
      </c>
      <c r="N154" s="8"/>
    </row>
    <row r="155" spans="1:19" ht="19.5" customHeight="1" x14ac:dyDescent="0.2">
      <c r="D155" s="196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51">
        <f t="shared" si="21"/>
        <v>0</v>
      </c>
      <c r="K155" s="251"/>
      <c r="L155" s="6" t="str">
        <f t="shared" si="18"/>
        <v>LA</v>
      </c>
      <c r="M155" s="196">
        <f t="shared" si="19"/>
        <v>1059</v>
      </c>
      <c r="N155" s="8"/>
    </row>
    <row r="156" spans="1:19" ht="19.5" customHeight="1" x14ac:dyDescent="0.2">
      <c r="D156" s="196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51">
        <f t="shared" si="21"/>
        <v>0</v>
      </c>
      <c r="K156" s="251"/>
      <c r="L156" s="6" t="str">
        <f t="shared" si="18"/>
        <v>MA</v>
      </c>
      <c r="M156" s="196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6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51">
        <f t="shared" si="21"/>
        <v>0</v>
      </c>
      <c r="K157" s="251"/>
      <c r="L157" s="6" t="str">
        <f t="shared" si="18"/>
        <v>XW</v>
      </c>
      <c r="M157" s="196">
        <f t="shared" si="19"/>
        <v>955.85</v>
      </c>
      <c r="N157" s="8"/>
      <c r="O157" s="37"/>
      <c r="P157" s="105"/>
      <c r="Q157" s="37"/>
      <c r="R157" s="37"/>
    </row>
    <row r="158" spans="1:19" ht="19.5" customHeight="1" x14ac:dyDescent="0.2">
      <c r="D158" s="196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220017</v>
      </c>
      <c r="I158" s="15" t="s">
        <v>26</v>
      </c>
      <c r="J158" s="251">
        <f t="shared" si="21"/>
        <v>0</v>
      </c>
      <c r="K158" s="251"/>
      <c r="L158" s="6" t="str">
        <f t="shared" si="18"/>
        <v>BK</v>
      </c>
      <c r="M158" s="196">
        <f t="shared" si="19"/>
        <v>795.28</v>
      </c>
      <c r="N158" s="8"/>
    </row>
    <row r="159" spans="1:19" ht="19.5" customHeight="1" x14ac:dyDescent="0.2">
      <c r="D159" s="196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221132</v>
      </c>
      <c r="I159" s="15" t="s">
        <v>27</v>
      </c>
      <c r="J159" s="251">
        <f t="shared" si="21"/>
        <v>0</v>
      </c>
      <c r="K159" s="251"/>
      <c r="L159" s="6" t="str">
        <f t="shared" si="18"/>
        <v>CZ</v>
      </c>
      <c r="M159" s="196">
        <f t="shared" si="19"/>
        <v>1051.9000000000001</v>
      </c>
      <c r="N159" s="8"/>
    </row>
    <row r="160" spans="1:19" ht="19.5" customHeight="1" x14ac:dyDescent="0.2">
      <c r="D160" s="196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51">
        <f t="shared" si="21"/>
        <v>0</v>
      </c>
      <c r="K160" s="251"/>
      <c r="L160" s="6" t="str">
        <f t="shared" si="18"/>
        <v>PZ</v>
      </c>
      <c r="M160" s="196">
        <f t="shared" si="19"/>
        <v>769.78</v>
      </c>
      <c r="N160" s="8"/>
    </row>
    <row r="161" spans="4:14" ht="19.5" customHeight="1" x14ac:dyDescent="0.2">
      <c r="D161" s="196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51">
        <f t="shared" si="21"/>
        <v>0</v>
      </c>
      <c r="K161" s="251"/>
      <c r="L161" s="6" t="str">
        <f t="shared" si="18"/>
        <v>EH</v>
      </c>
      <c r="M161" s="196">
        <f t="shared" si="19"/>
        <v>900.4</v>
      </c>
      <c r="N161" s="8"/>
    </row>
    <row r="162" spans="4:14" ht="19.5" customHeight="1" x14ac:dyDescent="0.2">
      <c r="D162" s="196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51">
        <f t="shared" si="21"/>
        <v>0</v>
      </c>
      <c r="K162" s="251"/>
      <c r="L162" s="6" t="str">
        <f t="shared" si="18"/>
        <v>EC</v>
      </c>
      <c r="M162" s="196">
        <f t="shared" si="19"/>
        <v>1035.1400000000001</v>
      </c>
      <c r="N162" s="8"/>
    </row>
    <row r="163" spans="4:14" ht="19.5" customHeight="1" x14ac:dyDescent="0.2">
      <c r="D163" s="196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220033</v>
      </c>
      <c r="I163" s="15" t="s">
        <v>31</v>
      </c>
      <c r="J163" s="251">
        <f t="shared" si="21"/>
        <v>0</v>
      </c>
      <c r="K163" s="251"/>
      <c r="L163" s="6" t="str">
        <f t="shared" si="18"/>
        <v>EC</v>
      </c>
      <c r="M163" s="196">
        <f t="shared" si="19"/>
        <v>920.67</v>
      </c>
      <c r="N163" s="8"/>
    </row>
    <row r="164" spans="4:14" ht="19.5" customHeight="1" x14ac:dyDescent="0.2">
      <c r="D164" s="196">
        <f t="shared" si="16"/>
        <v>957.64</v>
      </c>
      <c r="E164" s="86" t="str">
        <f t="shared" si="17"/>
        <v>XW</v>
      </c>
      <c r="F164" s="15" t="s">
        <v>45</v>
      </c>
      <c r="G164" s="28">
        <f t="shared" si="20"/>
        <v>220007</v>
      </c>
      <c r="I164" s="15" t="s">
        <v>32</v>
      </c>
      <c r="J164" s="251">
        <f t="shared" si="21"/>
        <v>0</v>
      </c>
      <c r="K164" s="251"/>
      <c r="L164" s="6" t="str">
        <f t="shared" si="18"/>
        <v>TY</v>
      </c>
      <c r="M164" s="196">
        <f t="shared" si="19"/>
        <v>889.99</v>
      </c>
      <c r="N164" s="8"/>
    </row>
    <row r="165" spans="4:14" ht="19.5" customHeight="1" x14ac:dyDescent="0.2">
      <c r="D165" s="196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51">
        <f t="shared" si="21"/>
        <v>0</v>
      </c>
      <c r="K165" s="251"/>
      <c r="L165" s="6" t="str">
        <f t="shared" si="18"/>
        <v>BK</v>
      </c>
      <c r="M165" s="196">
        <f t="shared" si="19"/>
        <v>954.92</v>
      </c>
      <c r="N165" s="8"/>
    </row>
    <row r="166" spans="4:14" ht="19.5" customHeight="1" x14ac:dyDescent="0.2">
      <c r="D166" s="196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51">
        <f t="shared" si="21"/>
        <v>0</v>
      </c>
      <c r="K166" s="251"/>
      <c r="L166" s="6" t="str">
        <f t="shared" si="18"/>
        <v>CZ</v>
      </c>
      <c r="M166" s="196">
        <f t="shared" si="19"/>
        <v>793.87</v>
      </c>
      <c r="N166" s="8"/>
    </row>
    <row r="167" spans="4:14" ht="19.5" customHeight="1" x14ac:dyDescent="0.2">
      <c r="D167" s="196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51">
        <f t="shared" si="21"/>
        <v>0</v>
      </c>
      <c r="K167" s="251"/>
      <c r="L167" s="6" t="str">
        <f t="shared" si="18"/>
        <v>LA</v>
      </c>
      <c r="M167" s="196">
        <f t="shared" si="19"/>
        <v>1003.16</v>
      </c>
      <c r="N167" s="8"/>
    </row>
    <row r="168" spans="4:14" ht="19.5" customHeight="1" x14ac:dyDescent="0.2">
      <c r="D168" s="196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51">
        <f t="shared" si="21"/>
        <v>0</v>
      </c>
      <c r="K168" s="251"/>
      <c r="L168" s="6" t="str">
        <f t="shared" si="18"/>
        <v>PZ</v>
      </c>
      <c r="M168" s="196">
        <f t="shared" si="19"/>
        <v>891.23</v>
      </c>
      <c r="N168" s="8"/>
    </row>
    <row r="169" spans="4:14" ht="19.5" customHeight="1" x14ac:dyDescent="0.2">
      <c r="D169" s="196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51">
        <f t="shared" si="21"/>
        <v>0</v>
      </c>
      <c r="K169" s="251"/>
      <c r="L169" s="6" t="str">
        <f t="shared" si="18"/>
        <v>CZ</v>
      </c>
      <c r="M169" s="196">
        <f t="shared" si="19"/>
        <v>806.31</v>
      </c>
      <c r="N169" s="8"/>
    </row>
    <row r="170" spans="4:14" ht="19.5" customHeight="1" x14ac:dyDescent="0.2">
      <c r="D170" s="196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51">
        <f t="shared" si="21"/>
        <v>0</v>
      </c>
      <c r="K170" s="251"/>
      <c r="L170" s="6" t="str">
        <f t="shared" si="18"/>
        <v>EC</v>
      </c>
      <c r="M170" s="196">
        <f t="shared" si="19"/>
        <v>900.47</v>
      </c>
      <c r="N170" s="8"/>
    </row>
    <row r="171" spans="4:14" ht="19.5" customHeight="1" x14ac:dyDescent="0.2">
      <c r="D171" s="196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51" t="e">
        <f t="shared" si="21"/>
        <v>#N/A</v>
      </c>
      <c r="K171" s="251"/>
      <c r="L171" s="6" t="e">
        <f t="shared" si="18"/>
        <v>#N/A</v>
      </c>
      <c r="M171" s="196" t="e">
        <f t="shared" si="19"/>
        <v>#N/A</v>
      </c>
      <c r="N171" s="8"/>
    </row>
    <row r="172" spans="4:14" ht="19.5" customHeight="1" x14ac:dyDescent="0.2">
      <c r="D172" s="196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51" t="e">
        <f t="shared" si="21"/>
        <v>#N/A</v>
      </c>
      <c r="K172" s="251"/>
      <c r="L172" s="6" t="e">
        <f t="shared" si="18"/>
        <v>#N/A</v>
      </c>
      <c r="M172" s="196" t="e">
        <f t="shared" si="19"/>
        <v>#N/A</v>
      </c>
      <c r="N172" s="8"/>
    </row>
    <row r="173" spans="4:14" ht="19.5" customHeight="1" x14ac:dyDescent="0.2">
      <c r="D173" s="196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51" t="e">
        <f t="shared" si="21"/>
        <v>#N/A</v>
      </c>
      <c r="K173" s="251"/>
      <c r="L173" s="6" t="e">
        <f t="shared" si="18"/>
        <v>#N/A</v>
      </c>
      <c r="M173" s="196" t="e">
        <f t="shared" si="19"/>
        <v>#N/A</v>
      </c>
      <c r="N173" s="8"/>
    </row>
    <row r="174" spans="4:14" ht="19.5" customHeight="1" x14ac:dyDescent="0.2">
      <c r="D174" s="196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140</v>
      </c>
      <c r="J174" s="251" t="e">
        <f t="shared" si="21"/>
        <v>#N/A</v>
      </c>
      <c r="K174" s="251"/>
      <c r="L174" s="6" t="e">
        <f t="shared" si="18"/>
        <v>#N/A</v>
      </c>
      <c r="M174" s="196" t="e">
        <f t="shared" si="19"/>
        <v>#N/A</v>
      </c>
      <c r="N174" s="8"/>
    </row>
    <row r="175" spans="4:14" ht="19.5" customHeight="1" x14ac:dyDescent="0.2">
      <c r="D175" s="196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221144</v>
      </c>
      <c r="I175" s="15" t="s">
        <v>142</v>
      </c>
      <c r="J175" s="251" t="e">
        <f t="shared" si="21"/>
        <v>#N/A</v>
      </c>
      <c r="K175" s="251"/>
      <c r="L175" s="6" t="e">
        <f t="shared" si="18"/>
        <v>#N/A</v>
      </c>
      <c r="M175" s="196" t="e">
        <f t="shared" si="19"/>
        <v>#N/A</v>
      </c>
      <c r="N175" s="8"/>
    </row>
    <row r="176" spans="4:14" ht="19.5" customHeight="1" x14ac:dyDescent="0.2">
      <c r="D176" s="196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141</v>
      </c>
      <c r="J176" s="251" t="e">
        <f t="shared" si="21"/>
        <v>#N/A</v>
      </c>
      <c r="K176" s="251"/>
      <c r="L176" s="6" t="e">
        <f t="shared" si="18"/>
        <v>#N/A</v>
      </c>
      <c r="M176" s="196" t="e">
        <f t="shared" si="19"/>
        <v>#N/A</v>
      </c>
      <c r="N176" s="8"/>
    </row>
    <row r="177" spans="3:14" ht="19.5" customHeight="1" x14ac:dyDescent="0.2">
      <c r="D177" s="196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166</v>
      </c>
      <c r="J177" s="251" t="e">
        <f t="shared" si="21"/>
        <v>#N/A</v>
      </c>
      <c r="K177" s="251"/>
      <c r="L177" s="6" t="e">
        <f t="shared" si="18"/>
        <v>#N/A</v>
      </c>
      <c r="M177" s="196" t="e">
        <f t="shared" si="19"/>
        <v>#N/A</v>
      </c>
      <c r="N177" s="8"/>
    </row>
    <row r="178" spans="3:14" ht="19.5" customHeight="1" x14ac:dyDescent="0.2">
      <c r="D178" s="196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167</v>
      </c>
      <c r="J178" s="251" t="e">
        <f t="shared" si="21"/>
        <v>#N/A</v>
      </c>
      <c r="K178" s="251"/>
      <c r="L178" s="6" t="e">
        <f t="shared" si="18"/>
        <v>#N/A</v>
      </c>
      <c r="M178" s="196" t="e">
        <f t="shared" si="19"/>
        <v>#N/A</v>
      </c>
      <c r="N178" s="8"/>
    </row>
    <row r="179" spans="3:14" ht="19.5" customHeight="1" x14ac:dyDescent="0.2">
      <c r="D179" s="196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168</v>
      </c>
      <c r="J179" s="251" t="e">
        <f t="shared" si="21"/>
        <v>#N/A</v>
      </c>
      <c r="K179" s="251"/>
      <c r="L179" s="6" t="e">
        <f t="shared" si="18"/>
        <v>#N/A</v>
      </c>
      <c r="M179" s="196" t="e">
        <f t="shared" si="19"/>
        <v>#N/A</v>
      </c>
      <c r="N179" s="8"/>
    </row>
    <row r="180" spans="3:14" ht="19.5" customHeight="1" x14ac:dyDescent="0.2">
      <c r="D180" s="196">
        <f t="shared" si="16"/>
        <v>769.73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169</v>
      </c>
      <c r="J180" s="251" t="e">
        <f t="shared" si="21"/>
        <v>#N/A</v>
      </c>
      <c r="K180" s="251"/>
      <c r="L180" s="6" t="e">
        <f t="shared" si="18"/>
        <v>#N/A</v>
      </c>
      <c r="M180" s="196" t="e">
        <f t="shared" si="19"/>
        <v>#N/A</v>
      </c>
      <c r="N180" s="8"/>
    </row>
    <row r="181" spans="3:14" ht="19.5" customHeight="1" x14ac:dyDescent="0.2">
      <c r="D181" s="196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51" t="e">
        <f t="shared" si="21"/>
        <v>#N/A</v>
      </c>
      <c r="K181" s="251"/>
      <c r="L181" s="6" t="e">
        <f t="shared" si="18"/>
        <v>#N/A</v>
      </c>
      <c r="M181" s="196" t="e">
        <f t="shared" si="19"/>
        <v>#N/A</v>
      </c>
      <c r="N181" s="8"/>
    </row>
    <row r="182" spans="3:14" ht="19.5" customHeight="1" x14ac:dyDescent="0.2">
      <c r="D182" s="196">
        <f t="shared" si="16"/>
        <v>863.74</v>
      </c>
      <c r="E182" s="86" t="str">
        <f t="shared" si="17"/>
        <v>MA</v>
      </c>
      <c r="F182" s="15" t="s">
        <v>146</v>
      </c>
      <c r="G182" s="28">
        <f t="shared" si="20"/>
        <v>0</v>
      </c>
      <c r="I182" s="15"/>
      <c r="J182" s="251" t="e">
        <f t="shared" si="21"/>
        <v>#N/A</v>
      </c>
      <c r="K182" s="251"/>
      <c r="L182" s="6" t="e">
        <f t="shared" si="18"/>
        <v>#N/A</v>
      </c>
      <c r="M182" s="196" t="e">
        <f t="shared" si="19"/>
        <v>#N/A</v>
      </c>
      <c r="N182" s="8"/>
    </row>
    <row r="183" spans="3:14" ht="19.5" customHeight="1" x14ac:dyDescent="0.2">
      <c r="D183" s="196">
        <f t="shared" si="16"/>
        <v>883.15</v>
      </c>
      <c r="E183" s="86" t="str">
        <f t="shared" si="17"/>
        <v>EH</v>
      </c>
      <c r="F183" s="15" t="s">
        <v>147</v>
      </c>
      <c r="G183" s="28">
        <f t="shared" si="20"/>
        <v>0</v>
      </c>
      <c r="I183" s="15"/>
      <c r="J183" s="251" t="e">
        <f t="shared" si="21"/>
        <v>#N/A</v>
      </c>
      <c r="K183" s="251"/>
      <c r="L183" s="6" t="e">
        <f t="shared" si="18"/>
        <v>#N/A</v>
      </c>
      <c r="M183" s="196" t="e">
        <f t="shared" si="19"/>
        <v>#N/A</v>
      </c>
      <c r="N183" s="8"/>
    </row>
    <row r="184" spans="3:14" ht="19.5" customHeight="1" x14ac:dyDescent="0.2">
      <c r="D184" s="196">
        <f t="shared" si="16"/>
        <v>1017.1</v>
      </c>
      <c r="E184" s="86" t="str">
        <f t="shared" si="17"/>
        <v>BK</v>
      </c>
      <c r="F184" s="15" t="s">
        <v>148</v>
      </c>
      <c r="G184" s="28">
        <f t="shared" si="20"/>
        <v>0</v>
      </c>
      <c r="I184" s="15"/>
      <c r="J184" s="251" t="e">
        <f t="shared" si="21"/>
        <v>#N/A</v>
      </c>
      <c r="K184" s="251"/>
      <c r="L184" s="6" t="e">
        <f t="shared" si="18"/>
        <v>#N/A</v>
      </c>
      <c r="M184" s="196" t="e">
        <f t="shared" si="19"/>
        <v>#N/A</v>
      </c>
      <c r="N184" s="8"/>
    </row>
    <row r="185" spans="3:14" ht="19.5" customHeight="1" x14ac:dyDescent="0.2">
      <c r="D185" s="221">
        <f t="shared" si="16"/>
        <v>153.76</v>
      </c>
      <c r="E185" s="86" t="str">
        <f t="shared" si="17"/>
        <v>CZ</v>
      </c>
      <c r="F185" s="30" t="s">
        <v>164</v>
      </c>
      <c r="G185" s="28">
        <f t="shared" si="20"/>
        <v>0</v>
      </c>
      <c r="I185" s="15"/>
      <c r="J185" s="251" t="e">
        <f t="shared" si="21"/>
        <v>#N/A</v>
      </c>
      <c r="K185" s="251"/>
      <c r="L185" s="6" t="e">
        <f t="shared" si="18"/>
        <v>#N/A</v>
      </c>
      <c r="M185" s="196" t="e">
        <f t="shared" si="19"/>
        <v>#N/A</v>
      </c>
      <c r="N185" s="8"/>
    </row>
    <row r="186" spans="3:14" ht="19.5" customHeight="1" x14ac:dyDescent="0.2">
      <c r="C186" s="130"/>
      <c r="D186" s="196">
        <f t="shared" si="16"/>
        <v>1132.5899999999999</v>
      </c>
      <c r="E186" s="216" t="str">
        <f t="shared" si="17"/>
        <v>LA</v>
      </c>
      <c r="F186" s="15" t="s">
        <v>165</v>
      </c>
      <c r="G186" s="28">
        <f t="shared" si="20"/>
        <v>0</v>
      </c>
      <c r="I186" s="15"/>
      <c r="J186" s="251" t="e">
        <f t="shared" si="21"/>
        <v>#N/A</v>
      </c>
      <c r="K186" s="251"/>
      <c r="L186" s="6" t="e">
        <f t="shared" si="18"/>
        <v>#N/A</v>
      </c>
      <c r="M186" s="196" t="e">
        <f t="shared" si="19"/>
        <v>#N/A</v>
      </c>
      <c r="N186" s="8"/>
    </row>
    <row r="187" spans="3:14" ht="19.5" customHeight="1" x14ac:dyDescent="0.2">
      <c r="C187" s="130"/>
      <c r="D187" s="196">
        <f t="shared" si="16"/>
        <v>0</v>
      </c>
      <c r="E187" s="216" t="str">
        <f t="shared" si="17"/>
        <v>XW</v>
      </c>
      <c r="F187" s="15" t="s">
        <v>390</v>
      </c>
      <c r="G187" s="28">
        <f t="shared" si="20"/>
        <v>0</v>
      </c>
      <c r="I187" s="84"/>
      <c r="J187" s="220"/>
      <c r="K187" s="220"/>
      <c r="M187" s="219"/>
      <c r="N187" s="8"/>
    </row>
    <row r="188" spans="3:14" ht="19.5" customHeight="1" x14ac:dyDescent="0.2">
      <c r="C188" s="92" t="s">
        <v>92</v>
      </c>
      <c r="D188" s="197">
        <f>SUMIF(D153:D186,"&gt;0")</f>
        <v>29687.159999999996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7">
        <f>SUMIF(M153:M180,"&gt;0")</f>
        <v>16059.56</v>
      </c>
    </row>
    <row r="189" spans="3:14" ht="20.100000000000001" customHeight="1" x14ac:dyDescent="0.2">
      <c r="C189" s="6" t="s">
        <v>155</v>
      </c>
      <c r="D189" s="197">
        <f>D188+M188</f>
        <v>45746.719999999994</v>
      </c>
      <c r="E189" s="42" t="s">
        <v>155</v>
      </c>
      <c r="F189" s="7">
        <f>F188+J188</f>
        <v>52</v>
      </c>
      <c r="I189" s="42"/>
      <c r="J189" s="7"/>
      <c r="L189" s="92"/>
      <c r="M189" s="197"/>
    </row>
    <row r="190" spans="3:14" ht="20.100000000000001" customHeight="1" x14ac:dyDescent="0.2"/>
  </sheetData>
  <mergeCells count="54">
    <mergeCell ref="I150:J150"/>
    <mergeCell ref="J152:K152"/>
    <mergeCell ref="J153:K153"/>
    <mergeCell ref="J154:K154"/>
    <mergeCell ref="J155:K155"/>
    <mergeCell ref="L3:M3"/>
    <mergeCell ref="L23:M23"/>
    <mergeCell ref="L35:M35"/>
    <mergeCell ref="L47:M47"/>
    <mergeCell ref="D3:E3"/>
    <mergeCell ref="D23:E23"/>
    <mergeCell ref="D35:E35"/>
    <mergeCell ref="D47:E47"/>
    <mergeCell ref="L135:M135"/>
    <mergeCell ref="D61:E61"/>
    <mergeCell ref="L61:M61"/>
    <mergeCell ref="D94:E94"/>
    <mergeCell ref="L94:M94"/>
    <mergeCell ref="D108:E108"/>
    <mergeCell ref="L108:M108"/>
    <mergeCell ref="D124:E124"/>
    <mergeCell ref="L124:M124"/>
    <mergeCell ref="D135:E135"/>
    <mergeCell ref="J176:K176"/>
    <mergeCell ref="J177:K177"/>
    <mergeCell ref="J169:K169"/>
    <mergeCell ref="J173:K173"/>
    <mergeCell ref="J156:K156"/>
    <mergeCell ref="J163:K163"/>
    <mergeCell ref="J170:K170"/>
    <mergeCell ref="J162:K162"/>
    <mergeCell ref="J171:K171"/>
    <mergeCell ref="J172:K172"/>
    <mergeCell ref="J166:K166"/>
    <mergeCell ref="J167:K167"/>
    <mergeCell ref="J174:K174"/>
    <mergeCell ref="J168:K168"/>
    <mergeCell ref="J165:K165"/>
    <mergeCell ref="J186:K186"/>
    <mergeCell ref="J157:K157"/>
    <mergeCell ref="J158:K158"/>
    <mergeCell ref="J159:K159"/>
    <mergeCell ref="J164:K164"/>
    <mergeCell ref="J160:K160"/>
    <mergeCell ref="J161:K161"/>
    <mergeCell ref="J182:K182"/>
    <mergeCell ref="J183:K183"/>
    <mergeCell ref="J184:K184"/>
    <mergeCell ref="J185:K185"/>
    <mergeCell ref="J179:K179"/>
    <mergeCell ref="J178:K178"/>
    <mergeCell ref="J175:K175"/>
    <mergeCell ref="J180:K180"/>
    <mergeCell ref="J181:K181"/>
  </mergeCells>
  <phoneticPr fontId="0" type="noConversion"/>
  <conditionalFormatting sqref="E153:E187">
    <cfRule type="expression" dxfId="711" priority="114" stopIfTrue="1">
      <formula>F153=0</formula>
    </cfRule>
  </conditionalFormatting>
  <conditionalFormatting sqref="G153:G187">
    <cfRule type="cellIs" dxfId="710" priority="115" stopIfTrue="1" operator="between">
      <formula>221100</formula>
      <formula>221140</formula>
    </cfRule>
    <cfRule type="expression" dxfId="709" priority="116" stopIfTrue="1">
      <formula>F153=0</formula>
    </cfRule>
  </conditionalFormatting>
  <conditionalFormatting sqref="D153:D187">
    <cfRule type="expression" dxfId="708" priority="117" stopIfTrue="1">
      <formula>F153=0</formula>
    </cfRule>
  </conditionalFormatting>
  <conditionalFormatting sqref="F153:F187 I153:I187">
    <cfRule type="expression" dxfId="707" priority="118" stopIfTrue="1">
      <formula>G153&gt;221144</formula>
    </cfRule>
    <cfRule type="expression" dxfId="706" priority="119" stopIfTrue="1">
      <formula>G153=0</formula>
    </cfRule>
  </conditionalFormatting>
  <conditionalFormatting sqref="L153:L187">
    <cfRule type="expression" dxfId="705" priority="120" stopIfTrue="1">
      <formula>I153=0</formula>
    </cfRule>
  </conditionalFormatting>
  <conditionalFormatting sqref="J153:K187">
    <cfRule type="cellIs" dxfId="704" priority="121" stopIfTrue="1" operator="between">
      <formula>220001</formula>
      <formula>220034</formula>
    </cfRule>
    <cfRule type="cellIs" dxfId="703" priority="122" stopIfTrue="1" operator="between">
      <formula>221141</formula>
      <formula>221144</formula>
    </cfRule>
    <cfRule type="expression" dxfId="702" priority="123" stopIfTrue="1">
      <formula>I153=0</formula>
    </cfRule>
  </conditionalFormatting>
  <conditionalFormatting sqref="M153:M187">
    <cfRule type="expression" dxfId="701" priority="124" stopIfTrue="1">
      <formula>I153=0</formula>
    </cfRule>
  </conditionalFormatting>
  <conditionalFormatting sqref="R5:R17 R25:R30 R37:R42 R49:R56 R96:R103 R110:R119 R63:R89 R137:R145 R126:R130">
    <cfRule type="cellIs" dxfId="700" priority="125" stopIfTrue="1" operator="between">
      <formula>221101</formula>
      <formula>221140</formula>
    </cfRule>
  </conditionalFormatting>
  <conditionalFormatting sqref="F137:F145 F110:F119 F126:F130 F96:F103 F63:F89 F49:F56 F37:F42 F25:F30 F5:F17">
    <cfRule type="cellIs" dxfId="699" priority="126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698" priority="127" stopIfTrue="1" operator="between">
      <formula>"XC 501"</formula>
      <formula>"XC 549"</formula>
    </cfRule>
    <cfRule type="cellIs" dxfId="697" priority="128" stopIfTrue="1" operator="between">
      <formula>"XC 201"</formula>
      <formula>"XC 399"</formula>
    </cfRule>
    <cfRule type="cellIs" dxfId="696" priority="129" stopIfTrue="1" operator="between">
      <formula>"XC 801"</formula>
      <formula>"XC 899"</formula>
    </cfRule>
  </conditionalFormatting>
  <conditionalFormatting sqref="P5:P17">
    <cfRule type="containsText" dxfId="695" priority="112" stopIfTrue="1" operator="containsText" text="Couples In Traffic">
      <formula>NOT(ISERROR(SEARCH("Couples In Traffic",P5)))</formula>
    </cfRule>
    <cfRule type="expression" dxfId="694" priority="113" stopIfTrue="1">
      <formula>"Couples In Traffic"</formula>
    </cfRule>
  </conditionalFormatting>
  <conditionalFormatting sqref="P25:P30">
    <cfRule type="containsText" dxfId="693" priority="110" stopIfTrue="1" operator="containsText" text="Couples In Traffic">
      <formula>NOT(ISERROR(SEARCH("Couples In Traffic",P25)))</formula>
    </cfRule>
    <cfRule type="expression" dxfId="692" priority="111" stopIfTrue="1">
      <formula>"Couples In Traffic"</formula>
    </cfRule>
  </conditionalFormatting>
  <conditionalFormatting sqref="P37:P42">
    <cfRule type="containsText" dxfId="691" priority="108" stopIfTrue="1" operator="containsText" text="Couples In Traffic">
      <formula>NOT(ISERROR(SEARCH("Couples In Traffic",P37)))</formula>
    </cfRule>
    <cfRule type="expression" dxfId="690" priority="109" stopIfTrue="1">
      <formula>"Couples In Traffic"</formula>
    </cfRule>
  </conditionalFormatting>
  <conditionalFormatting sqref="P49:P56">
    <cfRule type="containsText" dxfId="689" priority="106" stopIfTrue="1" operator="containsText" text="Couples In Traffic">
      <formula>NOT(ISERROR(SEARCH("Couples In Traffic",P49)))</formula>
    </cfRule>
    <cfRule type="expression" dxfId="688" priority="107" stopIfTrue="1">
      <formula>"Couples In Traffic"</formula>
    </cfRule>
  </conditionalFormatting>
  <conditionalFormatting sqref="P63:P89">
    <cfRule type="containsText" dxfId="687" priority="104" stopIfTrue="1" operator="containsText" text="Couples In Traffic">
      <formula>NOT(ISERROR(SEARCH("Couples In Traffic",P63)))</formula>
    </cfRule>
    <cfRule type="expression" dxfId="686" priority="105" stopIfTrue="1">
      <formula>"Couples In Traffic"</formula>
    </cfRule>
  </conditionalFormatting>
  <conditionalFormatting sqref="P96:P103">
    <cfRule type="containsText" dxfId="685" priority="102" stopIfTrue="1" operator="containsText" text="Couples In Traffic">
      <formula>NOT(ISERROR(SEARCH("Couples In Traffic",P96)))</formula>
    </cfRule>
    <cfRule type="expression" dxfId="684" priority="103" stopIfTrue="1">
      <formula>"Couples In Traffic"</formula>
    </cfRule>
  </conditionalFormatting>
  <conditionalFormatting sqref="P110:P119">
    <cfRule type="containsText" dxfId="683" priority="100" stopIfTrue="1" operator="containsText" text="Couples In Traffic">
      <formula>NOT(ISERROR(SEARCH("Couples In Traffic",P110)))</formula>
    </cfRule>
    <cfRule type="expression" dxfId="682" priority="101" stopIfTrue="1">
      <formula>"Couples In Traffic"</formula>
    </cfRule>
  </conditionalFormatting>
  <conditionalFormatting sqref="P126:P130">
    <cfRule type="containsText" dxfId="681" priority="98" stopIfTrue="1" operator="containsText" text="Couples In Traffic">
      <formula>NOT(ISERROR(SEARCH("Couples In Traffic",P126)))</formula>
    </cfRule>
    <cfRule type="expression" dxfId="680" priority="99" stopIfTrue="1">
      <formula>"Couples In Traffic"</formula>
    </cfRule>
  </conditionalFormatting>
  <conditionalFormatting sqref="P137:P145">
    <cfRule type="containsText" dxfId="679" priority="96" stopIfTrue="1" operator="containsText" text="Couples In Traffic">
      <formula>NOT(ISERROR(SEARCH("Couples In Traffic",P137)))</formula>
    </cfRule>
    <cfRule type="expression" dxfId="678" priority="97" stopIfTrue="1">
      <formula>"Couples In Traffic"</formula>
    </cfRule>
  </conditionalFormatting>
  <conditionalFormatting sqref="E5:E17">
    <cfRule type="cellIs" dxfId="677" priority="95" stopIfTrue="1" operator="between">
      <formula>221101</formula>
      <formula>221140</formula>
    </cfRule>
  </conditionalFormatting>
  <conditionalFormatting sqref="E5:E17">
    <cfRule type="cellIs" dxfId="676" priority="93" stopIfTrue="1" operator="equal">
      <formula>221144</formula>
    </cfRule>
    <cfRule type="cellIs" dxfId="675" priority="94" stopIfTrue="1" operator="equal">
      <formula>221136</formula>
    </cfRule>
  </conditionalFormatting>
  <conditionalFormatting sqref="E5:E17">
    <cfRule type="cellIs" dxfId="674" priority="91" stopIfTrue="1" operator="equal">
      <formula>221144</formula>
    </cfRule>
    <cfRule type="cellIs" dxfId="673" priority="92" stopIfTrue="1" operator="equal">
      <formula>221136</formula>
    </cfRule>
  </conditionalFormatting>
  <conditionalFormatting sqref="O5:O17">
    <cfRule type="cellIs" dxfId="672" priority="90" stopIfTrue="1" operator="between">
      <formula>221101</formula>
      <formula>221140</formula>
    </cfRule>
  </conditionalFormatting>
  <conditionalFormatting sqref="O5:O17">
    <cfRule type="cellIs" dxfId="671" priority="88" stopIfTrue="1" operator="equal">
      <formula>221144</formula>
    </cfRule>
    <cfRule type="cellIs" dxfId="670" priority="89" stopIfTrue="1" operator="equal">
      <formula>221136</formula>
    </cfRule>
  </conditionalFormatting>
  <conditionalFormatting sqref="O5:O17">
    <cfRule type="cellIs" dxfId="669" priority="86" stopIfTrue="1" operator="equal">
      <formula>221144</formula>
    </cfRule>
    <cfRule type="cellIs" dxfId="668" priority="87" stopIfTrue="1" operator="equal">
      <formula>221136</formula>
    </cfRule>
  </conditionalFormatting>
  <conditionalFormatting sqref="E25:E30">
    <cfRule type="cellIs" dxfId="667" priority="85" stopIfTrue="1" operator="between">
      <formula>221101</formula>
      <formula>221140</formula>
    </cfRule>
  </conditionalFormatting>
  <conditionalFormatting sqref="E25:E30">
    <cfRule type="cellIs" dxfId="666" priority="83" stopIfTrue="1" operator="equal">
      <formula>221144</formula>
    </cfRule>
    <cfRule type="cellIs" dxfId="665" priority="84" stopIfTrue="1" operator="equal">
      <formula>221136</formula>
    </cfRule>
  </conditionalFormatting>
  <conditionalFormatting sqref="O25:O30">
    <cfRule type="cellIs" dxfId="664" priority="82" stopIfTrue="1" operator="between">
      <formula>221101</formula>
      <formula>221140</formula>
    </cfRule>
  </conditionalFormatting>
  <conditionalFormatting sqref="O25:O30">
    <cfRule type="cellIs" dxfId="663" priority="80" stopIfTrue="1" operator="equal">
      <formula>221144</formula>
    </cfRule>
    <cfRule type="cellIs" dxfId="662" priority="81" stopIfTrue="1" operator="equal">
      <formula>221136</formula>
    </cfRule>
  </conditionalFormatting>
  <conditionalFormatting sqref="E37:E42">
    <cfRule type="cellIs" dxfId="661" priority="79" stopIfTrue="1" operator="between">
      <formula>221101</formula>
      <formula>221140</formula>
    </cfRule>
  </conditionalFormatting>
  <conditionalFormatting sqref="E37:E42">
    <cfRule type="cellIs" dxfId="660" priority="77" stopIfTrue="1" operator="equal">
      <formula>221144</formula>
    </cfRule>
    <cfRule type="cellIs" dxfId="659" priority="78" stopIfTrue="1" operator="equal">
      <formula>221136</formula>
    </cfRule>
  </conditionalFormatting>
  <conditionalFormatting sqref="O37:O42">
    <cfRule type="cellIs" dxfId="658" priority="76" stopIfTrue="1" operator="between">
      <formula>221101</formula>
      <formula>221140</formula>
    </cfRule>
  </conditionalFormatting>
  <conditionalFormatting sqref="O37:O42">
    <cfRule type="cellIs" dxfId="657" priority="74" stopIfTrue="1" operator="equal">
      <formula>221144</formula>
    </cfRule>
    <cfRule type="cellIs" dxfId="656" priority="75" stopIfTrue="1" operator="equal">
      <formula>221136</formula>
    </cfRule>
  </conditionalFormatting>
  <conditionalFormatting sqref="E49:E56">
    <cfRule type="cellIs" dxfId="655" priority="73" stopIfTrue="1" operator="between">
      <formula>221101</formula>
      <formula>221140</formula>
    </cfRule>
  </conditionalFormatting>
  <conditionalFormatting sqref="E49:E56">
    <cfRule type="cellIs" dxfId="654" priority="71" stopIfTrue="1" operator="equal">
      <formula>221144</formula>
    </cfRule>
    <cfRule type="cellIs" dxfId="653" priority="72" stopIfTrue="1" operator="equal">
      <formula>221136</formula>
    </cfRule>
  </conditionalFormatting>
  <conditionalFormatting sqref="E49:E56">
    <cfRule type="cellIs" dxfId="652" priority="69" stopIfTrue="1" operator="equal">
      <formula>221144</formula>
    </cfRule>
    <cfRule type="cellIs" dxfId="651" priority="70" stopIfTrue="1" operator="equal">
      <formula>221136</formula>
    </cfRule>
  </conditionalFormatting>
  <conditionalFormatting sqref="O49:O56">
    <cfRule type="cellIs" dxfId="650" priority="68" stopIfTrue="1" operator="between">
      <formula>221101</formula>
      <formula>221140</formula>
    </cfRule>
  </conditionalFormatting>
  <conditionalFormatting sqref="O49:O56">
    <cfRule type="cellIs" dxfId="649" priority="66" stopIfTrue="1" operator="equal">
      <formula>221144</formula>
    </cfRule>
    <cfRule type="cellIs" dxfId="648" priority="67" stopIfTrue="1" operator="equal">
      <formula>221136</formula>
    </cfRule>
  </conditionalFormatting>
  <conditionalFormatting sqref="O49:O56">
    <cfRule type="cellIs" dxfId="647" priority="64" stopIfTrue="1" operator="equal">
      <formula>221144</formula>
    </cfRule>
    <cfRule type="cellIs" dxfId="646" priority="65" stopIfTrue="1" operator="equal">
      <formula>221136</formula>
    </cfRule>
  </conditionalFormatting>
  <conditionalFormatting sqref="E63:E89">
    <cfRule type="cellIs" dxfId="645" priority="63" stopIfTrue="1" operator="between">
      <formula>221101</formula>
      <formula>221140</formula>
    </cfRule>
  </conditionalFormatting>
  <conditionalFormatting sqref="E63:E89">
    <cfRule type="cellIs" dxfId="644" priority="61" stopIfTrue="1" operator="equal">
      <formula>221144</formula>
    </cfRule>
    <cfRule type="cellIs" dxfId="643" priority="62" stopIfTrue="1" operator="equal">
      <formula>221136</formula>
    </cfRule>
  </conditionalFormatting>
  <conditionalFormatting sqref="O63:O89">
    <cfRule type="cellIs" dxfId="642" priority="60" stopIfTrue="1" operator="between">
      <formula>221101</formula>
      <formula>221140</formula>
    </cfRule>
  </conditionalFormatting>
  <conditionalFormatting sqref="O63:O89">
    <cfRule type="cellIs" dxfId="641" priority="58" stopIfTrue="1" operator="equal">
      <formula>221144</formula>
    </cfRule>
    <cfRule type="cellIs" dxfId="640" priority="59" stopIfTrue="1" operator="equal">
      <formula>221136</formula>
    </cfRule>
  </conditionalFormatting>
  <conditionalFormatting sqref="E96:E103">
    <cfRule type="cellIs" dxfId="639" priority="57" stopIfTrue="1" operator="between">
      <formula>221101</formula>
      <formula>221140</formula>
    </cfRule>
  </conditionalFormatting>
  <conditionalFormatting sqref="E96:E103">
    <cfRule type="cellIs" dxfId="638" priority="55" stopIfTrue="1" operator="equal">
      <formula>221144</formula>
    </cfRule>
    <cfRule type="cellIs" dxfId="637" priority="56" stopIfTrue="1" operator="equal">
      <formula>221136</formula>
    </cfRule>
  </conditionalFormatting>
  <conditionalFormatting sqref="O96:O103">
    <cfRule type="cellIs" dxfId="636" priority="54" stopIfTrue="1" operator="between">
      <formula>221101</formula>
      <formula>221140</formula>
    </cfRule>
  </conditionalFormatting>
  <conditionalFormatting sqref="O96:O103">
    <cfRule type="cellIs" dxfId="635" priority="52" stopIfTrue="1" operator="equal">
      <formula>221144</formula>
    </cfRule>
    <cfRule type="cellIs" dxfId="634" priority="53" stopIfTrue="1" operator="equal">
      <formula>221136</formula>
    </cfRule>
  </conditionalFormatting>
  <conditionalFormatting sqref="E110:E119">
    <cfRule type="cellIs" dxfId="633" priority="51" stopIfTrue="1" operator="between">
      <formula>221101</formula>
      <formula>221140</formula>
    </cfRule>
  </conditionalFormatting>
  <conditionalFormatting sqref="E110:E119">
    <cfRule type="cellIs" dxfId="632" priority="49" stopIfTrue="1" operator="equal">
      <formula>221144</formula>
    </cfRule>
    <cfRule type="cellIs" dxfId="631" priority="50" stopIfTrue="1" operator="equal">
      <formula>221136</formula>
    </cfRule>
  </conditionalFormatting>
  <conditionalFormatting sqref="O110:O119">
    <cfRule type="cellIs" dxfId="630" priority="48" stopIfTrue="1" operator="between">
      <formula>221101</formula>
      <formula>221140</formula>
    </cfRule>
  </conditionalFormatting>
  <conditionalFormatting sqref="O110:O119">
    <cfRule type="cellIs" dxfId="629" priority="46" stopIfTrue="1" operator="equal">
      <formula>221144</formula>
    </cfRule>
    <cfRule type="cellIs" dxfId="628" priority="47" stopIfTrue="1" operator="equal">
      <formula>221136</formula>
    </cfRule>
  </conditionalFormatting>
  <conditionalFormatting sqref="E126:E130">
    <cfRule type="cellIs" dxfId="627" priority="45" stopIfTrue="1" operator="between">
      <formula>221101</formula>
      <formula>221140</formula>
    </cfRule>
  </conditionalFormatting>
  <conditionalFormatting sqref="E126:E130">
    <cfRule type="cellIs" dxfId="626" priority="43" stopIfTrue="1" operator="equal">
      <formula>221144</formula>
    </cfRule>
    <cfRule type="cellIs" dxfId="625" priority="44" stopIfTrue="1" operator="equal">
      <formula>221136</formula>
    </cfRule>
  </conditionalFormatting>
  <conditionalFormatting sqref="O126:O130">
    <cfRule type="cellIs" dxfId="624" priority="42" stopIfTrue="1" operator="between">
      <formula>221101</formula>
      <formula>221140</formula>
    </cfRule>
  </conditionalFormatting>
  <conditionalFormatting sqref="O126:O130">
    <cfRule type="cellIs" dxfId="623" priority="40" stopIfTrue="1" operator="equal">
      <formula>221144</formula>
    </cfRule>
    <cfRule type="cellIs" dxfId="622" priority="41" stopIfTrue="1" operator="equal">
      <formula>221136</formula>
    </cfRule>
  </conditionalFormatting>
  <conditionalFormatting sqref="E137:E145">
    <cfRule type="cellIs" dxfId="621" priority="39" stopIfTrue="1" operator="between">
      <formula>221101</formula>
      <formula>221140</formula>
    </cfRule>
  </conditionalFormatting>
  <conditionalFormatting sqref="E137:E145">
    <cfRule type="cellIs" dxfId="620" priority="37" stopIfTrue="1" operator="equal">
      <formula>221144</formula>
    </cfRule>
    <cfRule type="cellIs" dxfId="619" priority="38" stopIfTrue="1" operator="equal">
      <formula>221136</formula>
    </cfRule>
  </conditionalFormatting>
  <conditionalFormatting sqref="O137:O145">
    <cfRule type="cellIs" dxfId="618" priority="36" stopIfTrue="1" operator="between">
      <formula>221101</formula>
      <formula>221140</formula>
    </cfRule>
  </conditionalFormatting>
  <conditionalFormatting sqref="O137:O145">
    <cfRule type="cellIs" dxfId="617" priority="34" stopIfTrue="1" operator="equal">
      <formula>221144</formula>
    </cfRule>
    <cfRule type="cellIs" dxfId="616" priority="35" stopIfTrue="1" operator="equal">
      <formula>221136</formula>
    </cfRule>
  </conditionalFormatting>
  <conditionalFormatting sqref="E5:E17 O5:O17 E25:E30 O25:O30 E37:E42 O37:O42 E49:E56 O49:O56 E63:E89 O63:O89 E96:E103 O96:O103 E110:E119 O110:O119 E126:E130 O126:O130 E137:E145 O137:O145">
    <cfRule type="cellIs" dxfId="615" priority="33" operator="equal">
      <formula>221140</formula>
    </cfRule>
  </conditionalFormatting>
  <conditionalFormatting sqref="Q5:Q17">
    <cfRule type="cellIs" dxfId="614" priority="32" stopIfTrue="1" operator="between">
      <formula>221101</formula>
      <formula>221140</formula>
    </cfRule>
  </conditionalFormatting>
  <conditionalFormatting sqref="Q5:Q17">
    <cfRule type="cellIs" dxfId="613" priority="30" stopIfTrue="1" operator="equal">
      <formula>221144</formula>
    </cfRule>
    <cfRule type="cellIs" dxfId="612" priority="31" stopIfTrue="1" operator="equal">
      <formula>221136</formula>
    </cfRule>
  </conditionalFormatting>
  <conditionalFormatting sqref="Q5:Q17">
    <cfRule type="cellIs" dxfId="611" priority="28" stopIfTrue="1" operator="equal">
      <formula>221144</formula>
    </cfRule>
    <cfRule type="cellIs" dxfId="610" priority="29" stopIfTrue="1" operator="equal">
      <formula>221136</formula>
    </cfRule>
  </conditionalFormatting>
  <conditionalFormatting sqref="Q25:Q30">
    <cfRule type="cellIs" dxfId="609" priority="27" stopIfTrue="1" operator="between">
      <formula>221101</formula>
      <formula>221140</formula>
    </cfRule>
  </conditionalFormatting>
  <conditionalFormatting sqref="Q25:Q30">
    <cfRule type="cellIs" dxfId="608" priority="25" stopIfTrue="1" operator="equal">
      <formula>221144</formula>
    </cfRule>
    <cfRule type="cellIs" dxfId="607" priority="26" stopIfTrue="1" operator="equal">
      <formula>221136</formula>
    </cfRule>
  </conditionalFormatting>
  <conditionalFormatting sqref="Q37:Q42">
    <cfRule type="cellIs" dxfId="606" priority="24" stopIfTrue="1" operator="between">
      <formula>221101</formula>
      <formula>221140</formula>
    </cfRule>
  </conditionalFormatting>
  <conditionalFormatting sqref="Q37:Q42">
    <cfRule type="cellIs" dxfId="605" priority="22" stopIfTrue="1" operator="equal">
      <formula>221144</formula>
    </cfRule>
    <cfRule type="cellIs" dxfId="604" priority="23" stopIfTrue="1" operator="equal">
      <formula>221136</formula>
    </cfRule>
  </conditionalFormatting>
  <conditionalFormatting sqref="Q49:Q56">
    <cfRule type="cellIs" dxfId="603" priority="21" stopIfTrue="1" operator="between">
      <formula>221101</formula>
      <formula>221140</formula>
    </cfRule>
  </conditionalFormatting>
  <conditionalFormatting sqref="Q49:Q56">
    <cfRule type="cellIs" dxfId="602" priority="19" stopIfTrue="1" operator="equal">
      <formula>221144</formula>
    </cfRule>
    <cfRule type="cellIs" dxfId="601" priority="20" stopIfTrue="1" operator="equal">
      <formula>221136</formula>
    </cfRule>
  </conditionalFormatting>
  <conditionalFormatting sqref="Q49:Q56">
    <cfRule type="cellIs" dxfId="600" priority="17" stopIfTrue="1" operator="equal">
      <formula>221144</formula>
    </cfRule>
    <cfRule type="cellIs" dxfId="599" priority="18" stopIfTrue="1" operator="equal">
      <formula>221136</formula>
    </cfRule>
  </conditionalFormatting>
  <conditionalFormatting sqref="Q63:Q89">
    <cfRule type="cellIs" dxfId="598" priority="16" stopIfTrue="1" operator="between">
      <formula>221101</formula>
      <formula>221140</formula>
    </cfRule>
  </conditionalFormatting>
  <conditionalFormatting sqref="Q63:Q89">
    <cfRule type="cellIs" dxfId="597" priority="14" stopIfTrue="1" operator="equal">
      <formula>221144</formula>
    </cfRule>
    <cfRule type="cellIs" dxfId="596" priority="15" stopIfTrue="1" operator="equal">
      <formula>221136</formula>
    </cfRule>
  </conditionalFormatting>
  <conditionalFormatting sqref="Q96:Q103">
    <cfRule type="cellIs" dxfId="595" priority="13" stopIfTrue="1" operator="between">
      <formula>221101</formula>
      <formula>221140</formula>
    </cfRule>
  </conditionalFormatting>
  <conditionalFormatting sqref="Q96:Q103">
    <cfRule type="cellIs" dxfId="594" priority="11" stopIfTrue="1" operator="equal">
      <formula>221144</formula>
    </cfRule>
    <cfRule type="cellIs" dxfId="593" priority="12" stopIfTrue="1" operator="equal">
      <formula>221136</formula>
    </cfRule>
  </conditionalFormatting>
  <conditionalFormatting sqref="Q110:Q119">
    <cfRule type="cellIs" dxfId="592" priority="10" stopIfTrue="1" operator="between">
      <formula>221101</formula>
      <formula>221140</formula>
    </cfRule>
  </conditionalFormatting>
  <conditionalFormatting sqref="Q110:Q119">
    <cfRule type="cellIs" dxfId="591" priority="8" stopIfTrue="1" operator="equal">
      <formula>221144</formula>
    </cfRule>
    <cfRule type="cellIs" dxfId="590" priority="9" stopIfTrue="1" operator="equal">
      <formula>221136</formula>
    </cfRule>
  </conditionalFormatting>
  <conditionalFormatting sqref="Q126:Q130">
    <cfRule type="cellIs" dxfId="589" priority="7" stopIfTrue="1" operator="between">
      <formula>221101</formula>
      <formula>221140</formula>
    </cfRule>
  </conditionalFormatting>
  <conditionalFormatting sqref="Q126:Q130">
    <cfRule type="cellIs" dxfId="588" priority="5" stopIfTrue="1" operator="equal">
      <formula>221144</formula>
    </cfRule>
    <cfRule type="cellIs" dxfId="587" priority="6" stopIfTrue="1" operator="equal">
      <formula>221136</formula>
    </cfRule>
  </conditionalFormatting>
  <conditionalFormatting sqref="Q137:Q145">
    <cfRule type="cellIs" dxfId="586" priority="4" stopIfTrue="1" operator="between">
      <formula>221101</formula>
      <formula>221140</formula>
    </cfRule>
  </conditionalFormatting>
  <conditionalFormatting sqref="Q137:Q145">
    <cfRule type="cellIs" dxfId="585" priority="2" stopIfTrue="1" operator="equal">
      <formula>221144</formula>
    </cfRule>
    <cfRule type="cellIs" dxfId="584" priority="3" stopIfTrue="1" operator="equal">
      <formula>221136</formula>
    </cfRule>
  </conditionalFormatting>
  <conditionalFormatting sqref="Q5:Q17 Q25:Q30 Q37:Q42 Q49:Q56 Q63:Q89 Q96:Q103 Q110:Q119 Q126:Q130 Q137:Q145">
    <cfRule type="cellIs" dxfId="583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4" max="15" man="1"/>
    <brk id="58" max="16383" man="1"/>
    <brk id="91" max="15" man="1"/>
    <brk id="122" max="15" man="1"/>
    <brk id="148" max="15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190"/>
  <sheetViews>
    <sheetView view="pageBreakPreview" topLeftCell="A59" zoomScaleNormal="70" zoomScaleSheetLayoutView="100" workbookViewId="0">
      <selection activeCell="E74" sqref="E74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9.85546875" style="6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113</v>
      </c>
      <c r="B3" s="118"/>
      <c r="C3" s="9"/>
      <c r="D3" s="255">
        <f>'DEPT BAL'!$G$4-1</f>
        <v>43068</v>
      </c>
      <c r="E3" s="255"/>
      <c r="I3" s="8" t="s">
        <v>114</v>
      </c>
      <c r="J3" s="118"/>
      <c r="L3" s="252">
        <f>D3+1</f>
        <v>43069</v>
      </c>
      <c r="M3" s="252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231"/>
      <c r="P4" s="5" t="s">
        <v>420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279</v>
      </c>
      <c r="C5" s="11" t="s">
        <v>130</v>
      </c>
      <c r="D5" s="25" t="s">
        <v>318</v>
      </c>
      <c r="E5" s="40"/>
      <c r="F5" s="134"/>
      <c r="G5" s="12"/>
      <c r="H5" s="174" t="str">
        <f>$I$2</f>
        <v>EC</v>
      </c>
      <c r="I5" s="10" t="s">
        <v>51</v>
      </c>
      <c r="J5" s="120" t="s">
        <v>211</v>
      </c>
      <c r="K5" s="209" t="s">
        <v>368</v>
      </c>
      <c r="L5" s="11" t="s">
        <v>60</v>
      </c>
      <c r="M5" s="13" t="s">
        <v>229</v>
      </c>
      <c r="N5" s="78">
        <v>1031.6199999999999</v>
      </c>
      <c r="O5" s="232"/>
      <c r="P5" s="107"/>
      <c r="Q5" s="40"/>
      <c r="R5" s="222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151</v>
      </c>
      <c r="C6" s="15" t="s">
        <v>130</v>
      </c>
      <c r="D6" s="18" t="s">
        <v>266</v>
      </c>
      <c r="E6" s="40"/>
      <c r="F6" s="135"/>
      <c r="G6" s="17"/>
      <c r="H6" s="174" t="str">
        <f t="shared" ref="H6:H17" si="0">$I$2</f>
        <v>EC</v>
      </c>
      <c r="I6" s="14" t="s">
        <v>31</v>
      </c>
      <c r="J6" s="126" t="s">
        <v>250</v>
      </c>
      <c r="K6" s="135" t="s">
        <v>270</v>
      </c>
      <c r="L6" s="15" t="s">
        <v>61</v>
      </c>
      <c r="M6" s="19" t="s">
        <v>321</v>
      </c>
      <c r="N6" s="79">
        <v>920.67</v>
      </c>
      <c r="O6" s="233"/>
      <c r="P6" s="108"/>
      <c r="Q6" s="40"/>
      <c r="R6" s="223"/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182</v>
      </c>
      <c r="C7" s="15" t="s">
        <v>130</v>
      </c>
      <c r="D7" s="18" t="s">
        <v>261</v>
      </c>
      <c r="E7" s="40"/>
      <c r="F7" s="135"/>
      <c r="G7" s="17"/>
      <c r="H7" s="174" t="str">
        <f t="shared" si="0"/>
        <v>EC</v>
      </c>
      <c r="I7" s="14" t="s">
        <v>30</v>
      </c>
      <c r="J7" s="126" t="s">
        <v>265</v>
      </c>
      <c r="K7" s="135" t="s">
        <v>218</v>
      </c>
      <c r="L7" s="15" t="s">
        <v>60</v>
      </c>
      <c r="M7" s="19" t="s">
        <v>378</v>
      </c>
      <c r="N7" s="79">
        <v>1035.1400000000001</v>
      </c>
      <c r="O7" s="233"/>
      <c r="P7" s="108"/>
      <c r="Q7" s="40"/>
      <c r="R7" s="223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232</v>
      </c>
      <c r="C8" s="15" t="s">
        <v>130</v>
      </c>
      <c r="D8" s="18" t="s">
        <v>288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251</v>
      </c>
      <c r="K8" s="135" t="s">
        <v>286</v>
      </c>
      <c r="L8" s="30" t="s">
        <v>56</v>
      </c>
      <c r="M8" s="94" t="s">
        <v>311</v>
      </c>
      <c r="N8" s="99">
        <v>971.07</v>
      </c>
      <c r="O8" s="234"/>
      <c r="P8" s="108" t="s">
        <v>149</v>
      </c>
      <c r="Q8" s="40"/>
      <c r="R8" s="223"/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273</v>
      </c>
      <c r="C9" s="30" t="s">
        <v>131</v>
      </c>
      <c r="D9" s="18" t="s">
        <v>175</v>
      </c>
      <c r="E9" s="40"/>
      <c r="F9" s="135"/>
      <c r="G9" s="17"/>
      <c r="H9" s="174" t="str">
        <f>$I$2</f>
        <v>EC</v>
      </c>
      <c r="I9" s="14" t="s">
        <v>38</v>
      </c>
      <c r="J9" s="121" t="s">
        <v>150</v>
      </c>
      <c r="K9" s="140" t="s">
        <v>297</v>
      </c>
      <c r="L9" s="15" t="s">
        <v>55</v>
      </c>
      <c r="M9" s="19" t="s">
        <v>379</v>
      </c>
      <c r="N9" s="79">
        <v>990.47</v>
      </c>
      <c r="O9" s="233"/>
      <c r="P9" s="108"/>
      <c r="Q9" s="40"/>
      <c r="R9" s="223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152</v>
      </c>
      <c r="C10" s="32" t="s">
        <v>130</v>
      </c>
      <c r="D10" s="18" t="s">
        <v>329</v>
      </c>
      <c r="E10" s="40"/>
      <c r="F10" s="135"/>
      <c r="G10" s="17"/>
      <c r="H10" s="174" t="str">
        <f t="shared" si="0"/>
        <v>EC</v>
      </c>
      <c r="I10" s="14" t="s">
        <v>105</v>
      </c>
      <c r="J10" s="181"/>
      <c r="K10" s="210"/>
      <c r="L10" s="15" t="s">
        <v>58</v>
      </c>
      <c r="M10" s="19" t="s">
        <v>312</v>
      </c>
      <c r="N10" s="79">
        <v>900.47</v>
      </c>
      <c r="O10" s="233"/>
      <c r="P10" s="108"/>
      <c r="Q10" s="40"/>
      <c r="R10" s="224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235"/>
      <c r="P11" s="108"/>
      <c r="Q11" s="40"/>
      <c r="R11" s="224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235"/>
      <c r="P12" s="108"/>
      <c r="Q12" s="40"/>
      <c r="R12" s="224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234"/>
      <c r="P13" s="108"/>
      <c r="Q13" s="40"/>
      <c r="R13" s="224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235"/>
      <c r="P14" s="109"/>
      <c r="Q14" s="40"/>
      <c r="R14" s="224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235"/>
      <c r="P15" s="109"/>
      <c r="Q15" s="40"/>
      <c r="R15" s="224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235"/>
      <c r="P16" s="109"/>
      <c r="Q16" s="40"/>
      <c r="R16" s="224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236"/>
      <c r="P17" s="110"/>
      <c r="Q17" s="41"/>
      <c r="R17" s="225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Q22" s="46"/>
      <c r="R22" s="46"/>
    </row>
    <row r="23" spans="1:19" ht="21.75" customHeight="1" thickBot="1" x14ac:dyDescent="0.25">
      <c r="A23" s="8" t="s">
        <v>113</v>
      </c>
      <c r="B23" s="118"/>
      <c r="C23" s="9"/>
      <c r="D23" s="255">
        <f>'DEPT BAL'!$G$4-1</f>
        <v>43068</v>
      </c>
      <c r="E23" s="255"/>
      <c r="F23" s="138"/>
      <c r="I23" s="8" t="s">
        <v>114</v>
      </c>
      <c r="J23" s="118"/>
      <c r="L23" s="252">
        <f>D23+1</f>
        <v>43069</v>
      </c>
      <c r="M23" s="252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231"/>
      <c r="P24" s="5" t="s">
        <v>420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244</v>
      </c>
      <c r="C25" s="11" t="s">
        <v>134</v>
      </c>
      <c r="D25" s="25" t="s">
        <v>322</v>
      </c>
      <c r="E25" s="39"/>
      <c r="F25" s="134"/>
      <c r="G25" s="12"/>
      <c r="H25" s="174" t="str">
        <f t="shared" ref="H25:H30" si="2">$I$22</f>
        <v>TY</v>
      </c>
      <c r="I25" s="10" t="s">
        <v>89</v>
      </c>
      <c r="J25" s="120" t="s">
        <v>256</v>
      </c>
      <c r="K25" s="209" t="s">
        <v>286</v>
      </c>
      <c r="L25" s="11" t="s">
        <v>59</v>
      </c>
      <c r="M25" s="13" t="s">
        <v>335</v>
      </c>
      <c r="N25" s="78">
        <v>965.76</v>
      </c>
      <c r="O25" s="232"/>
      <c r="P25" s="107"/>
      <c r="Q25" s="39"/>
      <c r="R25" s="222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275</v>
      </c>
      <c r="C26" s="15" t="s">
        <v>134</v>
      </c>
      <c r="D26" s="18" t="s">
        <v>295</v>
      </c>
      <c r="E26" s="40"/>
      <c r="F26" s="135"/>
      <c r="G26" s="17"/>
      <c r="H26" s="174" t="str">
        <f t="shared" si="2"/>
        <v>TY</v>
      </c>
      <c r="I26" s="14" t="s">
        <v>35</v>
      </c>
      <c r="J26" s="126" t="s">
        <v>257</v>
      </c>
      <c r="K26" s="135" t="s">
        <v>278</v>
      </c>
      <c r="L26" s="15" t="s">
        <v>62</v>
      </c>
      <c r="M26" s="19" t="s">
        <v>288</v>
      </c>
      <c r="N26" s="79">
        <v>1009.6</v>
      </c>
      <c r="O26" s="233"/>
      <c r="P26" s="108"/>
      <c r="Q26" s="40"/>
      <c r="R26" s="223"/>
      <c r="S26" s="116" t="str">
        <f t="shared" si="3"/>
        <v>Yes</v>
      </c>
    </row>
    <row r="27" spans="1:19" ht="21.75" customHeight="1" x14ac:dyDescent="0.2">
      <c r="A27" s="14" t="s">
        <v>87</v>
      </c>
      <c r="B27" s="181"/>
      <c r="C27" s="15" t="s">
        <v>134</v>
      </c>
      <c r="D27" s="18" t="s">
        <v>295</v>
      </c>
      <c r="E27" s="40"/>
      <c r="F27" s="135"/>
      <c r="G27" s="17"/>
      <c r="H27" s="174" t="str">
        <f t="shared" si="2"/>
        <v>TY</v>
      </c>
      <c r="I27" s="14" t="s">
        <v>32</v>
      </c>
      <c r="J27" s="121" t="s">
        <v>258</v>
      </c>
      <c r="K27" s="140" t="s">
        <v>293</v>
      </c>
      <c r="L27" s="15" t="s">
        <v>61</v>
      </c>
      <c r="M27" s="19" t="s">
        <v>188</v>
      </c>
      <c r="N27" s="79">
        <v>889.99</v>
      </c>
      <c r="O27" s="233"/>
      <c r="P27" s="112"/>
      <c r="Q27" s="40"/>
      <c r="R27" s="223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192</v>
      </c>
      <c r="C28" s="15" t="s">
        <v>134</v>
      </c>
      <c r="D28" s="18" t="s">
        <v>289</v>
      </c>
      <c r="E28" s="40"/>
      <c r="F28" s="135"/>
      <c r="G28" s="17"/>
      <c r="H28" s="174" t="str">
        <f t="shared" si="2"/>
        <v>TY</v>
      </c>
      <c r="I28" s="14" t="s">
        <v>86</v>
      </c>
      <c r="J28" s="181"/>
      <c r="K28" s="210"/>
      <c r="L28" s="15" t="s">
        <v>62</v>
      </c>
      <c r="M28" s="19" t="s">
        <v>318</v>
      </c>
      <c r="N28" s="79">
        <v>844.14</v>
      </c>
      <c r="O28" s="233"/>
      <c r="P28" s="108"/>
      <c r="Q28" s="40"/>
      <c r="R28" s="223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233"/>
      <c r="P29" s="108"/>
      <c r="Q29" s="40"/>
      <c r="R29" s="223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236"/>
      <c r="P30" s="110"/>
      <c r="Q30" s="41"/>
      <c r="R30" s="225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Q34" s="46"/>
      <c r="R34" s="46"/>
    </row>
    <row r="35" spans="1:19" ht="21.75" customHeight="1" thickBot="1" x14ac:dyDescent="0.25">
      <c r="A35" s="8" t="s">
        <v>113</v>
      </c>
      <c r="B35" s="118"/>
      <c r="C35" s="9"/>
      <c r="D35" s="255">
        <f>'DEPT BAL'!$G$4-1</f>
        <v>43068</v>
      </c>
      <c r="E35" s="255"/>
      <c r="F35" s="138"/>
      <c r="I35" s="8" t="s">
        <v>114</v>
      </c>
      <c r="J35" s="118"/>
      <c r="L35" s="252">
        <f>D35+1</f>
        <v>43069</v>
      </c>
      <c r="M35" s="252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231"/>
      <c r="P36" s="5" t="s">
        <v>420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193</v>
      </c>
      <c r="C37" s="30" t="s">
        <v>136</v>
      </c>
      <c r="D37" s="18" t="s">
        <v>229</v>
      </c>
      <c r="E37" s="39"/>
      <c r="F37" s="135"/>
      <c r="G37" s="12"/>
      <c r="H37" s="174" t="str">
        <f t="shared" ref="H37:H42" si="4">$I$34</f>
        <v>XW</v>
      </c>
      <c r="I37" s="10" t="s">
        <v>45</v>
      </c>
      <c r="J37" s="120" t="s">
        <v>249</v>
      </c>
      <c r="K37" s="209" t="s">
        <v>223</v>
      </c>
      <c r="L37" s="11" t="s">
        <v>56</v>
      </c>
      <c r="M37" s="13" t="s">
        <v>287</v>
      </c>
      <c r="N37" s="78">
        <v>957.64</v>
      </c>
      <c r="O37" s="232"/>
      <c r="P37" s="167"/>
      <c r="Q37" s="39"/>
      <c r="R37" s="222"/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308</v>
      </c>
      <c r="C38" s="15" t="s">
        <v>136</v>
      </c>
      <c r="D38" s="18" t="s">
        <v>378</v>
      </c>
      <c r="E38" s="40"/>
      <c r="F38" s="135"/>
      <c r="G38" s="17"/>
      <c r="H38" s="174" t="str">
        <f t="shared" si="4"/>
        <v>XW</v>
      </c>
      <c r="I38" s="14" t="s">
        <v>25</v>
      </c>
      <c r="J38" s="126" t="s">
        <v>259</v>
      </c>
      <c r="K38" s="135" t="s">
        <v>310</v>
      </c>
      <c r="L38" s="15" t="s">
        <v>62</v>
      </c>
      <c r="M38" s="19" t="s">
        <v>266</v>
      </c>
      <c r="N38" s="79">
        <v>955.85</v>
      </c>
      <c r="O38" s="233"/>
      <c r="P38" s="90"/>
      <c r="Q38" s="40"/>
      <c r="R38" s="223"/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194</v>
      </c>
      <c r="C39" s="15" t="s">
        <v>137</v>
      </c>
      <c r="D39" s="18" t="s">
        <v>323</v>
      </c>
      <c r="E39" s="40"/>
      <c r="F39" s="135"/>
      <c r="G39" s="17"/>
      <c r="H39" s="174" t="str">
        <f t="shared" si="4"/>
        <v>XW</v>
      </c>
      <c r="I39" s="14" t="s">
        <v>44</v>
      </c>
      <c r="J39" s="126" t="s">
        <v>260</v>
      </c>
      <c r="K39" s="135" t="s">
        <v>367</v>
      </c>
      <c r="L39" s="15" t="s">
        <v>56</v>
      </c>
      <c r="M39" s="19" t="s">
        <v>358</v>
      </c>
      <c r="N39" s="79">
        <v>869.21</v>
      </c>
      <c r="O39" s="233"/>
      <c r="P39" s="113"/>
      <c r="Q39" s="40"/>
      <c r="R39" s="223"/>
      <c r="S39" s="116" t="str">
        <f t="shared" si="5"/>
        <v>Yes</v>
      </c>
    </row>
    <row r="40" spans="1:19" ht="21.75" customHeight="1" x14ac:dyDescent="0.2">
      <c r="A40" s="14" t="s">
        <v>390</v>
      </c>
      <c r="B40" s="126" t="s">
        <v>290</v>
      </c>
      <c r="C40" s="15"/>
      <c r="D40" s="16"/>
      <c r="E40" s="40"/>
      <c r="F40" s="135"/>
      <c r="G40" s="17"/>
      <c r="H40" s="174" t="str">
        <f t="shared" si="4"/>
        <v>XW</v>
      </c>
      <c r="I40" s="14" t="s">
        <v>390</v>
      </c>
      <c r="J40" s="126" t="s">
        <v>290</v>
      </c>
      <c r="K40" s="135" t="s">
        <v>291</v>
      </c>
      <c r="L40" s="15"/>
      <c r="M40" s="19"/>
      <c r="N40" s="79">
        <v>0</v>
      </c>
      <c r="O40" s="233"/>
      <c r="P40" s="113"/>
      <c r="Q40" s="40"/>
      <c r="R40" s="223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233"/>
      <c r="P41" s="108"/>
      <c r="Q41" s="40"/>
      <c r="R41" s="224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236"/>
      <c r="P42" s="110"/>
      <c r="Q42" s="41"/>
      <c r="R42" s="225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Q46" s="46"/>
      <c r="R46" s="46"/>
    </row>
    <row r="47" spans="1:19" ht="21.75" customHeight="1" thickBot="1" x14ac:dyDescent="0.25">
      <c r="A47" s="8" t="s">
        <v>113</v>
      </c>
      <c r="B47" s="118"/>
      <c r="C47" s="9"/>
      <c r="D47" s="255">
        <f>'DEPT BAL'!$G$4-1</f>
        <v>43068</v>
      </c>
      <c r="E47" s="255"/>
      <c r="F47" s="138"/>
      <c r="I47" s="8" t="s">
        <v>114</v>
      </c>
      <c r="J47" s="118"/>
      <c r="L47" s="252">
        <f>D47+1</f>
        <v>43069</v>
      </c>
      <c r="M47" s="252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231"/>
      <c r="P48" s="5" t="s">
        <v>420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186</v>
      </c>
      <c r="C49" s="15" t="s">
        <v>228</v>
      </c>
      <c r="D49" s="18" t="s">
        <v>178</v>
      </c>
      <c r="E49" s="40"/>
      <c r="F49" s="134"/>
      <c r="G49" s="12"/>
      <c r="H49" s="174" t="str">
        <f t="shared" ref="H49:H56" si="6">$I$46</f>
        <v>MA</v>
      </c>
      <c r="I49" s="10" t="s">
        <v>34</v>
      </c>
      <c r="J49" s="120" t="s">
        <v>253</v>
      </c>
      <c r="K49" s="211" t="s">
        <v>218</v>
      </c>
      <c r="L49" s="11" t="s">
        <v>56</v>
      </c>
      <c r="M49" s="13" t="s">
        <v>282</v>
      </c>
      <c r="N49" s="144">
        <v>823.21</v>
      </c>
      <c r="O49" s="237"/>
      <c r="P49" s="167"/>
      <c r="Q49" s="40"/>
      <c r="R49" s="222"/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187</v>
      </c>
      <c r="C50" s="15" t="s">
        <v>228</v>
      </c>
      <c r="D50" s="18" t="s">
        <v>188</v>
      </c>
      <c r="E50" s="40"/>
      <c r="F50" s="135"/>
      <c r="G50" s="17"/>
      <c r="H50" s="174" t="str">
        <f t="shared" si="6"/>
        <v>MA</v>
      </c>
      <c r="I50" s="14" t="s">
        <v>146</v>
      </c>
      <c r="J50" s="126" t="s">
        <v>138</v>
      </c>
      <c r="K50" s="135" t="s">
        <v>154</v>
      </c>
      <c r="L50" s="15" t="s">
        <v>55</v>
      </c>
      <c r="M50" s="19" t="s">
        <v>319</v>
      </c>
      <c r="N50" s="79">
        <v>863.74</v>
      </c>
      <c r="O50" s="233"/>
      <c r="P50" s="108"/>
      <c r="Q50" s="40"/>
      <c r="R50" s="223"/>
      <c r="S50" s="116" t="str">
        <f t="shared" si="7"/>
        <v>Yes</v>
      </c>
    </row>
    <row r="51" spans="1:19" ht="21.75" customHeight="1" x14ac:dyDescent="0.2">
      <c r="A51" s="14" t="s">
        <v>146</v>
      </c>
      <c r="B51" s="126" t="s">
        <v>189</v>
      </c>
      <c r="C51" s="15" t="s">
        <v>228</v>
      </c>
      <c r="D51" s="18" t="s">
        <v>319</v>
      </c>
      <c r="E51" s="40"/>
      <c r="F51" s="135"/>
      <c r="G51" s="17"/>
      <c r="H51" s="174" t="str">
        <f t="shared" si="6"/>
        <v>MA</v>
      </c>
      <c r="I51" s="14" t="s">
        <v>24</v>
      </c>
      <c r="J51" s="126" t="s">
        <v>255</v>
      </c>
      <c r="K51" s="135" t="s">
        <v>330</v>
      </c>
      <c r="L51" s="15" t="s">
        <v>56</v>
      </c>
      <c r="M51" s="19" t="s">
        <v>285</v>
      </c>
      <c r="N51" s="79">
        <v>804.67</v>
      </c>
      <c r="O51" s="233"/>
      <c r="P51" s="112"/>
      <c r="Q51" s="40"/>
      <c r="R51" s="223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190</v>
      </c>
      <c r="C52" s="15" t="s">
        <v>228</v>
      </c>
      <c r="D52" s="18" t="s">
        <v>379</v>
      </c>
      <c r="E52" s="40"/>
      <c r="F52" s="135"/>
      <c r="G52" s="17"/>
      <c r="H52" s="174" t="str">
        <f t="shared" si="6"/>
        <v>MA</v>
      </c>
      <c r="I52" s="14" t="s">
        <v>37</v>
      </c>
      <c r="J52" s="126" t="s">
        <v>263</v>
      </c>
      <c r="K52" s="135" t="s">
        <v>221</v>
      </c>
      <c r="L52" s="15" t="s">
        <v>58</v>
      </c>
      <c r="M52" s="19" t="s">
        <v>300</v>
      </c>
      <c r="N52" s="79">
        <v>817.99</v>
      </c>
      <c r="O52" s="233"/>
      <c r="P52" s="108"/>
      <c r="Q52" s="40"/>
      <c r="R52" s="223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17"/>
      <c r="H53" s="174" t="str">
        <f t="shared" si="6"/>
        <v>MA</v>
      </c>
      <c r="I53" s="14"/>
      <c r="J53" s="180"/>
      <c r="K53" s="154"/>
      <c r="L53" s="29"/>
      <c r="M53" s="77"/>
      <c r="N53" s="98"/>
      <c r="O53" s="238"/>
      <c r="P53" s="108"/>
      <c r="Q53" s="40"/>
      <c r="R53" s="223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0"/>
      <c r="K54" s="154"/>
      <c r="L54" s="81"/>
      <c r="M54" s="94"/>
      <c r="N54" s="99"/>
      <c r="O54" s="234"/>
      <c r="P54" s="114"/>
      <c r="Q54" s="69"/>
      <c r="R54" s="224"/>
      <c r="S54" s="116" t="str">
        <f t="shared" si="7"/>
        <v/>
      </c>
    </row>
    <row r="55" spans="1:19" ht="21.75" customHeight="1" x14ac:dyDescent="0.2">
      <c r="A55" s="14"/>
      <c r="B55" s="180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235"/>
      <c r="P55" s="109"/>
      <c r="Q55" s="69"/>
      <c r="R55" s="224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236"/>
      <c r="P56" s="110"/>
      <c r="Q56" s="41"/>
      <c r="R56" s="225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Q60" s="46"/>
      <c r="R60" s="46"/>
    </row>
    <row r="61" spans="1:19" ht="21.75" customHeight="1" thickBot="1" x14ac:dyDescent="0.25">
      <c r="A61" s="8" t="s">
        <v>113</v>
      </c>
      <c r="B61" s="118"/>
      <c r="C61" s="9"/>
      <c r="D61" s="255">
        <f>'DEPT BAL'!$G$4-1</f>
        <v>43068</v>
      </c>
      <c r="E61" s="255"/>
      <c r="F61" s="138"/>
      <c r="I61" s="8" t="s">
        <v>114</v>
      </c>
      <c r="J61" s="118"/>
      <c r="L61" s="252">
        <f>D61+1</f>
        <v>43069</v>
      </c>
      <c r="M61" s="252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231"/>
      <c r="P62" s="5" t="s">
        <v>420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316</v>
      </c>
      <c r="C63" s="11" t="s">
        <v>317</v>
      </c>
      <c r="D63" s="25" t="s">
        <v>315</v>
      </c>
      <c r="E63" s="39"/>
      <c r="F63" s="134"/>
      <c r="G63" s="12"/>
      <c r="H63" s="174" t="str">
        <f>$I$60</f>
        <v>CZ</v>
      </c>
      <c r="I63" s="10" t="s">
        <v>52</v>
      </c>
      <c r="J63" s="120" t="s">
        <v>198</v>
      </c>
      <c r="K63" s="209" t="s">
        <v>230</v>
      </c>
      <c r="L63" s="11" t="s">
        <v>59</v>
      </c>
      <c r="M63" s="13" t="s">
        <v>360</v>
      </c>
      <c r="N63" s="78">
        <v>897.69</v>
      </c>
      <c r="O63" s="232"/>
      <c r="P63" s="107"/>
      <c r="Q63" s="39"/>
      <c r="R63" s="222"/>
      <c r="S63" s="115" t="str">
        <f>IF(N63&gt;0,"Yes","")</f>
        <v>Yes</v>
      </c>
    </row>
    <row r="64" spans="1:19" ht="21.75" customHeight="1" x14ac:dyDescent="0.2">
      <c r="A64" s="95" t="s">
        <v>44</v>
      </c>
      <c r="B64" s="121" t="s">
        <v>357</v>
      </c>
      <c r="C64" s="32" t="s">
        <v>225</v>
      </c>
      <c r="D64" s="33" t="s">
        <v>358</v>
      </c>
      <c r="E64" s="40">
        <v>220033</v>
      </c>
      <c r="F64" s="199" t="s">
        <v>586</v>
      </c>
      <c r="G64" s="194"/>
      <c r="H64" s="174" t="str">
        <f t="shared" ref="H64:H89" si="8">$I$60</f>
        <v>CZ</v>
      </c>
      <c r="I64" s="14" t="s">
        <v>103</v>
      </c>
      <c r="J64" s="181"/>
      <c r="K64" s="210"/>
      <c r="L64" s="15" t="s">
        <v>55</v>
      </c>
      <c r="M64" s="19" t="s">
        <v>178</v>
      </c>
      <c r="N64" s="79">
        <v>806.31</v>
      </c>
      <c r="O64" s="233"/>
      <c r="P64" s="108"/>
      <c r="Q64" s="40"/>
      <c r="R64" s="223"/>
      <c r="S64" s="116" t="str">
        <f>IF(N64&gt;0,"Yes","")</f>
        <v>Yes</v>
      </c>
    </row>
    <row r="65" spans="1:19" ht="21.75" customHeight="1" x14ac:dyDescent="0.2">
      <c r="A65" s="14" t="s">
        <v>22</v>
      </c>
      <c r="B65" s="181"/>
      <c r="C65" s="30" t="s">
        <v>225</v>
      </c>
      <c r="D65" s="18" t="s">
        <v>358</v>
      </c>
      <c r="E65" s="40">
        <v>221138</v>
      </c>
      <c r="F65" s="154" t="s">
        <v>571</v>
      </c>
      <c r="G65" s="184"/>
      <c r="H65" s="174" t="str">
        <f t="shared" si="8"/>
        <v>CZ</v>
      </c>
      <c r="I65" s="14" t="s">
        <v>107</v>
      </c>
      <c r="J65" s="121" t="s">
        <v>202</v>
      </c>
      <c r="K65" s="140" t="s">
        <v>222</v>
      </c>
      <c r="L65" s="70" t="s">
        <v>57</v>
      </c>
      <c r="M65" s="19" t="s">
        <v>299</v>
      </c>
      <c r="N65" s="79">
        <v>793.87</v>
      </c>
      <c r="O65" s="233"/>
      <c r="P65" s="108"/>
      <c r="Q65" s="40"/>
      <c r="R65" s="223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179</v>
      </c>
      <c r="C66" s="32" t="s">
        <v>225</v>
      </c>
      <c r="D66" s="18" t="s">
        <v>282</v>
      </c>
      <c r="E66" s="40"/>
      <c r="F66" s="135"/>
      <c r="G66" s="17"/>
      <c r="H66" s="174" t="str">
        <f t="shared" si="8"/>
        <v>CZ</v>
      </c>
      <c r="I66" s="14" t="s">
        <v>27</v>
      </c>
      <c r="J66" s="181"/>
      <c r="K66" s="210"/>
      <c r="L66" s="70" t="s">
        <v>58</v>
      </c>
      <c r="M66" s="19" t="s">
        <v>300</v>
      </c>
      <c r="N66" s="79">
        <v>1051.9000000000001</v>
      </c>
      <c r="O66" s="233"/>
      <c r="P66" s="108"/>
      <c r="Q66" s="40"/>
      <c r="R66" s="223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235</v>
      </c>
      <c r="C67" s="30" t="s">
        <v>225</v>
      </c>
      <c r="D67" s="18" t="s">
        <v>287</v>
      </c>
      <c r="E67" s="40">
        <v>220007</v>
      </c>
      <c r="F67" s="135" t="s">
        <v>593</v>
      </c>
      <c r="G67" s="17" t="s">
        <v>644</v>
      </c>
      <c r="H67" s="174" t="str">
        <f t="shared" si="8"/>
        <v>CZ</v>
      </c>
      <c r="I67" s="14" t="s">
        <v>164</v>
      </c>
      <c r="J67" s="126" t="s">
        <v>369</v>
      </c>
      <c r="K67" s="135" t="s">
        <v>216</v>
      </c>
      <c r="L67" s="70" t="s">
        <v>56</v>
      </c>
      <c r="M67" s="19" t="s">
        <v>313</v>
      </c>
      <c r="N67" s="79">
        <v>153.76</v>
      </c>
      <c r="O67" s="233"/>
      <c r="P67" s="108"/>
      <c r="Q67" s="40"/>
      <c r="R67" s="223"/>
      <c r="S67" s="116" t="str">
        <f t="shared" si="9"/>
        <v>Yes</v>
      </c>
    </row>
    <row r="68" spans="1:19" ht="21.75" customHeight="1" x14ac:dyDescent="0.2">
      <c r="A68" s="177" t="s">
        <v>65</v>
      </c>
      <c r="B68" s="126" t="s">
        <v>214</v>
      </c>
      <c r="C68" s="32" t="s">
        <v>225</v>
      </c>
      <c r="D68" s="18" t="s">
        <v>359</v>
      </c>
      <c r="E68" s="40">
        <v>221144</v>
      </c>
      <c r="F68" s="135" t="s">
        <v>641</v>
      </c>
      <c r="G68" s="17"/>
      <c r="H68" s="174" t="str">
        <f t="shared" si="8"/>
        <v>CZ</v>
      </c>
      <c r="I68" s="14" t="s">
        <v>47</v>
      </c>
      <c r="J68" s="126" t="s">
        <v>247</v>
      </c>
      <c r="K68" s="135" t="s">
        <v>267</v>
      </c>
      <c r="L68" s="70" t="s">
        <v>66</v>
      </c>
      <c r="M68" s="19" t="s">
        <v>322</v>
      </c>
      <c r="N68" s="79">
        <v>848.14</v>
      </c>
      <c r="O68" s="233"/>
      <c r="P68" s="108"/>
      <c r="Q68" s="40"/>
      <c r="R68" s="223"/>
      <c r="S68" s="116" t="str">
        <f t="shared" si="9"/>
        <v>Yes</v>
      </c>
    </row>
    <row r="69" spans="1:19" ht="21.75" customHeight="1" x14ac:dyDescent="0.2">
      <c r="A69" s="14" t="s">
        <v>164</v>
      </c>
      <c r="B69" s="126" t="s">
        <v>177</v>
      </c>
      <c r="C69" s="15" t="s">
        <v>225</v>
      </c>
      <c r="D69" s="18" t="s">
        <v>313</v>
      </c>
      <c r="E69" s="40"/>
      <c r="F69" s="135"/>
      <c r="G69" s="183"/>
      <c r="H69" s="174" t="str">
        <f t="shared" si="8"/>
        <v>CZ</v>
      </c>
      <c r="I69" s="14" t="s">
        <v>87</v>
      </c>
      <c r="J69" s="121" t="s">
        <v>246</v>
      </c>
      <c r="K69" s="140" t="s">
        <v>268</v>
      </c>
      <c r="L69" s="15" t="s">
        <v>66</v>
      </c>
      <c r="M69" s="19" t="s">
        <v>295</v>
      </c>
      <c r="N69" s="79">
        <v>889.04</v>
      </c>
      <c r="O69" s="233"/>
      <c r="P69" s="108"/>
      <c r="Q69" s="40"/>
      <c r="R69" s="223"/>
      <c r="S69" s="116" t="str">
        <f t="shared" si="9"/>
        <v>Yes</v>
      </c>
    </row>
    <row r="70" spans="1:19" ht="21.75" customHeight="1" x14ac:dyDescent="0.2">
      <c r="A70" s="14" t="s">
        <v>24</v>
      </c>
      <c r="B70" s="126" t="s">
        <v>181</v>
      </c>
      <c r="C70" s="30" t="s">
        <v>225</v>
      </c>
      <c r="D70" s="18" t="s">
        <v>285</v>
      </c>
      <c r="E70" s="40"/>
      <c r="F70" s="135"/>
      <c r="G70" s="17"/>
      <c r="H70" s="174" t="str">
        <f t="shared" si="8"/>
        <v>CZ</v>
      </c>
      <c r="I70" s="14" t="s">
        <v>85</v>
      </c>
      <c r="J70" s="181"/>
      <c r="K70" s="210"/>
      <c r="L70" s="15" t="s">
        <v>62</v>
      </c>
      <c r="M70" s="19" t="s">
        <v>175</v>
      </c>
      <c r="N70" s="79">
        <v>972.81</v>
      </c>
      <c r="O70" s="233"/>
      <c r="P70" s="108" t="s">
        <v>149</v>
      </c>
      <c r="Q70" s="40"/>
      <c r="R70" s="223"/>
      <c r="S70" s="116" t="str">
        <f t="shared" si="9"/>
        <v>Yes</v>
      </c>
    </row>
    <row r="71" spans="1:19" ht="21.75" customHeight="1" x14ac:dyDescent="0.2">
      <c r="A71" s="14" t="s">
        <v>42</v>
      </c>
      <c r="B71" s="121" t="s">
        <v>180</v>
      </c>
      <c r="C71" s="32" t="s">
        <v>225</v>
      </c>
      <c r="D71" s="18" t="s">
        <v>311</v>
      </c>
      <c r="E71" s="40"/>
      <c r="F71" s="154"/>
      <c r="G71" s="17"/>
      <c r="H71" s="174" t="str">
        <f t="shared" si="8"/>
        <v>CZ</v>
      </c>
      <c r="I71" s="95" t="s">
        <v>88</v>
      </c>
      <c r="J71" s="126" t="s">
        <v>276</v>
      </c>
      <c r="K71" s="135" t="s">
        <v>196</v>
      </c>
      <c r="L71" s="15" t="s">
        <v>57</v>
      </c>
      <c r="M71" s="19" t="s">
        <v>415</v>
      </c>
      <c r="N71" s="79">
        <v>769.73</v>
      </c>
      <c r="O71" s="233"/>
      <c r="P71" s="108"/>
      <c r="Q71" s="40"/>
      <c r="R71" s="224"/>
      <c r="S71" s="116" t="str">
        <f t="shared" si="9"/>
        <v>Yes</v>
      </c>
    </row>
    <row r="72" spans="1:19" ht="21.75" customHeight="1" x14ac:dyDescent="0.2">
      <c r="A72" s="14" t="s">
        <v>40</v>
      </c>
      <c r="B72" s="181"/>
      <c r="C72" s="15" t="s">
        <v>225</v>
      </c>
      <c r="D72" s="18" t="s">
        <v>311</v>
      </c>
      <c r="E72" s="40">
        <v>221132</v>
      </c>
      <c r="F72" s="135" t="s">
        <v>593</v>
      </c>
      <c r="G72" s="17" t="s">
        <v>572</v>
      </c>
      <c r="H72" s="174" t="str">
        <f t="shared" si="8"/>
        <v>CZ</v>
      </c>
      <c r="I72" s="14" t="s">
        <v>21</v>
      </c>
      <c r="J72" s="121" t="s">
        <v>210</v>
      </c>
      <c r="K72" s="140" t="s">
        <v>277</v>
      </c>
      <c r="L72" s="30" t="s">
        <v>59</v>
      </c>
      <c r="M72" s="35" t="s">
        <v>145</v>
      </c>
      <c r="N72" s="97">
        <v>788.11</v>
      </c>
      <c r="O72" s="235"/>
      <c r="P72" s="108"/>
      <c r="Q72" s="40"/>
      <c r="R72" s="224"/>
      <c r="S72" s="116" t="str">
        <f t="shared" si="9"/>
        <v>Yes</v>
      </c>
    </row>
    <row r="73" spans="1:19" ht="21.75" customHeight="1" x14ac:dyDescent="0.2">
      <c r="A73" s="95" t="s">
        <v>29</v>
      </c>
      <c r="B73" s="121" t="s">
        <v>207</v>
      </c>
      <c r="C73" s="15" t="s">
        <v>225</v>
      </c>
      <c r="D73" s="18" t="s">
        <v>283</v>
      </c>
      <c r="E73" s="40"/>
      <c r="F73" s="135"/>
      <c r="G73" s="17"/>
      <c r="H73" s="174" t="str">
        <f t="shared" si="8"/>
        <v>CZ</v>
      </c>
      <c r="I73" s="14" t="s">
        <v>48</v>
      </c>
      <c r="J73" s="181"/>
      <c r="K73" s="210"/>
      <c r="L73" s="30" t="s">
        <v>56</v>
      </c>
      <c r="M73" s="35" t="s">
        <v>372</v>
      </c>
      <c r="N73" s="97">
        <v>952.57</v>
      </c>
      <c r="O73" s="235"/>
      <c r="P73" s="108"/>
      <c r="Q73" s="40"/>
      <c r="R73" s="224"/>
      <c r="S73" s="116" t="str">
        <f t="shared" si="9"/>
        <v>Yes</v>
      </c>
    </row>
    <row r="74" spans="1:19" ht="21.75" customHeight="1" x14ac:dyDescent="0.2">
      <c r="A74" s="14" t="s">
        <v>26</v>
      </c>
      <c r="B74" s="181"/>
      <c r="C74" s="30" t="s">
        <v>225</v>
      </c>
      <c r="D74" s="18" t="s">
        <v>283</v>
      </c>
      <c r="E74" s="40"/>
      <c r="F74" s="135"/>
      <c r="G74" s="17"/>
      <c r="H74" s="174" t="str">
        <f t="shared" si="8"/>
        <v>CZ</v>
      </c>
      <c r="I74" s="14" t="s">
        <v>36</v>
      </c>
      <c r="J74" s="121" t="s">
        <v>248</v>
      </c>
      <c r="K74" s="140" t="s">
        <v>269</v>
      </c>
      <c r="L74" s="30" t="s">
        <v>60</v>
      </c>
      <c r="M74" s="35" t="s">
        <v>323</v>
      </c>
      <c r="N74" s="97">
        <v>894.53</v>
      </c>
      <c r="O74" s="235"/>
      <c r="P74" s="108"/>
      <c r="Q74" s="40"/>
      <c r="R74" s="224"/>
      <c r="S74" s="116" t="str">
        <f t="shared" si="9"/>
        <v>Yes</v>
      </c>
    </row>
    <row r="75" spans="1:19" ht="21.75" customHeight="1" x14ac:dyDescent="0.2">
      <c r="A75" s="14" t="s">
        <v>39</v>
      </c>
      <c r="B75" s="121" t="s">
        <v>215</v>
      </c>
      <c r="C75" s="32" t="s">
        <v>225</v>
      </c>
      <c r="D75" s="18" t="s">
        <v>143</v>
      </c>
      <c r="E75" s="40">
        <v>220017</v>
      </c>
      <c r="F75" s="135" t="s">
        <v>593</v>
      </c>
      <c r="G75" s="17" t="s">
        <v>648</v>
      </c>
      <c r="H75" s="174" t="str">
        <f t="shared" si="8"/>
        <v>CZ</v>
      </c>
      <c r="I75" s="14" t="s">
        <v>22</v>
      </c>
      <c r="J75" s="181"/>
      <c r="K75" s="210"/>
      <c r="L75" s="30" t="s">
        <v>56</v>
      </c>
      <c r="M75" s="35" t="s">
        <v>358</v>
      </c>
      <c r="N75" s="79">
        <v>738.81</v>
      </c>
      <c r="O75" s="233"/>
      <c r="P75" s="112"/>
      <c r="Q75" s="40"/>
      <c r="R75" s="224"/>
      <c r="S75" s="116" t="str">
        <f t="shared" si="9"/>
        <v>Yes</v>
      </c>
    </row>
    <row r="76" spans="1:19" ht="21.75" customHeight="1" x14ac:dyDescent="0.2">
      <c r="A76" s="14" t="s">
        <v>53</v>
      </c>
      <c r="B76" s="181"/>
      <c r="C76" s="30" t="s">
        <v>225</v>
      </c>
      <c r="D76" s="18" t="s">
        <v>143</v>
      </c>
      <c r="E76" s="40"/>
      <c r="F76" s="135"/>
      <c r="G76" s="17"/>
      <c r="H76" s="174" t="str">
        <f t="shared" si="8"/>
        <v>CZ</v>
      </c>
      <c r="I76" s="14" t="s">
        <v>41</v>
      </c>
      <c r="J76" s="121" t="s">
        <v>252</v>
      </c>
      <c r="K76" s="140" t="s">
        <v>331</v>
      </c>
      <c r="L76" s="15" t="s">
        <v>59</v>
      </c>
      <c r="M76" s="19" t="s">
        <v>132</v>
      </c>
      <c r="N76" s="79">
        <v>750.82</v>
      </c>
      <c r="O76" s="233"/>
      <c r="P76" s="113"/>
      <c r="Q76" s="40"/>
      <c r="R76" s="224"/>
      <c r="S76" s="116" t="str">
        <f t="shared" si="9"/>
        <v>Yes</v>
      </c>
    </row>
    <row r="77" spans="1:19" ht="21.75" customHeight="1" x14ac:dyDescent="0.2">
      <c r="A77" s="14" t="s">
        <v>23</v>
      </c>
      <c r="B77" s="121" t="s">
        <v>205</v>
      </c>
      <c r="C77" s="32" t="s">
        <v>225</v>
      </c>
      <c r="D77" s="18" t="s">
        <v>372</v>
      </c>
      <c r="E77" s="40"/>
      <c r="F77" s="135"/>
      <c r="G77" s="17"/>
      <c r="H77" s="174" t="str">
        <f t="shared" si="8"/>
        <v>CZ</v>
      </c>
      <c r="I77" s="14" t="s">
        <v>50</v>
      </c>
      <c r="J77" s="122"/>
      <c r="K77" s="214"/>
      <c r="L77" s="15" t="s">
        <v>56</v>
      </c>
      <c r="M77" s="19" t="s">
        <v>315</v>
      </c>
      <c r="N77" s="79">
        <v>853.4</v>
      </c>
      <c r="O77" s="233"/>
      <c r="P77" s="108" t="s">
        <v>149</v>
      </c>
      <c r="Q77" s="40"/>
      <c r="R77" s="224"/>
      <c r="S77" s="116" t="str">
        <f t="shared" si="9"/>
        <v>Yes</v>
      </c>
    </row>
    <row r="78" spans="1:19" ht="21.75" customHeight="1" x14ac:dyDescent="0.2">
      <c r="A78" s="14" t="s">
        <v>48</v>
      </c>
      <c r="B78" s="181"/>
      <c r="C78" s="15" t="s">
        <v>225</v>
      </c>
      <c r="D78" s="18" t="s">
        <v>372</v>
      </c>
      <c r="E78" s="40"/>
      <c r="F78" s="135"/>
      <c r="G78" s="17"/>
      <c r="H78" s="174" t="str">
        <f t="shared" si="8"/>
        <v>CZ</v>
      </c>
      <c r="I78" s="14" t="s">
        <v>46</v>
      </c>
      <c r="J78" s="181"/>
      <c r="K78" s="210"/>
      <c r="L78" s="30" t="s">
        <v>58</v>
      </c>
      <c r="M78" s="35" t="s">
        <v>240</v>
      </c>
      <c r="N78" s="97">
        <v>941.23</v>
      </c>
      <c r="O78" s="235"/>
      <c r="P78" s="108" t="s">
        <v>149</v>
      </c>
      <c r="Q78" s="40"/>
      <c r="R78" s="224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35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235"/>
      <c r="P79" s="108"/>
      <c r="Q79" s="40"/>
      <c r="R79" s="224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18"/>
      <c r="E80" s="40"/>
      <c r="F80" s="140"/>
      <c r="G80" s="17"/>
      <c r="H80" s="174" t="str">
        <f t="shared" si="8"/>
        <v>CZ</v>
      </c>
      <c r="I80" s="14"/>
      <c r="J80" s="126"/>
      <c r="K80" s="135"/>
      <c r="L80" s="30"/>
      <c r="M80" s="35"/>
      <c r="N80" s="97"/>
      <c r="O80" s="235"/>
      <c r="P80" s="108"/>
      <c r="Q80" s="40"/>
      <c r="R80" s="224"/>
      <c r="S80" s="116" t="str">
        <f t="shared" si="9"/>
        <v/>
      </c>
    </row>
    <row r="81" spans="1:19" ht="21.75" customHeight="1" x14ac:dyDescent="0.2">
      <c r="A81" s="14"/>
      <c r="B81" s="126"/>
      <c r="C81" s="15"/>
      <c r="D81" s="31"/>
      <c r="E81" s="69"/>
      <c r="F81" s="140"/>
      <c r="G81" s="17"/>
      <c r="H81" s="174" t="str">
        <f t="shared" si="8"/>
        <v>CZ</v>
      </c>
      <c r="I81" s="14"/>
      <c r="J81" s="126"/>
      <c r="K81" s="135"/>
      <c r="L81" s="15"/>
      <c r="M81" s="19"/>
      <c r="N81" s="79"/>
      <c r="O81" s="235"/>
      <c r="P81" s="109"/>
      <c r="Q81" s="69"/>
      <c r="R81" s="224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40"/>
      <c r="G82" s="17"/>
      <c r="H82" s="174" t="str">
        <f t="shared" si="8"/>
        <v>CZ</v>
      </c>
      <c r="I82" s="148"/>
      <c r="J82" s="180"/>
      <c r="K82" s="154"/>
      <c r="L82" s="81"/>
      <c r="M82" s="94"/>
      <c r="N82" s="99"/>
      <c r="O82" s="234"/>
      <c r="P82" s="109"/>
      <c r="Q82" s="69"/>
      <c r="R82" s="224"/>
      <c r="S82" s="116" t="str">
        <f t="shared" si="9"/>
        <v/>
      </c>
    </row>
    <row r="83" spans="1:19" ht="21.75" customHeight="1" x14ac:dyDescent="0.2">
      <c r="A83" s="14"/>
      <c r="B83" s="126"/>
      <c r="C83" s="15"/>
      <c r="D83" s="31"/>
      <c r="E83" s="69"/>
      <c r="F83" s="140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235"/>
      <c r="P83" s="109"/>
      <c r="Q83" s="69"/>
      <c r="R83" s="224"/>
      <c r="S83" s="116" t="str">
        <f t="shared" si="9"/>
        <v/>
      </c>
    </row>
    <row r="84" spans="1:19" ht="21.75" customHeight="1" x14ac:dyDescent="0.2">
      <c r="A84" s="95"/>
      <c r="B84" s="126"/>
      <c r="C84" s="15"/>
      <c r="D84" s="82"/>
      <c r="E84" s="69"/>
      <c r="F84" s="140"/>
      <c r="G84" s="17"/>
      <c r="H84" s="174" t="str">
        <f t="shared" si="8"/>
        <v>CZ</v>
      </c>
      <c r="I84" s="95"/>
      <c r="J84" s="126"/>
      <c r="K84" s="135"/>
      <c r="L84" s="30"/>
      <c r="M84" s="35"/>
      <c r="N84" s="97"/>
      <c r="O84" s="235"/>
      <c r="P84" s="109"/>
      <c r="Q84" s="69"/>
      <c r="R84" s="224"/>
      <c r="S84" s="116" t="str">
        <f t="shared" si="9"/>
        <v/>
      </c>
    </row>
    <row r="85" spans="1:19" ht="21.75" customHeight="1" x14ac:dyDescent="0.2">
      <c r="A85" s="148"/>
      <c r="B85" s="180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235"/>
      <c r="P85" s="109"/>
      <c r="Q85" s="40"/>
      <c r="R85" s="224"/>
      <c r="S85" s="116" t="str">
        <f t="shared" si="9"/>
        <v/>
      </c>
    </row>
    <row r="86" spans="1:19" ht="21.75" customHeight="1" x14ac:dyDescent="0.2">
      <c r="A86" s="95"/>
      <c r="B86" s="126"/>
      <c r="C86" s="15"/>
      <c r="D86" s="31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235"/>
      <c r="P86" s="109"/>
      <c r="Q86" s="69"/>
      <c r="R86" s="224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235"/>
      <c r="P87" s="109"/>
      <c r="Q87" s="40"/>
      <c r="R87" s="224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235"/>
      <c r="P88" s="109"/>
      <c r="Q88" s="85"/>
      <c r="R88" s="224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236"/>
      <c r="P89" s="110"/>
      <c r="Q89" s="41"/>
      <c r="R89" s="225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Q93" s="46"/>
      <c r="R93" s="46"/>
    </row>
    <row r="94" spans="1:19" ht="21.75" customHeight="1" thickBot="1" x14ac:dyDescent="0.25">
      <c r="A94" s="8" t="s">
        <v>113</v>
      </c>
      <c r="B94" s="118"/>
      <c r="C94" s="9"/>
      <c r="D94" s="255">
        <f>'DEPT BAL'!$G$4-1</f>
        <v>43068</v>
      </c>
      <c r="E94" s="255"/>
      <c r="F94" s="138"/>
      <c r="I94" s="8" t="s">
        <v>114</v>
      </c>
      <c r="J94" s="118"/>
      <c r="L94" s="252">
        <f>D94+1</f>
        <v>43069</v>
      </c>
      <c r="M94" s="252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231"/>
      <c r="P95" s="5" t="s">
        <v>420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176</v>
      </c>
      <c r="C96" s="15" t="s">
        <v>224</v>
      </c>
      <c r="D96" s="18" t="s">
        <v>299</v>
      </c>
      <c r="E96" s="40"/>
      <c r="F96" s="135"/>
      <c r="G96" s="12"/>
      <c r="H96" s="174" t="str">
        <f>$I$93</f>
        <v>BK</v>
      </c>
      <c r="I96" s="10" t="s">
        <v>39</v>
      </c>
      <c r="J96" s="120" t="s">
        <v>377</v>
      </c>
      <c r="K96" s="209" t="s">
        <v>216</v>
      </c>
      <c r="L96" s="11" t="s">
        <v>56</v>
      </c>
      <c r="M96" s="13" t="s">
        <v>143</v>
      </c>
      <c r="N96" s="78">
        <v>870.28</v>
      </c>
      <c r="O96" s="232"/>
      <c r="P96" s="107"/>
      <c r="Q96" s="40"/>
      <c r="R96" s="222"/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370</v>
      </c>
      <c r="C97" s="15" t="s">
        <v>414</v>
      </c>
      <c r="D97" s="18" t="s">
        <v>415</v>
      </c>
      <c r="E97" s="40"/>
      <c r="F97" s="135"/>
      <c r="G97" s="17"/>
      <c r="H97" s="174" t="str">
        <f t="shared" ref="H97:H103" si="11">$I$93</f>
        <v>BK</v>
      </c>
      <c r="I97" s="14" t="s">
        <v>148</v>
      </c>
      <c r="J97" s="126" t="s">
        <v>203</v>
      </c>
      <c r="K97" s="135" t="s">
        <v>280</v>
      </c>
      <c r="L97" s="15" t="s">
        <v>57</v>
      </c>
      <c r="M97" s="19" t="s">
        <v>371</v>
      </c>
      <c r="N97" s="79">
        <v>1017.1</v>
      </c>
      <c r="O97" s="233"/>
      <c r="P97" s="108"/>
      <c r="Q97" s="40"/>
      <c r="R97" s="223"/>
      <c r="S97" s="116" t="str">
        <f t="shared" si="10"/>
        <v>Yes</v>
      </c>
    </row>
    <row r="98" spans="1:19" ht="21.75" customHeight="1" x14ac:dyDescent="0.2">
      <c r="A98" s="14" t="s">
        <v>148</v>
      </c>
      <c r="B98" s="126" t="s">
        <v>234</v>
      </c>
      <c r="C98" s="15" t="s">
        <v>224</v>
      </c>
      <c r="D98" s="71" t="s">
        <v>371</v>
      </c>
      <c r="E98" s="40"/>
      <c r="F98" s="135"/>
      <c r="G98" s="17"/>
      <c r="H98" s="174" t="str">
        <f t="shared" si="11"/>
        <v>BK</v>
      </c>
      <c r="I98" s="68" t="s">
        <v>33</v>
      </c>
      <c r="J98" s="126" t="s">
        <v>195</v>
      </c>
      <c r="K98" s="135" t="s">
        <v>217</v>
      </c>
      <c r="L98" s="15" t="s">
        <v>62</v>
      </c>
      <c r="M98" s="19" t="s">
        <v>329</v>
      </c>
      <c r="N98" s="79">
        <v>954.92</v>
      </c>
      <c r="O98" s="233"/>
      <c r="P98" s="108"/>
      <c r="Q98" s="40"/>
      <c r="R98" s="223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153</v>
      </c>
      <c r="C99" s="15" t="s">
        <v>224</v>
      </c>
      <c r="D99" s="18" t="s">
        <v>281</v>
      </c>
      <c r="E99" s="40"/>
      <c r="F99" s="135"/>
      <c r="G99" s="17"/>
      <c r="H99" s="174" t="str">
        <f t="shared" si="11"/>
        <v>BK</v>
      </c>
      <c r="I99" s="93" t="s">
        <v>26</v>
      </c>
      <c r="J99" s="180" t="s">
        <v>197</v>
      </c>
      <c r="K99" s="154" t="s">
        <v>271</v>
      </c>
      <c r="L99" s="29" t="s">
        <v>56</v>
      </c>
      <c r="M99" s="77" t="s">
        <v>283</v>
      </c>
      <c r="N99" s="98">
        <v>795.28</v>
      </c>
      <c r="O99" s="238"/>
      <c r="P99" s="108" t="s">
        <v>149</v>
      </c>
      <c r="Q99" s="40"/>
      <c r="R99" s="223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0"/>
      <c r="K100" s="154"/>
      <c r="L100" s="29"/>
      <c r="M100" s="77"/>
      <c r="N100" s="98"/>
      <c r="O100" s="238"/>
      <c r="P100" s="108"/>
      <c r="Q100" s="40"/>
      <c r="R100" s="223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0"/>
      <c r="K101" s="154"/>
      <c r="L101" s="81"/>
      <c r="M101" s="94"/>
      <c r="N101" s="99"/>
      <c r="O101" s="234"/>
      <c r="P101" s="108"/>
      <c r="Q101" s="40"/>
      <c r="R101" s="224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235"/>
      <c r="P102" s="108"/>
      <c r="Q102" s="40"/>
      <c r="R102" s="224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236"/>
      <c r="P103" s="110"/>
      <c r="Q103" s="41"/>
      <c r="R103" s="225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Q107" s="46"/>
      <c r="R107" s="46"/>
    </row>
    <row r="108" spans="1:19" ht="21.75" customHeight="1" thickBot="1" x14ac:dyDescent="0.25">
      <c r="A108" s="8" t="s">
        <v>113</v>
      </c>
      <c r="B108" s="118"/>
      <c r="C108" s="9"/>
      <c r="D108" s="255">
        <f>'DEPT BAL'!$G$4-1</f>
        <v>43068</v>
      </c>
      <c r="E108" s="255"/>
      <c r="F108" s="138"/>
      <c r="I108" s="8" t="s">
        <v>114</v>
      </c>
      <c r="J108" s="118"/>
      <c r="L108" s="252">
        <f>D108+1</f>
        <v>43069</v>
      </c>
      <c r="M108" s="252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231"/>
      <c r="P109" s="5" t="s">
        <v>420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239</v>
      </c>
      <c r="C110" s="11" t="s">
        <v>133</v>
      </c>
      <c r="D110" s="25" t="s">
        <v>240</v>
      </c>
      <c r="E110" s="39"/>
      <c r="F110" s="134"/>
      <c r="G110" s="12"/>
      <c r="H110" s="174" t="str">
        <f>$I$107</f>
        <v>LA</v>
      </c>
      <c r="I110" s="14" t="s">
        <v>54</v>
      </c>
      <c r="J110" s="121" t="s">
        <v>303</v>
      </c>
      <c r="K110" s="213" t="s">
        <v>292</v>
      </c>
      <c r="L110" s="15" t="s">
        <v>55</v>
      </c>
      <c r="M110" s="19" t="s">
        <v>188</v>
      </c>
      <c r="N110" s="79">
        <v>835.16</v>
      </c>
      <c r="O110" s="233"/>
      <c r="P110" s="108"/>
      <c r="Q110" s="39"/>
      <c r="R110" s="223"/>
      <c r="S110" s="115" t="str">
        <f>IF(N110&gt;0,"Yes","")</f>
        <v>Yes</v>
      </c>
    </row>
    <row r="111" spans="1:19" ht="21.75" customHeight="1" x14ac:dyDescent="0.2">
      <c r="A111" s="14" t="s">
        <v>37</v>
      </c>
      <c r="B111" s="121" t="s">
        <v>241</v>
      </c>
      <c r="C111" s="15" t="s">
        <v>133</v>
      </c>
      <c r="D111" s="18" t="s">
        <v>300</v>
      </c>
      <c r="E111" s="40"/>
      <c r="F111" s="135"/>
      <c r="G111" s="17"/>
      <c r="H111" s="174" t="str">
        <f t="shared" ref="H111:H119" si="12">$I$107</f>
        <v>LA</v>
      </c>
      <c r="I111" s="14" t="s">
        <v>165</v>
      </c>
      <c r="J111" s="181"/>
      <c r="K111" s="210"/>
      <c r="L111" s="30" t="s">
        <v>58</v>
      </c>
      <c r="M111" s="35" t="s">
        <v>312</v>
      </c>
      <c r="N111" s="97">
        <v>1132.5899999999999</v>
      </c>
      <c r="O111" s="235"/>
      <c r="P111" s="108"/>
      <c r="Q111" s="40"/>
      <c r="R111" s="224"/>
      <c r="S111" s="116" t="str">
        <f>IF(N111&gt;0,"Yes","")</f>
        <v>Yes</v>
      </c>
    </row>
    <row r="112" spans="1:19" ht="21.75" customHeight="1" x14ac:dyDescent="0.2">
      <c r="A112" s="14" t="s">
        <v>165</v>
      </c>
      <c r="B112" s="181"/>
      <c r="C112" s="15" t="s">
        <v>133</v>
      </c>
      <c r="D112" s="18" t="s">
        <v>300</v>
      </c>
      <c r="E112" s="40"/>
      <c r="F112" s="135"/>
      <c r="G112" s="17"/>
      <c r="H112" s="174" t="str">
        <f t="shared" si="12"/>
        <v>LA</v>
      </c>
      <c r="I112" s="14" t="s">
        <v>23</v>
      </c>
      <c r="J112" s="121" t="s">
        <v>231</v>
      </c>
      <c r="K112" s="140" t="s">
        <v>325</v>
      </c>
      <c r="L112" s="30" t="s">
        <v>56</v>
      </c>
      <c r="M112" s="35" t="s">
        <v>372</v>
      </c>
      <c r="N112" s="97">
        <v>1059</v>
      </c>
      <c r="O112" s="235"/>
      <c r="P112" s="108"/>
      <c r="Q112" s="40"/>
      <c r="R112" s="224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242</v>
      </c>
      <c r="C113" s="83" t="s">
        <v>133</v>
      </c>
      <c r="D113" s="18" t="s">
        <v>312</v>
      </c>
      <c r="E113" s="40"/>
      <c r="F113" s="135"/>
      <c r="G113" s="17"/>
      <c r="H113" s="174" t="str">
        <f t="shared" si="12"/>
        <v>LA</v>
      </c>
      <c r="I113" s="14" t="s">
        <v>64</v>
      </c>
      <c r="J113" s="181"/>
      <c r="K113" s="210"/>
      <c r="L113" s="30" t="s">
        <v>59</v>
      </c>
      <c r="M113" s="35" t="s">
        <v>132</v>
      </c>
      <c r="N113" s="97">
        <v>755.72</v>
      </c>
      <c r="O113" s="235"/>
      <c r="P113" s="108"/>
      <c r="Q113" s="40"/>
      <c r="R113" s="224"/>
      <c r="S113" s="116" t="str">
        <f t="shared" si="13"/>
        <v>Yes</v>
      </c>
    </row>
    <row r="114" spans="1:19" ht="21.75" customHeight="1" x14ac:dyDescent="0.2">
      <c r="A114" s="14" t="s">
        <v>27</v>
      </c>
      <c r="B114" s="181"/>
      <c r="C114" s="72" t="s">
        <v>133</v>
      </c>
      <c r="D114" s="18" t="s">
        <v>312</v>
      </c>
      <c r="E114" s="40"/>
      <c r="F114" s="135"/>
      <c r="G114" s="17"/>
      <c r="H114" s="174" t="str">
        <f t="shared" si="12"/>
        <v>LA</v>
      </c>
      <c r="I114" s="14" t="s">
        <v>104</v>
      </c>
      <c r="J114" s="126" t="s">
        <v>262</v>
      </c>
      <c r="K114" s="135" t="s">
        <v>305</v>
      </c>
      <c r="L114" s="30" t="s">
        <v>57</v>
      </c>
      <c r="M114" s="35" t="s">
        <v>281</v>
      </c>
      <c r="N114" s="97">
        <v>1003.16</v>
      </c>
      <c r="O114" s="235"/>
      <c r="P114" s="17"/>
      <c r="Q114" s="40"/>
      <c r="R114" s="224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35"/>
      <c r="G115" s="96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235"/>
      <c r="P115" s="109"/>
      <c r="Q115" s="40"/>
      <c r="R115" s="224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235"/>
      <c r="P116" s="109"/>
      <c r="Q116" s="40"/>
      <c r="R116" s="224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235"/>
      <c r="P117" s="109"/>
      <c r="Q117" s="40"/>
      <c r="R117" s="224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235"/>
      <c r="P118" s="109"/>
      <c r="Q118" s="40"/>
      <c r="R118" s="224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236"/>
      <c r="P119" s="110"/>
      <c r="Q119" s="41"/>
      <c r="R119" s="225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Q123" s="46"/>
      <c r="R123" s="46"/>
    </row>
    <row r="124" spans="1:19" ht="21.75" customHeight="1" thickBot="1" x14ac:dyDescent="0.25">
      <c r="A124" s="8" t="s">
        <v>113</v>
      </c>
      <c r="B124" s="118"/>
      <c r="C124" s="9"/>
      <c r="D124" s="255">
        <f>'DEPT BAL'!$G$4-1</f>
        <v>43068</v>
      </c>
      <c r="E124" s="255"/>
      <c r="F124" s="138"/>
      <c r="I124" s="8" t="s">
        <v>114</v>
      </c>
      <c r="J124" s="118"/>
      <c r="L124" s="252">
        <f>D124+1</f>
        <v>43069</v>
      </c>
      <c r="M124" s="252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231"/>
      <c r="P125" s="5" t="s">
        <v>420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301</v>
      </c>
      <c r="C126" s="11" t="s">
        <v>320</v>
      </c>
      <c r="D126" s="25" t="s">
        <v>321</v>
      </c>
      <c r="E126" s="39"/>
      <c r="F126" s="134"/>
      <c r="G126" s="12"/>
      <c r="H126" s="174" t="str">
        <f>$I$123</f>
        <v>PZ</v>
      </c>
      <c r="I126" s="10" t="s">
        <v>106</v>
      </c>
      <c r="J126" s="120" t="s">
        <v>204</v>
      </c>
      <c r="K126" s="209" t="s">
        <v>269</v>
      </c>
      <c r="L126" s="11" t="s">
        <v>66</v>
      </c>
      <c r="M126" s="13" t="s">
        <v>295</v>
      </c>
      <c r="N126" s="78">
        <v>891.23</v>
      </c>
      <c r="O126" s="232"/>
      <c r="P126" s="107"/>
      <c r="Q126" s="39"/>
      <c r="R126" s="226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243</v>
      </c>
      <c r="C127" s="15" t="s">
        <v>320</v>
      </c>
      <c r="D127" s="18" t="s">
        <v>188</v>
      </c>
      <c r="E127" s="40"/>
      <c r="F127" s="135"/>
      <c r="G127" s="17"/>
      <c r="H127" s="174" t="str">
        <f>$I$123</f>
        <v>PZ</v>
      </c>
      <c r="I127" s="14" t="s">
        <v>28</v>
      </c>
      <c r="J127" s="126" t="s">
        <v>183</v>
      </c>
      <c r="K127" s="135" t="s">
        <v>309</v>
      </c>
      <c r="L127" s="15" t="s">
        <v>62</v>
      </c>
      <c r="M127" s="19" t="s">
        <v>261</v>
      </c>
      <c r="N127" s="79">
        <v>769.78</v>
      </c>
      <c r="O127" s="233"/>
      <c r="P127" s="108"/>
      <c r="Q127" s="40"/>
      <c r="R127" s="223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233"/>
      <c r="P128" s="108"/>
      <c r="Q128" s="40"/>
      <c r="R128" s="223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233"/>
      <c r="P129" s="108"/>
      <c r="Q129" s="40"/>
      <c r="R129" s="223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236"/>
      <c r="P130" s="110"/>
      <c r="Q130" s="41"/>
      <c r="R130" s="225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Q134" s="46"/>
      <c r="R134" s="46"/>
    </row>
    <row r="135" spans="1:19" ht="21.75" customHeight="1" thickBot="1" x14ac:dyDescent="0.25">
      <c r="A135" s="8" t="s">
        <v>113</v>
      </c>
      <c r="B135" s="118"/>
      <c r="C135" s="9"/>
      <c r="D135" s="255">
        <f>'DEPT BAL'!$G$4-1</f>
        <v>43068</v>
      </c>
      <c r="E135" s="255"/>
      <c r="F135" s="138"/>
      <c r="I135" s="8" t="s">
        <v>114</v>
      </c>
      <c r="J135" s="118"/>
      <c r="L135" s="252">
        <f>D135+1</f>
        <v>43069</v>
      </c>
      <c r="M135" s="252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231"/>
      <c r="P136" s="5" t="s">
        <v>420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332</v>
      </c>
      <c r="C137" s="149" t="s">
        <v>208</v>
      </c>
      <c r="D137" s="18" t="s">
        <v>333</v>
      </c>
      <c r="E137" s="40"/>
      <c r="F137" s="135"/>
      <c r="G137" s="12"/>
      <c r="H137" s="174" t="str">
        <f>$I$134</f>
        <v>EH</v>
      </c>
      <c r="I137" s="10" t="s">
        <v>49</v>
      </c>
      <c r="J137" s="120" t="s">
        <v>144</v>
      </c>
      <c r="K137" s="209" t="s">
        <v>218</v>
      </c>
      <c r="L137" s="11" t="s">
        <v>66</v>
      </c>
      <c r="M137" s="13" t="s">
        <v>289</v>
      </c>
      <c r="N137" s="78">
        <v>999.19</v>
      </c>
      <c r="O137" s="232"/>
      <c r="P137" s="107"/>
      <c r="Q137" s="40"/>
      <c r="R137" s="222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236</v>
      </c>
      <c r="C138" s="19" t="s">
        <v>226</v>
      </c>
      <c r="D138" s="18" t="s">
        <v>145</v>
      </c>
      <c r="E138" s="40"/>
      <c r="F138" s="135"/>
      <c r="G138" s="17"/>
      <c r="H138" s="174" t="str">
        <f t="shared" ref="H138:H145" si="14">$I$134</f>
        <v>EH</v>
      </c>
      <c r="I138" s="14" t="s">
        <v>42</v>
      </c>
      <c r="J138" s="181"/>
      <c r="K138" s="210"/>
      <c r="L138" s="15" t="s">
        <v>56</v>
      </c>
      <c r="M138" s="19" t="s">
        <v>311</v>
      </c>
      <c r="N138" s="79">
        <v>954.11</v>
      </c>
      <c r="O138" s="233"/>
      <c r="P138" s="108" t="s">
        <v>149</v>
      </c>
      <c r="Q138" s="40"/>
      <c r="R138" s="223"/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237</v>
      </c>
      <c r="C139" s="30" t="s">
        <v>226</v>
      </c>
      <c r="D139" s="18" t="s">
        <v>132</v>
      </c>
      <c r="E139" s="40"/>
      <c r="F139" s="135"/>
      <c r="G139" s="17"/>
      <c r="H139" s="174" t="str">
        <f t="shared" si="14"/>
        <v>EH</v>
      </c>
      <c r="I139" s="14" t="s">
        <v>29</v>
      </c>
      <c r="J139" s="121" t="s">
        <v>219</v>
      </c>
      <c r="K139" s="140" t="s">
        <v>154</v>
      </c>
      <c r="L139" s="15" t="s">
        <v>56</v>
      </c>
      <c r="M139" s="19" t="s">
        <v>283</v>
      </c>
      <c r="N139" s="79">
        <v>900.4</v>
      </c>
      <c r="O139" s="233"/>
      <c r="P139" s="108" t="s">
        <v>149</v>
      </c>
      <c r="Q139" s="40"/>
      <c r="R139" s="223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1"/>
      <c r="C140" s="32" t="s">
        <v>226</v>
      </c>
      <c r="D140" s="18" t="s">
        <v>132</v>
      </c>
      <c r="E140" s="40"/>
      <c r="F140" s="135"/>
      <c r="G140" s="17"/>
      <c r="H140" s="174" t="str">
        <f t="shared" si="14"/>
        <v>EH</v>
      </c>
      <c r="I140" s="14" t="s">
        <v>65</v>
      </c>
      <c r="J140" s="181"/>
      <c r="K140" s="210"/>
      <c r="L140" s="15" t="s">
        <v>56</v>
      </c>
      <c r="M140" s="19" t="s">
        <v>359</v>
      </c>
      <c r="N140" s="79">
        <v>757.26</v>
      </c>
      <c r="O140" s="233"/>
      <c r="P140" s="108"/>
      <c r="Q140" s="40"/>
      <c r="R140" s="223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334</v>
      </c>
      <c r="C141" s="15" t="s">
        <v>227</v>
      </c>
      <c r="D141" s="18" t="s">
        <v>335</v>
      </c>
      <c r="E141" s="40"/>
      <c r="F141" s="135"/>
      <c r="G141" s="17"/>
      <c r="H141" s="174" t="str">
        <f t="shared" si="14"/>
        <v>EH</v>
      </c>
      <c r="I141" s="14" t="s">
        <v>90</v>
      </c>
      <c r="J141" s="126" t="s">
        <v>200</v>
      </c>
      <c r="K141" s="135" t="s">
        <v>268</v>
      </c>
      <c r="L141" s="15" t="s">
        <v>59</v>
      </c>
      <c r="M141" s="19" t="s">
        <v>360</v>
      </c>
      <c r="N141" s="79">
        <v>883.4</v>
      </c>
      <c r="O141" s="233"/>
      <c r="P141" s="108"/>
      <c r="Q141" s="40"/>
      <c r="R141" s="223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213</v>
      </c>
      <c r="C142" s="15" t="s">
        <v>226</v>
      </c>
      <c r="D142" s="16" t="s">
        <v>360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354</v>
      </c>
      <c r="K142" s="135" t="s">
        <v>297</v>
      </c>
      <c r="L142" s="15" t="s">
        <v>59</v>
      </c>
      <c r="M142" s="19" t="s">
        <v>333</v>
      </c>
      <c r="N142" s="79">
        <v>732.99</v>
      </c>
      <c r="O142" s="233"/>
      <c r="P142" s="108"/>
      <c r="Q142" s="40"/>
      <c r="R142" s="223"/>
      <c r="S142" s="116" t="str">
        <f t="shared" si="15"/>
        <v>Yes</v>
      </c>
    </row>
    <row r="143" spans="1:19" ht="21.75" customHeight="1" x14ac:dyDescent="0.2">
      <c r="A143" s="14" t="s">
        <v>52</v>
      </c>
      <c r="B143" s="181"/>
      <c r="C143" s="15" t="s">
        <v>227</v>
      </c>
      <c r="D143" s="16" t="s">
        <v>360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212</v>
      </c>
      <c r="K143" s="135" t="s">
        <v>364</v>
      </c>
      <c r="L143" s="15" t="s">
        <v>56</v>
      </c>
      <c r="M143" s="15" t="s">
        <v>143</v>
      </c>
      <c r="N143" s="79">
        <v>798.04</v>
      </c>
      <c r="O143" s="233"/>
      <c r="P143" s="108"/>
      <c r="Q143" s="40"/>
      <c r="R143" s="223"/>
      <c r="S143" s="116" t="str">
        <f t="shared" si="15"/>
        <v>Yes</v>
      </c>
    </row>
    <row r="144" spans="1:19" ht="21.75" customHeight="1" x14ac:dyDescent="0.2">
      <c r="A144" s="14" t="s">
        <v>147</v>
      </c>
      <c r="B144" s="126" t="s">
        <v>238</v>
      </c>
      <c r="C144" s="15" t="s">
        <v>174</v>
      </c>
      <c r="D144" s="16" t="s">
        <v>366</v>
      </c>
      <c r="E144" s="40"/>
      <c r="F144" s="135"/>
      <c r="G144" s="17"/>
      <c r="H144" s="174" t="str">
        <f t="shared" si="14"/>
        <v>EH</v>
      </c>
      <c r="I144" s="14" t="s">
        <v>147</v>
      </c>
      <c r="J144" s="126" t="s">
        <v>355</v>
      </c>
      <c r="K144" s="135" t="s">
        <v>365</v>
      </c>
      <c r="L144" s="15" t="s">
        <v>59</v>
      </c>
      <c r="M144" s="15" t="s">
        <v>366</v>
      </c>
      <c r="N144" s="79">
        <v>883.15</v>
      </c>
      <c r="O144" s="233"/>
      <c r="P144" s="108"/>
      <c r="Q144" s="40"/>
      <c r="R144" s="223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236"/>
      <c r="P145" s="110"/>
      <c r="Q145" s="41"/>
      <c r="R145" s="225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170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171</v>
      </c>
      <c r="K149" s="7"/>
      <c r="L149" s="6"/>
      <c r="M149" s="6"/>
      <c r="N149" s="6"/>
      <c r="O149" s="6"/>
      <c r="P149" s="105"/>
      <c r="Q149" s="37"/>
      <c r="R149" s="37"/>
    </row>
    <row r="150" spans="1:19" ht="19.5" customHeight="1" x14ac:dyDescent="0.2">
      <c r="G150" s="26" t="str">
        <f>I3</f>
        <v>Departures for Thursday</v>
      </c>
      <c r="H150" s="176"/>
      <c r="I150" s="253">
        <f>$L$3</f>
        <v>43069</v>
      </c>
      <c r="J150" s="253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6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4" t="s">
        <v>5</v>
      </c>
      <c r="K152" s="254"/>
      <c r="M152" s="6" t="s">
        <v>98</v>
      </c>
    </row>
    <row r="153" spans="1:19" ht="19.5" customHeight="1" x14ac:dyDescent="0.2">
      <c r="D153" s="196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51">
        <f>INDEX($I$5:$Q$148, MATCH($I153,I$5:I$148,0),9)</f>
        <v>0</v>
      </c>
      <c r="K153" s="251"/>
      <c r="L153" s="6" t="str">
        <f t="shared" ref="L153:L186" si="18">INDEX($H$5:$H$148, MATCH($I153,I$5:I$148,0))</f>
        <v>CZ</v>
      </c>
      <c r="M153" s="196">
        <f t="shared" ref="M153:M186" si="19">INDEX($I$5:$N$148, MATCH($I153,I$5:I$148,0),6)</f>
        <v>788.11</v>
      </c>
      <c r="N153" s="8"/>
      <c r="O153" s="8"/>
    </row>
    <row r="154" spans="1:19" ht="19.5" customHeight="1" x14ac:dyDescent="0.2">
      <c r="D154" s="196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51">
        <f t="shared" ref="J154:J186" si="21">INDEX($I$5:$Q$148, MATCH($I154,I$5:I$148,0),9)</f>
        <v>0</v>
      </c>
      <c r="K154" s="251"/>
      <c r="L154" s="6" t="str">
        <f t="shared" si="18"/>
        <v>CZ</v>
      </c>
      <c r="M154" s="196">
        <f t="shared" si="19"/>
        <v>738.81</v>
      </c>
      <c r="N154" s="8"/>
      <c r="O154" s="8"/>
    </row>
    <row r="155" spans="1:19" ht="19.5" customHeight="1" x14ac:dyDescent="0.2">
      <c r="D155" s="196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51">
        <f t="shared" si="21"/>
        <v>0</v>
      </c>
      <c r="K155" s="251"/>
      <c r="L155" s="6" t="str">
        <f t="shared" si="18"/>
        <v>LA</v>
      </c>
      <c r="M155" s="196">
        <f t="shared" si="19"/>
        <v>1059</v>
      </c>
      <c r="N155" s="8"/>
      <c r="O155" s="8"/>
    </row>
    <row r="156" spans="1:19" ht="19.5" customHeight="1" x14ac:dyDescent="0.2">
      <c r="D156" s="196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51">
        <f t="shared" si="21"/>
        <v>0</v>
      </c>
      <c r="K156" s="251"/>
      <c r="L156" s="6" t="str">
        <f t="shared" si="18"/>
        <v>MA</v>
      </c>
      <c r="M156" s="196">
        <f t="shared" si="19"/>
        <v>804.67</v>
      </c>
      <c r="N156" s="8"/>
      <c r="O156" s="8"/>
    </row>
    <row r="157" spans="1:19" s="101" customFormat="1" ht="19.5" customHeight="1" x14ac:dyDescent="0.2">
      <c r="A157" s="6"/>
      <c r="B157" s="6"/>
      <c r="C157" s="6"/>
      <c r="D157" s="196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51">
        <f t="shared" si="21"/>
        <v>0</v>
      </c>
      <c r="K157" s="251"/>
      <c r="L157" s="6" t="str">
        <f t="shared" si="18"/>
        <v>XW</v>
      </c>
      <c r="M157" s="196">
        <f t="shared" si="19"/>
        <v>955.85</v>
      </c>
      <c r="N157" s="8"/>
      <c r="O157" s="8"/>
      <c r="P157" s="105"/>
      <c r="Q157" s="37"/>
      <c r="R157" s="37"/>
    </row>
    <row r="158" spans="1:19" ht="19.5" customHeight="1" x14ac:dyDescent="0.2">
      <c r="D158" s="196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51">
        <f t="shared" si="21"/>
        <v>0</v>
      </c>
      <c r="K158" s="251"/>
      <c r="L158" s="6" t="str">
        <f t="shared" si="18"/>
        <v>BK</v>
      </c>
      <c r="M158" s="196">
        <f t="shared" si="19"/>
        <v>795.28</v>
      </c>
      <c r="N158" s="8"/>
      <c r="O158" s="8"/>
    </row>
    <row r="159" spans="1:19" ht="19.5" customHeight="1" x14ac:dyDescent="0.2">
      <c r="D159" s="196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51">
        <f t="shared" si="21"/>
        <v>0</v>
      </c>
      <c r="K159" s="251"/>
      <c r="L159" s="6" t="str">
        <f t="shared" si="18"/>
        <v>CZ</v>
      </c>
      <c r="M159" s="196">
        <f t="shared" si="19"/>
        <v>1051.9000000000001</v>
      </c>
      <c r="N159" s="8"/>
      <c r="O159" s="8"/>
    </row>
    <row r="160" spans="1:19" ht="19.5" customHeight="1" x14ac:dyDescent="0.2">
      <c r="D160" s="196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51">
        <f t="shared" si="21"/>
        <v>0</v>
      </c>
      <c r="K160" s="251"/>
      <c r="L160" s="6" t="str">
        <f t="shared" si="18"/>
        <v>PZ</v>
      </c>
      <c r="M160" s="196">
        <f t="shared" si="19"/>
        <v>769.78</v>
      </c>
      <c r="N160" s="8"/>
      <c r="O160" s="8"/>
    </row>
    <row r="161" spans="4:15" ht="19.5" customHeight="1" x14ac:dyDescent="0.2">
      <c r="D161" s="196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51">
        <f t="shared" si="21"/>
        <v>0</v>
      </c>
      <c r="K161" s="251"/>
      <c r="L161" s="6" t="str">
        <f t="shared" si="18"/>
        <v>EH</v>
      </c>
      <c r="M161" s="196">
        <f t="shared" si="19"/>
        <v>900.4</v>
      </c>
      <c r="N161" s="8"/>
      <c r="O161" s="8"/>
    </row>
    <row r="162" spans="4:15" ht="19.5" customHeight="1" x14ac:dyDescent="0.2">
      <c r="D162" s="196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51">
        <f t="shared" si="21"/>
        <v>0</v>
      </c>
      <c r="K162" s="251"/>
      <c r="L162" s="6" t="str">
        <f t="shared" si="18"/>
        <v>EC</v>
      </c>
      <c r="M162" s="196">
        <f t="shared" si="19"/>
        <v>1035.1400000000001</v>
      </c>
      <c r="N162" s="8"/>
      <c r="O162" s="8"/>
    </row>
    <row r="163" spans="4:15" ht="19.5" customHeight="1" x14ac:dyDescent="0.2">
      <c r="D163" s="196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0</v>
      </c>
      <c r="I163" s="15" t="s">
        <v>31</v>
      </c>
      <c r="J163" s="251">
        <f t="shared" si="21"/>
        <v>0</v>
      </c>
      <c r="K163" s="251"/>
      <c r="L163" s="6" t="str">
        <f t="shared" si="18"/>
        <v>EC</v>
      </c>
      <c r="M163" s="196">
        <f t="shared" si="19"/>
        <v>920.67</v>
      </c>
      <c r="N163" s="8"/>
      <c r="O163" s="8"/>
    </row>
    <row r="164" spans="4:15" ht="19.5" customHeight="1" x14ac:dyDescent="0.2">
      <c r="D164" s="196">
        <f t="shared" si="16"/>
        <v>957.64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51">
        <f t="shared" si="21"/>
        <v>0</v>
      </c>
      <c r="K164" s="251"/>
      <c r="L164" s="6" t="str">
        <f t="shared" si="18"/>
        <v>TY</v>
      </c>
      <c r="M164" s="196">
        <f t="shared" si="19"/>
        <v>889.99</v>
      </c>
      <c r="N164" s="8"/>
      <c r="O164" s="8"/>
    </row>
    <row r="165" spans="4:15" ht="19.5" customHeight="1" x14ac:dyDescent="0.2">
      <c r="D165" s="196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51">
        <f t="shared" si="21"/>
        <v>0</v>
      </c>
      <c r="K165" s="251"/>
      <c r="L165" s="6" t="str">
        <f t="shared" si="18"/>
        <v>BK</v>
      </c>
      <c r="M165" s="196">
        <f t="shared" si="19"/>
        <v>954.92</v>
      </c>
      <c r="N165" s="8"/>
      <c r="O165" s="8"/>
    </row>
    <row r="166" spans="4:15" ht="19.5" customHeight="1" x14ac:dyDescent="0.2">
      <c r="D166" s="196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51">
        <f t="shared" si="21"/>
        <v>0</v>
      </c>
      <c r="K166" s="251"/>
      <c r="L166" s="6" t="str">
        <f t="shared" si="18"/>
        <v>CZ</v>
      </c>
      <c r="M166" s="196">
        <f t="shared" si="19"/>
        <v>793.87</v>
      </c>
      <c r="N166" s="8"/>
      <c r="O166" s="8"/>
    </row>
    <row r="167" spans="4:15" ht="19.5" customHeight="1" x14ac:dyDescent="0.2">
      <c r="D167" s="196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51">
        <f t="shared" si="21"/>
        <v>0</v>
      </c>
      <c r="K167" s="251"/>
      <c r="L167" s="6" t="str">
        <f t="shared" si="18"/>
        <v>LA</v>
      </c>
      <c r="M167" s="196">
        <f t="shared" si="19"/>
        <v>1003.16</v>
      </c>
      <c r="N167" s="8"/>
      <c r="O167" s="8"/>
    </row>
    <row r="168" spans="4:15" ht="19.5" customHeight="1" x14ac:dyDescent="0.2">
      <c r="D168" s="196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51">
        <f t="shared" si="21"/>
        <v>0</v>
      </c>
      <c r="K168" s="251"/>
      <c r="L168" s="6" t="str">
        <f t="shared" si="18"/>
        <v>PZ</v>
      </c>
      <c r="M168" s="196">
        <f t="shared" si="19"/>
        <v>891.23</v>
      </c>
      <c r="N168" s="8"/>
      <c r="O168" s="8"/>
    </row>
    <row r="169" spans="4:15" ht="19.5" customHeight="1" x14ac:dyDescent="0.2">
      <c r="D169" s="196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51">
        <f t="shared" si="21"/>
        <v>0</v>
      </c>
      <c r="K169" s="251"/>
      <c r="L169" s="6" t="str">
        <f t="shared" si="18"/>
        <v>CZ</v>
      </c>
      <c r="M169" s="196">
        <f t="shared" si="19"/>
        <v>806.31</v>
      </c>
      <c r="N169" s="8"/>
      <c r="O169" s="8"/>
    </row>
    <row r="170" spans="4:15" ht="19.5" customHeight="1" x14ac:dyDescent="0.2">
      <c r="D170" s="196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51">
        <f t="shared" si="21"/>
        <v>0</v>
      </c>
      <c r="K170" s="251"/>
      <c r="L170" s="6" t="str">
        <f t="shared" si="18"/>
        <v>EC</v>
      </c>
      <c r="M170" s="196">
        <f t="shared" si="19"/>
        <v>900.47</v>
      </c>
      <c r="N170" s="8"/>
      <c r="O170" s="8"/>
    </row>
    <row r="171" spans="4:15" ht="19.5" customHeight="1" x14ac:dyDescent="0.2">
      <c r="D171" s="196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51" t="e">
        <f t="shared" si="21"/>
        <v>#N/A</v>
      </c>
      <c r="K171" s="251"/>
      <c r="L171" s="6" t="e">
        <f t="shared" si="18"/>
        <v>#N/A</v>
      </c>
      <c r="M171" s="196" t="e">
        <f t="shared" si="19"/>
        <v>#N/A</v>
      </c>
      <c r="N171" s="8"/>
      <c r="O171" s="8"/>
    </row>
    <row r="172" spans="4:15" ht="19.5" customHeight="1" x14ac:dyDescent="0.2">
      <c r="D172" s="196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51" t="e">
        <f t="shared" si="21"/>
        <v>#N/A</v>
      </c>
      <c r="K172" s="251"/>
      <c r="L172" s="6" t="e">
        <f t="shared" si="18"/>
        <v>#N/A</v>
      </c>
      <c r="M172" s="196" t="e">
        <f t="shared" si="19"/>
        <v>#N/A</v>
      </c>
      <c r="N172" s="8"/>
      <c r="O172" s="8"/>
    </row>
    <row r="173" spans="4:15" ht="19.5" customHeight="1" x14ac:dyDescent="0.2">
      <c r="D173" s="196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51" t="e">
        <f t="shared" si="21"/>
        <v>#N/A</v>
      </c>
      <c r="K173" s="251"/>
      <c r="L173" s="6" t="e">
        <f t="shared" si="18"/>
        <v>#N/A</v>
      </c>
      <c r="M173" s="196" t="e">
        <f t="shared" si="19"/>
        <v>#N/A</v>
      </c>
      <c r="N173" s="8"/>
      <c r="O173" s="8"/>
    </row>
    <row r="174" spans="4:15" ht="19.5" customHeight="1" x14ac:dyDescent="0.2">
      <c r="D174" s="196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140</v>
      </c>
      <c r="J174" s="251" t="e">
        <f t="shared" si="21"/>
        <v>#N/A</v>
      </c>
      <c r="K174" s="251"/>
      <c r="L174" s="6" t="e">
        <f t="shared" si="18"/>
        <v>#N/A</v>
      </c>
      <c r="M174" s="196" t="e">
        <f t="shared" si="19"/>
        <v>#N/A</v>
      </c>
      <c r="N174" s="8"/>
      <c r="O174" s="8"/>
    </row>
    <row r="175" spans="4:15" ht="19.5" customHeight="1" x14ac:dyDescent="0.2">
      <c r="D175" s="196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0</v>
      </c>
      <c r="I175" s="15" t="s">
        <v>142</v>
      </c>
      <c r="J175" s="251" t="e">
        <f t="shared" si="21"/>
        <v>#N/A</v>
      </c>
      <c r="K175" s="251"/>
      <c r="L175" s="6" t="e">
        <f t="shared" si="18"/>
        <v>#N/A</v>
      </c>
      <c r="M175" s="196" t="e">
        <f t="shared" si="19"/>
        <v>#N/A</v>
      </c>
      <c r="N175" s="8"/>
      <c r="O175" s="8"/>
    </row>
    <row r="176" spans="4:15" ht="19.5" customHeight="1" x14ac:dyDescent="0.2">
      <c r="D176" s="196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141</v>
      </c>
      <c r="J176" s="251" t="e">
        <f t="shared" si="21"/>
        <v>#N/A</v>
      </c>
      <c r="K176" s="251"/>
      <c r="L176" s="6" t="e">
        <f t="shared" si="18"/>
        <v>#N/A</v>
      </c>
      <c r="M176" s="196" t="e">
        <f t="shared" si="19"/>
        <v>#N/A</v>
      </c>
      <c r="N176" s="8"/>
      <c r="O176" s="8"/>
    </row>
    <row r="177" spans="3:15" ht="19.5" customHeight="1" x14ac:dyDescent="0.2">
      <c r="D177" s="196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166</v>
      </c>
      <c r="J177" s="251" t="e">
        <f t="shared" si="21"/>
        <v>#N/A</v>
      </c>
      <c r="K177" s="251"/>
      <c r="L177" s="6" t="e">
        <f t="shared" si="18"/>
        <v>#N/A</v>
      </c>
      <c r="M177" s="196" t="e">
        <f t="shared" si="19"/>
        <v>#N/A</v>
      </c>
      <c r="N177" s="8"/>
      <c r="O177" s="8"/>
    </row>
    <row r="178" spans="3:15" ht="19.5" customHeight="1" x14ac:dyDescent="0.2">
      <c r="D178" s="196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167</v>
      </c>
      <c r="J178" s="251" t="e">
        <f t="shared" si="21"/>
        <v>#N/A</v>
      </c>
      <c r="K178" s="251"/>
      <c r="L178" s="6" t="e">
        <f t="shared" si="18"/>
        <v>#N/A</v>
      </c>
      <c r="M178" s="196" t="e">
        <f t="shared" si="19"/>
        <v>#N/A</v>
      </c>
      <c r="N178" s="8"/>
      <c r="O178" s="8"/>
    </row>
    <row r="179" spans="3:15" ht="19.5" customHeight="1" x14ac:dyDescent="0.2">
      <c r="D179" s="196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168</v>
      </c>
      <c r="J179" s="251" t="e">
        <f t="shared" si="21"/>
        <v>#N/A</v>
      </c>
      <c r="K179" s="251"/>
      <c r="L179" s="6" t="e">
        <f t="shared" si="18"/>
        <v>#N/A</v>
      </c>
      <c r="M179" s="196" t="e">
        <f t="shared" si="19"/>
        <v>#N/A</v>
      </c>
      <c r="N179" s="8"/>
      <c r="O179" s="8"/>
    </row>
    <row r="180" spans="3:15" ht="19.5" customHeight="1" x14ac:dyDescent="0.2">
      <c r="D180" s="196">
        <f t="shared" si="16"/>
        <v>769.73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169</v>
      </c>
      <c r="J180" s="251" t="e">
        <f t="shared" si="21"/>
        <v>#N/A</v>
      </c>
      <c r="K180" s="251"/>
      <c r="L180" s="6" t="e">
        <f t="shared" si="18"/>
        <v>#N/A</v>
      </c>
      <c r="M180" s="196" t="e">
        <f t="shared" si="19"/>
        <v>#N/A</v>
      </c>
      <c r="N180" s="8"/>
      <c r="O180" s="8"/>
    </row>
    <row r="181" spans="3:15" ht="19.5" customHeight="1" x14ac:dyDescent="0.2">
      <c r="D181" s="196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51" t="e">
        <f t="shared" si="21"/>
        <v>#N/A</v>
      </c>
      <c r="K181" s="251"/>
      <c r="L181" s="6" t="e">
        <f t="shared" si="18"/>
        <v>#N/A</v>
      </c>
      <c r="M181" s="196" t="e">
        <f t="shared" si="19"/>
        <v>#N/A</v>
      </c>
      <c r="N181" s="8"/>
      <c r="O181" s="8"/>
    </row>
    <row r="182" spans="3:15" ht="19.5" customHeight="1" x14ac:dyDescent="0.2">
      <c r="D182" s="196">
        <f t="shared" si="16"/>
        <v>863.74</v>
      </c>
      <c r="E182" s="86" t="str">
        <f t="shared" si="17"/>
        <v>MA</v>
      </c>
      <c r="F182" s="15" t="s">
        <v>146</v>
      </c>
      <c r="G182" s="28">
        <f t="shared" si="20"/>
        <v>0</v>
      </c>
      <c r="I182" s="15"/>
      <c r="J182" s="251" t="e">
        <f t="shared" si="21"/>
        <v>#N/A</v>
      </c>
      <c r="K182" s="251"/>
      <c r="L182" s="6" t="e">
        <f t="shared" si="18"/>
        <v>#N/A</v>
      </c>
      <c r="M182" s="196" t="e">
        <f t="shared" si="19"/>
        <v>#N/A</v>
      </c>
      <c r="N182" s="8"/>
      <c r="O182" s="8"/>
    </row>
    <row r="183" spans="3:15" ht="19.5" customHeight="1" x14ac:dyDescent="0.2">
      <c r="D183" s="196">
        <f t="shared" si="16"/>
        <v>883.15</v>
      </c>
      <c r="E183" s="86" t="str">
        <f t="shared" si="17"/>
        <v>EH</v>
      </c>
      <c r="F183" s="15" t="s">
        <v>147</v>
      </c>
      <c r="G183" s="28">
        <f t="shared" si="20"/>
        <v>0</v>
      </c>
      <c r="I183" s="15"/>
      <c r="J183" s="251" t="e">
        <f t="shared" si="21"/>
        <v>#N/A</v>
      </c>
      <c r="K183" s="251"/>
      <c r="L183" s="6" t="e">
        <f t="shared" si="18"/>
        <v>#N/A</v>
      </c>
      <c r="M183" s="196" t="e">
        <f t="shared" si="19"/>
        <v>#N/A</v>
      </c>
      <c r="N183" s="8"/>
      <c r="O183" s="8"/>
    </row>
    <row r="184" spans="3:15" ht="19.5" customHeight="1" x14ac:dyDescent="0.2">
      <c r="D184" s="196">
        <f t="shared" si="16"/>
        <v>1017.1</v>
      </c>
      <c r="E184" s="86" t="str">
        <f t="shared" si="17"/>
        <v>BK</v>
      </c>
      <c r="F184" s="15" t="s">
        <v>148</v>
      </c>
      <c r="G184" s="28">
        <f t="shared" si="20"/>
        <v>0</v>
      </c>
      <c r="I184" s="15"/>
      <c r="J184" s="251" t="e">
        <f t="shared" si="21"/>
        <v>#N/A</v>
      </c>
      <c r="K184" s="251"/>
      <c r="L184" s="6" t="e">
        <f t="shared" si="18"/>
        <v>#N/A</v>
      </c>
      <c r="M184" s="196" t="e">
        <f t="shared" si="19"/>
        <v>#N/A</v>
      </c>
      <c r="N184" s="8"/>
      <c r="O184" s="8"/>
    </row>
    <row r="185" spans="3:15" ht="19.5" customHeight="1" x14ac:dyDescent="0.2">
      <c r="D185" s="221">
        <f t="shared" si="16"/>
        <v>153.76</v>
      </c>
      <c r="E185" s="86" t="str">
        <f t="shared" si="17"/>
        <v>CZ</v>
      </c>
      <c r="F185" s="30" t="s">
        <v>164</v>
      </c>
      <c r="G185" s="28">
        <f t="shared" si="20"/>
        <v>0</v>
      </c>
      <c r="I185" s="15"/>
      <c r="J185" s="251" t="e">
        <f t="shared" si="21"/>
        <v>#N/A</v>
      </c>
      <c r="K185" s="251"/>
      <c r="L185" s="6" t="e">
        <f t="shared" si="18"/>
        <v>#N/A</v>
      </c>
      <c r="M185" s="196" t="e">
        <f t="shared" si="19"/>
        <v>#N/A</v>
      </c>
      <c r="N185" s="8"/>
      <c r="O185" s="8"/>
    </row>
    <row r="186" spans="3:15" ht="19.5" customHeight="1" x14ac:dyDescent="0.2">
      <c r="C186" s="130"/>
      <c r="D186" s="196">
        <f t="shared" si="16"/>
        <v>1132.5899999999999</v>
      </c>
      <c r="E186" s="216" t="str">
        <f t="shared" si="17"/>
        <v>LA</v>
      </c>
      <c r="F186" s="15" t="s">
        <v>165</v>
      </c>
      <c r="G186" s="28">
        <f t="shared" si="20"/>
        <v>0</v>
      </c>
      <c r="I186" s="15"/>
      <c r="J186" s="251" t="e">
        <f t="shared" si="21"/>
        <v>#N/A</v>
      </c>
      <c r="K186" s="251"/>
      <c r="L186" s="6" t="e">
        <f t="shared" si="18"/>
        <v>#N/A</v>
      </c>
      <c r="M186" s="196" t="e">
        <f t="shared" si="19"/>
        <v>#N/A</v>
      </c>
      <c r="N186" s="8"/>
      <c r="O186" s="8"/>
    </row>
    <row r="187" spans="3:15" ht="19.5" customHeight="1" x14ac:dyDescent="0.2">
      <c r="C187" s="130"/>
      <c r="D187" s="196">
        <f t="shared" si="16"/>
        <v>0</v>
      </c>
      <c r="E187" s="216" t="str">
        <f t="shared" si="17"/>
        <v>XW</v>
      </c>
      <c r="F187" s="15" t="s">
        <v>390</v>
      </c>
      <c r="G187" s="28">
        <f t="shared" si="20"/>
        <v>0</v>
      </c>
      <c r="I187" s="84"/>
      <c r="J187" s="220"/>
      <c r="K187" s="220"/>
      <c r="M187" s="219"/>
      <c r="N187" s="8"/>
      <c r="O187" s="8"/>
    </row>
    <row r="188" spans="3:15" ht="19.5" customHeight="1" x14ac:dyDescent="0.2">
      <c r="C188" s="92" t="s">
        <v>92</v>
      </c>
      <c r="D188" s="197">
        <f>SUMIF(D153:D186,"&gt;0")</f>
        <v>29687.159999999996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7">
        <f>SUMIF(M153:M180,"&gt;0")</f>
        <v>16059.56</v>
      </c>
    </row>
    <row r="189" spans="3:15" ht="20.100000000000001" customHeight="1" x14ac:dyDescent="0.2">
      <c r="C189" s="6" t="s">
        <v>155</v>
      </c>
      <c r="D189" s="197">
        <f>D188+M188</f>
        <v>45746.719999999994</v>
      </c>
      <c r="E189" s="42" t="s">
        <v>155</v>
      </c>
      <c r="F189" s="7">
        <f>F188+J188</f>
        <v>52</v>
      </c>
      <c r="I189" s="42"/>
      <c r="J189" s="7"/>
      <c r="L189" s="92"/>
      <c r="M189" s="197"/>
    </row>
    <row r="190" spans="3:15" ht="20.100000000000001" customHeight="1" x14ac:dyDescent="0.2"/>
  </sheetData>
  <mergeCells count="54">
    <mergeCell ref="D3:E3"/>
    <mergeCell ref="D23:E23"/>
    <mergeCell ref="D35:E35"/>
    <mergeCell ref="J164:K164"/>
    <mergeCell ref="D124:E124"/>
    <mergeCell ref="D108:E108"/>
    <mergeCell ref="D47:E47"/>
    <mergeCell ref="D94:E94"/>
    <mergeCell ref="D61:E61"/>
    <mergeCell ref="J163:K163"/>
    <mergeCell ref="D135:E135"/>
    <mergeCell ref="J161:K161"/>
    <mergeCell ref="J162:K162"/>
    <mergeCell ref="J155:K155"/>
    <mergeCell ref="J156:K156"/>
    <mergeCell ref="J157:K157"/>
    <mergeCell ref="L3:M3"/>
    <mergeCell ref="L23:M23"/>
    <mergeCell ref="L35:M35"/>
    <mergeCell ref="L124:M124"/>
    <mergeCell ref="L94:M94"/>
    <mergeCell ref="L61:M61"/>
    <mergeCell ref="L47:M47"/>
    <mergeCell ref="L108:M108"/>
    <mergeCell ref="J168:K168"/>
    <mergeCell ref="J169:K169"/>
    <mergeCell ref="J170:K170"/>
    <mergeCell ref="J171:K171"/>
    <mergeCell ref="L135:M135"/>
    <mergeCell ref="J152:K152"/>
    <mergeCell ref="J153:K153"/>
    <mergeCell ref="J154:K154"/>
    <mergeCell ref="J167:K167"/>
    <mergeCell ref="I150:J150"/>
    <mergeCell ref="J160:K160"/>
    <mergeCell ref="J165:K165"/>
    <mergeCell ref="J166:K166"/>
    <mergeCell ref="J158:K158"/>
    <mergeCell ref="J159:K159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85:K185"/>
    <mergeCell ref="J186:K186"/>
    <mergeCell ref="J180:K180"/>
    <mergeCell ref="J181:K181"/>
    <mergeCell ref="J184:K184"/>
    <mergeCell ref="J182:K182"/>
    <mergeCell ref="J183:K183"/>
  </mergeCells>
  <phoneticPr fontId="0" type="noConversion"/>
  <conditionalFormatting sqref="E153:E187">
    <cfRule type="expression" dxfId="582" priority="114" stopIfTrue="1">
      <formula>F153=0</formula>
    </cfRule>
  </conditionalFormatting>
  <conditionalFormatting sqref="G153:G187">
    <cfRule type="cellIs" dxfId="581" priority="115" stopIfTrue="1" operator="between">
      <formula>221100</formula>
      <formula>221140</formula>
    </cfRule>
    <cfRule type="expression" dxfId="580" priority="116" stopIfTrue="1">
      <formula>F153=0</formula>
    </cfRule>
  </conditionalFormatting>
  <conditionalFormatting sqref="D153:D187">
    <cfRule type="expression" dxfId="579" priority="117" stopIfTrue="1">
      <formula>F153=0</formula>
    </cfRule>
  </conditionalFormatting>
  <conditionalFormatting sqref="F153:F187 I153:I187">
    <cfRule type="expression" dxfId="578" priority="118" stopIfTrue="1">
      <formula>G153&gt;221144</formula>
    </cfRule>
    <cfRule type="expression" dxfId="577" priority="119" stopIfTrue="1">
      <formula>G153=0</formula>
    </cfRule>
  </conditionalFormatting>
  <conditionalFormatting sqref="L153:L187">
    <cfRule type="expression" dxfId="576" priority="120" stopIfTrue="1">
      <formula>I153=0</formula>
    </cfRule>
  </conditionalFormatting>
  <conditionalFormatting sqref="J153:K187">
    <cfRule type="cellIs" dxfId="575" priority="121" stopIfTrue="1" operator="between">
      <formula>220001</formula>
      <formula>220034</formula>
    </cfRule>
    <cfRule type="cellIs" dxfId="574" priority="122" stopIfTrue="1" operator="between">
      <formula>221141</formula>
      <formula>221144</formula>
    </cfRule>
    <cfRule type="expression" dxfId="573" priority="123" stopIfTrue="1">
      <formula>I153=0</formula>
    </cfRule>
  </conditionalFormatting>
  <conditionalFormatting sqref="M153:M187">
    <cfRule type="expression" dxfId="572" priority="124" stopIfTrue="1">
      <formula>I153=0</formula>
    </cfRule>
  </conditionalFormatting>
  <conditionalFormatting sqref="R5:R17 R25:R30 R37:R42 R49:R56 R96:R103 R110:R119 R63:R89 R126:R130 R137:R145">
    <cfRule type="cellIs" dxfId="571" priority="125" stopIfTrue="1" operator="between">
      <formula>221101</formula>
      <formula>221140</formula>
    </cfRule>
  </conditionalFormatting>
  <conditionalFormatting sqref="F137:F145 F110:F119 F126:F130 F96:F103 F63:F89 F49:F56 F37:F42 F25:F30 F5:F17">
    <cfRule type="cellIs" dxfId="570" priority="126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569" priority="127" stopIfTrue="1" operator="between">
      <formula>"XC 501"</formula>
      <formula>"XC 549"</formula>
    </cfRule>
    <cfRule type="cellIs" dxfId="568" priority="128" stopIfTrue="1" operator="between">
      <formula>"XC 201"</formula>
      <formula>"XC 399"</formula>
    </cfRule>
    <cfRule type="cellIs" dxfId="567" priority="129" stopIfTrue="1" operator="between">
      <formula>"XC 801"</formula>
      <formula>"XC 899"</formula>
    </cfRule>
  </conditionalFormatting>
  <conditionalFormatting sqref="P5:P17">
    <cfRule type="containsText" dxfId="566" priority="112" stopIfTrue="1" operator="containsText" text="Couples In Traffic">
      <formula>NOT(ISERROR(SEARCH("Couples In Traffic",P5)))</formula>
    </cfRule>
    <cfRule type="expression" dxfId="565" priority="113" stopIfTrue="1">
      <formula>"Couples In Traffic"</formula>
    </cfRule>
  </conditionalFormatting>
  <conditionalFormatting sqref="P25:P30">
    <cfRule type="containsText" dxfId="564" priority="110" stopIfTrue="1" operator="containsText" text="Couples In Traffic">
      <formula>NOT(ISERROR(SEARCH("Couples In Traffic",P25)))</formula>
    </cfRule>
    <cfRule type="expression" dxfId="563" priority="111" stopIfTrue="1">
      <formula>"Couples In Traffic"</formula>
    </cfRule>
  </conditionalFormatting>
  <conditionalFormatting sqref="P37:P42">
    <cfRule type="containsText" dxfId="562" priority="108" stopIfTrue="1" operator="containsText" text="Couples In Traffic">
      <formula>NOT(ISERROR(SEARCH("Couples In Traffic",P37)))</formula>
    </cfRule>
    <cfRule type="expression" dxfId="561" priority="109" stopIfTrue="1">
      <formula>"Couples In Traffic"</formula>
    </cfRule>
  </conditionalFormatting>
  <conditionalFormatting sqref="P49:P56">
    <cfRule type="containsText" dxfId="560" priority="106" stopIfTrue="1" operator="containsText" text="Couples In Traffic">
      <formula>NOT(ISERROR(SEARCH("Couples In Traffic",P49)))</formula>
    </cfRule>
    <cfRule type="expression" dxfId="559" priority="107" stopIfTrue="1">
      <formula>"Couples In Traffic"</formula>
    </cfRule>
  </conditionalFormatting>
  <conditionalFormatting sqref="P63:P89">
    <cfRule type="containsText" dxfId="558" priority="104" stopIfTrue="1" operator="containsText" text="Couples In Traffic">
      <formula>NOT(ISERROR(SEARCH("Couples In Traffic",P63)))</formula>
    </cfRule>
    <cfRule type="expression" dxfId="557" priority="105" stopIfTrue="1">
      <formula>"Couples In Traffic"</formula>
    </cfRule>
  </conditionalFormatting>
  <conditionalFormatting sqref="P96:P103">
    <cfRule type="containsText" dxfId="556" priority="102" stopIfTrue="1" operator="containsText" text="Couples In Traffic">
      <formula>NOT(ISERROR(SEARCH("Couples In Traffic",P96)))</formula>
    </cfRule>
    <cfRule type="expression" dxfId="555" priority="103" stopIfTrue="1">
      <formula>"Couples In Traffic"</formula>
    </cfRule>
  </conditionalFormatting>
  <conditionalFormatting sqref="P110:P119">
    <cfRule type="containsText" dxfId="554" priority="100" stopIfTrue="1" operator="containsText" text="Couples In Traffic">
      <formula>NOT(ISERROR(SEARCH("Couples In Traffic",P110)))</formula>
    </cfRule>
    <cfRule type="expression" dxfId="553" priority="101" stopIfTrue="1">
      <formula>"Couples In Traffic"</formula>
    </cfRule>
  </conditionalFormatting>
  <conditionalFormatting sqref="P126:P130">
    <cfRule type="containsText" dxfId="552" priority="98" stopIfTrue="1" operator="containsText" text="Couples In Traffic">
      <formula>NOT(ISERROR(SEARCH("Couples In Traffic",P126)))</formula>
    </cfRule>
    <cfRule type="expression" dxfId="551" priority="99" stopIfTrue="1">
      <formula>"Couples In Traffic"</formula>
    </cfRule>
  </conditionalFormatting>
  <conditionalFormatting sqref="P137:P145">
    <cfRule type="containsText" dxfId="550" priority="96" stopIfTrue="1" operator="containsText" text="Couples In Traffic">
      <formula>NOT(ISERROR(SEARCH("Couples In Traffic",P137)))</formula>
    </cfRule>
    <cfRule type="expression" dxfId="549" priority="97" stopIfTrue="1">
      <formula>"Couples In Traffic"</formula>
    </cfRule>
  </conditionalFormatting>
  <conditionalFormatting sqref="E5:E17">
    <cfRule type="cellIs" dxfId="548" priority="95" stopIfTrue="1" operator="between">
      <formula>221101</formula>
      <formula>221140</formula>
    </cfRule>
  </conditionalFormatting>
  <conditionalFormatting sqref="E5:E17">
    <cfRule type="cellIs" dxfId="547" priority="93" stopIfTrue="1" operator="equal">
      <formula>221144</formula>
    </cfRule>
    <cfRule type="cellIs" dxfId="546" priority="94" stopIfTrue="1" operator="equal">
      <formula>221136</formula>
    </cfRule>
  </conditionalFormatting>
  <conditionalFormatting sqref="E5:E17">
    <cfRule type="cellIs" dxfId="545" priority="91" stopIfTrue="1" operator="equal">
      <formula>221144</formula>
    </cfRule>
    <cfRule type="cellIs" dxfId="544" priority="92" stopIfTrue="1" operator="equal">
      <formula>221136</formula>
    </cfRule>
  </conditionalFormatting>
  <conditionalFormatting sqref="E25:E30">
    <cfRule type="cellIs" dxfId="543" priority="85" stopIfTrue="1" operator="between">
      <formula>221101</formula>
      <formula>221140</formula>
    </cfRule>
  </conditionalFormatting>
  <conditionalFormatting sqref="E25:E30">
    <cfRule type="cellIs" dxfId="542" priority="83" stopIfTrue="1" operator="equal">
      <formula>221144</formula>
    </cfRule>
    <cfRule type="cellIs" dxfId="541" priority="84" stopIfTrue="1" operator="equal">
      <formula>221136</formula>
    </cfRule>
  </conditionalFormatting>
  <conditionalFormatting sqref="E37:E42">
    <cfRule type="cellIs" dxfId="540" priority="79" stopIfTrue="1" operator="between">
      <formula>221101</formula>
      <formula>221140</formula>
    </cfRule>
  </conditionalFormatting>
  <conditionalFormatting sqref="E37:E42">
    <cfRule type="cellIs" dxfId="539" priority="77" stopIfTrue="1" operator="equal">
      <formula>221144</formula>
    </cfRule>
    <cfRule type="cellIs" dxfId="538" priority="78" stopIfTrue="1" operator="equal">
      <formula>221136</formula>
    </cfRule>
  </conditionalFormatting>
  <conditionalFormatting sqref="E49:E56">
    <cfRule type="cellIs" dxfId="537" priority="73" stopIfTrue="1" operator="between">
      <formula>221101</formula>
      <formula>221140</formula>
    </cfRule>
  </conditionalFormatting>
  <conditionalFormatting sqref="E49:E56">
    <cfRule type="cellIs" dxfId="536" priority="71" stopIfTrue="1" operator="equal">
      <formula>221144</formula>
    </cfRule>
    <cfRule type="cellIs" dxfId="535" priority="72" stopIfTrue="1" operator="equal">
      <formula>221136</formula>
    </cfRule>
  </conditionalFormatting>
  <conditionalFormatting sqref="E49:E56">
    <cfRule type="cellIs" dxfId="534" priority="69" stopIfTrue="1" operator="equal">
      <formula>221144</formula>
    </cfRule>
    <cfRule type="cellIs" dxfId="533" priority="70" stopIfTrue="1" operator="equal">
      <formula>221136</formula>
    </cfRule>
  </conditionalFormatting>
  <conditionalFormatting sqref="E63:E89">
    <cfRule type="cellIs" dxfId="532" priority="63" stopIfTrue="1" operator="between">
      <formula>221101</formula>
      <formula>221140</formula>
    </cfRule>
  </conditionalFormatting>
  <conditionalFormatting sqref="E63:E89">
    <cfRule type="cellIs" dxfId="531" priority="61" stopIfTrue="1" operator="equal">
      <formula>221144</formula>
    </cfRule>
    <cfRule type="cellIs" dxfId="530" priority="62" stopIfTrue="1" operator="equal">
      <formula>221136</formula>
    </cfRule>
  </conditionalFormatting>
  <conditionalFormatting sqref="E96:E103">
    <cfRule type="cellIs" dxfId="529" priority="57" stopIfTrue="1" operator="between">
      <formula>221101</formula>
      <formula>221140</formula>
    </cfRule>
  </conditionalFormatting>
  <conditionalFormatting sqref="E96:E103">
    <cfRule type="cellIs" dxfId="528" priority="55" stopIfTrue="1" operator="equal">
      <formula>221144</formula>
    </cfRule>
    <cfRule type="cellIs" dxfId="527" priority="56" stopIfTrue="1" operator="equal">
      <formula>221136</formula>
    </cfRule>
  </conditionalFormatting>
  <conditionalFormatting sqref="E110:E119">
    <cfRule type="cellIs" dxfId="526" priority="51" stopIfTrue="1" operator="between">
      <formula>221101</formula>
      <formula>221140</formula>
    </cfRule>
  </conditionalFormatting>
  <conditionalFormatting sqref="E110:E119">
    <cfRule type="cellIs" dxfId="525" priority="49" stopIfTrue="1" operator="equal">
      <formula>221144</formula>
    </cfRule>
    <cfRule type="cellIs" dxfId="524" priority="50" stopIfTrue="1" operator="equal">
      <formula>221136</formula>
    </cfRule>
  </conditionalFormatting>
  <conditionalFormatting sqref="E126:E130">
    <cfRule type="cellIs" dxfId="523" priority="45" stopIfTrue="1" operator="between">
      <formula>221101</formula>
      <formula>221140</formula>
    </cfRule>
  </conditionalFormatting>
  <conditionalFormatting sqref="E126:E130">
    <cfRule type="cellIs" dxfId="522" priority="43" stopIfTrue="1" operator="equal">
      <formula>221144</formula>
    </cfRule>
    <cfRule type="cellIs" dxfId="521" priority="44" stopIfTrue="1" operator="equal">
      <formula>221136</formula>
    </cfRule>
  </conditionalFormatting>
  <conditionalFormatting sqref="E137:E145">
    <cfRule type="cellIs" dxfId="520" priority="39" stopIfTrue="1" operator="between">
      <formula>221101</formula>
      <formula>221140</formula>
    </cfRule>
  </conditionalFormatting>
  <conditionalFormatting sqref="E137:E145">
    <cfRule type="cellIs" dxfId="519" priority="37" stopIfTrue="1" operator="equal">
      <formula>221144</formula>
    </cfRule>
    <cfRule type="cellIs" dxfId="518" priority="38" stopIfTrue="1" operator="equal">
      <formula>221136</formula>
    </cfRule>
  </conditionalFormatting>
  <conditionalFormatting sqref="E5:E17 E25:E30 E37:E42 E49:E56 E63:E89 E96:E103 E110:E119 E126:E130 E137:E145">
    <cfRule type="cellIs" dxfId="517" priority="33" operator="equal">
      <formula>221140</formula>
    </cfRule>
  </conditionalFormatting>
  <conditionalFormatting sqref="Q5:Q17">
    <cfRule type="cellIs" dxfId="516" priority="32" stopIfTrue="1" operator="between">
      <formula>221101</formula>
      <formula>221140</formula>
    </cfRule>
  </conditionalFormatting>
  <conditionalFormatting sqref="Q5:Q17">
    <cfRule type="cellIs" dxfId="515" priority="30" stopIfTrue="1" operator="equal">
      <formula>221144</formula>
    </cfRule>
    <cfRule type="cellIs" dxfId="514" priority="31" stopIfTrue="1" operator="equal">
      <formula>221136</formula>
    </cfRule>
  </conditionalFormatting>
  <conditionalFormatting sqref="Q5:Q17">
    <cfRule type="cellIs" dxfId="513" priority="28" stopIfTrue="1" operator="equal">
      <formula>221144</formula>
    </cfRule>
    <cfRule type="cellIs" dxfId="512" priority="29" stopIfTrue="1" operator="equal">
      <formula>221136</formula>
    </cfRule>
  </conditionalFormatting>
  <conditionalFormatting sqref="Q25:Q30">
    <cfRule type="cellIs" dxfId="511" priority="27" stopIfTrue="1" operator="between">
      <formula>221101</formula>
      <formula>221140</formula>
    </cfRule>
  </conditionalFormatting>
  <conditionalFormatting sqref="Q25:Q30">
    <cfRule type="cellIs" dxfId="510" priority="25" stopIfTrue="1" operator="equal">
      <formula>221144</formula>
    </cfRule>
    <cfRule type="cellIs" dxfId="509" priority="26" stopIfTrue="1" operator="equal">
      <formula>221136</formula>
    </cfRule>
  </conditionalFormatting>
  <conditionalFormatting sqref="Q37:Q42">
    <cfRule type="cellIs" dxfId="508" priority="24" stopIfTrue="1" operator="between">
      <formula>221101</formula>
      <formula>221140</formula>
    </cfRule>
  </conditionalFormatting>
  <conditionalFormatting sqref="Q37:Q42">
    <cfRule type="cellIs" dxfId="507" priority="22" stopIfTrue="1" operator="equal">
      <formula>221144</formula>
    </cfRule>
    <cfRule type="cellIs" dxfId="506" priority="23" stopIfTrue="1" operator="equal">
      <formula>221136</formula>
    </cfRule>
  </conditionalFormatting>
  <conditionalFormatting sqref="Q49:Q56">
    <cfRule type="cellIs" dxfId="505" priority="21" stopIfTrue="1" operator="between">
      <formula>221101</formula>
      <formula>221140</formula>
    </cfRule>
  </conditionalFormatting>
  <conditionalFormatting sqref="Q49:Q56">
    <cfRule type="cellIs" dxfId="504" priority="19" stopIfTrue="1" operator="equal">
      <formula>221144</formula>
    </cfRule>
    <cfRule type="cellIs" dxfId="503" priority="20" stopIfTrue="1" operator="equal">
      <formula>221136</formula>
    </cfRule>
  </conditionalFormatting>
  <conditionalFormatting sqref="Q49:Q56">
    <cfRule type="cellIs" dxfId="502" priority="17" stopIfTrue="1" operator="equal">
      <formula>221144</formula>
    </cfRule>
    <cfRule type="cellIs" dxfId="501" priority="18" stopIfTrue="1" operator="equal">
      <formula>221136</formula>
    </cfRule>
  </conditionalFormatting>
  <conditionalFormatting sqref="Q63:Q89">
    <cfRule type="cellIs" dxfId="500" priority="16" stopIfTrue="1" operator="between">
      <formula>221101</formula>
      <formula>221140</formula>
    </cfRule>
  </conditionalFormatting>
  <conditionalFormatting sqref="Q63:Q89">
    <cfRule type="cellIs" dxfId="499" priority="14" stopIfTrue="1" operator="equal">
      <formula>221144</formula>
    </cfRule>
    <cfRule type="cellIs" dxfId="498" priority="15" stopIfTrue="1" operator="equal">
      <formula>221136</formula>
    </cfRule>
  </conditionalFormatting>
  <conditionalFormatting sqref="Q96:Q103">
    <cfRule type="cellIs" dxfId="497" priority="13" stopIfTrue="1" operator="between">
      <formula>221101</formula>
      <formula>221140</formula>
    </cfRule>
  </conditionalFormatting>
  <conditionalFormatting sqref="Q96:Q103">
    <cfRule type="cellIs" dxfId="496" priority="11" stopIfTrue="1" operator="equal">
      <formula>221144</formula>
    </cfRule>
    <cfRule type="cellIs" dxfId="495" priority="12" stopIfTrue="1" operator="equal">
      <formula>221136</formula>
    </cfRule>
  </conditionalFormatting>
  <conditionalFormatting sqref="Q110:Q119">
    <cfRule type="cellIs" dxfId="494" priority="10" stopIfTrue="1" operator="between">
      <formula>221101</formula>
      <formula>221140</formula>
    </cfRule>
  </conditionalFormatting>
  <conditionalFormatting sqref="Q110:Q119">
    <cfRule type="cellIs" dxfId="493" priority="8" stopIfTrue="1" operator="equal">
      <formula>221144</formula>
    </cfRule>
    <cfRule type="cellIs" dxfId="492" priority="9" stopIfTrue="1" operator="equal">
      <formula>221136</formula>
    </cfRule>
  </conditionalFormatting>
  <conditionalFormatting sqref="Q126:Q130">
    <cfRule type="cellIs" dxfId="491" priority="7" stopIfTrue="1" operator="between">
      <formula>221101</formula>
      <formula>221140</formula>
    </cfRule>
  </conditionalFormatting>
  <conditionalFormatting sqref="Q126:Q130">
    <cfRule type="cellIs" dxfId="490" priority="5" stopIfTrue="1" operator="equal">
      <formula>221144</formula>
    </cfRule>
    <cfRule type="cellIs" dxfId="489" priority="6" stopIfTrue="1" operator="equal">
      <formula>221136</formula>
    </cfRule>
  </conditionalFormatting>
  <conditionalFormatting sqref="Q137:Q145">
    <cfRule type="cellIs" dxfId="488" priority="4" stopIfTrue="1" operator="between">
      <formula>221101</formula>
      <formula>221140</formula>
    </cfRule>
  </conditionalFormatting>
  <conditionalFormatting sqref="Q137:Q145">
    <cfRule type="cellIs" dxfId="487" priority="2" stopIfTrue="1" operator="equal">
      <formula>221144</formula>
    </cfRule>
    <cfRule type="cellIs" dxfId="486" priority="3" stopIfTrue="1" operator="equal">
      <formula>221136</formula>
    </cfRule>
  </conditionalFormatting>
  <conditionalFormatting sqref="Q137:Q145 Q5:Q17 Q25:Q30 Q37:Q42 Q49:Q56 Q63:Q89 Q96:Q103 Q110:Q119 Q126:Q130">
    <cfRule type="cellIs" dxfId="485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90"/>
  <sheetViews>
    <sheetView view="pageBreakPreview" topLeftCell="A7" zoomScaleNormal="70" zoomScaleSheetLayoutView="100" workbookViewId="0">
      <selection activeCell="R182" sqref="R182"/>
    </sheetView>
  </sheetViews>
  <sheetFormatPr defaultRowHeight="15" customHeight="1" x14ac:dyDescent="0.2"/>
  <cols>
    <col min="1" max="1" width="10.85546875" style="6" customWidth="1"/>
    <col min="2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111</v>
      </c>
      <c r="B3" s="118"/>
      <c r="C3" s="9"/>
      <c r="D3" s="255">
        <f>'DEPT BAL'!$H$4-1</f>
        <v>43069</v>
      </c>
      <c r="E3" s="255"/>
      <c r="I3" s="8" t="s">
        <v>112</v>
      </c>
      <c r="J3" s="118"/>
      <c r="L3" s="252">
        <f>D3+1</f>
        <v>43070</v>
      </c>
      <c r="M3" s="252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420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279</v>
      </c>
      <c r="C5" s="11" t="s">
        <v>130</v>
      </c>
      <c r="D5" s="25" t="s">
        <v>318</v>
      </c>
      <c r="E5" s="40"/>
      <c r="F5" s="134"/>
      <c r="G5" s="12"/>
      <c r="H5" s="174" t="str">
        <f>$I$2</f>
        <v>EC</v>
      </c>
      <c r="I5" s="10" t="s">
        <v>31</v>
      </c>
      <c r="J5" s="120" t="s">
        <v>250</v>
      </c>
      <c r="K5" s="209" t="s">
        <v>199</v>
      </c>
      <c r="L5" s="11" t="s">
        <v>61</v>
      </c>
      <c r="M5" s="13" t="s">
        <v>321</v>
      </c>
      <c r="N5" s="78">
        <v>920.97</v>
      </c>
      <c r="O5" s="40"/>
      <c r="P5" s="107"/>
      <c r="Q5" s="40"/>
      <c r="R5" s="222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151</v>
      </c>
      <c r="C6" s="15" t="s">
        <v>130</v>
      </c>
      <c r="D6" s="18" t="s">
        <v>266</v>
      </c>
      <c r="E6" s="40"/>
      <c r="F6" s="135"/>
      <c r="G6" s="17"/>
      <c r="H6" s="174" t="str">
        <f t="shared" ref="H6:H17" si="0">$I$2</f>
        <v>EC</v>
      </c>
      <c r="I6" s="14" t="s">
        <v>51</v>
      </c>
      <c r="J6" s="121" t="s">
        <v>265</v>
      </c>
      <c r="K6" s="140" t="s">
        <v>218</v>
      </c>
      <c r="L6" s="15" t="s">
        <v>60</v>
      </c>
      <c r="M6" s="19" t="s">
        <v>378</v>
      </c>
      <c r="N6" s="79">
        <v>1035.1400000000001</v>
      </c>
      <c r="O6" s="40"/>
      <c r="P6" s="108" t="s">
        <v>149</v>
      </c>
      <c r="Q6" s="40"/>
      <c r="R6" s="223"/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182</v>
      </c>
      <c r="C7" s="15" t="s">
        <v>130</v>
      </c>
      <c r="D7" s="18" t="s">
        <v>261</v>
      </c>
      <c r="E7" s="40"/>
      <c r="F7" s="135"/>
      <c r="G7" s="17"/>
      <c r="H7" s="174" t="str">
        <f t="shared" si="0"/>
        <v>EC</v>
      </c>
      <c r="I7" s="14" t="s">
        <v>38</v>
      </c>
      <c r="J7" s="181"/>
      <c r="K7" s="210"/>
      <c r="L7" s="15" t="s">
        <v>58</v>
      </c>
      <c r="M7" s="19" t="s">
        <v>356</v>
      </c>
      <c r="N7" s="79">
        <v>686.87</v>
      </c>
      <c r="O7" s="40"/>
      <c r="P7" s="108" t="s">
        <v>149</v>
      </c>
      <c r="Q7" s="40"/>
      <c r="R7" s="223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232</v>
      </c>
      <c r="C8" s="15" t="s">
        <v>130</v>
      </c>
      <c r="D8" s="18" t="s">
        <v>288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251</v>
      </c>
      <c r="K8" s="135" t="s">
        <v>286</v>
      </c>
      <c r="L8" s="30" t="s">
        <v>66</v>
      </c>
      <c r="M8" s="94" t="s">
        <v>445</v>
      </c>
      <c r="N8" s="99">
        <v>744.16</v>
      </c>
      <c r="O8" s="40"/>
      <c r="P8" s="108"/>
      <c r="Q8" s="40"/>
      <c r="R8" s="223"/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273</v>
      </c>
      <c r="C9" s="30" t="s">
        <v>131</v>
      </c>
      <c r="D9" s="18" t="s">
        <v>175</v>
      </c>
      <c r="E9" s="40"/>
      <c r="F9" s="135"/>
      <c r="G9" s="17"/>
      <c r="H9" s="174" t="str">
        <f>$I$2</f>
        <v>EC</v>
      </c>
      <c r="I9" s="14" t="s">
        <v>30</v>
      </c>
      <c r="J9" s="121" t="s">
        <v>150</v>
      </c>
      <c r="K9" s="140" t="s">
        <v>297</v>
      </c>
      <c r="L9" s="15" t="s">
        <v>55</v>
      </c>
      <c r="M9" s="19" t="s">
        <v>375</v>
      </c>
      <c r="N9" s="79">
        <v>990.47</v>
      </c>
      <c r="O9" s="40"/>
      <c r="P9" s="108"/>
      <c r="Q9" s="40"/>
      <c r="R9" s="223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152</v>
      </c>
      <c r="C10" s="32" t="s">
        <v>130</v>
      </c>
      <c r="D10" s="18" t="s">
        <v>329</v>
      </c>
      <c r="E10" s="40"/>
      <c r="F10" s="135"/>
      <c r="G10" s="17"/>
      <c r="H10" s="174" t="str">
        <f t="shared" si="0"/>
        <v>EC</v>
      </c>
      <c r="I10" s="14" t="s">
        <v>105</v>
      </c>
      <c r="J10" s="181"/>
      <c r="K10" s="210"/>
      <c r="L10" s="15" t="s">
        <v>58</v>
      </c>
      <c r="M10" s="19" t="s">
        <v>361</v>
      </c>
      <c r="N10" s="79">
        <v>900.47</v>
      </c>
      <c r="O10" s="40"/>
      <c r="P10" s="108"/>
      <c r="Q10" s="40"/>
      <c r="R10" s="224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40"/>
      <c r="P11" s="108"/>
      <c r="Q11" s="40"/>
      <c r="R11" s="224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08"/>
      <c r="Q12" s="40"/>
      <c r="R12" s="224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40"/>
      <c r="P13" s="108"/>
      <c r="Q13" s="40"/>
      <c r="R13" s="224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4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4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4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5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111</v>
      </c>
      <c r="B23" s="118"/>
      <c r="C23" s="9"/>
      <c r="D23" s="255">
        <f>'DEPT BAL'!$H$4-1</f>
        <v>43069</v>
      </c>
      <c r="E23" s="255"/>
      <c r="F23" s="138"/>
      <c r="I23" s="8" t="s">
        <v>112</v>
      </c>
      <c r="J23" s="118"/>
      <c r="L23" s="252">
        <f>D23+1</f>
        <v>43070</v>
      </c>
      <c r="M23" s="252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420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244</v>
      </c>
      <c r="C25" s="11" t="s">
        <v>134</v>
      </c>
      <c r="D25" s="25" t="s">
        <v>322</v>
      </c>
      <c r="E25" s="39"/>
      <c r="F25" s="192"/>
      <c r="G25" s="12"/>
      <c r="H25" s="174" t="str">
        <f t="shared" ref="H25:H30" si="2">$I$22</f>
        <v>TY</v>
      </c>
      <c r="I25" s="10" t="s">
        <v>89</v>
      </c>
      <c r="J25" s="120" t="s">
        <v>256</v>
      </c>
      <c r="K25" s="209" t="s">
        <v>286</v>
      </c>
      <c r="L25" s="11" t="s">
        <v>59</v>
      </c>
      <c r="M25" s="13" t="s">
        <v>335</v>
      </c>
      <c r="N25" s="78">
        <v>965.76</v>
      </c>
      <c r="O25" s="39"/>
      <c r="P25" s="107"/>
      <c r="Q25" s="39"/>
      <c r="R25" s="222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275</v>
      </c>
      <c r="C26" s="15" t="s">
        <v>134</v>
      </c>
      <c r="D26" s="18" t="s">
        <v>295</v>
      </c>
      <c r="E26" s="40"/>
      <c r="F26" s="154"/>
      <c r="G26" s="17"/>
      <c r="H26" s="174" t="str">
        <f t="shared" si="2"/>
        <v>TY</v>
      </c>
      <c r="I26" s="14" t="s">
        <v>35</v>
      </c>
      <c r="J26" s="126" t="s">
        <v>257</v>
      </c>
      <c r="K26" s="135" t="s">
        <v>278</v>
      </c>
      <c r="L26" s="15" t="s">
        <v>62</v>
      </c>
      <c r="M26" s="19" t="s">
        <v>288</v>
      </c>
      <c r="N26" s="79">
        <v>1009.6</v>
      </c>
      <c r="O26" s="40"/>
      <c r="P26" s="108"/>
      <c r="Q26" s="40"/>
      <c r="R26" s="223"/>
      <c r="S26" s="116" t="str">
        <f t="shared" si="3"/>
        <v>Yes</v>
      </c>
    </row>
    <row r="27" spans="1:19" ht="21.75" customHeight="1" x14ac:dyDescent="0.2">
      <c r="A27" s="14" t="s">
        <v>87</v>
      </c>
      <c r="B27" s="181"/>
      <c r="C27" s="15" t="s">
        <v>134</v>
      </c>
      <c r="D27" s="18" t="s">
        <v>295</v>
      </c>
      <c r="E27" s="40"/>
      <c r="F27" s="154"/>
      <c r="G27" s="17"/>
      <c r="H27" s="174" t="str">
        <f t="shared" si="2"/>
        <v>TY</v>
      </c>
      <c r="I27" s="14" t="s">
        <v>32</v>
      </c>
      <c r="J27" s="121" t="s">
        <v>258</v>
      </c>
      <c r="K27" s="140" t="s">
        <v>293</v>
      </c>
      <c r="L27" s="15" t="s">
        <v>61</v>
      </c>
      <c r="M27" s="19" t="s">
        <v>188</v>
      </c>
      <c r="N27" s="79">
        <v>889.99</v>
      </c>
      <c r="O27" s="40"/>
      <c r="P27" s="112"/>
      <c r="Q27" s="40"/>
      <c r="R27" s="223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192</v>
      </c>
      <c r="C28" s="15" t="s">
        <v>134</v>
      </c>
      <c r="D28" s="18" t="s">
        <v>289</v>
      </c>
      <c r="E28" s="40"/>
      <c r="F28" s="154"/>
      <c r="G28" s="17"/>
      <c r="H28" s="174" t="str">
        <f t="shared" si="2"/>
        <v>TY</v>
      </c>
      <c r="I28" s="14" t="s">
        <v>86</v>
      </c>
      <c r="J28" s="181"/>
      <c r="K28" s="210"/>
      <c r="L28" s="15" t="s">
        <v>62</v>
      </c>
      <c r="M28" s="19" t="s">
        <v>373</v>
      </c>
      <c r="N28" s="79">
        <v>844.14</v>
      </c>
      <c r="O28" s="40"/>
      <c r="P28" s="108"/>
      <c r="Q28" s="40"/>
      <c r="R28" s="223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3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5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111</v>
      </c>
      <c r="B35" s="118"/>
      <c r="C35" s="9"/>
      <c r="D35" s="255">
        <f>'DEPT BAL'!$H$4-1</f>
        <v>43069</v>
      </c>
      <c r="E35" s="255"/>
      <c r="F35" s="138"/>
      <c r="I35" s="8" t="s">
        <v>112</v>
      </c>
      <c r="J35" s="118"/>
      <c r="L35" s="252">
        <f>D35+1</f>
        <v>43070</v>
      </c>
      <c r="M35" s="252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420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193</v>
      </c>
      <c r="C37" s="15" t="s">
        <v>136</v>
      </c>
      <c r="D37" s="18" t="s">
        <v>229</v>
      </c>
      <c r="E37" s="39"/>
      <c r="F37" s="135"/>
      <c r="G37" s="12"/>
      <c r="H37" s="174" t="str">
        <f t="shared" ref="H37:H42" si="4">$I$34</f>
        <v>XW</v>
      </c>
      <c r="I37" s="10" t="s">
        <v>45</v>
      </c>
      <c r="J37" s="120" t="s">
        <v>249</v>
      </c>
      <c r="K37" s="209" t="s">
        <v>223</v>
      </c>
      <c r="L37" s="11" t="s">
        <v>56</v>
      </c>
      <c r="M37" s="13" t="s">
        <v>287</v>
      </c>
      <c r="N37" s="78">
        <v>957.64</v>
      </c>
      <c r="O37" s="39"/>
      <c r="P37" s="167"/>
      <c r="Q37" s="39"/>
      <c r="R37" s="222"/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308</v>
      </c>
      <c r="C38" s="15" t="s">
        <v>136</v>
      </c>
      <c r="D38" s="18" t="s">
        <v>378</v>
      </c>
      <c r="E38" s="40"/>
      <c r="F38" s="135"/>
      <c r="G38" s="90"/>
      <c r="H38" s="174" t="str">
        <f t="shared" si="4"/>
        <v>XW</v>
      </c>
      <c r="I38" s="14" t="s">
        <v>25</v>
      </c>
      <c r="J38" s="126" t="s">
        <v>259</v>
      </c>
      <c r="K38" s="135" t="s">
        <v>310</v>
      </c>
      <c r="L38" s="15" t="s">
        <v>62</v>
      </c>
      <c r="M38" s="19" t="s">
        <v>266</v>
      </c>
      <c r="N38" s="79">
        <v>955.85</v>
      </c>
      <c r="O38" s="40"/>
      <c r="P38" s="90"/>
      <c r="Q38" s="40"/>
      <c r="R38" s="223"/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194</v>
      </c>
      <c r="C39" s="15" t="s">
        <v>137</v>
      </c>
      <c r="D39" s="18" t="s">
        <v>323</v>
      </c>
      <c r="E39" s="40"/>
      <c r="F39" s="135"/>
      <c r="G39" s="17"/>
      <c r="H39" s="174" t="str">
        <f t="shared" si="4"/>
        <v>XW</v>
      </c>
      <c r="I39" s="14" t="s">
        <v>44</v>
      </c>
      <c r="J39" s="126" t="s">
        <v>260</v>
      </c>
      <c r="K39" s="135" t="s">
        <v>367</v>
      </c>
      <c r="L39" s="15" t="s">
        <v>56</v>
      </c>
      <c r="M39" s="19" t="s">
        <v>358</v>
      </c>
      <c r="N39" s="79">
        <v>869.21</v>
      </c>
      <c r="O39" s="40"/>
      <c r="P39" s="113"/>
      <c r="Q39" s="40"/>
      <c r="R39" s="223"/>
      <c r="S39" s="116" t="str">
        <f t="shared" si="5"/>
        <v>Yes</v>
      </c>
    </row>
    <row r="40" spans="1:19" ht="21.75" customHeight="1" x14ac:dyDescent="0.2">
      <c r="A40" s="14" t="s">
        <v>390</v>
      </c>
      <c r="B40" s="126" t="s">
        <v>290</v>
      </c>
      <c r="C40" s="15"/>
      <c r="D40" s="16"/>
      <c r="E40" s="40"/>
      <c r="F40" s="135"/>
      <c r="G40" s="17"/>
      <c r="H40" s="174" t="str">
        <f t="shared" si="4"/>
        <v>XW</v>
      </c>
      <c r="I40" s="14" t="s">
        <v>390</v>
      </c>
      <c r="J40" s="126" t="s">
        <v>290</v>
      </c>
      <c r="K40" s="135" t="s">
        <v>291</v>
      </c>
      <c r="L40" s="15"/>
      <c r="M40" s="19"/>
      <c r="N40" s="79">
        <v>0</v>
      </c>
      <c r="O40" s="40"/>
      <c r="P40" s="113"/>
      <c r="Q40" s="40"/>
      <c r="R40" s="223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4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5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111</v>
      </c>
      <c r="B47" s="118"/>
      <c r="C47" s="9"/>
      <c r="D47" s="255">
        <f>'DEPT BAL'!$H$4-1</f>
        <v>43069</v>
      </c>
      <c r="E47" s="255"/>
      <c r="F47" s="138"/>
      <c r="I47" s="8" t="s">
        <v>112</v>
      </c>
      <c r="J47" s="118"/>
      <c r="L47" s="252">
        <f>D47+1</f>
        <v>43070</v>
      </c>
      <c r="M47" s="252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420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186</v>
      </c>
      <c r="C49" s="15" t="s">
        <v>228</v>
      </c>
      <c r="D49" s="18" t="s">
        <v>178</v>
      </c>
      <c r="E49" s="40"/>
      <c r="F49" s="134"/>
      <c r="G49" s="12"/>
      <c r="H49" s="174" t="str">
        <f t="shared" ref="H49:H56" si="6">$I$46</f>
        <v>MA</v>
      </c>
      <c r="I49" s="10" t="s">
        <v>34</v>
      </c>
      <c r="J49" s="120" t="s">
        <v>253</v>
      </c>
      <c r="K49" s="211" t="s">
        <v>218</v>
      </c>
      <c r="L49" s="11" t="s">
        <v>56</v>
      </c>
      <c r="M49" s="13" t="s">
        <v>282</v>
      </c>
      <c r="N49" s="144">
        <v>824.21</v>
      </c>
      <c r="O49" s="40"/>
      <c r="P49" s="167"/>
      <c r="Q49" s="40"/>
      <c r="R49" s="222"/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187</v>
      </c>
      <c r="C50" s="15" t="s">
        <v>228</v>
      </c>
      <c r="D50" s="18" t="s">
        <v>188</v>
      </c>
      <c r="E50" s="40"/>
      <c r="F50" s="135"/>
      <c r="G50" s="17"/>
      <c r="H50" s="174" t="str">
        <f t="shared" si="6"/>
        <v>MA</v>
      </c>
      <c r="I50" s="14" t="s">
        <v>146</v>
      </c>
      <c r="J50" s="126" t="s">
        <v>138</v>
      </c>
      <c r="K50" s="135" t="s">
        <v>154</v>
      </c>
      <c r="L50" s="15" t="s">
        <v>55</v>
      </c>
      <c r="M50" s="19" t="s">
        <v>319</v>
      </c>
      <c r="N50" s="79">
        <v>863.74</v>
      </c>
      <c r="O50" s="40"/>
      <c r="P50" s="108"/>
      <c r="Q50" s="40"/>
      <c r="R50" s="223"/>
      <c r="S50" s="116" t="str">
        <f t="shared" si="7"/>
        <v>Yes</v>
      </c>
    </row>
    <row r="51" spans="1:19" ht="21.75" customHeight="1" x14ac:dyDescent="0.2">
      <c r="A51" s="14" t="s">
        <v>146</v>
      </c>
      <c r="B51" s="126" t="s">
        <v>189</v>
      </c>
      <c r="C51" s="15" t="s">
        <v>228</v>
      </c>
      <c r="D51" s="18" t="s">
        <v>319</v>
      </c>
      <c r="E51" s="40"/>
      <c r="F51" s="135"/>
      <c r="G51" s="90"/>
      <c r="H51" s="174" t="str">
        <f t="shared" si="6"/>
        <v>MA</v>
      </c>
      <c r="I51" s="14" t="s">
        <v>24</v>
      </c>
      <c r="J51" s="126" t="s">
        <v>255</v>
      </c>
      <c r="K51" s="135" t="s">
        <v>330</v>
      </c>
      <c r="L51" s="15" t="s">
        <v>56</v>
      </c>
      <c r="M51" s="19" t="s">
        <v>285</v>
      </c>
      <c r="N51" s="79">
        <v>804.67</v>
      </c>
      <c r="O51" s="40"/>
      <c r="P51" s="112"/>
      <c r="Q51" s="40"/>
      <c r="R51" s="223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190</v>
      </c>
      <c r="C52" s="15" t="s">
        <v>228</v>
      </c>
      <c r="D52" s="18" t="s">
        <v>379</v>
      </c>
      <c r="E52" s="40"/>
      <c r="F52" s="135"/>
      <c r="G52" s="17"/>
      <c r="H52" s="174" t="str">
        <f t="shared" si="6"/>
        <v>MA</v>
      </c>
      <c r="I52" s="14" t="s">
        <v>37</v>
      </c>
      <c r="J52" s="126" t="s">
        <v>263</v>
      </c>
      <c r="K52" s="135" t="s">
        <v>221</v>
      </c>
      <c r="L52" s="15" t="s">
        <v>58</v>
      </c>
      <c r="M52" s="19" t="s">
        <v>374</v>
      </c>
      <c r="N52" s="79">
        <v>817.99</v>
      </c>
      <c r="O52" s="40"/>
      <c r="P52" s="108"/>
      <c r="Q52" s="40"/>
      <c r="R52" s="223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17"/>
      <c r="H53" s="174" t="str">
        <f t="shared" si="6"/>
        <v>MA</v>
      </c>
      <c r="I53" s="14"/>
      <c r="J53" s="180"/>
      <c r="K53" s="154"/>
      <c r="L53" s="29"/>
      <c r="M53" s="77"/>
      <c r="N53" s="98"/>
      <c r="O53" s="40"/>
      <c r="P53" s="108"/>
      <c r="Q53" s="40"/>
      <c r="R53" s="223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0"/>
      <c r="K54" s="154"/>
      <c r="L54" s="81"/>
      <c r="M54" s="94"/>
      <c r="N54" s="99"/>
      <c r="O54" s="69"/>
      <c r="P54" s="114"/>
      <c r="Q54" s="69"/>
      <c r="R54" s="224"/>
      <c r="S54" s="116" t="str">
        <f t="shared" si="7"/>
        <v/>
      </c>
    </row>
    <row r="55" spans="1:19" ht="21.75" customHeight="1" x14ac:dyDescent="0.2">
      <c r="A55" s="14"/>
      <c r="B55" s="180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4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5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111</v>
      </c>
      <c r="B61" s="118"/>
      <c r="C61" s="9"/>
      <c r="D61" s="255">
        <f>'DEPT BAL'!$H$4-1</f>
        <v>43069</v>
      </c>
      <c r="E61" s="255"/>
      <c r="F61" s="138"/>
      <c r="I61" s="8" t="s">
        <v>112</v>
      </c>
      <c r="J61" s="118"/>
      <c r="L61" s="252">
        <f>D61+1</f>
        <v>43070</v>
      </c>
      <c r="M61" s="252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420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316</v>
      </c>
      <c r="C63" s="11" t="s">
        <v>317</v>
      </c>
      <c r="D63" s="25" t="s">
        <v>315</v>
      </c>
      <c r="E63" s="39"/>
      <c r="F63" s="192"/>
      <c r="G63" s="193"/>
      <c r="H63" s="174" t="str">
        <f>$I$60</f>
        <v>CZ</v>
      </c>
      <c r="I63" s="10" t="s">
        <v>52</v>
      </c>
      <c r="J63" s="120" t="s">
        <v>198</v>
      </c>
      <c r="K63" s="209" t="s">
        <v>230</v>
      </c>
      <c r="L63" s="11" t="s">
        <v>59</v>
      </c>
      <c r="M63" s="13" t="s">
        <v>360</v>
      </c>
      <c r="N63" s="78">
        <v>897.69</v>
      </c>
      <c r="O63" s="39"/>
      <c r="P63" s="107"/>
      <c r="Q63" s="39"/>
      <c r="R63" s="222"/>
      <c r="S63" s="115" t="str">
        <f>IF(N63&gt;0,"Yes","")</f>
        <v>Yes</v>
      </c>
    </row>
    <row r="64" spans="1:19" ht="21.75" customHeight="1" x14ac:dyDescent="0.2">
      <c r="A64" s="14" t="s">
        <v>44</v>
      </c>
      <c r="B64" s="121" t="s">
        <v>357</v>
      </c>
      <c r="C64" s="30" t="s">
        <v>225</v>
      </c>
      <c r="D64" s="18" t="s">
        <v>358</v>
      </c>
      <c r="E64" s="40"/>
      <c r="F64" s="154"/>
      <c r="G64" s="90"/>
      <c r="H64" s="174" t="str">
        <f t="shared" ref="H64:H89" si="8">$I$60</f>
        <v>CZ</v>
      </c>
      <c r="I64" s="14" t="s">
        <v>103</v>
      </c>
      <c r="J64" s="181"/>
      <c r="K64" s="210"/>
      <c r="L64" s="15" t="s">
        <v>55</v>
      </c>
      <c r="M64" s="19" t="s">
        <v>178</v>
      </c>
      <c r="N64" s="79">
        <v>806.31</v>
      </c>
      <c r="O64" s="40"/>
      <c r="P64" s="108"/>
      <c r="Q64" s="40"/>
      <c r="R64" s="223"/>
      <c r="S64" s="116" t="str">
        <f>IF(N64&gt;0,"Yes","")</f>
        <v>Yes</v>
      </c>
    </row>
    <row r="65" spans="1:19" ht="21.75" customHeight="1" x14ac:dyDescent="0.2">
      <c r="A65" s="14" t="s">
        <v>22</v>
      </c>
      <c r="B65" s="181"/>
      <c r="C65" s="30" t="s">
        <v>225</v>
      </c>
      <c r="D65" s="18" t="s">
        <v>358</v>
      </c>
      <c r="E65" s="40"/>
      <c r="F65" s="154"/>
      <c r="G65" s="90"/>
      <c r="H65" s="174" t="str">
        <f t="shared" si="8"/>
        <v>CZ</v>
      </c>
      <c r="I65" s="14" t="s">
        <v>107</v>
      </c>
      <c r="J65" s="121" t="s">
        <v>202</v>
      </c>
      <c r="K65" s="140" t="s">
        <v>222</v>
      </c>
      <c r="L65" s="70" t="s">
        <v>57</v>
      </c>
      <c r="M65" s="19" t="s">
        <v>299</v>
      </c>
      <c r="N65" s="79">
        <v>793.87</v>
      </c>
      <c r="O65" s="40"/>
      <c r="P65" s="108"/>
      <c r="Q65" s="40"/>
      <c r="R65" s="223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179</v>
      </c>
      <c r="C66" s="32" t="s">
        <v>225</v>
      </c>
      <c r="D66" s="18" t="s">
        <v>282</v>
      </c>
      <c r="E66" s="40"/>
      <c r="F66" s="154"/>
      <c r="G66" s="90"/>
      <c r="H66" s="174" t="str">
        <f t="shared" si="8"/>
        <v>CZ</v>
      </c>
      <c r="I66" s="14" t="s">
        <v>48</v>
      </c>
      <c r="J66" s="181"/>
      <c r="K66" s="210"/>
      <c r="L66" s="70" t="s">
        <v>58</v>
      </c>
      <c r="M66" s="19" t="s">
        <v>374</v>
      </c>
      <c r="N66" s="79">
        <v>1051.9000000000001</v>
      </c>
      <c r="O66" s="40"/>
      <c r="P66" s="108" t="s">
        <v>149</v>
      </c>
      <c r="Q66" s="40"/>
      <c r="R66" s="223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235</v>
      </c>
      <c r="C67" s="32" t="s">
        <v>225</v>
      </c>
      <c r="D67" s="18" t="s">
        <v>287</v>
      </c>
      <c r="E67" s="40"/>
      <c r="F67" s="154"/>
      <c r="G67" s="90"/>
      <c r="H67" s="174" t="str">
        <f t="shared" si="8"/>
        <v>CZ</v>
      </c>
      <c r="I67" s="14" t="s">
        <v>164</v>
      </c>
      <c r="J67" s="126" t="s">
        <v>139</v>
      </c>
      <c r="K67" s="135" t="s">
        <v>216</v>
      </c>
      <c r="L67" s="70" t="s">
        <v>56</v>
      </c>
      <c r="M67" s="19" t="s">
        <v>313</v>
      </c>
      <c r="N67" s="79">
        <v>114.16</v>
      </c>
      <c r="O67" s="40"/>
      <c r="P67" s="108"/>
      <c r="Q67" s="40"/>
      <c r="R67" s="223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214</v>
      </c>
      <c r="C68" s="30" t="s">
        <v>225</v>
      </c>
      <c r="D68" s="18" t="s">
        <v>359</v>
      </c>
      <c r="E68" s="40"/>
      <c r="F68" s="154"/>
      <c r="G68" s="90"/>
      <c r="H68" s="174" t="str">
        <f t="shared" si="8"/>
        <v>CZ</v>
      </c>
      <c r="I68" s="14" t="s">
        <v>47</v>
      </c>
      <c r="J68" s="126" t="s">
        <v>247</v>
      </c>
      <c r="K68" s="135" t="s">
        <v>267</v>
      </c>
      <c r="L68" s="70" t="s">
        <v>66</v>
      </c>
      <c r="M68" s="19" t="s">
        <v>322</v>
      </c>
      <c r="N68" s="79">
        <v>848.14</v>
      </c>
      <c r="O68" s="40"/>
      <c r="P68" s="108"/>
      <c r="Q68" s="40"/>
      <c r="R68" s="223"/>
      <c r="S68" s="116" t="str">
        <f t="shared" si="9"/>
        <v>Yes</v>
      </c>
    </row>
    <row r="69" spans="1:19" ht="21.75" customHeight="1" x14ac:dyDescent="0.2">
      <c r="A69" s="177" t="s">
        <v>164</v>
      </c>
      <c r="B69" s="126" t="s">
        <v>177</v>
      </c>
      <c r="C69" s="32" t="s">
        <v>225</v>
      </c>
      <c r="D69" s="18" t="s">
        <v>313</v>
      </c>
      <c r="E69" s="40"/>
      <c r="F69" s="154"/>
      <c r="G69" s="90"/>
      <c r="H69" s="174" t="str">
        <f t="shared" si="8"/>
        <v>CZ</v>
      </c>
      <c r="I69" s="148" t="s">
        <v>87</v>
      </c>
      <c r="J69" s="121" t="s">
        <v>246</v>
      </c>
      <c r="K69" s="140" t="s">
        <v>268</v>
      </c>
      <c r="L69" s="15" t="s">
        <v>66</v>
      </c>
      <c r="M69" s="19" t="s">
        <v>295</v>
      </c>
      <c r="N69" s="79">
        <v>889.04</v>
      </c>
      <c r="O69" s="40"/>
      <c r="P69" s="108"/>
      <c r="Q69" s="40"/>
      <c r="R69" s="223"/>
      <c r="S69" s="116" t="str">
        <f t="shared" si="9"/>
        <v>Yes</v>
      </c>
    </row>
    <row r="70" spans="1:19" ht="21.75" customHeight="1" x14ac:dyDescent="0.2">
      <c r="A70" s="14" t="s">
        <v>24</v>
      </c>
      <c r="B70" s="126" t="s">
        <v>181</v>
      </c>
      <c r="C70" s="15" t="s">
        <v>225</v>
      </c>
      <c r="D70" s="18" t="s">
        <v>285</v>
      </c>
      <c r="E70" s="40"/>
      <c r="F70" s="154"/>
      <c r="G70" s="90"/>
      <c r="H70" s="174" t="str">
        <f t="shared" si="8"/>
        <v>CZ</v>
      </c>
      <c r="I70" s="14" t="s">
        <v>85</v>
      </c>
      <c r="J70" s="181"/>
      <c r="K70" s="210"/>
      <c r="L70" s="15" t="s">
        <v>62</v>
      </c>
      <c r="M70" s="19" t="s">
        <v>175</v>
      </c>
      <c r="N70" s="79">
        <v>972.81</v>
      </c>
      <c r="O70" s="40"/>
      <c r="P70" s="108" t="s">
        <v>149</v>
      </c>
      <c r="Q70" s="40"/>
      <c r="R70" s="223"/>
      <c r="S70" s="116" t="str">
        <f t="shared" si="9"/>
        <v>Yes</v>
      </c>
    </row>
    <row r="71" spans="1:19" ht="21.75" customHeight="1" x14ac:dyDescent="0.2">
      <c r="A71" s="14" t="s">
        <v>42</v>
      </c>
      <c r="B71" s="121" t="s">
        <v>180</v>
      </c>
      <c r="C71" s="30" t="s">
        <v>225</v>
      </c>
      <c r="D71" s="18" t="s">
        <v>311</v>
      </c>
      <c r="E71" s="40"/>
      <c r="F71" s="154"/>
      <c r="G71" s="90"/>
      <c r="H71" s="174" t="str">
        <f t="shared" si="8"/>
        <v>CZ</v>
      </c>
      <c r="I71" s="95" t="s">
        <v>88</v>
      </c>
      <c r="J71" s="126" t="s">
        <v>276</v>
      </c>
      <c r="K71" s="135" t="s">
        <v>196</v>
      </c>
      <c r="L71" s="15" t="s">
        <v>57</v>
      </c>
      <c r="M71" s="19" t="s">
        <v>415</v>
      </c>
      <c r="N71" s="79">
        <v>770.92</v>
      </c>
      <c r="O71" s="40"/>
      <c r="P71" s="108"/>
      <c r="Q71" s="40"/>
      <c r="R71" s="224"/>
      <c r="S71" s="116" t="str">
        <f t="shared" si="9"/>
        <v>Yes</v>
      </c>
    </row>
    <row r="72" spans="1:19" ht="21.75" customHeight="1" x14ac:dyDescent="0.2">
      <c r="A72" s="95" t="s">
        <v>40</v>
      </c>
      <c r="B72" s="181"/>
      <c r="C72" s="32" t="s">
        <v>225</v>
      </c>
      <c r="D72" s="18" t="s">
        <v>311</v>
      </c>
      <c r="E72" s="40"/>
      <c r="F72" s="154"/>
      <c r="G72" s="90"/>
      <c r="H72" s="174" t="str">
        <f t="shared" si="8"/>
        <v>CZ</v>
      </c>
      <c r="I72" s="14" t="s">
        <v>21</v>
      </c>
      <c r="J72" s="121" t="s">
        <v>210</v>
      </c>
      <c r="K72" s="140" t="s">
        <v>277</v>
      </c>
      <c r="L72" s="30" t="s">
        <v>59</v>
      </c>
      <c r="M72" s="35" t="s">
        <v>145</v>
      </c>
      <c r="N72" s="97">
        <v>788.11</v>
      </c>
      <c r="O72" s="40"/>
      <c r="P72" s="108"/>
      <c r="Q72" s="40"/>
      <c r="R72" s="224"/>
      <c r="S72" s="116" t="str">
        <f t="shared" si="9"/>
        <v>Yes</v>
      </c>
    </row>
    <row r="73" spans="1:19" ht="21.75" customHeight="1" x14ac:dyDescent="0.2">
      <c r="A73" s="14" t="s">
        <v>29</v>
      </c>
      <c r="B73" s="121" t="s">
        <v>207</v>
      </c>
      <c r="C73" s="15" t="s">
        <v>225</v>
      </c>
      <c r="D73" s="18" t="s">
        <v>283</v>
      </c>
      <c r="E73" s="40"/>
      <c r="F73" s="154"/>
      <c r="G73" s="90"/>
      <c r="H73" s="174" t="str">
        <f t="shared" si="8"/>
        <v>CZ</v>
      </c>
      <c r="I73" s="14" t="s">
        <v>27</v>
      </c>
      <c r="J73" s="181"/>
      <c r="K73" s="210"/>
      <c r="L73" s="30" t="s">
        <v>56</v>
      </c>
      <c r="M73" s="35" t="s">
        <v>372</v>
      </c>
      <c r="N73" s="97">
        <v>952.57</v>
      </c>
      <c r="O73" s="40"/>
      <c r="P73" s="108"/>
      <c r="Q73" s="40"/>
      <c r="R73" s="223"/>
      <c r="S73" s="116" t="str">
        <f t="shared" si="9"/>
        <v>Yes</v>
      </c>
    </row>
    <row r="74" spans="1:19" ht="21.75" customHeight="1" x14ac:dyDescent="0.2">
      <c r="A74" s="14" t="s">
        <v>26</v>
      </c>
      <c r="B74" s="181"/>
      <c r="C74" s="15" t="s">
        <v>225</v>
      </c>
      <c r="D74" s="18" t="s">
        <v>283</v>
      </c>
      <c r="E74" s="40"/>
      <c r="F74" s="154"/>
      <c r="G74" s="90"/>
      <c r="H74" s="174" t="str">
        <f t="shared" si="8"/>
        <v>CZ</v>
      </c>
      <c r="I74" s="14" t="s">
        <v>36</v>
      </c>
      <c r="J74" s="121" t="s">
        <v>248</v>
      </c>
      <c r="K74" s="140" t="s">
        <v>269</v>
      </c>
      <c r="L74" s="30" t="s">
        <v>60</v>
      </c>
      <c r="M74" s="35" t="s">
        <v>323</v>
      </c>
      <c r="N74" s="97">
        <v>894.53</v>
      </c>
      <c r="O74" s="40"/>
      <c r="P74" s="108"/>
      <c r="Q74" s="40"/>
      <c r="R74" s="224"/>
      <c r="S74" s="116" t="str">
        <f t="shared" si="9"/>
        <v>Yes</v>
      </c>
    </row>
    <row r="75" spans="1:19" ht="21.75" customHeight="1" x14ac:dyDescent="0.2">
      <c r="A75" s="14" t="s">
        <v>39</v>
      </c>
      <c r="B75" s="121" t="s">
        <v>215</v>
      </c>
      <c r="C75" s="15" t="s">
        <v>225</v>
      </c>
      <c r="D75" s="18" t="s">
        <v>143</v>
      </c>
      <c r="E75" s="40"/>
      <c r="F75" s="154"/>
      <c r="G75" s="90"/>
      <c r="H75" s="174" t="str">
        <f t="shared" si="8"/>
        <v>CZ</v>
      </c>
      <c r="I75" s="14" t="s">
        <v>50</v>
      </c>
      <c r="J75" s="122"/>
      <c r="K75" s="214"/>
      <c r="L75" s="30" t="s">
        <v>56</v>
      </c>
      <c r="M75" s="35" t="s">
        <v>358</v>
      </c>
      <c r="N75" s="79">
        <v>738.81</v>
      </c>
      <c r="O75" s="40"/>
      <c r="P75" s="112" t="s">
        <v>149</v>
      </c>
      <c r="Q75" s="40"/>
      <c r="R75" s="224"/>
      <c r="S75" s="116" t="str">
        <f t="shared" si="9"/>
        <v>Yes</v>
      </c>
    </row>
    <row r="76" spans="1:19" ht="21.75" customHeight="1" x14ac:dyDescent="0.2">
      <c r="A76" s="14" t="s">
        <v>53</v>
      </c>
      <c r="B76" s="181"/>
      <c r="C76" s="30" t="s">
        <v>225</v>
      </c>
      <c r="D76" s="18" t="s">
        <v>143</v>
      </c>
      <c r="E76" s="40"/>
      <c r="F76" s="154"/>
      <c r="G76" s="90"/>
      <c r="H76" s="174" t="str">
        <f t="shared" si="8"/>
        <v>CZ</v>
      </c>
      <c r="I76" s="14" t="s">
        <v>41</v>
      </c>
      <c r="J76" s="181"/>
      <c r="K76" s="210"/>
      <c r="L76" s="15" t="s">
        <v>56</v>
      </c>
      <c r="M76" s="19" t="s">
        <v>358</v>
      </c>
      <c r="N76" s="79">
        <v>738.81</v>
      </c>
      <c r="O76" s="40"/>
      <c r="P76" s="113" t="s">
        <v>149</v>
      </c>
      <c r="Q76" s="40"/>
      <c r="R76" s="224"/>
      <c r="S76" s="116" t="str">
        <f t="shared" si="9"/>
        <v>Yes</v>
      </c>
    </row>
    <row r="77" spans="1:19" ht="21.75" customHeight="1" x14ac:dyDescent="0.2">
      <c r="A77" s="14" t="s">
        <v>23</v>
      </c>
      <c r="B77" s="121" t="s">
        <v>205</v>
      </c>
      <c r="C77" s="32" t="s">
        <v>225</v>
      </c>
      <c r="D77" s="18" t="s">
        <v>372</v>
      </c>
      <c r="E77" s="40"/>
      <c r="F77" s="154"/>
      <c r="G77" s="90"/>
      <c r="H77" s="174" t="str">
        <f t="shared" si="8"/>
        <v>CZ</v>
      </c>
      <c r="I77" s="14" t="s">
        <v>22</v>
      </c>
      <c r="J77" s="121" t="s">
        <v>252</v>
      </c>
      <c r="K77" s="140" t="s">
        <v>331</v>
      </c>
      <c r="L77" s="15" t="s">
        <v>59</v>
      </c>
      <c r="M77" s="19" t="s">
        <v>132</v>
      </c>
      <c r="N77" s="79">
        <v>750.82</v>
      </c>
      <c r="O77" s="40"/>
      <c r="P77" s="108"/>
      <c r="Q77" s="40"/>
      <c r="R77" s="224"/>
      <c r="S77" s="116" t="str">
        <f t="shared" si="9"/>
        <v>Yes</v>
      </c>
    </row>
    <row r="78" spans="1:19" ht="21.75" customHeight="1" x14ac:dyDescent="0.2">
      <c r="A78" s="14" t="s">
        <v>48</v>
      </c>
      <c r="B78" s="181"/>
      <c r="C78" s="15" t="s">
        <v>225</v>
      </c>
      <c r="D78" s="18" t="s">
        <v>372</v>
      </c>
      <c r="E78" s="40"/>
      <c r="F78" s="154"/>
      <c r="G78" s="90"/>
      <c r="H78" s="174" t="str">
        <f t="shared" si="8"/>
        <v>CZ</v>
      </c>
      <c r="I78" s="14" t="s">
        <v>46</v>
      </c>
      <c r="J78" s="181"/>
      <c r="K78" s="210"/>
      <c r="L78" s="30" t="s">
        <v>56</v>
      </c>
      <c r="M78" s="35" t="s">
        <v>143</v>
      </c>
      <c r="N78" s="97">
        <v>947.04</v>
      </c>
      <c r="O78" s="40"/>
      <c r="P78" s="108" t="s">
        <v>149</v>
      </c>
      <c r="Q78" s="40"/>
      <c r="R78" s="224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35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40"/>
      <c r="P79" s="108"/>
      <c r="Q79" s="40"/>
      <c r="R79" s="224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18"/>
      <c r="E80" s="40"/>
      <c r="F80" s="140"/>
      <c r="G80" s="17"/>
      <c r="H80" s="174" t="str">
        <f t="shared" si="8"/>
        <v>CZ</v>
      </c>
      <c r="I80" s="14"/>
      <c r="J80" s="126"/>
      <c r="K80" s="135"/>
      <c r="L80" s="30"/>
      <c r="M80" s="35"/>
      <c r="N80" s="97"/>
      <c r="O80" s="40"/>
      <c r="P80" s="108"/>
      <c r="Q80" s="40"/>
      <c r="R80" s="224"/>
      <c r="S80" s="116" t="str">
        <f t="shared" si="9"/>
        <v/>
      </c>
    </row>
    <row r="81" spans="1:19" ht="21.75" customHeight="1" x14ac:dyDescent="0.2">
      <c r="A81" s="14"/>
      <c r="B81" s="126"/>
      <c r="C81" s="15"/>
      <c r="D81" s="31"/>
      <c r="E81" s="69"/>
      <c r="F81" s="140"/>
      <c r="G81" s="183"/>
      <c r="H81" s="174" t="str">
        <f t="shared" si="8"/>
        <v>CZ</v>
      </c>
      <c r="I81" s="14"/>
      <c r="J81" s="126"/>
      <c r="K81" s="135"/>
      <c r="L81" s="15"/>
      <c r="M81" s="19"/>
      <c r="N81" s="79"/>
      <c r="O81" s="69"/>
      <c r="P81" s="109"/>
      <c r="Q81" s="69"/>
      <c r="R81" s="224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95"/>
      <c r="G82" s="17"/>
      <c r="H82" s="174" t="str">
        <f t="shared" si="8"/>
        <v>CZ</v>
      </c>
      <c r="I82" s="148"/>
      <c r="J82" s="180"/>
      <c r="K82" s="154"/>
      <c r="L82" s="81"/>
      <c r="M82" s="94"/>
      <c r="N82" s="99"/>
      <c r="O82" s="69"/>
      <c r="P82" s="109"/>
      <c r="Q82" s="69"/>
      <c r="R82" s="224"/>
      <c r="S82" s="116" t="str">
        <f t="shared" si="9"/>
        <v/>
      </c>
    </row>
    <row r="83" spans="1:19" ht="21.75" customHeight="1" x14ac:dyDescent="0.2">
      <c r="A83" s="95"/>
      <c r="B83" s="126"/>
      <c r="C83" s="15"/>
      <c r="D83" s="82"/>
      <c r="E83" s="69"/>
      <c r="F83" s="195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69"/>
      <c r="R83" s="224"/>
      <c r="S83" s="116" t="str">
        <f t="shared" si="9"/>
        <v/>
      </c>
    </row>
    <row r="84" spans="1:19" ht="21.75" customHeight="1" x14ac:dyDescent="0.2">
      <c r="A84" s="95"/>
      <c r="B84" s="126"/>
      <c r="C84" s="15"/>
      <c r="D84" s="82"/>
      <c r="E84" s="69"/>
      <c r="F84" s="140"/>
      <c r="G84" s="194"/>
      <c r="H84" s="174" t="str">
        <f t="shared" si="8"/>
        <v>CZ</v>
      </c>
      <c r="I84" s="95"/>
      <c r="J84" s="126"/>
      <c r="K84" s="135"/>
      <c r="L84" s="30"/>
      <c r="M84" s="35"/>
      <c r="N84" s="97"/>
      <c r="O84" s="69"/>
      <c r="P84" s="109"/>
      <c r="Q84" s="69"/>
      <c r="R84" s="224"/>
      <c r="S84" s="116" t="str">
        <f t="shared" si="9"/>
        <v/>
      </c>
    </row>
    <row r="85" spans="1:19" ht="21.75" customHeight="1" x14ac:dyDescent="0.2">
      <c r="A85" s="148"/>
      <c r="B85" s="180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4"/>
      <c r="S85" s="116" t="str">
        <f t="shared" si="9"/>
        <v/>
      </c>
    </row>
    <row r="86" spans="1:19" ht="21.75" customHeight="1" x14ac:dyDescent="0.2">
      <c r="A86" s="95"/>
      <c r="B86" s="126"/>
      <c r="C86" s="15"/>
      <c r="D86" s="31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69"/>
      <c r="P86" s="109"/>
      <c r="Q86" s="69"/>
      <c r="R86" s="224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40"/>
      <c r="P87" s="109"/>
      <c r="Q87" s="40"/>
      <c r="R87" s="224"/>
      <c r="S87" s="116" t="str">
        <f t="shared" si="9"/>
        <v/>
      </c>
    </row>
    <row r="88" spans="1:19" ht="21.75" customHeight="1" x14ac:dyDescent="0.2">
      <c r="A88" s="95"/>
      <c r="B88" s="126"/>
      <c r="C88" s="15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85"/>
      <c r="P88" s="109"/>
      <c r="Q88" s="85"/>
      <c r="R88" s="224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5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111</v>
      </c>
      <c r="B94" s="118"/>
      <c r="C94" s="9"/>
      <c r="D94" s="255">
        <f>'DEPT BAL'!$H$4-1</f>
        <v>43069</v>
      </c>
      <c r="E94" s="255"/>
      <c r="F94" s="138"/>
      <c r="I94" s="8" t="s">
        <v>112</v>
      </c>
      <c r="J94" s="118"/>
      <c r="L94" s="252">
        <f>D94+1</f>
        <v>43070</v>
      </c>
      <c r="M94" s="252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420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176</v>
      </c>
      <c r="C96" s="15" t="s">
        <v>224</v>
      </c>
      <c r="D96" s="18" t="s">
        <v>299</v>
      </c>
      <c r="E96" s="40"/>
      <c r="F96" s="154"/>
      <c r="G96" s="193"/>
      <c r="H96" s="174" t="str">
        <f>$I$93</f>
        <v>BK</v>
      </c>
      <c r="I96" s="10" t="s">
        <v>39</v>
      </c>
      <c r="J96" s="120" t="s">
        <v>377</v>
      </c>
      <c r="K96" s="209" t="s">
        <v>216</v>
      </c>
      <c r="L96" s="11" t="s">
        <v>56</v>
      </c>
      <c r="M96" s="13" t="s">
        <v>143</v>
      </c>
      <c r="N96" s="78">
        <v>870.28</v>
      </c>
      <c r="O96" s="40"/>
      <c r="P96" s="107"/>
      <c r="Q96" s="40"/>
      <c r="R96" s="222"/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370</v>
      </c>
      <c r="C97" s="15" t="s">
        <v>414</v>
      </c>
      <c r="D97" s="18" t="s">
        <v>415</v>
      </c>
      <c r="E97" s="40"/>
      <c r="F97" s="154"/>
      <c r="G97" s="90"/>
      <c r="H97" s="174" t="str">
        <f t="shared" ref="H97:H103" si="11">$I$93</f>
        <v>BK</v>
      </c>
      <c r="I97" s="14" t="s">
        <v>148</v>
      </c>
      <c r="J97" s="126" t="s">
        <v>203</v>
      </c>
      <c r="K97" s="135" t="s">
        <v>280</v>
      </c>
      <c r="L97" s="15" t="s">
        <v>57</v>
      </c>
      <c r="M97" s="19" t="s">
        <v>371</v>
      </c>
      <c r="N97" s="79">
        <v>1017.1</v>
      </c>
      <c r="O97" s="40"/>
      <c r="P97" s="108"/>
      <c r="Q97" s="40"/>
      <c r="R97" s="223"/>
      <c r="S97" s="116" t="str">
        <f t="shared" si="10"/>
        <v>Yes</v>
      </c>
    </row>
    <row r="98" spans="1:19" ht="21.75" customHeight="1" x14ac:dyDescent="0.2">
      <c r="A98" s="14" t="s">
        <v>148</v>
      </c>
      <c r="B98" s="126" t="s">
        <v>234</v>
      </c>
      <c r="C98" s="15" t="s">
        <v>224</v>
      </c>
      <c r="D98" s="71" t="s">
        <v>371</v>
      </c>
      <c r="E98" s="40"/>
      <c r="F98" s="154"/>
      <c r="G98" s="90"/>
      <c r="H98" s="174" t="str">
        <f t="shared" si="11"/>
        <v>BK</v>
      </c>
      <c r="I98" s="68" t="s">
        <v>33</v>
      </c>
      <c r="J98" s="126" t="s">
        <v>195</v>
      </c>
      <c r="K98" s="135" t="s">
        <v>217</v>
      </c>
      <c r="L98" s="15" t="s">
        <v>62</v>
      </c>
      <c r="M98" s="19" t="s">
        <v>184</v>
      </c>
      <c r="N98" s="79">
        <v>954.92</v>
      </c>
      <c r="O98" s="40"/>
      <c r="P98" s="108"/>
      <c r="Q98" s="40"/>
      <c r="R98" s="223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153</v>
      </c>
      <c r="C99" s="15" t="s">
        <v>224</v>
      </c>
      <c r="D99" s="18" t="s">
        <v>281</v>
      </c>
      <c r="E99" s="40"/>
      <c r="F99" s="154"/>
      <c r="G99" s="90"/>
      <c r="H99" s="174" t="str">
        <f t="shared" si="11"/>
        <v>BK</v>
      </c>
      <c r="I99" s="93" t="s">
        <v>26</v>
      </c>
      <c r="J99" s="180" t="s">
        <v>197</v>
      </c>
      <c r="K99" s="154" t="s">
        <v>271</v>
      </c>
      <c r="L99" s="29" t="s">
        <v>56</v>
      </c>
      <c r="M99" s="77" t="s">
        <v>283</v>
      </c>
      <c r="N99" s="98">
        <v>795.28</v>
      </c>
      <c r="O99" s="40"/>
      <c r="P99" s="108" t="s">
        <v>149</v>
      </c>
      <c r="Q99" s="40"/>
      <c r="R99" s="223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0"/>
      <c r="K100" s="154"/>
      <c r="L100" s="29"/>
      <c r="M100" s="77"/>
      <c r="N100" s="98"/>
      <c r="O100" s="40"/>
      <c r="P100" s="108"/>
      <c r="Q100" s="40"/>
      <c r="R100" s="223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0"/>
      <c r="K101" s="154"/>
      <c r="L101" s="81"/>
      <c r="M101" s="94"/>
      <c r="N101" s="99"/>
      <c r="O101" s="40"/>
      <c r="P101" s="108"/>
      <c r="Q101" s="40"/>
      <c r="R101" s="224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4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5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111</v>
      </c>
      <c r="B108" s="118"/>
      <c r="C108" s="9"/>
      <c r="D108" s="255">
        <f>'DEPT BAL'!$H$4-1</f>
        <v>43069</v>
      </c>
      <c r="E108" s="255"/>
      <c r="F108" s="138"/>
      <c r="I108" s="8" t="s">
        <v>112</v>
      </c>
      <c r="J108" s="118"/>
      <c r="L108" s="252">
        <f>D108+1</f>
        <v>43070</v>
      </c>
      <c r="M108" s="252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420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239</v>
      </c>
      <c r="C110" s="11" t="s">
        <v>133</v>
      </c>
      <c r="D110" s="25" t="s">
        <v>240</v>
      </c>
      <c r="E110" s="39"/>
      <c r="F110" s="134"/>
      <c r="G110" s="12"/>
      <c r="H110" s="174" t="str">
        <f>$I$107</f>
        <v>LA</v>
      </c>
      <c r="I110" s="14" t="s">
        <v>54</v>
      </c>
      <c r="J110" s="121" t="s">
        <v>303</v>
      </c>
      <c r="K110" s="213" t="s">
        <v>292</v>
      </c>
      <c r="L110" s="15" t="s">
        <v>55</v>
      </c>
      <c r="M110" s="19" t="s">
        <v>188</v>
      </c>
      <c r="N110" s="79">
        <v>835.16</v>
      </c>
      <c r="O110" s="39"/>
      <c r="P110" s="108"/>
      <c r="Q110" s="39"/>
      <c r="R110" s="223"/>
      <c r="S110" s="115" t="str">
        <f>IF(N110&gt;0,"Yes","")</f>
        <v>Yes</v>
      </c>
    </row>
    <row r="111" spans="1:19" ht="21.75" customHeight="1" x14ac:dyDescent="0.2">
      <c r="A111" s="14" t="s">
        <v>27</v>
      </c>
      <c r="B111" s="121" t="s">
        <v>241</v>
      </c>
      <c r="C111" s="15" t="s">
        <v>133</v>
      </c>
      <c r="D111" s="18" t="s">
        <v>300</v>
      </c>
      <c r="E111" s="40"/>
      <c r="F111" s="135"/>
      <c r="G111" s="17"/>
      <c r="H111" s="174" t="str">
        <f t="shared" ref="H111:H119" si="12">$I$107</f>
        <v>LA</v>
      </c>
      <c r="I111" s="14" t="s">
        <v>23</v>
      </c>
      <c r="J111" s="215"/>
      <c r="K111" s="199"/>
      <c r="L111" s="30" t="s">
        <v>58</v>
      </c>
      <c r="M111" s="35" t="s">
        <v>361</v>
      </c>
      <c r="N111" s="97">
        <v>1132.5899999999999</v>
      </c>
      <c r="O111" s="40"/>
      <c r="P111" s="108"/>
      <c r="Q111" s="40"/>
      <c r="R111" s="224"/>
      <c r="S111" s="116" t="str">
        <f>IF(N111&gt;0,"Yes","")</f>
        <v>Yes</v>
      </c>
    </row>
    <row r="112" spans="1:19" ht="21.75" customHeight="1" x14ac:dyDescent="0.2">
      <c r="A112" s="14" t="s">
        <v>37</v>
      </c>
      <c r="B112" s="181"/>
      <c r="C112" s="15" t="s">
        <v>133</v>
      </c>
      <c r="D112" s="18" t="s">
        <v>300</v>
      </c>
      <c r="E112" s="40"/>
      <c r="F112" s="135"/>
      <c r="G112" s="17"/>
      <c r="H112" s="174" t="str">
        <f t="shared" si="12"/>
        <v>LA</v>
      </c>
      <c r="I112" s="14" t="s">
        <v>165</v>
      </c>
      <c r="J112" s="127" t="s">
        <v>231</v>
      </c>
      <c r="K112" s="141" t="s">
        <v>325</v>
      </c>
      <c r="L112" s="30" t="s">
        <v>56</v>
      </c>
      <c r="M112" s="35" t="s">
        <v>372</v>
      </c>
      <c r="N112" s="97">
        <v>1059</v>
      </c>
      <c r="O112" s="40"/>
      <c r="P112" s="108"/>
      <c r="Q112" s="40"/>
      <c r="R112" s="224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242</v>
      </c>
      <c r="C113" s="30" t="s">
        <v>133</v>
      </c>
      <c r="D113" s="18" t="s">
        <v>312</v>
      </c>
      <c r="E113" s="40"/>
      <c r="F113" s="135"/>
      <c r="G113" s="17"/>
      <c r="H113" s="174" t="str">
        <f t="shared" si="12"/>
        <v>LA</v>
      </c>
      <c r="I113" s="14" t="s">
        <v>64</v>
      </c>
      <c r="J113" s="215"/>
      <c r="K113" s="199"/>
      <c r="L113" s="30" t="s">
        <v>59</v>
      </c>
      <c r="M113" s="35" t="s">
        <v>132</v>
      </c>
      <c r="N113" s="97">
        <v>755.72</v>
      </c>
      <c r="O113" s="40"/>
      <c r="P113" s="108"/>
      <c r="Q113" s="40"/>
      <c r="R113" s="224"/>
      <c r="S113" s="116" t="str">
        <f t="shared" si="13"/>
        <v>Yes</v>
      </c>
    </row>
    <row r="114" spans="1:19" ht="21.75" customHeight="1" x14ac:dyDescent="0.2">
      <c r="A114" s="14" t="s">
        <v>165</v>
      </c>
      <c r="B114" s="181"/>
      <c r="C114" s="32" t="s">
        <v>133</v>
      </c>
      <c r="D114" s="18" t="s">
        <v>312</v>
      </c>
      <c r="E114" s="40"/>
      <c r="F114" s="135"/>
      <c r="G114" s="17"/>
      <c r="H114" s="174" t="str">
        <f t="shared" si="12"/>
        <v>LA</v>
      </c>
      <c r="I114" s="14" t="s">
        <v>104</v>
      </c>
      <c r="J114" s="180" t="s">
        <v>262</v>
      </c>
      <c r="K114" s="154" t="s">
        <v>305</v>
      </c>
      <c r="L114" s="30" t="s">
        <v>57</v>
      </c>
      <c r="M114" s="35" t="s">
        <v>281</v>
      </c>
      <c r="N114" s="97">
        <v>1003.16</v>
      </c>
      <c r="O114" s="40"/>
      <c r="P114" s="17"/>
      <c r="Q114" s="40"/>
      <c r="R114" s="224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35"/>
      <c r="G115" s="96"/>
      <c r="H115" s="174" t="str">
        <f t="shared" si="12"/>
        <v>LA</v>
      </c>
      <c r="I115" s="14"/>
      <c r="J115" s="180"/>
      <c r="K115" s="154"/>
      <c r="L115" s="30"/>
      <c r="M115" s="35"/>
      <c r="N115" s="97"/>
      <c r="O115" s="40"/>
      <c r="P115" s="109"/>
      <c r="Q115" s="40"/>
      <c r="R115" s="224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80"/>
      <c r="K116" s="154"/>
      <c r="L116" s="30"/>
      <c r="M116" s="35"/>
      <c r="N116" s="97"/>
      <c r="O116" s="40"/>
      <c r="P116" s="109"/>
      <c r="Q116" s="40"/>
      <c r="R116" s="224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80"/>
      <c r="K117" s="154"/>
      <c r="L117" s="30"/>
      <c r="M117" s="35"/>
      <c r="N117" s="97"/>
      <c r="O117" s="40"/>
      <c r="P117" s="109"/>
      <c r="Q117" s="40"/>
      <c r="R117" s="224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4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5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111</v>
      </c>
      <c r="B124" s="118"/>
      <c r="C124" s="9"/>
      <c r="D124" s="255">
        <f>'DEPT BAL'!$H$4-1</f>
        <v>43069</v>
      </c>
      <c r="E124" s="255"/>
      <c r="F124" s="138"/>
      <c r="I124" s="8" t="s">
        <v>112</v>
      </c>
      <c r="J124" s="118"/>
      <c r="L124" s="252">
        <f>D124+1</f>
        <v>43070</v>
      </c>
      <c r="M124" s="252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420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301</v>
      </c>
      <c r="C126" s="11" t="s">
        <v>320</v>
      </c>
      <c r="D126" s="25" t="s">
        <v>321</v>
      </c>
      <c r="E126" s="39"/>
      <c r="F126" s="134"/>
      <c r="G126" s="12"/>
      <c r="H126" s="174" t="str">
        <f>$I$123</f>
        <v>PZ</v>
      </c>
      <c r="I126" s="10" t="s">
        <v>106</v>
      </c>
      <c r="J126" s="120" t="s">
        <v>204</v>
      </c>
      <c r="K126" s="209" t="s">
        <v>269</v>
      </c>
      <c r="L126" s="11" t="s">
        <v>66</v>
      </c>
      <c r="M126" s="13" t="s">
        <v>295</v>
      </c>
      <c r="N126" s="78">
        <v>891.23</v>
      </c>
      <c r="O126" s="39"/>
      <c r="P126" s="107"/>
      <c r="Q126" s="39"/>
      <c r="R126" s="226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243</v>
      </c>
      <c r="C127" s="15" t="s">
        <v>320</v>
      </c>
      <c r="D127" s="18" t="s">
        <v>188</v>
      </c>
      <c r="E127" s="40"/>
      <c r="F127" s="135"/>
      <c r="G127" s="17"/>
      <c r="H127" s="174" t="str">
        <f>$I$123</f>
        <v>PZ</v>
      </c>
      <c r="I127" s="14" t="s">
        <v>28</v>
      </c>
      <c r="J127" s="126" t="s">
        <v>183</v>
      </c>
      <c r="K127" s="135" t="s">
        <v>309</v>
      </c>
      <c r="L127" s="15" t="s">
        <v>62</v>
      </c>
      <c r="M127" s="19" t="s">
        <v>261</v>
      </c>
      <c r="N127" s="79">
        <v>769.78</v>
      </c>
      <c r="O127" s="40"/>
      <c r="P127" s="108"/>
      <c r="Q127" s="40"/>
      <c r="R127" s="223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3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3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5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111</v>
      </c>
      <c r="B135" s="118"/>
      <c r="C135" s="9"/>
      <c r="D135" s="255">
        <f>'DEPT BAL'!$H$4-1</f>
        <v>43069</v>
      </c>
      <c r="E135" s="255"/>
      <c r="F135" s="138"/>
      <c r="I135" s="8" t="s">
        <v>112</v>
      </c>
      <c r="J135" s="118"/>
      <c r="L135" s="252">
        <f>D135+1</f>
        <v>43070</v>
      </c>
      <c r="M135" s="252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420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332</v>
      </c>
      <c r="C137" s="32" t="s">
        <v>208</v>
      </c>
      <c r="D137" s="18" t="s">
        <v>333</v>
      </c>
      <c r="E137" s="40"/>
      <c r="F137" s="135"/>
      <c r="G137" s="12"/>
      <c r="H137" s="174" t="str">
        <f>$I$134</f>
        <v>EH</v>
      </c>
      <c r="I137" s="10" t="s">
        <v>49</v>
      </c>
      <c r="J137" s="120" t="s">
        <v>144</v>
      </c>
      <c r="K137" s="209" t="s">
        <v>218</v>
      </c>
      <c r="L137" s="11" t="s">
        <v>66</v>
      </c>
      <c r="M137" s="13" t="s">
        <v>289</v>
      </c>
      <c r="N137" s="78">
        <v>999.19</v>
      </c>
      <c r="O137" s="40"/>
      <c r="P137" s="107"/>
      <c r="Q137" s="40"/>
      <c r="R137" s="222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236</v>
      </c>
      <c r="C138" s="100" t="s">
        <v>226</v>
      </c>
      <c r="D138" s="18" t="s">
        <v>145</v>
      </c>
      <c r="E138" s="40"/>
      <c r="F138" s="135"/>
      <c r="G138" s="17"/>
      <c r="H138" s="174" t="str">
        <f t="shared" ref="H138:H145" si="14">$I$134</f>
        <v>EH</v>
      </c>
      <c r="I138" s="14" t="s">
        <v>42</v>
      </c>
      <c r="J138" s="181"/>
      <c r="K138" s="210"/>
      <c r="L138" s="15" t="s">
        <v>56</v>
      </c>
      <c r="M138" s="19" t="s">
        <v>311</v>
      </c>
      <c r="N138" s="79">
        <v>954.11</v>
      </c>
      <c r="O138" s="40"/>
      <c r="P138" s="108" t="s">
        <v>149</v>
      </c>
      <c r="Q138" s="40"/>
      <c r="R138" s="223"/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237</v>
      </c>
      <c r="C139" s="35" t="s">
        <v>226</v>
      </c>
      <c r="D139" s="18" t="s">
        <v>132</v>
      </c>
      <c r="E139" s="40"/>
      <c r="F139" s="135"/>
      <c r="G139" s="17"/>
      <c r="H139" s="174" t="str">
        <f t="shared" si="14"/>
        <v>EH</v>
      </c>
      <c r="I139" s="14" t="s">
        <v>29</v>
      </c>
      <c r="J139" s="121" t="s">
        <v>219</v>
      </c>
      <c r="K139" s="140" t="s">
        <v>154</v>
      </c>
      <c r="L139" s="15" t="s">
        <v>56</v>
      </c>
      <c r="M139" s="19" t="s">
        <v>283</v>
      </c>
      <c r="N139" s="79">
        <v>900.4</v>
      </c>
      <c r="O139" s="40"/>
      <c r="P139" s="108" t="s">
        <v>149</v>
      </c>
      <c r="Q139" s="40"/>
      <c r="R139" s="223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1"/>
      <c r="C140" s="36" t="s">
        <v>226</v>
      </c>
      <c r="D140" s="18" t="s">
        <v>132</v>
      </c>
      <c r="E140" s="40"/>
      <c r="F140" s="135"/>
      <c r="G140" s="17"/>
      <c r="H140" s="174" t="str">
        <f t="shared" si="14"/>
        <v>EH</v>
      </c>
      <c r="I140" s="14" t="s">
        <v>65</v>
      </c>
      <c r="J140" s="181"/>
      <c r="K140" s="210"/>
      <c r="L140" s="15" t="s">
        <v>56</v>
      </c>
      <c r="M140" s="19" t="s">
        <v>359</v>
      </c>
      <c r="N140" s="79">
        <v>757.26</v>
      </c>
      <c r="O140" s="40"/>
      <c r="P140" s="108"/>
      <c r="Q140" s="40"/>
      <c r="R140" s="223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334</v>
      </c>
      <c r="C141" s="15" t="s">
        <v>227</v>
      </c>
      <c r="D141" s="18" t="s">
        <v>335</v>
      </c>
      <c r="E141" s="40"/>
      <c r="F141" s="135"/>
      <c r="G141" s="17"/>
      <c r="H141" s="174" t="str">
        <f t="shared" si="14"/>
        <v>EH</v>
      </c>
      <c r="I141" s="14" t="s">
        <v>90</v>
      </c>
      <c r="J141" s="126" t="s">
        <v>200</v>
      </c>
      <c r="K141" s="135" t="s">
        <v>268</v>
      </c>
      <c r="L141" s="15" t="s">
        <v>59</v>
      </c>
      <c r="M141" s="19" t="s">
        <v>360</v>
      </c>
      <c r="N141" s="79">
        <v>883.4</v>
      </c>
      <c r="O141" s="40"/>
      <c r="P141" s="108"/>
      <c r="Q141" s="40"/>
      <c r="R141" s="223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213</v>
      </c>
      <c r="C142" s="15" t="s">
        <v>226</v>
      </c>
      <c r="D142" s="16" t="s">
        <v>360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354</v>
      </c>
      <c r="K142" s="135" t="s">
        <v>297</v>
      </c>
      <c r="L142" s="15" t="s">
        <v>59</v>
      </c>
      <c r="M142" s="19" t="s">
        <v>333</v>
      </c>
      <c r="N142" s="79">
        <v>732.99</v>
      </c>
      <c r="O142" s="40"/>
      <c r="P142" s="108"/>
      <c r="Q142" s="40"/>
      <c r="R142" s="223"/>
      <c r="S142" s="116" t="str">
        <f t="shared" si="15"/>
        <v>Yes</v>
      </c>
    </row>
    <row r="143" spans="1:19" ht="21.75" customHeight="1" x14ac:dyDescent="0.2">
      <c r="A143" s="14" t="s">
        <v>52</v>
      </c>
      <c r="B143" s="181"/>
      <c r="C143" s="15" t="s">
        <v>227</v>
      </c>
      <c r="D143" s="16" t="s">
        <v>360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212</v>
      </c>
      <c r="K143" s="135" t="s">
        <v>364</v>
      </c>
      <c r="L143" s="15" t="s">
        <v>56</v>
      </c>
      <c r="M143" s="15" t="s">
        <v>143</v>
      </c>
      <c r="N143" s="79">
        <v>798.12</v>
      </c>
      <c r="O143" s="40"/>
      <c r="P143" s="108" t="s">
        <v>149</v>
      </c>
      <c r="Q143" s="40"/>
      <c r="R143" s="223"/>
      <c r="S143" s="116" t="str">
        <f t="shared" si="15"/>
        <v>Yes</v>
      </c>
    </row>
    <row r="144" spans="1:19" ht="21.75" customHeight="1" x14ac:dyDescent="0.2">
      <c r="A144" s="14" t="s">
        <v>147</v>
      </c>
      <c r="B144" s="126" t="s">
        <v>238</v>
      </c>
      <c r="C144" s="15" t="s">
        <v>174</v>
      </c>
      <c r="D144" s="16" t="s">
        <v>366</v>
      </c>
      <c r="E144" s="40"/>
      <c r="F144" s="135"/>
      <c r="G144" s="17"/>
      <c r="H144" s="174" t="str">
        <f t="shared" si="14"/>
        <v>EH</v>
      </c>
      <c r="I144" s="14" t="s">
        <v>147</v>
      </c>
      <c r="J144" s="126" t="s">
        <v>355</v>
      </c>
      <c r="K144" s="135" t="s">
        <v>365</v>
      </c>
      <c r="L144" s="15" t="s">
        <v>59</v>
      </c>
      <c r="M144" s="15" t="s">
        <v>185</v>
      </c>
      <c r="N144" s="79">
        <v>882.16</v>
      </c>
      <c r="O144" s="40"/>
      <c r="P144" s="108"/>
      <c r="Q144" s="40"/>
      <c r="R144" s="223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5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170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171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Friday</v>
      </c>
      <c r="H150" s="176"/>
      <c r="I150" s="253">
        <f>$L$3</f>
        <v>43070</v>
      </c>
      <c r="J150" s="253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4" t="s">
        <v>5</v>
      </c>
      <c r="K152" s="254"/>
      <c r="M152" s="6" t="s">
        <v>98</v>
      </c>
    </row>
    <row r="153" spans="1:19" ht="19.5" customHeight="1" x14ac:dyDescent="0.2">
      <c r="D153" s="196">
        <f t="shared" ref="D153:D187" si="16">INDEX($I$5:$N$148, MATCH($F153,I$5:I$148,0),6)</f>
        <v>824.21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51">
        <f>INDEX($I$5:$Q$148, MATCH($I153,I$5:I$148,0),9)</f>
        <v>0</v>
      </c>
      <c r="K153" s="251"/>
      <c r="L153" s="6" t="str">
        <f t="shared" ref="L153:L186" si="18">INDEX($H$5:$H$148, MATCH($I153,I$5:I$148,0))</f>
        <v>CZ</v>
      </c>
      <c r="M153" s="196">
        <f t="shared" ref="M153:M186" si="19">INDEX($I$5:$N$148, MATCH($I153,I$5:I$148,0),6)</f>
        <v>788.11</v>
      </c>
      <c r="N153" s="8"/>
    </row>
    <row r="154" spans="1:19" ht="19.5" customHeight="1" x14ac:dyDescent="0.2">
      <c r="D154" s="196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51">
        <f t="shared" ref="J154:J186" si="21">INDEX($I$5:$Q$148, MATCH($I154,I$5:I$148,0),9)</f>
        <v>0</v>
      </c>
      <c r="K154" s="251"/>
      <c r="L154" s="6" t="str">
        <f t="shared" si="18"/>
        <v>CZ</v>
      </c>
      <c r="M154" s="196">
        <f t="shared" si="19"/>
        <v>750.82</v>
      </c>
      <c r="N154" s="8"/>
    </row>
    <row r="155" spans="1:19" ht="19.5" customHeight="1" x14ac:dyDescent="0.2">
      <c r="D155" s="196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51">
        <f t="shared" si="21"/>
        <v>0</v>
      </c>
      <c r="K155" s="251"/>
      <c r="L155" s="6" t="str">
        <f t="shared" si="18"/>
        <v>LA</v>
      </c>
      <c r="M155" s="196">
        <f t="shared" si="19"/>
        <v>1132.5899999999999</v>
      </c>
      <c r="N155" s="8"/>
    </row>
    <row r="156" spans="1:19" ht="19.5" customHeight="1" x14ac:dyDescent="0.2">
      <c r="D156" s="196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51">
        <f t="shared" si="21"/>
        <v>0</v>
      </c>
      <c r="K156" s="251"/>
      <c r="L156" s="6" t="str">
        <f t="shared" si="18"/>
        <v>MA</v>
      </c>
      <c r="M156" s="196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6">
        <f t="shared" si="16"/>
        <v>686.87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51">
        <f t="shared" si="21"/>
        <v>0</v>
      </c>
      <c r="K157" s="251"/>
      <c r="L157" s="6" t="str">
        <f t="shared" si="18"/>
        <v>XW</v>
      </c>
      <c r="M157" s="196">
        <f t="shared" si="19"/>
        <v>955.85</v>
      </c>
      <c r="N157" s="8"/>
      <c r="O157" s="37"/>
      <c r="P157" s="105"/>
      <c r="Q157" s="37"/>
      <c r="R157" s="37"/>
    </row>
    <row r="158" spans="1:19" ht="19.5" customHeight="1" x14ac:dyDescent="0.2">
      <c r="D158" s="196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51">
        <f t="shared" si="21"/>
        <v>0</v>
      </c>
      <c r="K158" s="251"/>
      <c r="L158" s="6" t="str">
        <f t="shared" si="18"/>
        <v>BK</v>
      </c>
      <c r="M158" s="196">
        <f t="shared" si="19"/>
        <v>795.28</v>
      </c>
      <c r="N158" s="8"/>
    </row>
    <row r="159" spans="1:19" ht="19.5" customHeight="1" x14ac:dyDescent="0.2">
      <c r="D159" s="196">
        <f t="shared" si="16"/>
        <v>744.16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51">
        <f t="shared" si="21"/>
        <v>0</v>
      </c>
      <c r="K159" s="251"/>
      <c r="L159" s="6" t="str">
        <f t="shared" si="18"/>
        <v>CZ</v>
      </c>
      <c r="M159" s="196">
        <f t="shared" si="19"/>
        <v>952.57</v>
      </c>
      <c r="N159" s="8"/>
    </row>
    <row r="160" spans="1:19" ht="19.5" customHeight="1" x14ac:dyDescent="0.2">
      <c r="D160" s="196">
        <f t="shared" si="16"/>
        <v>738.81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51">
        <f t="shared" si="21"/>
        <v>0</v>
      </c>
      <c r="K160" s="251"/>
      <c r="L160" s="6" t="str">
        <f t="shared" si="18"/>
        <v>PZ</v>
      </c>
      <c r="M160" s="196">
        <f t="shared" si="19"/>
        <v>769.78</v>
      </c>
      <c r="N160" s="8"/>
    </row>
    <row r="161" spans="4:14" ht="19.5" customHeight="1" x14ac:dyDescent="0.2">
      <c r="D161" s="196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51">
        <f t="shared" si="21"/>
        <v>0</v>
      </c>
      <c r="K161" s="251"/>
      <c r="L161" s="6" t="str">
        <f t="shared" si="18"/>
        <v>EH</v>
      </c>
      <c r="M161" s="196">
        <f t="shared" si="19"/>
        <v>900.4</v>
      </c>
      <c r="N161" s="8"/>
    </row>
    <row r="162" spans="4:14" ht="19.5" customHeight="1" x14ac:dyDescent="0.2">
      <c r="D162" s="196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51">
        <f t="shared" si="21"/>
        <v>0</v>
      </c>
      <c r="K162" s="251"/>
      <c r="L162" s="6" t="str">
        <f t="shared" si="18"/>
        <v>EC</v>
      </c>
      <c r="M162" s="196">
        <f t="shared" si="19"/>
        <v>990.47</v>
      </c>
      <c r="N162" s="8"/>
    </row>
    <row r="163" spans="4:14" ht="19.5" customHeight="1" x14ac:dyDescent="0.2">
      <c r="D163" s="196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0</v>
      </c>
      <c r="I163" s="15" t="s">
        <v>31</v>
      </c>
      <c r="J163" s="251">
        <f t="shared" si="21"/>
        <v>0</v>
      </c>
      <c r="K163" s="251"/>
      <c r="L163" s="6" t="str">
        <f t="shared" si="18"/>
        <v>EC</v>
      </c>
      <c r="M163" s="196">
        <f t="shared" si="19"/>
        <v>920.97</v>
      </c>
      <c r="N163" s="8"/>
    </row>
    <row r="164" spans="4:14" ht="19.5" customHeight="1" x14ac:dyDescent="0.2">
      <c r="D164" s="196">
        <f t="shared" si="16"/>
        <v>957.64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51">
        <f t="shared" si="21"/>
        <v>0</v>
      </c>
      <c r="K164" s="251"/>
      <c r="L164" s="6" t="str">
        <f t="shared" si="18"/>
        <v>TY</v>
      </c>
      <c r="M164" s="196">
        <f t="shared" si="19"/>
        <v>889.99</v>
      </c>
      <c r="N164" s="8"/>
    </row>
    <row r="165" spans="4:14" ht="19.5" customHeight="1" x14ac:dyDescent="0.2">
      <c r="D165" s="196">
        <f t="shared" si="16"/>
        <v>947.04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51">
        <f t="shared" si="21"/>
        <v>0</v>
      </c>
      <c r="K165" s="251"/>
      <c r="L165" s="6" t="str">
        <f t="shared" si="18"/>
        <v>BK</v>
      </c>
      <c r="M165" s="196">
        <f t="shared" si="19"/>
        <v>954.92</v>
      </c>
      <c r="N165" s="8"/>
    </row>
    <row r="166" spans="4:14" ht="19.5" customHeight="1" x14ac:dyDescent="0.2">
      <c r="D166" s="196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51">
        <f t="shared" si="21"/>
        <v>0</v>
      </c>
      <c r="K166" s="251"/>
      <c r="L166" s="6" t="str">
        <f t="shared" si="18"/>
        <v>CZ</v>
      </c>
      <c r="M166" s="196">
        <f t="shared" si="19"/>
        <v>793.87</v>
      </c>
      <c r="N166" s="8"/>
    </row>
    <row r="167" spans="4:14" ht="19.5" customHeight="1" x14ac:dyDescent="0.2">
      <c r="D167" s="196">
        <f t="shared" si="16"/>
        <v>1051.9000000000001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51">
        <f t="shared" si="21"/>
        <v>0</v>
      </c>
      <c r="K167" s="251"/>
      <c r="L167" s="6" t="str">
        <f t="shared" si="18"/>
        <v>LA</v>
      </c>
      <c r="M167" s="196">
        <f t="shared" si="19"/>
        <v>1003.16</v>
      </c>
      <c r="N167" s="8"/>
    </row>
    <row r="168" spans="4:14" ht="19.5" customHeight="1" x14ac:dyDescent="0.2">
      <c r="D168" s="196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51">
        <f t="shared" si="21"/>
        <v>0</v>
      </c>
      <c r="K168" s="251"/>
      <c r="L168" s="6" t="str">
        <f t="shared" si="18"/>
        <v>PZ</v>
      </c>
      <c r="M168" s="196">
        <f t="shared" si="19"/>
        <v>891.23</v>
      </c>
      <c r="N168" s="8"/>
    </row>
    <row r="169" spans="4:14" ht="19.5" customHeight="1" x14ac:dyDescent="0.2">
      <c r="D169" s="196">
        <f t="shared" si="16"/>
        <v>738.81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51">
        <f t="shared" si="21"/>
        <v>0</v>
      </c>
      <c r="K169" s="251"/>
      <c r="L169" s="6" t="str">
        <f t="shared" si="18"/>
        <v>CZ</v>
      </c>
      <c r="M169" s="196">
        <f t="shared" si="19"/>
        <v>806.31</v>
      </c>
      <c r="N169" s="8"/>
    </row>
    <row r="170" spans="4:14" ht="19.5" customHeight="1" x14ac:dyDescent="0.2">
      <c r="D170" s="196">
        <f t="shared" si="16"/>
        <v>1035.1400000000001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51">
        <f t="shared" si="21"/>
        <v>0</v>
      </c>
      <c r="K170" s="251"/>
      <c r="L170" s="6" t="str">
        <f t="shared" si="18"/>
        <v>EC</v>
      </c>
      <c r="M170" s="196">
        <f t="shared" si="19"/>
        <v>900.47</v>
      </c>
      <c r="N170" s="8"/>
    </row>
    <row r="171" spans="4:14" ht="19.5" customHeight="1" x14ac:dyDescent="0.2">
      <c r="D171" s="196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51" t="e">
        <f t="shared" si="21"/>
        <v>#N/A</v>
      </c>
      <c r="K171" s="251"/>
      <c r="L171" s="6" t="e">
        <f t="shared" si="18"/>
        <v>#N/A</v>
      </c>
      <c r="M171" s="196" t="e">
        <f t="shared" si="19"/>
        <v>#N/A</v>
      </c>
      <c r="N171" s="8"/>
    </row>
    <row r="172" spans="4:14" ht="19.5" customHeight="1" x14ac:dyDescent="0.2">
      <c r="D172" s="196">
        <f t="shared" si="16"/>
        <v>798.12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51" t="e">
        <f t="shared" si="21"/>
        <v>#N/A</v>
      </c>
      <c r="K172" s="251"/>
      <c r="L172" s="6" t="e">
        <f t="shared" si="18"/>
        <v>#N/A</v>
      </c>
      <c r="M172" s="196" t="e">
        <f t="shared" si="19"/>
        <v>#N/A</v>
      </c>
      <c r="N172" s="8"/>
    </row>
    <row r="173" spans="4:14" ht="19.5" customHeight="1" x14ac:dyDescent="0.2">
      <c r="D173" s="196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51" t="e">
        <f t="shared" si="21"/>
        <v>#N/A</v>
      </c>
      <c r="K173" s="251"/>
      <c r="L173" s="6" t="e">
        <f t="shared" si="18"/>
        <v>#N/A</v>
      </c>
      <c r="M173" s="196" t="e">
        <f t="shared" si="19"/>
        <v>#N/A</v>
      </c>
      <c r="N173" s="8"/>
    </row>
    <row r="174" spans="4:14" ht="19.5" customHeight="1" x14ac:dyDescent="0.2">
      <c r="D174" s="196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140</v>
      </c>
      <c r="J174" s="251" t="e">
        <f t="shared" si="21"/>
        <v>#N/A</v>
      </c>
      <c r="K174" s="251"/>
      <c r="L174" s="6" t="e">
        <f t="shared" si="18"/>
        <v>#N/A</v>
      </c>
      <c r="M174" s="196" t="e">
        <f t="shared" si="19"/>
        <v>#N/A</v>
      </c>
      <c r="N174" s="8"/>
    </row>
    <row r="175" spans="4:14" ht="19.5" customHeight="1" x14ac:dyDescent="0.2">
      <c r="D175" s="196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0</v>
      </c>
      <c r="I175" s="15" t="s">
        <v>142</v>
      </c>
      <c r="J175" s="251" t="e">
        <f t="shared" si="21"/>
        <v>#N/A</v>
      </c>
      <c r="K175" s="251"/>
      <c r="L175" s="6" t="e">
        <f t="shared" si="18"/>
        <v>#N/A</v>
      </c>
      <c r="M175" s="196" t="e">
        <f t="shared" si="19"/>
        <v>#N/A</v>
      </c>
      <c r="N175" s="8"/>
    </row>
    <row r="176" spans="4:14" ht="19.5" customHeight="1" x14ac:dyDescent="0.2">
      <c r="D176" s="196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141</v>
      </c>
      <c r="J176" s="251" t="e">
        <f t="shared" si="21"/>
        <v>#N/A</v>
      </c>
      <c r="K176" s="251"/>
      <c r="L176" s="6" t="e">
        <f t="shared" si="18"/>
        <v>#N/A</v>
      </c>
      <c r="M176" s="196" t="e">
        <f t="shared" si="19"/>
        <v>#N/A</v>
      </c>
      <c r="N176" s="8"/>
    </row>
    <row r="177" spans="3:14" ht="19.5" customHeight="1" x14ac:dyDescent="0.2">
      <c r="D177" s="196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166</v>
      </c>
      <c r="J177" s="251" t="e">
        <f t="shared" si="21"/>
        <v>#N/A</v>
      </c>
      <c r="K177" s="251"/>
      <c r="L177" s="6" t="e">
        <f t="shared" si="18"/>
        <v>#N/A</v>
      </c>
      <c r="M177" s="196" t="e">
        <f t="shared" si="19"/>
        <v>#N/A</v>
      </c>
      <c r="N177" s="8"/>
    </row>
    <row r="178" spans="3:14" ht="19.5" customHeight="1" x14ac:dyDescent="0.2">
      <c r="D178" s="196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167</v>
      </c>
      <c r="J178" s="251" t="e">
        <f t="shared" si="21"/>
        <v>#N/A</v>
      </c>
      <c r="K178" s="251"/>
      <c r="L178" s="6" t="e">
        <f t="shared" si="18"/>
        <v>#N/A</v>
      </c>
      <c r="M178" s="196" t="e">
        <f t="shared" si="19"/>
        <v>#N/A</v>
      </c>
      <c r="N178" s="8"/>
    </row>
    <row r="179" spans="3:14" ht="19.5" customHeight="1" x14ac:dyDescent="0.2">
      <c r="D179" s="196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168</v>
      </c>
      <c r="J179" s="251" t="e">
        <f t="shared" si="21"/>
        <v>#N/A</v>
      </c>
      <c r="K179" s="251"/>
      <c r="L179" s="6" t="e">
        <f t="shared" si="18"/>
        <v>#N/A</v>
      </c>
      <c r="M179" s="196" t="e">
        <f t="shared" si="19"/>
        <v>#N/A</v>
      </c>
      <c r="N179" s="8"/>
    </row>
    <row r="180" spans="3:14" ht="19.5" customHeight="1" x14ac:dyDescent="0.2">
      <c r="D180" s="196">
        <f t="shared" si="16"/>
        <v>770.92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169</v>
      </c>
      <c r="J180" s="251" t="e">
        <f t="shared" si="21"/>
        <v>#N/A</v>
      </c>
      <c r="K180" s="251"/>
      <c r="L180" s="6" t="e">
        <f t="shared" si="18"/>
        <v>#N/A</v>
      </c>
      <c r="M180" s="196" t="e">
        <f t="shared" si="19"/>
        <v>#N/A</v>
      </c>
      <c r="N180" s="8"/>
    </row>
    <row r="181" spans="3:14" ht="19.5" customHeight="1" x14ac:dyDescent="0.2">
      <c r="D181" s="196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51" t="e">
        <f t="shared" si="21"/>
        <v>#N/A</v>
      </c>
      <c r="K181" s="251"/>
      <c r="L181" s="6" t="e">
        <f t="shared" si="18"/>
        <v>#N/A</v>
      </c>
      <c r="M181" s="196" t="e">
        <f t="shared" si="19"/>
        <v>#N/A</v>
      </c>
      <c r="N181" s="8"/>
    </row>
    <row r="182" spans="3:14" ht="19.5" customHeight="1" x14ac:dyDescent="0.2">
      <c r="D182" s="196">
        <f t="shared" si="16"/>
        <v>863.74</v>
      </c>
      <c r="E182" s="86" t="str">
        <f t="shared" si="17"/>
        <v>MA</v>
      </c>
      <c r="F182" s="15" t="s">
        <v>146</v>
      </c>
      <c r="G182" s="28">
        <f t="shared" si="20"/>
        <v>0</v>
      </c>
      <c r="I182" s="15"/>
      <c r="J182" s="251" t="e">
        <f t="shared" si="21"/>
        <v>#N/A</v>
      </c>
      <c r="K182" s="251"/>
      <c r="L182" s="6" t="e">
        <f t="shared" si="18"/>
        <v>#N/A</v>
      </c>
      <c r="M182" s="196" t="e">
        <f t="shared" si="19"/>
        <v>#N/A</v>
      </c>
      <c r="N182" s="8"/>
    </row>
    <row r="183" spans="3:14" ht="19.5" customHeight="1" x14ac:dyDescent="0.2">
      <c r="D183" s="196">
        <f t="shared" si="16"/>
        <v>882.16</v>
      </c>
      <c r="E183" s="86" t="str">
        <f t="shared" si="17"/>
        <v>EH</v>
      </c>
      <c r="F183" s="15" t="s">
        <v>147</v>
      </c>
      <c r="G183" s="28">
        <f t="shared" si="20"/>
        <v>0</v>
      </c>
      <c r="I183" s="15"/>
      <c r="J183" s="251" t="e">
        <f t="shared" si="21"/>
        <v>#N/A</v>
      </c>
      <c r="K183" s="251"/>
      <c r="L183" s="6" t="e">
        <f t="shared" si="18"/>
        <v>#N/A</v>
      </c>
      <c r="M183" s="196" t="e">
        <f t="shared" si="19"/>
        <v>#N/A</v>
      </c>
      <c r="N183" s="8"/>
    </row>
    <row r="184" spans="3:14" ht="19.5" customHeight="1" x14ac:dyDescent="0.2">
      <c r="D184" s="196">
        <f t="shared" si="16"/>
        <v>1017.1</v>
      </c>
      <c r="E184" s="86" t="str">
        <f t="shared" si="17"/>
        <v>BK</v>
      </c>
      <c r="F184" s="15" t="s">
        <v>148</v>
      </c>
      <c r="G184" s="28">
        <f t="shared" si="20"/>
        <v>0</v>
      </c>
      <c r="I184" s="15"/>
      <c r="J184" s="251" t="e">
        <f t="shared" si="21"/>
        <v>#N/A</v>
      </c>
      <c r="K184" s="251"/>
      <c r="L184" s="6" t="e">
        <f t="shared" si="18"/>
        <v>#N/A</v>
      </c>
      <c r="M184" s="196" t="e">
        <f t="shared" si="19"/>
        <v>#N/A</v>
      </c>
      <c r="N184" s="8"/>
    </row>
    <row r="185" spans="3:14" ht="19.5" customHeight="1" x14ac:dyDescent="0.2">
      <c r="D185" s="221">
        <f t="shared" si="16"/>
        <v>114.16</v>
      </c>
      <c r="E185" s="86" t="str">
        <f t="shared" si="17"/>
        <v>CZ</v>
      </c>
      <c r="F185" s="30" t="s">
        <v>164</v>
      </c>
      <c r="G185" s="28">
        <f t="shared" si="20"/>
        <v>0</v>
      </c>
      <c r="I185" s="15"/>
      <c r="J185" s="251" t="e">
        <f t="shared" si="21"/>
        <v>#N/A</v>
      </c>
      <c r="K185" s="251"/>
      <c r="L185" s="6" t="e">
        <f t="shared" si="18"/>
        <v>#N/A</v>
      </c>
      <c r="M185" s="196" t="e">
        <f t="shared" si="19"/>
        <v>#N/A</v>
      </c>
      <c r="N185" s="8"/>
    </row>
    <row r="186" spans="3:14" ht="19.5" customHeight="1" x14ac:dyDescent="0.2">
      <c r="C186" s="130"/>
      <c r="D186" s="196">
        <f t="shared" si="16"/>
        <v>1059</v>
      </c>
      <c r="E186" s="216" t="str">
        <f t="shared" si="17"/>
        <v>LA</v>
      </c>
      <c r="F186" s="15" t="s">
        <v>165</v>
      </c>
      <c r="G186" s="28">
        <f t="shared" si="20"/>
        <v>0</v>
      </c>
      <c r="I186" s="15"/>
      <c r="J186" s="251" t="e">
        <f t="shared" si="21"/>
        <v>#N/A</v>
      </c>
      <c r="K186" s="251"/>
      <c r="L186" s="6" t="e">
        <f t="shared" si="18"/>
        <v>#N/A</v>
      </c>
      <c r="M186" s="196" t="e">
        <f t="shared" si="19"/>
        <v>#N/A</v>
      </c>
      <c r="N186" s="8"/>
    </row>
    <row r="187" spans="3:14" ht="19.5" customHeight="1" x14ac:dyDescent="0.2">
      <c r="C187" s="130"/>
      <c r="D187" s="196">
        <f t="shared" si="16"/>
        <v>0</v>
      </c>
      <c r="E187" s="216" t="str">
        <f t="shared" si="17"/>
        <v>XW</v>
      </c>
      <c r="F187" s="15" t="s">
        <v>390</v>
      </c>
      <c r="G187" s="28">
        <f t="shared" si="20"/>
        <v>0</v>
      </c>
      <c r="I187" s="84"/>
      <c r="J187" s="220"/>
      <c r="K187" s="220"/>
      <c r="M187" s="219"/>
      <c r="N187" s="8"/>
    </row>
    <row r="188" spans="3:14" ht="19.5" customHeight="1" x14ac:dyDescent="0.2">
      <c r="C188" s="92" t="s">
        <v>92</v>
      </c>
      <c r="D188" s="197">
        <f>SUMIF(D153:D186,"&gt;0")</f>
        <v>29026.799999999996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7">
        <f>SUMIF(M153:M180,"&gt;0")</f>
        <v>16001.459999999997</v>
      </c>
    </row>
    <row r="189" spans="3:14" ht="20.100000000000001" customHeight="1" x14ac:dyDescent="0.2">
      <c r="C189" s="6" t="s">
        <v>155</v>
      </c>
      <c r="D189" s="197">
        <f>D188+M188</f>
        <v>45028.259999999995</v>
      </c>
      <c r="E189" s="42" t="s">
        <v>155</v>
      </c>
      <c r="F189" s="7">
        <f>F188+J188</f>
        <v>52</v>
      </c>
      <c r="I189" s="42"/>
      <c r="J189" s="7"/>
      <c r="L189" s="92"/>
      <c r="M189" s="197"/>
    </row>
    <row r="190" spans="3:14" ht="20.100000000000001" customHeight="1" x14ac:dyDescent="0.2"/>
  </sheetData>
  <mergeCells count="54">
    <mergeCell ref="J174:K174"/>
    <mergeCell ref="J175:K175"/>
    <mergeCell ref="J173:K173"/>
    <mergeCell ref="J169:K169"/>
    <mergeCell ref="D3:E3"/>
    <mergeCell ref="D23:E23"/>
    <mergeCell ref="D35:E35"/>
    <mergeCell ref="D135:E135"/>
    <mergeCell ref="D47:E47"/>
    <mergeCell ref="D61:E61"/>
    <mergeCell ref="D124:E124"/>
    <mergeCell ref="D94:E94"/>
    <mergeCell ref="D108:E108"/>
    <mergeCell ref="J166:K166"/>
    <mergeCell ref="J165:K165"/>
    <mergeCell ref="J162:K162"/>
    <mergeCell ref="L3:M3"/>
    <mergeCell ref="L23:M23"/>
    <mergeCell ref="L35:M35"/>
    <mergeCell ref="L47:M47"/>
    <mergeCell ref="L108:M108"/>
    <mergeCell ref="L61:M61"/>
    <mergeCell ref="L94:M94"/>
    <mergeCell ref="J186:K186"/>
    <mergeCell ref="J185:K185"/>
    <mergeCell ref="J167:K167"/>
    <mergeCell ref="J181:K181"/>
    <mergeCell ref="J182:K182"/>
    <mergeCell ref="J183:K183"/>
    <mergeCell ref="J184:K184"/>
    <mergeCell ref="J178:K178"/>
    <mergeCell ref="J179:K179"/>
    <mergeCell ref="J180:K180"/>
    <mergeCell ref="J168:K168"/>
    <mergeCell ref="J176:K176"/>
    <mergeCell ref="J177:K177"/>
    <mergeCell ref="J170:K170"/>
    <mergeCell ref="J171:K171"/>
    <mergeCell ref="J172:K172"/>
    <mergeCell ref="L135:M135"/>
    <mergeCell ref="J157:K157"/>
    <mergeCell ref="J158:K158"/>
    <mergeCell ref="J155:K155"/>
    <mergeCell ref="L124:M124"/>
    <mergeCell ref="I150:J150"/>
    <mergeCell ref="J152:K152"/>
    <mergeCell ref="J153:K153"/>
    <mergeCell ref="J154:K154"/>
    <mergeCell ref="J156:K156"/>
    <mergeCell ref="J159:K159"/>
    <mergeCell ref="J164:K164"/>
    <mergeCell ref="J160:K160"/>
    <mergeCell ref="J161:K161"/>
    <mergeCell ref="J163:K163"/>
  </mergeCells>
  <phoneticPr fontId="0" type="noConversion"/>
  <conditionalFormatting sqref="E153:E187">
    <cfRule type="expression" dxfId="484" priority="114" stopIfTrue="1">
      <formula>F153=0</formula>
    </cfRule>
  </conditionalFormatting>
  <conditionalFormatting sqref="G153:G187">
    <cfRule type="cellIs" dxfId="483" priority="115" stopIfTrue="1" operator="between">
      <formula>221100</formula>
      <formula>221140</formula>
    </cfRule>
    <cfRule type="expression" dxfId="482" priority="116" stopIfTrue="1">
      <formula>F153=0</formula>
    </cfRule>
  </conditionalFormatting>
  <conditionalFormatting sqref="D153:D187">
    <cfRule type="expression" dxfId="481" priority="117" stopIfTrue="1">
      <formula>F153=0</formula>
    </cfRule>
  </conditionalFormatting>
  <conditionalFormatting sqref="F153:F187 I153:I187">
    <cfRule type="expression" dxfId="480" priority="118" stopIfTrue="1">
      <formula>G153&gt;221144</formula>
    </cfRule>
    <cfRule type="expression" dxfId="479" priority="119" stopIfTrue="1">
      <formula>G153=0</formula>
    </cfRule>
  </conditionalFormatting>
  <conditionalFormatting sqref="L153:L187">
    <cfRule type="expression" dxfId="478" priority="120" stopIfTrue="1">
      <formula>I153=0</formula>
    </cfRule>
  </conditionalFormatting>
  <conditionalFormatting sqref="J153:K187">
    <cfRule type="cellIs" dxfId="477" priority="121" stopIfTrue="1" operator="between">
      <formula>220001</formula>
      <formula>220034</formula>
    </cfRule>
    <cfRule type="cellIs" dxfId="476" priority="122" stopIfTrue="1" operator="between">
      <formula>221141</formula>
      <formula>221144</formula>
    </cfRule>
    <cfRule type="expression" dxfId="475" priority="123" stopIfTrue="1">
      <formula>I153=0</formula>
    </cfRule>
  </conditionalFormatting>
  <conditionalFormatting sqref="M153:M187">
    <cfRule type="expression" dxfId="474" priority="124" stopIfTrue="1">
      <formula>I153=0</formula>
    </cfRule>
  </conditionalFormatting>
  <conditionalFormatting sqref="R5:R17 R25:R30 R37:R42 R49:R56 R96:R103 R110:R119 R137:R145 R126:R130 R63:R89">
    <cfRule type="cellIs" dxfId="473" priority="125" stopIfTrue="1" operator="between">
      <formula>221101</formula>
      <formula>221140</formula>
    </cfRule>
  </conditionalFormatting>
  <conditionalFormatting sqref="F137:F145 F110:F119 F126:F130 F96:F103 F49:F56 F37:F42 F25:F30 F63:F89 F5:F17">
    <cfRule type="cellIs" dxfId="472" priority="126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471" priority="127" stopIfTrue="1" operator="between">
      <formula>"XC 501"</formula>
      <formula>"XC 549"</formula>
    </cfRule>
    <cfRule type="cellIs" dxfId="470" priority="128" stopIfTrue="1" operator="between">
      <formula>"XC 201"</formula>
      <formula>"XC 399"</formula>
    </cfRule>
    <cfRule type="cellIs" dxfId="469" priority="129" stopIfTrue="1" operator="between">
      <formula>"XC 801"</formula>
      <formula>"XC 899"</formula>
    </cfRule>
  </conditionalFormatting>
  <conditionalFormatting sqref="P5:P17">
    <cfRule type="containsText" dxfId="468" priority="112" stopIfTrue="1" operator="containsText" text="Couples In Traffic">
      <formula>NOT(ISERROR(SEARCH("Couples In Traffic",P5)))</formula>
    </cfRule>
    <cfRule type="expression" dxfId="467" priority="113" stopIfTrue="1">
      <formula>"Couples In Traffic"</formula>
    </cfRule>
  </conditionalFormatting>
  <conditionalFormatting sqref="P25:P30">
    <cfRule type="containsText" dxfId="466" priority="110" stopIfTrue="1" operator="containsText" text="Couples In Traffic">
      <formula>NOT(ISERROR(SEARCH("Couples In Traffic",P25)))</formula>
    </cfRule>
    <cfRule type="expression" dxfId="465" priority="111" stopIfTrue="1">
      <formula>"Couples In Traffic"</formula>
    </cfRule>
  </conditionalFormatting>
  <conditionalFormatting sqref="P37:P42">
    <cfRule type="containsText" dxfId="464" priority="108" stopIfTrue="1" operator="containsText" text="Couples In Traffic">
      <formula>NOT(ISERROR(SEARCH("Couples In Traffic",P37)))</formula>
    </cfRule>
    <cfRule type="expression" dxfId="463" priority="109" stopIfTrue="1">
      <formula>"Couples In Traffic"</formula>
    </cfRule>
  </conditionalFormatting>
  <conditionalFormatting sqref="P49:P56">
    <cfRule type="containsText" dxfId="462" priority="106" stopIfTrue="1" operator="containsText" text="Couples In Traffic">
      <formula>NOT(ISERROR(SEARCH("Couples In Traffic",P49)))</formula>
    </cfRule>
    <cfRule type="expression" dxfId="461" priority="107" stopIfTrue="1">
      <formula>"Couples In Traffic"</formula>
    </cfRule>
  </conditionalFormatting>
  <conditionalFormatting sqref="P63:P89">
    <cfRule type="containsText" dxfId="460" priority="104" stopIfTrue="1" operator="containsText" text="Couples In Traffic">
      <formula>NOT(ISERROR(SEARCH("Couples In Traffic",P63)))</formula>
    </cfRule>
    <cfRule type="expression" dxfId="459" priority="105" stopIfTrue="1">
      <formula>"Couples In Traffic"</formula>
    </cfRule>
  </conditionalFormatting>
  <conditionalFormatting sqref="P96:P103">
    <cfRule type="containsText" dxfId="458" priority="102" stopIfTrue="1" operator="containsText" text="Couples In Traffic">
      <formula>NOT(ISERROR(SEARCH("Couples In Traffic",P96)))</formula>
    </cfRule>
    <cfRule type="expression" dxfId="457" priority="103" stopIfTrue="1">
      <formula>"Couples In Traffic"</formula>
    </cfRule>
  </conditionalFormatting>
  <conditionalFormatting sqref="P110:P119">
    <cfRule type="containsText" dxfId="456" priority="100" stopIfTrue="1" operator="containsText" text="Couples In Traffic">
      <formula>NOT(ISERROR(SEARCH("Couples In Traffic",P110)))</formula>
    </cfRule>
    <cfRule type="expression" dxfId="455" priority="101" stopIfTrue="1">
      <formula>"Couples In Traffic"</formula>
    </cfRule>
  </conditionalFormatting>
  <conditionalFormatting sqref="P126:P130">
    <cfRule type="containsText" dxfId="454" priority="98" stopIfTrue="1" operator="containsText" text="Couples In Traffic">
      <formula>NOT(ISERROR(SEARCH("Couples In Traffic",P126)))</formula>
    </cfRule>
    <cfRule type="expression" dxfId="453" priority="99" stopIfTrue="1">
      <formula>"Couples In Traffic"</formula>
    </cfRule>
  </conditionalFormatting>
  <conditionalFormatting sqref="P137:P145">
    <cfRule type="containsText" dxfId="452" priority="96" stopIfTrue="1" operator="containsText" text="Couples In Traffic">
      <formula>NOT(ISERROR(SEARCH("Couples In Traffic",P137)))</formula>
    </cfRule>
    <cfRule type="expression" dxfId="451" priority="97" stopIfTrue="1">
      <formula>"Couples In Traffic"</formula>
    </cfRule>
  </conditionalFormatting>
  <conditionalFormatting sqref="E5:E17">
    <cfRule type="cellIs" dxfId="450" priority="95" stopIfTrue="1" operator="between">
      <formula>221101</formula>
      <formula>221140</formula>
    </cfRule>
  </conditionalFormatting>
  <conditionalFormatting sqref="E5:E17">
    <cfRule type="cellIs" dxfId="449" priority="93" stopIfTrue="1" operator="equal">
      <formula>221144</formula>
    </cfRule>
    <cfRule type="cellIs" dxfId="448" priority="94" stopIfTrue="1" operator="equal">
      <formula>221136</formula>
    </cfRule>
  </conditionalFormatting>
  <conditionalFormatting sqref="E5:E17">
    <cfRule type="cellIs" dxfId="447" priority="91" stopIfTrue="1" operator="equal">
      <formula>221144</formula>
    </cfRule>
    <cfRule type="cellIs" dxfId="446" priority="92" stopIfTrue="1" operator="equal">
      <formula>221136</formula>
    </cfRule>
  </conditionalFormatting>
  <conditionalFormatting sqref="O5:O17">
    <cfRule type="cellIs" dxfId="445" priority="90" stopIfTrue="1" operator="between">
      <formula>221101</formula>
      <formula>221140</formula>
    </cfRule>
  </conditionalFormatting>
  <conditionalFormatting sqref="O5:O17">
    <cfRule type="cellIs" dxfId="444" priority="88" stopIfTrue="1" operator="equal">
      <formula>221144</formula>
    </cfRule>
    <cfRule type="cellIs" dxfId="443" priority="89" stopIfTrue="1" operator="equal">
      <formula>221136</formula>
    </cfRule>
  </conditionalFormatting>
  <conditionalFormatting sqref="O5:O17">
    <cfRule type="cellIs" dxfId="442" priority="86" stopIfTrue="1" operator="equal">
      <formula>221144</formula>
    </cfRule>
    <cfRule type="cellIs" dxfId="441" priority="87" stopIfTrue="1" operator="equal">
      <formula>221136</formula>
    </cfRule>
  </conditionalFormatting>
  <conditionalFormatting sqref="E25:E30">
    <cfRule type="cellIs" dxfId="440" priority="85" stopIfTrue="1" operator="between">
      <formula>221101</formula>
      <formula>221140</formula>
    </cfRule>
  </conditionalFormatting>
  <conditionalFormatting sqref="E25:E30">
    <cfRule type="cellIs" dxfId="439" priority="83" stopIfTrue="1" operator="equal">
      <formula>221144</formula>
    </cfRule>
    <cfRule type="cellIs" dxfId="438" priority="84" stopIfTrue="1" operator="equal">
      <formula>221136</formula>
    </cfRule>
  </conditionalFormatting>
  <conditionalFormatting sqref="O25:O30">
    <cfRule type="cellIs" dxfId="437" priority="82" stopIfTrue="1" operator="between">
      <formula>221101</formula>
      <formula>221140</formula>
    </cfRule>
  </conditionalFormatting>
  <conditionalFormatting sqref="O25:O30">
    <cfRule type="cellIs" dxfId="436" priority="80" stopIfTrue="1" operator="equal">
      <formula>221144</formula>
    </cfRule>
    <cfRule type="cellIs" dxfId="435" priority="81" stopIfTrue="1" operator="equal">
      <formula>221136</formula>
    </cfRule>
  </conditionalFormatting>
  <conditionalFormatting sqref="E37:E42">
    <cfRule type="cellIs" dxfId="434" priority="79" stopIfTrue="1" operator="between">
      <formula>221101</formula>
      <formula>221140</formula>
    </cfRule>
  </conditionalFormatting>
  <conditionalFormatting sqref="E37:E42">
    <cfRule type="cellIs" dxfId="433" priority="77" stopIfTrue="1" operator="equal">
      <formula>221144</formula>
    </cfRule>
    <cfRule type="cellIs" dxfId="432" priority="78" stopIfTrue="1" operator="equal">
      <formula>221136</formula>
    </cfRule>
  </conditionalFormatting>
  <conditionalFormatting sqref="O37:O42">
    <cfRule type="cellIs" dxfId="431" priority="76" stopIfTrue="1" operator="between">
      <formula>221101</formula>
      <formula>221140</formula>
    </cfRule>
  </conditionalFormatting>
  <conditionalFormatting sqref="O37:O42">
    <cfRule type="cellIs" dxfId="430" priority="74" stopIfTrue="1" operator="equal">
      <formula>221144</formula>
    </cfRule>
    <cfRule type="cellIs" dxfId="429" priority="75" stopIfTrue="1" operator="equal">
      <formula>221136</formula>
    </cfRule>
  </conditionalFormatting>
  <conditionalFormatting sqref="E49:E56">
    <cfRule type="cellIs" dxfId="428" priority="73" stopIfTrue="1" operator="between">
      <formula>221101</formula>
      <formula>221140</formula>
    </cfRule>
  </conditionalFormatting>
  <conditionalFormatting sqref="E49:E56">
    <cfRule type="cellIs" dxfId="427" priority="71" stopIfTrue="1" operator="equal">
      <formula>221144</formula>
    </cfRule>
    <cfRule type="cellIs" dxfId="426" priority="72" stopIfTrue="1" operator="equal">
      <formula>221136</formula>
    </cfRule>
  </conditionalFormatting>
  <conditionalFormatting sqref="E49:E56">
    <cfRule type="cellIs" dxfId="425" priority="69" stopIfTrue="1" operator="equal">
      <formula>221144</formula>
    </cfRule>
    <cfRule type="cellIs" dxfId="424" priority="70" stopIfTrue="1" operator="equal">
      <formula>221136</formula>
    </cfRule>
  </conditionalFormatting>
  <conditionalFormatting sqref="O49:O56">
    <cfRule type="cellIs" dxfId="423" priority="68" stopIfTrue="1" operator="between">
      <formula>221101</formula>
      <formula>221140</formula>
    </cfRule>
  </conditionalFormatting>
  <conditionalFormatting sqref="O49:O56">
    <cfRule type="cellIs" dxfId="422" priority="66" stopIfTrue="1" operator="equal">
      <formula>221144</formula>
    </cfRule>
    <cfRule type="cellIs" dxfId="421" priority="67" stopIfTrue="1" operator="equal">
      <formula>221136</formula>
    </cfRule>
  </conditionalFormatting>
  <conditionalFormatting sqref="O49:O56">
    <cfRule type="cellIs" dxfId="420" priority="64" stopIfTrue="1" operator="equal">
      <formula>221144</formula>
    </cfRule>
    <cfRule type="cellIs" dxfId="419" priority="65" stopIfTrue="1" operator="equal">
      <formula>221136</formula>
    </cfRule>
  </conditionalFormatting>
  <conditionalFormatting sqref="E63:E89">
    <cfRule type="cellIs" dxfId="418" priority="63" stopIfTrue="1" operator="between">
      <formula>221101</formula>
      <formula>221140</formula>
    </cfRule>
  </conditionalFormatting>
  <conditionalFormatting sqref="E63:E89">
    <cfRule type="cellIs" dxfId="417" priority="61" stopIfTrue="1" operator="equal">
      <formula>221144</formula>
    </cfRule>
    <cfRule type="cellIs" dxfId="416" priority="62" stopIfTrue="1" operator="equal">
      <formula>221136</formula>
    </cfRule>
  </conditionalFormatting>
  <conditionalFormatting sqref="O63:O89">
    <cfRule type="cellIs" dxfId="415" priority="60" stopIfTrue="1" operator="between">
      <formula>221101</formula>
      <formula>221140</formula>
    </cfRule>
  </conditionalFormatting>
  <conditionalFormatting sqref="O63:O89">
    <cfRule type="cellIs" dxfId="414" priority="58" stopIfTrue="1" operator="equal">
      <formula>221144</formula>
    </cfRule>
    <cfRule type="cellIs" dxfId="413" priority="59" stopIfTrue="1" operator="equal">
      <formula>221136</formula>
    </cfRule>
  </conditionalFormatting>
  <conditionalFormatting sqref="E96:E103">
    <cfRule type="cellIs" dxfId="412" priority="57" stopIfTrue="1" operator="between">
      <formula>221101</formula>
      <formula>221140</formula>
    </cfRule>
  </conditionalFormatting>
  <conditionalFormatting sqref="E96:E103">
    <cfRule type="cellIs" dxfId="411" priority="55" stopIfTrue="1" operator="equal">
      <formula>221144</formula>
    </cfRule>
    <cfRule type="cellIs" dxfId="410" priority="56" stopIfTrue="1" operator="equal">
      <formula>221136</formula>
    </cfRule>
  </conditionalFormatting>
  <conditionalFormatting sqref="O96:O103">
    <cfRule type="cellIs" dxfId="409" priority="54" stopIfTrue="1" operator="between">
      <formula>221101</formula>
      <formula>221140</formula>
    </cfRule>
  </conditionalFormatting>
  <conditionalFormatting sqref="O96:O103">
    <cfRule type="cellIs" dxfId="408" priority="52" stopIfTrue="1" operator="equal">
      <formula>221144</formula>
    </cfRule>
    <cfRule type="cellIs" dxfId="407" priority="53" stopIfTrue="1" operator="equal">
      <formula>221136</formula>
    </cfRule>
  </conditionalFormatting>
  <conditionalFormatting sqref="E110:E119">
    <cfRule type="cellIs" dxfId="406" priority="51" stopIfTrue="1" operator="between">
      <formula>221101</formula>
      <formula>221140</formula>
    </cfRule>
  </conditionalFormatting>
  <conditionalFormatting sqref="E110:E119">
    <cfRule type="cellIs" dxfId="405" priority="49" stopIfTrue="1" operator="equal">
      <formula>221144</formula>
    </cfRule>
    <cfRule type="cellIs" dxfId="404" priority="50" stopIfTrue="1" operator="equal">
      <formula>221136</formula>
    </cfRule>
  </conditionalFormatting>
  <conditionalFormatting sqref="O110:O119">
    <cfRule type="cellIs" dxfId="403" priority="48" stopIfTrue="1" operator="between">
      <formula>221101</formula>
      <formula>221140</formula>
    </cfRule>
  </conditionalFormatting>
  <conditionalFormatting sqref="O110:O119">
    <cfRule type="cellIs" dxfId="402" priority="46" stopIfTrue="1" operator="equal">
      <formula>221144</formula>
    </cfRule>
    <cfRule type="cellIs" dxfId="401" priority="47" stopIfTrue="1" operator="equal">
      <formula>221136</formula>
    </cfRule>
  </conditionalFormatting>
  <conditionalFormatting sqref="E126:E130">
    <cfRule type="cellIs" dxfId="400" priority="45" stopIfTrue="1" operator="between">
      <formula>221101</formula>
      <formula>221140</formula>
    </cfRule>
  </conditionalFormatting>
  <conditionalFormatting sqref="E126:E130">
    <cfRule type="cellIs" dxfId="399" priority="43" stopIfTrue="1" operator="equal">
      <formula>221144</formula>
    </cfRule>
    <cfRule type="cellIs" dxfId="398" priority="44" stopIfTrue="1" operator="equal">
      <formula>221136</formula>
    </cfRule>
  </conditionalFormatting>
  <conditionalFormatting sqref="O126:O130">
    <cfRule type="cellIs" dxfId="397" priority="42" stopIfTrue="1" operator="between">
      <formula>221101</formula>
      <formula>221140</formula>
    </cfRule>
  </conditionalFormatting>
  <conditionalFormatting sqref="O126:O130">
    <cfRule type="cellIs" dxfId="396" priority="40" stopIfTrue="1" operator="equal">
      <formula>221144</formula>
    </cfRule>
    <cfRule type="cellIs" dxfId="395" priority="41" stopIfTrue="1" operator="equal">
      <formula>221136</formula>
    </cfRule>
  </conditionalFormatting>
  <conditionalFormatting sqref="E137:E145">
    <cfRule type="cellIs" dxfId="394" priority="39" stopIfTrue="1" operator="between">
      <formula>221101</formula>
      <formula>221140</formula>
    </cfRule>
  </conditionalFormatting>
  <conditionalFormatting sqref="E137:E145">
    <cfRule type="cellIs" dxfId="393" priority="37" stopIfTrue="1" operator="equal">
      <formula>221144</formula>
    </cfRule>
    <cfRule type="cellIs" dxfId="392" priority="38" stopIfTrue="1" operator="equal">
      <formula>221136</formula>
    </cfRule>
  </conditionalFormatting>
  <conditionalFormatting sqref="O137:O145">
    <cfRule type="cellIs" dxfId="391" priority="36" stopIfTrue="1" operator="between">
      <formula>221101</formula>
      <formula>221140</formula>
    </cfRule>
  </conditionalFormatting>
  <conditionalFormatting sqref="O137:O145">
    <cfRule type="cellIs" dxfId="390" priority="34" stopIfTrue="1" operator="equal">
      <formula>221144</formula>
    </cfRule>
    <cfRule type="cellIs" dxfId="389" priority="35" stopIfTrue="1" operator="equal">
      <formula>221136</formula>
    </cfRule>
  </conditionalFormatting>
  <conditionalFormatting sqref="E5:E17 O5:O17 E25:E30 O25:O30 E37:E42 O37:O42 E49:E56 O49:O56 E63:E89 O63:O89 E96:E103 O96:O103 E110:E119 O110:O119 E126:E130 O126:O130 E137:E145 O137:O145">
    <cfRule type="cellIs" dxfId="388" priority="33" operator="equal">
      <formula>221140</formula>
    </cfRule>
  </conditionalFormatting>
  <conditionalFormatting sqref="Q5:Q17">
    <cfRule type="cellIs" dxfId="387" priority="32" stopIfTrue="1" operator="between">
      <formula>221101</formula>
      <formula>221140</formula>
    </cfRule>
  </conditionalFormatting>
  <conditionalFormatting sqref="Q5:Q17">
    <cfRule type="cellIs" dxfId="386" priority="30" stopIfTrue="1" operator="equal">
      <formula>221144</formula>
    </cfRule>
    <cfRule type="cellIs" dxfId="385" priority="31" stopIfTrue="1" operator="equal">
      <formula>221136</formula>
    </cfRule>
  </conditionalFormatting>
  <conditionalFormatting sqref="Q5:Q17">
    <cfRule type="cellIs" dxfId="384" priority="28" stopIfTrue="1" operator="equal">
      <formula>221144</formula>
    </cfRule>
    <cfRule type="cellIs" dxfId="383" priority="29" stopIfTrue="1" operator="equal">
      <formula>221136</formula>
    </cfRule>
  </conditionalFormatting>
  <conditionalFormatting sqref="Q25:Q30">
    <cfRule type="cellIs" dxfId="382" priority="27" stopIfTrue="1" operator="between">
      <formula>221101</formula>
      <formula>221140</formula>
    </cfRule>
  </conditionalFormatting>
  <conditionalFormatting sqref="Q25:Q30">
    <cfRule type="cellIs" dxfId="381" priority="25" stopIfTrue="1" operator="equal">
      <formula>221144</formula>
    </cfRule>
    <cfRule type="cellIs" dxfId="380" priority="26" stopIfTrue="1" operator="equal">
      <formula>221136</formula>
    </cfRule>
  </conditionalFormatting>
  <conditionalFormatting sqref="Q37:Q42">
    <cfRule type="cellIs" dxfId="379" priority="24" stopIfTrue="1" operator="between">
      <formula>221101</formula>
      <formula>221140</formula>
    </cfRule>
  </conditionalFormatting>
  <conditionalFormatting sqref="Q37:Q42">
    <cfRule type="cellIs" dxfId="378" priority="22" stopIfTrue="1" operator="equal">
      <formula>221144</formula>
    </cfRule>
    <cfRule type="cellIs" dxfId="377" priority="23" stopIfTrue="1" operator="equal">
      <formula>221136</formula>
    </cfRule>
  </conditionalFormatting>
  <conditionalFormatting sqref="Q49:Q56">
    <cfRule type="cellIs" dxfId="376" priority="21" stopIfTrue="1" operator="between">
      <formula>221101</formula>
      <formula>221140</formula>
    </cfRule>
  </conditionalFormatting>
  <conditionalFormatting sqref="Q49:Q56">
    <cfRule type="cellIs" dxfId="375" priority="19" stopIfTrue="1" operator="equal">
      <formula>221144</formula>
    </cfRule>
    <cfRule type="cellIs" dxfId="374" priority="20" stopIfTrue="1" operator="equal">
      <formula>221136</formula>
    </cfRule>
  </conditionalFormatting>
  <conditionalFormatting sqref="Q49:Q56">
    <cfRule type="cellIs" dxfId="373" priority="17" stopIfTrue="1" operator="equal">
      <formula>221144</formula>
    </cfRule>
    <cfRule type="cellIs" dxfId="372" priority="18" stopIfTrue="1" operator="equal">
      <formula>221136</formula>
    </cfRule>
  </conditionalFormatting>
  <conditionalFormatting sqref="Q63:Q89">
    <cfRule type="cellIs" dxfId="371" priority="16" stopIfTrue="1" operator="between">
      <formula>221101</formula>
      <formula>221140</formula>
    </cfRule>
  </conditionalFormatting>
  <conditionalFormatting sqref="Q63:Q89">
    <cfRule type="cellIs" dxfId="370" priority="14" stopIfTrue="1" operator="equal">
      <formula>221144</formula>
    </cfRule>
    <cfRule type="cellIs" dxfId="369" priority="15" stopIfTrue="1" operator="equal">
      <formula>221136</formula>
    </cfRule>
  </conditionalFormatting>
  <conditionalFormatting sqref="Q96:Q103">
    <cfRule type="cellIs" dxfId="368" priority="13" stopIfTrue="1" operator="between">
      <formula>221101</formula>
      <formula>221140</formula>
    </cfRule>
  </conditionalFormatting>
  <conditionalFormatting sqref="Q96:Q103">
    <cfRule type="cellIs" dxfId="367" priority="11" stopIfTrue="1" operator="equal">
      <formula>221144</formula>
    </cfRule>
    <cfRule type="cellIs" dxfId="366" priority="12" stopIfTrue="1" operator="equal">
      <formula>221136</formula>
    </cfRule>
  </conditionalFormatting>
  <conditionalFormatting sqref="Q110:Q119">
    <cfRule type="cellIs" dxfId="365" priority="10" stopIfTrue="1" operator="between">
      <formula>221101</formula>
      <formula>221140</formula>
    </cfRule>
  </conditionalFormatting>
  <conditionalFormatting sqref="Q110:Q119">
    <cfRule type="cellIs" dxfId="364" priority="8" stopIfTrue="1" operator="equal">
      <formula>221144</formula>
    </cfRule>
    <cfRule type="cellIs" dxfId="363" priority="9" stopIfTrue="1" operator="equal">
      <formula>221136</formula>
    </cfRule>
  </conditionalFormatting>
  <conditionalFormatting sqref="Q126:Q130">
    <cfRule type="cellIs" dxfId="362" priority="7" stopIfTrue="1" operator="between">
      <formula>221101</formula>
      <formula>221140</formula>
    </cfRule>
  </conditionalFormatting>
  <conditionalFormatting sqref="Q126:Q130">
    <cfRule type="cellIs" dxfId="361" priority="5" stopIfTrue="1" operator="equal">
      <formula>221144</formula>
    </cfRule>
    <cfRule type="cellIs" dxfId="360" priority="6" stopIfTrue="1" operator="equal">
      <formula>221136</formula>
    </cfRule>
  </conditionalFormatting>
  <conditionalFormatting sqref="Q137:Q145">
    <cfRule type="cellIs" dxfId="359" priority="4" stopIfTrue="1" operator="between">
      <formula>221101</formula>
      <formula>221140</formula>
    </cfRule>
  </conditionalFormatting>
  <conditionalFormatting sqref="Q137:Q145">
    <cfRule type="cellIs" dxfId="358" priority="2" stopIfTrue="1" operator="equal">
      <formula>221144</formula>
    </cfRule>
    <cfRule type="cellIs" dxfId="357" priority="3" stopIfTrue="1" operator="equal">
      <formula>221136</formula>
    </cfRule>
  </conditionalFormatting>
  <conditionalFormatting sqref="Q5:Q17 Q25:Q30 Q37:Q42 Q49:Q56 Q63:Q89 Q96:Q103 Q110:Q119 Q126:Q130 Q137:Q145">
    <cfRule type="cellIs" dxfId="356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F20"/>
  <sheetViews>
    <sheetView zoomScaleNormal="100" zoomScaleSheetLayoutView="100" workbookViewId="0">
      <selection activeCell="C27" sqref="C27"/>
    </sheetView>
  </sheetViews>
  <sheetFormatPr defaultRowHeight="12.75" x14ac:dyDescent="0.2"/>
  <cols>
    <col min="1" max="1" width="13" customWidth="1"/>
    <col min="2" max="2" width="21" customWidth="1"/>
    <col min="3" max="3" width="15.28515625" customWidth="1"/>
    <col min="4" max="4" width="12.42578125" customWidth="1"/>
    <col min="5" max="5" width="14.7109375" customWidth="1"/>
    <col min="6" max="6" width="16" customWidth="1"/>
  </cols>
  <sheetData>
    <row r="3" spans="1:6" ht="13.5" thickBot="1" x14ac:dyDescent="0.25"/>
    <row r="4" spans="1:6" ht="18" x14ac:dyDescent="0.25">
      <c r="A4" s="261" t="s">
        <v>76</v>
      </c>
      <c r="B4" s="262"/>
      <c r="C4" s="262"/>
      <c r="D4" s="262"/>
      <c r="E4" s="262"/>
      <c r="F4" s="263"/>
    </row>
    <row r="5" spans="1:6" ht="15.75" x14ac:dyDescent="0.25">
      <c r="A5" s="47" t="s">
        <v>1</v>
      </c>
      <c r="B5" s="47" t="s">
        <v>77</v>
      </c>
      <c r="C5" s="264">
        <f>SUM('Fri-Sat'!L3:M3)</f>
        <v>43064</v>
      </c>
      <c r="D5" s="265"/>
      <c r="E5" s="265"/>
      <c r="F5" s="266"/>
    </row>
    <row r="6" spans="1:6" ht="16.5" thickBot="1" x14ac:dyDescent="0.25">
      <c r="A6" s="48" t="s">
        <v>78</v>
      </c>
      <c r="B6" s="48" t="s">
        <v>79</v>
      </c>
      <c r="C6" s="49" t="s">
        <v>80</v>
      </c>
      <c r="D6" s="49" t="s">
        <v>81</v>
      </c>
      <c r="E6" s="49" t="s">
        <v>82</v>
      </c>
      <c r="F6" s="50" t="s">
        <v>83</v>
      </c>
    </row>
    <row r="7" spans="1:6" x14ac:dyDescent="0.2">
      <c r="A7" s="51"/>
      <c r="B7" s="52"/>
      <c r="C7" s="52"/>
      <c r="D7" s="52"/>
      <c r="E7" s="52"/>
      <c r="F7" s="53"/>
    </row>
    <row r="8" spans="1:6" x14ac:dyDescent="0.2">
      <c r="A8" s="64"/>
      <c r="B8" s="65"/>
      <c r="C8" s="73"/>
      <c r="D8" s="73"/>
      <c r="E8" s="73"/>
      <c r="F8" s="74"/>
    </row>
    <row r="9" spans="1:6" x14ac:dyDescent="0.2">
      <c r="A9" s="62"/>
      <c r="B9" s="63"/>
      <c r="C9" s="75"/>
      <c r="D9" s="75"/>
      <c r="E9" s="75"/>
      <c r="F9" s="76"/>
    </row>
    <row r="10" spans="1:6" ht="13.5" thickBot="1" x14ac:dyDescent="0.25">
      <c r="A10" s="54"/>
      <c r="B10" s="55"/>
      <c r="C10" s="56"/>
      <c r="D10" s="56"/>
      <c r="E10" s="56"/>
      <c r="F10" s="57"/>
    </row>
    <row r="11" spans="1:6" ht="13.5" thickBot="1" x14ac:dyDescent="0.25"/>
    <row r="12" spans="1:6" ht="18" x14ac:dyDescent="0.25">
      <c r="A12" s="261" t="s">
        <v>84</v>
      </c>
      <c r="B12" s="262"/>
      <c r="C12" s="262"/>
      <c r="D12" s="262"/>
      <c r="E12" s="262"/>
      <c r="F12" s="263"/>
    </row>
    <row r="13" spans="1:6" ht="15.75" x14ac:dyDescent="0.25">
      <c r="A13" s="47" t="s">
        <v>1</v>
      </c>
      <c r="B13" s="47" t="s">
        <v>77</v>
      </c>
      <c r="C13" s="264">
        <f>SUM('Sat-Sun'!L3:M3)</f>
        <v>43065</v>
      </c>
      <c r="D13" s="265"/>
      <c r="E13" s="265"/>
      <c r="F13" s="266"/>
    </row>
    <row r="14" spans="1:6" ht="16.5" thickBot="1" x14ac:dyDescent="0.25">
      <c r="A14" s="48" t="s">
        <v>78</v>
      </c>
      <c r="B14" s="48" t="s">
        <v>79</v>
      </c>
      <c r="C14" s="49" t="s">
        <v>80</v>
      </c>
      <c r="D14" s="49" t="s">
        <v>81</v>
      </c>
      <c r="E14" s="49" t="s">
        <v>82</v>
      </c>
      <c r="F14" s="50" t="s">
        <v>83</v>
      </c>
    </row>
    <row r="15" spans="1:6" x14ac:dyDescent="0.2">
      <c r="A15" s="58"/>
      <c r="B15" s="59"/>
      <c r="C15" s="60"/>
      <c r="D15" s="59"/>
      <c r="E15" s="59"/>
      <c r="F15" s="61"/>
    </row>
    <row r="16" spans="1:6" x14ac:dyDescent="0.2">
      <c r="A16" s="62"/>
      <c r="B16" s="63"/>
      <c r="C16" s="267"/>
      <c r="D16" s="267"/>
      <c r="E16" s="267"/>
      <c r="F16" s="268"/>
    </row>
    <row r="17" spans="1:6" x14ac:dyDescent="0.2">
      <c r="A17" s="64"/>
      <c r="B17" s="65"/>
      <c r="C17" s="257"/>
      <c r="D17" s="257"/>
      <c r="E17" s="257"/>
      <c r="F17" s="258"/>
    </row>
    <row r="18" spans="1:6" x14ac:dyDescent="0.2">
      <c r="A18" s="62"/>
      <c r="B18" s="63"/>
      <c r="C18" s="267"/>
      <c r="D18" s="267"/>
      <c r="E18" s="267"/>
      <c r="F18" s="268"/>
    </row>
    <row r="19" spans="1:6" x14ac:dyDescent="0.2">
      <c r="A19" s="64"/>
      <c r="B19" s="65"/>
      <c r="C19" s="257"/>
      <c r="D19" s="257"/>
      <c r="E19" s="257"/>
      <c r="F19" s="258"/>
    </row>
    <row r="20" spans="1:6" ht="13.5" thickBot="1" x14ac:dyDescent="0.25">
      <c r="A20" s="66"/>
      <c r="B20" s="67"/>
      <c r="C20" s="259"/>
      <c r="D20" s="259"/>
      <c r="E20" s="259"/>
      <c r="F20" s="260"/>
    </row>
  </sheetData>
  <mergeCells count="9">
    <mergeCell ref="C19:F19"/>
    <mergeCell ref="C20:F20"/>
    <mergeCell ref="A4:F4"/>
    <mergeCell ref="C5:F5"/>
    <mergeCell ref="C17:F17"/>
    <mergeCell ref="C18:F18"/>
    <mergeCell ref="A12:F12"/>
    <mergeCell ref="C13:F13"/>
    <mergeCell ref="C16:F16"/>
  </mergeCells>
  <phoneticPr fontId="0" type="noConversion"/>
  <pageMargins left="0.75" right="0.75" top="1" bottom="1" header="0.5" footer="0.5"/>
  <pageSetup paperSize="9" scale="95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K16"/>
  <sheetViews>
    <sheetView showGridLines="0" zoomScale="75" workbookViewId="0">
      <selection activeCell="B14" sqref="B14"/>
    </sheetView>
  </sheetViews>
  <sheetFormatPr defaultRowHeight="12.75" x14ac:dyDescent="0.2"/>
  <cols>
    <col min="1" max="1" width="17.7109375" style="155" customWidth="1"/>
    <col min="2" max="3" width="10.85546875" style="155" customWidth="1"/>
    <col min="4" max="8" width="11.5703125" style="155" bestFit="1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247" t="s">
        <v>100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156"/>
      <c r="B3" s="182" t="s">
        <v>156</v>
      </c>
      <c r="C3" s="182" t="s">
        <v>157</v>
      </c>
      <c r="D3" s="182" t="s">
        <v>158</v>
      </c>
      <c r="E3" s="182" t="s">
        <v>159</v>
      </c>
      <c r="F3" s="182" t="s">
        <v>160</v>
      </c>
      <c r="G3" s="182" t="s">
        <v>161</v>
      </c>
      <c r="H3" s="182" t="s">
        <v>162</v>
      </c>
      <c r="I3" s="182"/>
      <c r="J3" s="207" t="s">
        <v>163</v>
      </c>
      <c r="K3" s="156"/>
    </row>
    <row r="4" spans="1:11" x14ac:dyDescent="0.2">
      <c r="A4" s="205" t="str">
        <f>IF(WEEKDAY(B4)=7,"","Not a Saturday")</f>
        <v/>
      </c>
      <c r="B4" s="157">
        <f>'DEPT BAL'!$B$4</f>
        <v>43064</v>
      </c>
      <c r="C4" s="157">
        <f t="shared" ref="C4:H4" si="0">B4+1</f>
        <v>43065</v>
      </c>
      <c r="D4" s="157">
        <f t="shared" si="0"/>
        <v>43066</v>
      </c>
      <c r="E4" s="157">
        <f t="shared" si="0"/>
        <v>43067</v>
      </c>
      <c r="F4" s="157">
        <f t="shared" si="0"/>
        <v>43068</v>
      </c>
      <c r="G4" s="157">
        <f t="shared" si="0"/>
        <v>43069</v>
      </c>
      <c r="H4" s="157">
        <f t="shared" si="0"/>
        <v>43070</v>
      </c>
      <c r="I4" s="157"/>
      <c r="J4" s="157"/>
      <c r="K4" s="156"/>
    </row>
    <row r="5" spans="1:11" x14ac:dyDescent="0.2">
      <c r="A5" s="158" t="s">
        <v>67</v>
      </c>
      <c r="B5" s="156">
        <f>(COUNTIF('Fri-Sat'!$I$5:$I$17,"XC 4*")*4)+(COUNTIF('Fri-Sat'!$I$5:$I$17,"XC 5*")*5)</f>
        <v>27</v>
      </c>
      <c r="C5" s="156">
        <f>(COUNTIF('Sat-Sun'!$I$5:$I$17,"XC 4*")*4)+(COUNTIF('Sat-Sun'!$I$5:$I$17,"XC 5*")*5)</f>
        <v>0</v>
      </c>
      <c r="D5" s="156">
        <f>(COUNTIF('Sun-Mon'!$I$5:$I$17,"XC 4*")*4)+(COUNTIF('Sun-Mon'!$I$5:$I$17,"XC 5*")*5)</f>
        <v>27</v>
      </c>
      <c r="E5" s="156">
        <f>(COUNTIF('Mon-Tue'!$I$5:$I$17,"XC 4*")*4)+(COUNTIF('Mon-Tue'!$I$5:$I$17,"XC 5*")*5)</f>
        <v>27</v>
      </c>
      <c r="F5" s="156">
        <f>(COUNTIF('Tue-Wed'!$I$5:$I$17,"XC 4*")*4)+(COUNTIF('Tue-Wed'!$I$5:$I$17,"XC 5*")*5)</f>
        <v>27</v>
      </c>
      <c r="G5" s="156">
        <f>(COUNTIF('Wed-Thur'!$I$5:$I$17,"XC 4*")*4)+(COUNTIF('Wed-Thur'!$I$5:$I$17,"XC 5*")*5)</f>
        <v>27</v>
      </c>
      <c r="H5" s="156">
        <f>(COUNTIF('Thur-Fri'!$I$5:$I$17,"XC 4*")*4)+(COUNTIF('Thur-Fri'!$I$5:$I$17,"XC 5*")*5)</f>
        <v>27</v>
      </c>
      <c r="I5" s="156"/>
      <c r="J5" s="156">
        <f t="shared" ref="J5:J13" si="1">SUM(B5:I5)</f>
        <v>162</v>
      </c>
      <c r="K5" s="156"/>
    </row>
    <row r="6" spans="1:11" x14ac:dyDescent="0.2">
      <c r="A6" s="158" t="s">
        <v>68</v>
      </c>
      <c r="B6" s="156">
        <f>(COUNTIF('Fri-Sat'!$I$25:$I$30,"XC 4*")*4)+(COUNTIF('Fri-Sat'!$I$25:$I$30,"XC 5*")*5)</f>
        <v>21</v>
      </c>
      <c r="C6" s="156">
        <f>(COUNTIF('Sat-Sun'!$I$25:$I$30,"XC 4*")*4)+(COUNTIF('Sat-Sun'!$I$25:$I$30,"XC 5*")*5)</f>
        <v>8</v>
      </c>
      <c r="D6" s="156">
        <f>(COUNTIF('Sun-Mon'!$I$25:$I$30,"XC 4*")*4)+(COUNTIF('Sun-Mon'!$I$25:$I$30,"XC 5*")*5)</f>
        <v>18</v>
      </c>
      <c r="E6" s="156">
        <f>(COUNTIF('Mon-Tue'!$I$25:$I$30,"XC 4*")*4)+(COUNTIF('Mon-Tue'!$I$25:$I$30,"XC 5*")*5)</f>
        <v>17</v>
      </c>
      <c r="F6" s="156">
        <f>(COUNTIF('Tue-Wed'!$I$25:$I$30,"XC 4*")*4)+(COUNTIF('Tue-Wed'!$I$25:$I$30,"XC 5*")*5)</f>
        <v>17</v>
      </c>
      <c r="G6" s="156">
        <f>(COUNTIF('Wed-Thur'!$I$25:$I$30,"XC 4*")*4)+(COUNTIF('Wed-Thur'!$I$25:$I$30,"XC 5*")*5)</f>
        <v>17</v>
      </c>
      <c r="H6" s="156">
        <f>(COUNTIF('Thur-Fri'!$I$25:$I$30,"XC 4*")*4)+(COUNTIF('Thur-Fri'!$I$25:$I$30,"XC 5*")*5)</f>
        <v>17</v>
      </c>
      <c r="I6" s="156"/>
      <c r="J6" s="156">
        <f t="shared" si="1"/>
        <v>115</v>
      </c>
      <c r="K6" s="156"/>
    </row>
    <row r="7" spans="1:11" x14ac:dyDescent="0.2">
      <c r="A7" s="158" t="s">
        <v>69</v>
      </c>
      <c r="B7" s="156">
        <f>(COUNTIF('Fri-Sat'!$I$37:$I$42,"XC 4*")*4)+(COUNTIF('Fri-Sat'!$I$37:$I$42,"XC 5*")*5)</f>
        <v>12</v>
      </c>
      <c r="C7" s="156">
        <f>(COUNTIF('Sat-Sun'!$I$37:$I$42,"XC 4*")*4)+(COUNTIF('Sat-Sun'!$I$37:$I$42,"XC 5*")*5)</f>
        <v>0</v>
      </c>
      <c r="D7" s="156">
        <f>(COUNTIF('Sun-Mon'!$I$37:$I$42,"XC 4*")*4)+(COUNTIF('Sun-Mon'!$I$37:$I$42,"XC 5*")*5)</f>
        <v>12</v>
      </c>
      <c r="E7" s="156">
        <f>(COUNTIF('Mon-Tue'!$I$37:$I$42,"XC 4*")*4)+(COUNTIF('Mon-Tue'!$I$37:$I$42,"XC 5*")*5)</f>
        <v>17</v>
      </c>
      <c r="F7" s="156">
        <f>(COUNTIF('Tue-Wed'!$I$37:$I$42,"XC 4*")*4)+(COUNTIF('Tue-Wed'!$I$37:$I$42,"XC 5*")*5)</f>
        <v>17</v>
      </c>
      <c r="G7" s="156">
        <f>(COUNTIF('Wed-Thur'!$I$37:$I$42,"XC 4*")*4)+(COUNTIF('Wed-Thur'!$I$37:$I$42,"XC 5*")*5)</f>
        <v>17</v>
      </c>
      <c r="H7" s="156">
        <f>(COUNTIF('Thur-Fri'!$I$37:$I$42,"XC 4*")*4)+(COUNTIF('Thur-Fri'!$I$37:$I$42,"XC 5*")*5)</f>
        <v>17</v>
      </c>
      <c r="I7" s="156"/>
      <c r="J7" s="156">
        <f t="shared" si="1"/>
        <v>92</v>
      </c>
      <c r="K7" s="156"/>
    </row>
    <row r="8" spans="1:11" x14ac:dyDescent="0.2">
      <c r="A8" s="158" t="s">
        <v>70</v>
      </c>
      <c r="B8" s="156">
        <f>(COUNTIF('Fri-Sat'!$I$49:$I$56,"XC 4*")*4)+(COUNTIF('Fri-Sat'!$I$49:$I$56,"XC 5*")*5)</f>
        <v>18</v>
      </c>
      <c r="C8" s="156">
        <f>(COUNTIF('Sat-Sun'!$I$49:$I$56,"XC 4*")*4)+(COUNTIF('Sat-Sun'!$I$49:$I$56,"XC 5*")*5)</f>
        <v>0</v>
      </c>
      <c r="D8" s="156">
        <f>(COUNTIF('Sun-Mon'!$I$49:$I$56,"XC 4*")*4)+(COUNTIF('Sun-Mon'!$I$49:$I$56,"XC 5*")*5)</f>
        <v>17</v>
      </c>
      <c r="E8" s="156">
        <f>(COUNTIF('Mon-Tue'!$I$49:$I$56,"XC 4*")*4)+(COUNTIF('Mon-Tue'!$I$49:$I$56,"XC 5*")*5)</f>
        <v>17</v>
      </c>
      <c r="F8" s="156">
        <f>(COUNTIF('Tue-Wed'!$I$49:$I$56,"XC 4*")*4)+(COUNTIF('Tue-Wed'!$I$49:$I$56,"XC 5*")*5)</f>
        <v>17</v>
      </c>
      <c r="G8" s="156">
        <f>(COUNTIF('Wed-Thur'!$I$49:$I$56,"XC 4*")*4)+(COUNTIF('Wed-Thur'!$I$49:$I$56,"XC 5*")*5)</f>
        <v>17</v>
      </c>
      <c r="H8" s="156">
        <f>(COUNTIF('Thur-Fri'!$I$49:$I$56,"XC 4*")*4)+(COUNTIF('Thur-Fri'!$I$49:$I$56,"XC 5*")*5)</f>
        <v>17</v>
      </c>
      <c r="I8" s="156"/>
      <c r="J8" s="156">
        <f t="shared" si="1"/>
        <v>103</v>
      </c>
      <c r="K8" s="156"/>
    </row>
    <row r="9" spans="1:11" x14ac:dyDescent="0.2">
      <c r="A9" s="158" t="s">
        <v>71</v>
      </c>
      <c r="B9" s="156">
        <f>(COUNTIF('Fri-Sat'!$I$63:$I$89,"XC 4*")*4)+(COUNTIF('Fri-Sat'!$I$63:$I$89,"XC 5*")*5)</f>
        <v>68</v>
      </c>
      <c r="C9" s="156">
        <f>(COUNTIF('Sat-Sun'!$I$63:$I$89,"XC 4*")*4)+(COUNTIF('Sat-Sun'!$I$63:$I$89,"XC 5*")*5)</f>
        <v>0</v>
      </c>
      <c r="D9" s="156">
        <f>(COUNTIF('Sun-Mon'!$I$63:$I$89,"XC 4*")*4)+(COUNTIF('Sun-Mon'!$I$63:$I$89,"XC 5*")*5)</f>
        <v>73</v>
      </c>
      <c r="E9" s="156">
        <f>(COUNTIF('Mon-Tue'!$I$63:$I$89,"XC 4*")*4)+(COUNTIF('Mon-Tue'!$I$63:$I$89,"XC 5*")*5)</f>
        <v>69</v>
      </c>
      <c r="F9" s="156">
        <f>(COUNTIF('Tue-Wed'!$I$63:$I$89,"XC 4*")*4)+(COUNTIF('Tue-Wed'!$I$63:$I$89,"XC 5*")*5)</f>
        <v>69</v>
      </c>
      <c r="G9" s="156">
        <f>(COUNTIF('Wed-Thur'!$I$63:$I$89,"XC 4*")*4)+(COUNTIF('Wed-Thur'!$I$63:$I$89,"XC 5*")*5)</f>
        <v>69</v>
      </c>
      <c r="H9" s="156">
        <f>(COUNTIF('Thur-Fri'!$I$63:$I$89,"XC 4*")*4)+(COUNTIF('Thur-Fri'!$I$63:$I$89,"XC 5*")*5)</f>
        <v>69</v>
      </c>
      <c r="I9" s="156"/>
      <c r="J9" s="156">
        <f t="shared" si="1"/>
        <v>417</v>
      </c>
      <c r="K9" s="156"/>
    </row>
    <row r="10" spans="1:11" x14ac:dyDescent="0.2">
      <c r="A10" s="158" t="s">
        <v>72</v>
      </c>
      <c r="B10" s="156">
        <f>(COUNTIF('Fri-Sat'!$I$96:$I$103,"XC 4*")*4)+(COUNTIF('Fri-Sat'!$I$96:$I$103,"XC 5*")*5)</f>
        <v>18</v>
      </c>
      <c r="C10" s="156">
        <f>(COUNTIF('Sat-Sun'!$I$96:$I$103,"XC 4*")*4)+(COUNTIF('Sat-Sun'!$I$96:$I$103,"XC 5*")*5)</f>
        <v>0</v>
      </c>
      <c r="D10" s="156">
        <f>(COUNTIF('Sun-Mon'!$I$96:$I$103,"XC 4*")*4)+(COUNTIF('Sun-Mon'!$I$96:$I$103,"XC 5*")*5)</f>
        <v>18</v>
      </c>
      <c r="E10" s="156">
        <f>(COUNTIF('Mon-Tue'!$I$96:$I$103,"XC 4*")*4)+(COUNTIF('Mon-Tue'!$I$96:$I$103,"XC 5*")*5)</f>
        <v>18</v>
      </c>
      <c r="F10" s="156">
        <f>(COUNTIF('Tue-Wed'!$I$96:$I$103,"XC 4*")*4)+(COUNTIF('Tue-Wed'!$I$96:$I$103,"XC 5*")*5)</f>
        <v>18</v>
      </c>
      <c r="G10" s="156">
        <f>(COUNTIF('Wed-Thur'!$I$96:$I$103,"XC 4*")*4)+(COUNTIF('Wed-Thur'!$I$96:$I$103,"XC 5*")*5)</f>
        <v>18</v>
      </c>
      <c r="H10" s="156">
        <f>(COUNTIF('Thur-Fri'!$I$96:$I$103,"XC 4*")*4)+(COUNTIF('Thur-Fri'!$I$96:$I$103,"XC 5*")*5)</f>
        <v>18</v>
      </c>
      <c r="I10" s="156"/>
      <c r="J10" s="156">
        <f t="shared" si="1"/>
        <v>108</v>
      </c>
      <c r="K10" s="156"/>
    </row>
    <row r="11" spans="1:11" x14ac:dyDescent="0.2">
      <c r="A11" s="158" t="s">
        <v>73</v>
      </c>
      <c r="B11" s="156">
        <f>(COUNTIF('Fri-Sat'!$I$110:$I$119,"XC 4*")*4)+(COUNTIF('Fri-Sat'!$I$110:$I$119,"XC 5*")*5)</f>
        <v>22</v>
      </c>
      <c r="C11" s="156">
        <f>(COUNTIF('Sat-Sun'!$I$110:$I$119,"XC 4*")*4)+(COUNTIF('Sat-Sun'!$I$110:$I$119,"XC 5*")*5)</f>
        <v>13</v>
      </c>
      <c r="D11" s="156">
        <f>(COUNTIF('Sun-Mon'!$I$110:$I$119,"XC 4*")*4)+(COUNTIF('Sun-Mon'!$I$110:$I$119,"XC 5*")*5)</f>
        <v>22</v>
      </c>
      <c r="E11" s="156">
        <f>(COUNTIF('Mon-Tue'!$I$110:$I$119,"XC 4*")*4)+(COUNTIF('Mon-Tue'!$I$110:$I$119,"XC 5*")*5)</f>
        <v>22</v>
      </c>
      <c r="F11" s="156">
        <f>(COUNTIF('Tue-Wed'!$I$110:$I$119,"XC 4*")*4)+(COUNTIF('Tue-Wed'!$I$110:$I$119,"XC 5*")*5)</f>
        <v>22</v>
      </c>
      <c r="G11" s="156">
        <f>(COUNTIF('Wed-Thur'!$I$110:$I$119,"XC 4*")*4)+(COUNTIF('Wed-Thur'!$I$110:$I$119,"XC 5*")*5)</f>
        <v>22</v>
      </c>
      <c r="H11" s="156">
        <f>(COUNTIF('Thur-Fri'!$I$110:$I$119,"XC 4*")*4)+(COUNTIF('Thur-Fri'!$I$110:$I$119,"XC 5*")*5)</f>
        <v>22</v>
      </c>
      <c r="I11" s="156"/>
      <c r="J11" s="156">
        <f t="shared" si="1"/>
        <v>145</v>
      </c>
      <c r="K11" s="156"/>
    </row>
    <row r="12" spans="1:11" x14ac:dyDescent="0.2">
      <c r="A12" s="158" t="s">
        <v>74</v>
      </c>
      <c r="B12" s="156">
        <f>(COUNTIF('Fri-Sat'!$I$126:$I$130,"XC 4*")*4)+(COUNTIF('Fri-Sat'!$I$126:$I$130,"XC 5*")*5)</f>
        <v>10</v>
      </c>
      <c r="C12" s="156">
        <f>(COUNTIF('Sat-Sun'!$I$126:$I$130,"XC 4*")*4)+(COUNTIF('Sat-Sun'!$I$126:$I$130,"XC 5*")*5)</f>
        <v>9</v>
      </c>
      <c r="D12" s="156">
        <f>(COUNTIF('Sun-Mon'!$I$126:$I$130,"XC 4*")*4)+(COUNTIF('Sun-Mon'!$I$126:$I$130,"XC 5*")*5)</f>
        <v>10</v>
      </c>
      <c r="E12" s="156">
        <f>(COUNTIF('Mon-Tue'!$I$126:$I$130,"XC 4*")*4)+(COUNTIF('Mon-Tue'!$I$126:$I$130,"XC 5*")*5)</f>
        <v>10</v>
      </c>
      <c r="F12" s="156">
        <f>(COUNTIF('Tue-Wed'!$I$126:$I$130,"XC 4*")*4)+(COUNTIF('Tue-Wed'!$I$126:$I$130,"XC 5*")*5)</f>
        <v>10</v>
      </c>
      <c r="G12" s="156">
        <f>(COUNTIF('Wed-Thur'!$I$126:$I$130,"XC 4*")*4)+(COUNTIF('Wed-Thur'!$I$126:$I$130,"XC 5*")*5)</f>
        <v>10</v>
      </c>
      <c r="H12" s="156">
        <f>(COUNTIF('Thur-Fri'!$I$126:$I$130,"XC 4*")*4)+(COUNTIF('Thur-Fri'!$I$126:$I$130,"XC 5*")*5)</f>
        <v>10</v>
      </c>
      <c r="I12" s="156"/>
      <c r="J12" s="156">
        <f t="shared" si="1"/>
        <v>69</v>
      </c>
      <c r="K12" s="156"/>
    </row>
    <row r="13" spans="1:11" x14ac:dyDescent="0.2">
      <c r="A13" s="158" t="s">
        <v>75</v>
      </c>
      <c r="B13" s="156">
        <f>(COUNTIF('Fri-Sat'!$I$137:$I$145,"XC 4*")*4)+(COUNTIF('Fri-Sat'!$I$137:$I$145,"XC 5*")*5)</f>
        <v>34</v>
      </c>
      <c r="C13" s="156">
        <f>(COUNTIF('Sat-Sun'!$I$137:$I$145,"XC 4*")*4)+(COUNTIF('Sat-Sun'!$I$137:$I$145,"XC 5*")*5)</f>
        <v>9</v>
      </c>
      <c r="D13" s="156">
        <f>(COUNTIF('Sun-Mon'!$I$137:$I$145,"XC 4*")*4)+(COUNTIF('Sun-Mon'!$I$137:$I$145,"XC 5*")*5)</f>
        <v>33</v>
      </c>
      <c r="E13" s="156">
        <f>(COUNTIF('Mon-Tue'!$I$137:$I$145,"XC 4*")*4)+(COUNTIF('Mon-Tue'!$I$137:$I$145,"XC 5*")*5)</f>
        <v>33</v>
      </c>
      <c r="F13" s="156">
        <f>(COUNTIF('Tue-Wed'!$I$137:$I$145,"XC 4*")*4)+(COUNTIF('Tue-Wed'!$I$137:$I$145,"XC 5*")*5)</f>
        <v>33</v>
      </c>
      <c r="G13" s="156">
        <f>(COUNTIF('Wed-Thur'!$I$137:$I$145,"XC 4*")*4)+(COUNTIF('Wed-Thur'!$I$137:$I$145,"XC 5*")*5)</f>
        <v>33</v>
      </c>
      <c r="H13" s="156">
        <f>(COUNTIF('Thur-Fri'!$I$137:$I$145,"XC 4*")*4)+(COUNTIF('Thur-Fri'!$I$137:$I$145,"XC 5*")*5)</f>
        <v>33</v>
      </c>
      <c r="I13" s="156"/>
      <c r="J13" s="156">
        <f t="shared" si="1"/>
        <v>208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4" t="s">
        <v>155</v>
      </c>
      <c r="B15" s="156">
        <f t="shared" ref="B15:H15" si="2">SUM(B5:B13)</f>
        <v>230</v>
      </c>
      <c r="C15" s="156">
        <f t="shared" si="2"/>
        <v>39</v>
      </c>
      <c r="D15" s="156">
        <f t="shared" si="2"/>
        <v>230</v>
      </c>
      <c r="E15" s="156">
        <f t="shared" si="2"/>
        <v>230</v>
      </c>
      <c r="F15" s="156">
        <f t="shared" si="2"/>
        <v>230</v>
      </c>
      <c r="G15" s="156">
        <f t="shared" si="2"/>
        <v>230</v>
      </c>
      <c r="H15" s="156">
        <f t="shared" si="2"/>
        <v>230</v>
      </c>
      <c r="I15" s="156"/>
      <c r="J15" s="156">
        <f>SUM(B15:I15)</f>
        <v>1419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355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K16"/>
  <sheetViews>
    <sheetView showGridLines="0" zoomScale="75" workbookViewId="0">
      <selection activeCell="A19" activeCellId="2" sqref="A6:IV6 A15:IV15 A19:IV33"/>
    </sheetView>
  </sheetViews>
  <sheetFormatPr defaultRowHeight="12.75" x14ac:dyDescent="0.2"/>
  <cols>
    <col min="1" max="1" width="17.7109375" style="155" customWidth="1"/>
    <col min="2" max="8" width="11.4257812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247" t="s">
        <v>172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156"/>
      <c r="B3" s="182" t="s">
        <v>156</v>
      </c>
      <c r="C3" s="182" t="s">
        <v>157</v>
      </c>
      <c r="D3" s="182" t="s">
        <v>158</v>
      </c>
      <c r="E3" s="182" t="s">
        <v>159</v>
      </c>
      <c r="F3" s="182" t="s">
        <v>160</v>
      </c>
      <c r="G3" s="182" t="s">
        <v>161</v>
      </c>
      <c r="H3" s="182" t="s">
        <v>162</v>
      </c>
      <c r="I3" s="182"/>
      <c r="J3" s="207" t="s">
        <v>163</v>
      </c>
      <c r="K3" s="156"/>
    </row>
    <row r="4" spans="1:11" x14ac:dyDescent="0.2">
      <c r="A4" s="205" t="str">
        <f>IF(WEEKDAY(B4)=7,"","Not a Saturday")</f>
        <v/>
      </c>
      <c r="B4" s="157">
        <f>'DEPT BAL'!B4</f>
        <v>43064</v>
      </c>
      <c r="C4" s="157">
        <f t="shared" ref="C4:H4" si="0">B4+1</f>
        <v>43065</v>
      </c>
      <c r="D4" s="157">
        <f t="shared" si="0"/>
        <v>43066</v>
      </c>
      <c r="E4" s="157">
        <f t="shared" si="0"/>
        <v>43067</v>
      </c>
      <c r="F4" s="157">
        <f t="shared" si="0"/>
        <v>43068</v>
      </c>
      <c r="G4" s="157">
        <f t="shared" si="0"/>
        <v>43069</v>
      </c>
      <c r="H4" s="157">
        <f t="shared" si="0"/>
        <v>43070</v>
      </c>
      <c r="I4" s="157"/>
      <c r="J4" s="157"/>
      <c r="K4" s="156"/>
    </row>
    <row r="5" spans="1:11" x14ac:dyDescent="0.2">
      <c r="A5" s="158" t="s">
        <v>67</v>
      </c>
      <c r="B5" s="156">
        <f>((COUNTIF('Fri-Sat'!$A$5:$A$17,"XC 4*"))+(COUNTIF('Fri-Sat'!$A$5:$A$17,"XC 5*")))-((COUNTIF('Fri-Sat'!$I$5:$I$17,"XC 4*"))+(COUNTIF('Fri-Sat'!$I$5:$I$17,"XC 5*")))</f>
        <v>0</v>
      </c>
      <c r="C5" s="156">
        <f>((COUNTIF('Sat-Sun'!$A$5:$A$17,"XC 4*"))+(COUNTIF('Sat-Sun'!$A$5:$A$17,"XC 5*")))-((COUNTIF('Sat-Sun'!$I$5:$I$17,"XC 4*"))+(COUNTIF('Sat-Sun'!$I$5:$I$17,"XC 5*")))</f>
        <v>6</v>
      </c>
      <c r="D5" s="156">
        <f>((COUNTIF('Sun-Mon'!$A$5:$A$17,"XC 4*"))+(COUNTIF('Sun-Mon'!$A$5:$A$17,"XC 5*")))-((COUNTIF('Sun-Mon'!$I$5:$I$17,"XC 4*"))+(COUNTIF('Sun-Mon'!$I$5:$I$17,"XC 5*")))</f>
        <v>-6</v>
      </c>
      <c r="E5" s="156">
        <f>((COUNTIF('Mon-Tue'!$A$5:$A$17,"XC 4*"))+(COUNTIF('Mon-Tue'!$A$5:$A$17,"XC 5*")))-((COUNTIF('Mon-Tue'!$I$5:$I$17,"XC 4*"))+(COUNTIF('Mon-Tue'!$I$5:$I$17,"XC 5*")))</f>
        <v>0</v>
      </c>
      <c r="F5" s="156">
        <f>((COUNTIF('Tue-Wed'!$A$5:$A$17,"XC 4*"))+(COUNTIF('Tue-Wed'!$A$5:$A$17,"XC 5*")))-((COUNTIF('Tue-Wed'!$I$5:$I$17,"XC 4*"))+(COUNTIF('Tue-Wed'!$I$5:$I$17,"XC 5*")))</f>
        <v>0</v>
      </c>
      <c r="G5" s="156">
        <f>((COUNTIF('Wed-Thur'!$A$5:$A$17,"XC 4*"))+(COUNTIF('Wed-Thur'!$A$5:$A$17,"XC 5*")))-((COUNTIF('Wed-Thur'!$I$5:$I$17,"XC 4*"))+(COUNTIF('Wed-Thur'!$I$5:$I$17,"XC 5*")))</f>
        <v>0</v>
      </c>
      <c r="H5" s="156">
        <f>((COUNTIF('Thur-Fri'!$A$5:$A$17,"XC 4*"))+(COUNTIF('Thur-Fri'!$A$5:$A$17,"XC 5*")))-((COUNTIF('Thur-Fri'!$I$5:$I$17,"XC 4*"))+(COUNTIF('Thur-Fri'!$I$5:$I$17,"XC 5*")))</f>
        <v>0</v>
      </c>
      <c r="I5" s="156"/>
      <c r="J5" s="156">
        <f t="shared" ref="J5:J13" si="1">SUM(B5:I5)</f>
        <v>0</v>
      </c>
      <c r="K5" s="156"/>
    </row>
    <row r="6" spans="1:11" x14ac:dyDescent="0.2">
      <c r="A6" s="158" t="s">
        <v>68</v>
      </c>
      <c r="B6" s="156">
        <f>((COUNTIF('Fri-Sat'!$A$25:$A$30,"XC 4*"))+(COUNTIF('Fri-Sat'!$A$25:$A$30,"XC 5*")))-((COUNTIF('Fri-Sat'!$I$25:$I$30,"XC 4*"))+(COUNTIF('Fri-Sat'!$I$25:$I$30,"XC 5*")))</f>
        <v>0</v>
      </c>
      <c r="C6" s="156">
        <f>((COUNTIF('Sat-Sun'!$A$25:$A$30,"XC 4*"))+(COUNTIF('Sat-Sun'!$A$25:$A$30,"XC 5*")))-((COUNTIF('Sat-Sun'!$I$25:$I$30,"XC 4*"))+(COUNTIF('Sat-Sun'!$I$25:$I$30,"XC 5*")))</f>
        <v>2</v>
      </c>
      <c r="D6" s="156">
        <f>((COUNTIF('Sun-Mon'!$A$25:$A$30,"XC 4*"))+(COUNTIF('Sun-Mon'!$A$25:$A$30,"XC 5*")))-((COUNTIF('Sun-Mon'!$I$25:$I$30,"XC 4*"))+(COUNTIF('Sun-Mon'!$I$25:$I$30,"XC 5*")))</f>
        <v>-2</v>
      </c>
      <c r="E6" s="156">
        <f>((COUNTIF('Mon-Tue'!$A$25:$A$30,"XC 4*"))+(COUNTIF('Mon-Tue'!$A$25:$A$30,"XC 5*")))-((COUNTIF('Mon-Tue'!$I$25:$I$30,"XC 4*"))+(COUNTIF('Mon-Tue'!$I$25:$I$30,"XC 5*")))</f>
        <v>0</v>
      </c>
      <c r="F6" s="156">
        <f>((COUNTIF('Tue-Wed'!$A$25:$A$30,"XC 4*"))+(COUNTIF('Tue-Wed'!$A$25:$A$30,"XC 5*")))-((COUNTIF('Tue-Wed'!$I$25:$I$30,"XC 4*"))+(COUNTIF('Tue-Wed'!$I$25:$I$30,"XC 5*")))</f>
        <v>0</v>
      </c>
      <c r="G6" s="156">
        <f>((COUNTIF('Wed-Thur'!$A$25:$A$30,"XC 4*"))+(COUNTIF('Wed-Thur'!$A$25:$A$30,"XC 5*")))-((COUNTIF('Wed-Thur'!$I$25:$I$30,"XC 4*"))+(COUNTIF('Wed-Thur'!$I$25:$I$30,"XC 5*")))</f>
        <v>0</v>
      </c>
      <c r="H6" s="156">
        <f>((COUNTIF('Thur-Fri'!$A$25:$A$30,"XC 4*"))+(COUNTIF('Thur-Fri'!$A$25:$A$30,"XC 5*")))-((COUNTIF('Thur-Fri'!$I$25:$I$30,"XC 4*"))+(COUNTIF('Thur-Fri'!$I$25:$I$30,"XC 5*")))</f>
        <v>0</v>
      </c>
      <c r="I6" s="156"/>
      <c r="J6" s="156">
        <f t="shared" si="1"/>
        <v>0</v>
      </c>
      <c r="K6" s="156"/>
    </row>
    <row r="7" spans="1:11" x14ac:dyDescent="0.2">
      <c r="A7" s="158" t="s">
        <v>69</v>
      </c>
      <c r="B7" s="156">
        <f>((COUNTIF('Fri-Sat'!$A$37:$A$42,"XC 4*"))+(COUNTIF('Fri-Sat'!$A$37:$A$42,"XC 5*")))-((COUNTIF('Fri-Sat'!$I$37:$I$42,"XC 4*"))+(COUNTIF('Fri-Sat'!$I$37:$I$42,"XC 5*")))</f>
        <v>0</v>
      </c>
      <c r="C7" s="156">
        <f>((COUNTIF('Sat-Sun'!$A$37:$A$42,"XC 4*"))+(COUNTIF('Sat-Sun'!$A$37:$A$42,"XC 5*")))-((COUNTIF('Sat-Sun'!$I$37:$I$42,"XC 4*"))+(COUNTIF('Sat-Sun'!$I$37:$I$42,"XC 5*")))</f>
        <v>4</v>
      </c>
      <c r="D7" s="156">
        <f>((COUNTIF('Sun-Mon'!$A$37:$A$42,"XC 4*"))+(COUNTIF('Sun-Mon'!$A$37:$A$42,"XC 5*")))-((COUNTIF('Sun-Mon'!$I$37:$I$42,"XC 4*"))+(COUNTIF('Sun-Mon'!$I$37:$I$42,"XC 5*")))</f>
        <v>-3</v>
      </c>
      <c r="E7" s="156">
        <f>((COUNTIF('Mon-Tue'!$A$37:$A$42,"XC 4*"))+(COUNTIF('Mon-Tue'!$A$37:$A$42,"XC 5*")))-((COUNTIF('Mon-Tue'!$I$37:$I$42,"XC 4*"))+(COUNTIF('Mon-Tue'!$I$37:$I$42,"XC 5*")))</f>
        <v>0</v>
      </c>
      <c r="F7" s="156">
        <f>((COUNTIF('Tue-Wed'!$A$37:$A$42,"XC 4*"))+(COUNTIF('Tue-Wed'!$A$37:$A$42,"XC 5*")))-((COUNTIF('Tue-Wed'!$I$37:$I$42,"XC 4*"))+(COUNTIF('Tue-Wed'!$I$37:$I$42,"XC 5*")))</f>
        <v>0</v>
      </c>
      <c r="G7" s="156">
        <f>((COUNTIF('Wed-Thur'!$A$37:$A$42,"XC 4*"))+(COUNTIF('Wed-Thur'!$A$37:$A$42,"XC 5*")))-((COUNTIF('Wed-Thur'!$I$37:$I$42,"XC 4*"))+(COUNTIF('Wed-Thur'!$I$37:$I$42,"XC 5*")))</f>
        <v>0</v>
      </c>
      <c r="H7" s="156">
        <f>((COUNTIF('Thur-Fri'!$A$37:$A$42,"XC 4*"))+(COUNTIF('Thur-Fri'!$A$37:$A$42,"XC 5*")))-((COUNTIF('Thur-Fri'!$I$37:$I$42,"XC 4*"))+(COUNTIF('Thur-Fri'!$I$37:$I$42,"XC 5*")))</f>
        <v>0</v>
      </c>
      <c r="I7" s="156"/>
      <c r="J7" s="156">
        <f t="shared" si="1"/>
        <v>1</v>
      </c>
      <c r="K7" s="156"/>
    </row>
    <row r="8" spans="1:11" x14ac:dyDescent="0.2">
      <c r="A8" s="158" t="s">
        <v>70</v>
      </c>
      <c r="B8" s="156">
        <f>((COUNTIF('Fri-Sat'!$A$49:$A$56,"XC 4*"))+(COUNTIF('Fri-Sat'!$A$49:$A$56,"XC 5*")))-((COUNTIF('Fri-Sat'!$I$49:$I$56,"XC 4*"))+(COUNTIF('Fri-Sat'!$I$49:$I$56,"XC 5*")))</f>
        <v>0</v>
      </c>
      <c r="C8" s="156">
        <f>((COUNTIF('Sat-Sun'!$A$49:$A$56,"XC 4*"))+(COUNTIF('Sat-Sun'!$A$49:$A$56,"XC 5*")))-((COUNTIF('Sat-Sun'!$I$49:$I$56,"XC 4*"))+(COUNTIF('Sat-Sun'!$I$49:$I$56,"XC 5*")))</f>
        <v>5</v>
      </c>
      <c r="D8" s="156">
        <f>((COUNTIF('Sun-Mon'!$A$49:$A$56,"XC 4*"))+(COUNTIF('Sun-Mon'!$A$49:$A$56,"XC 5*")))-((COUNTIF('Sun-Mon'!$I$49:$I$56,"XC 4*"))+(COUNTIF('Sun-Mon'!$I$49:$I$56,"XC 5*")))</f>
        <v>-4</v>
      </c>
      <c r="E8" s="156">
        <f>((COUNTIF('Mon-Tue'!$A$49:$A$56,"XC 4*"))+(COUNTIF('Mon-Tue'!$A$49:$A$56,"XC 5*")))-((COUNTIF('Mon-Tue'!$I$49:$I$56,"XC 4*"))+(COUNTIF('Mon-Tue'!$I$49:$I$56,"XC 5*")))</f>
        <v>0</v>
      </c>
      <c r="F8" s="156">
        <f>((COUNTIF('Tue-Wed'!$A$49:$A$56,"XC 4*"))+(COUNTIF('Tue-Wed'!$A$49:$A$56,"XC 5*")))-((COUNTIF('Tue-Wed'!$I$49:$I$56,"XC 4*"))+(COUNTIF('Tue-Wed'!$I$49:$I$56,"XC 5*")))</f>
        <v>0</v>
      </c>
      <c r="G8" s="156">
        <f>((COUNTIF('Wed-Thur'!$A$49:$A$56,"XC 4*"))+(COUNTIF('Wed-Thur'!$A$49:$A$56,"XC 5*")))-((COUNTIF('Wed-Thur'!$I$49:$I$56,"XC 4*"))+(COUNTIF('Wed-Thur'!$I$49:$I$56,"XC 5*")))</f>
        <v>0</v>
      </c>
      <c r="H8" s="156">
        <f>((COUNTIF('Thur-Fri'!$A$49:$A$56,"XC 4*"))+(COUNTIF('Thur-Fri'!$A$49:$A$56,"XC 5*")))-((COUNTIF('Thur-Fri'!$I$49:$I$56,"XC 4*"))+(COUNTIF('Thur-Fri'!$I$49:$I$56,"XC 5*")))</f>
        <v>0</v>
      </c>
      <c r="I8" s="156"/>
      <c r="J8" s="156">
        <f t="shared" si="1"/>
        <v>1</v>
      </c>
      <c r="K8" s="156"/>
    </row>
    <row r="9" spans="1:11" x14ac:dyDescent="0.2">
      <c r="A9" s="158" t="s">
        <v>71</v>
      </c>
      <c r="B9" s="156">
        <f>((COUNTIF('Fri-Sat'!$A$63:$A$89,"XC 4*"))+(COUNTIF('Fri-Sat'!$A$63:$A$89,"XC 5*")))-((COUNTIF('Fri-Sat'!$I$63:$I$89,"XC 4*"))+(COUNTIF('Fri-Sat'!$I$63:$I$89,"XC 5*")))</f>
        <v>0</v>
      </c>
      <c r="C9" s="156">
        <f>((COUNTIF('Sat-Sun'!$A$63:$A$89,"XC 4*"))+(COUNTIF('Sat-Sun'!$A$63:$A$89,"XC 5*")))-((COUNTIF('Sat-Sun'!$I$63:$I$89,"XC 4*"))+(COUNTIF('Sat-Sun'!$I$63:$I$89,"XC 5*")))</f>
        <v>16</v>
      </c>
      <c r="D9" s="156">
        <f>((COUNTIF('Sun-Mon'!$A$63:$A$89,"XC 4*"))+(COUNTIF('Sun-Mon'!$A$63:$A$89,"XC 5*")))-((COUNTIF('Sun-Mon'!$I$63:$I$89,"XC 4*"))+(COUNTIF('Sun-Mon'!$I$63:$I$89,"XC 5*")))</f>
        <v>-17</v>
      </c>
      <c r="E9" s="156">
        <f>((COUNTIF('Mon-Tue'!$A$63:$A$89,"XC 4*"))+(COUNTIF('Mon-Tue'!$A$63:$A$89,"XC 5*")))-((COUNTIF('Mon-Tue'!$I$63:$I$89,"XC 4*"))+(COUNTIF('Mon-Tue'!$I$63:$I$89,"XC 5*")))</f>
        <v>0</v>
      </c>
      <c r="F9" s="156">
        <f>((COUNTIF('Tue-Wed'!$A$63:$A$89,"XC 4*"))+(COUNTIF('Tue-Wed'!$A$63:$A$89,"XC 5*")))-((COUNTIF('Tue-Wed'!$I$63:$I$89,"XC 4*"))+(COUNTIF('Tue-Wed'!$I$63:$I$89,"XC 5*")))</f>
        <v>0</v>
      </c>
      <c r="G9" s="156">
        <f>((COUNTIF('Wed-Thur'!$A$63:$A$89,"XC 4*"))+(COUNTIF('Wed-Thur'!$A$63:$A$89,"XC 5*")))-((COUNTIF('Wed-Thur'!$I$63:$I$89,"XC 4*"))+(COUNTIF('Wed-Thur'!$I$63:$I$89,"XC 5*")))</f>
        <v>0</v>
      </c>
      <c r="H9" s="156">
        <f>((COUNTIF('Thur-Fri'!$A$63:$A$89,"XC 4*"))+(COUNTIF('Thur-Fri'!$A$63:$A$89,"XC 5*")))-((COUNTIF('Thur-Fri'!$I$63:$I$89,"XC 4*"))+(COUNTIF('Thur-Fri'!$I$63:$I$89,"XC 5*")))</f>
        <v>0</v>
      </c>
      <c r="I9" s="156"/>
      <c r="J9" s="156">
        <f t="shared" si="1"/>
        <v>-1</v>
      </c>
      <c r="K9" s="156"/>
    </row>
    <row r="10" spans="1:11" x14ac:dyDescent="0.2">
      <c r="A10" s="158" t="s">
        <v>72</v>
      </c>
      <c r="B10" s="156">
        <f>((COUNTIF('Fri-Sat'!$A$96:$A$103,"XC 4*"))+(COUNTIF('Fri-Sat'!$A$96:$A$103,"XC 5*")))-((COUNTIF('Fri-Sat'!$I$96:$I$103,"XC 4*"))+(COUNTIF('Fri-Sat'!$I$96:$I$103,"XC 5*")))</f>
        <v>0</v>
      </c>
      <c r="C10" s="156">
        <f>((COUNTIF('Sat-Sun'!$A$96:$A$103,"XC 4*"))+(COUNTIF('Sat-Sun'!$A$96:$A$103,"XC 5*")))-((COUNTIF('Sat-Sun'!$I$96:$I$103,"XC 4*"))+(COUNTIF('Sat-Sun'!$I$96:$I$103,"XC 5*")))</f>
        <v>4</v>
      </c>
      <c r="D10" s="156">
        <f>((COUNTIF('Sun-Mon'!$A$96:$A$103,"XC 4*"))+(COUNTIF('Sun-Mon'!$A$96:$A$103,"XC 5*")))-((COUNTIF('Sun-Mon'!$I$96:$I$103,"XC 4*"))+(COUNTIF('Sun-Mon'!$I$96:$I$103,"XC 5*")))</f>
        <v>-4</v>
      </c>
      <c r="E10" s="156">
        <f>((COUNTIF('Mon-Tue'!$A$96:$A$103,"XC 4*"))+(COUNTIF('Mon-Tue'!$A$96:$A$103,"XC 5*")))-((COUNTIF('Mon-Tue'!$I$96:$I$103,"XC 4*"))+(COUNTIF('Mon-Tue'!$I$96:$I$103,"XC 5*")))</f>
        <v>0</v>
      </c>
      <c r="F10" s="156">
        <f>((COUNTIF('Tue-Wed'!$A$96:$A$103,"XC 4*"))+(COUNTIF('Tue-Wed'!$A$96:$A$103,"XC 5*")))-((COUNTIF('Tue-Wed'!$I$96:$I$103,"XC 4*"))+(COUNTIF('Tue-Wed'!$I$96:$I$103,"XC 5*")))</f>
        <v>0</v>
      </c>
      <c r="G10" s="156">
        <f>((COUNTIF('Wed-Thur'!$A$96:$A$103,"XC 4*"))+(COUNTIF('Wed-Thur'!$A$96:$A$103,"XC 5*")))-((COUNTIF('Wed-Thur'!$I$96:$I$103,"XC 4*"))+(COUNTIF('Wed-Thur'!$I$96:$I$103,"XC 5*")))</f>
        <v>0</v>
      </c>
      <c r="H10" s="156">
        <f>((COUNTIF('Thur-Fri'!$A$96:$A$103,"XC 4*"))+(COUNTIF('Thur-Fri'!$A$96:$A$103,"XC 5*")))-((COUNTIF('Thur-Fri'!$I$96:$I$103,"XC 4*"))+(COUNTIF('Thur-Fri'!$I$96:$I$103,"XC 5*")))</f>
        <v>0</v>
      </c>
      <c r="I10" s="156"/>
      <c r="J10" s="156">
        <f t="shared" si="1"/>
        <v>0</v>
      </c>
      <c r="K10" s="156"/>
    </row>
    <row r="11" spans="1:11" x14ac:dyDescent="0.2">
      <c r="A11" s="158" t="s">
        <v>73</v>
      </c>
      <c r="B11" s="156">
        <f>((COUNTIF('Fri-Sat'!$A$110:$A$119,"XC 4*"))+(COUNTIF('Fri-Sat'!$A$110:$A$119,"XC 5*")))-((COUNTIF('Fri-Sat'!$I$110:$I$119,"XC 4*"))+(COUNTIF('Fri-Sat'!$I$110:$I$119,"XC 5*")))</f>
        <v>0</v>
      </c>
      <c r="C11" s="156">
        <f>((COUNTIF('Sat-Sun'!$A$110:$A$119,"XC 4*"))+(COUNTIF('Sat-Sun'!$A$110:$A$119,"XC 5*")))-((COUNTIF('Sat-Sun'!$I$110:$I$119,"XC 4*"))+(COUNTIF('Sat-Sun'!$I$110:$I$119,"XC 5*")))</f>
        <v>2</v>
      </c>
      <c r="D11" s="156">
        <f>((COUNTIF('Sun-Mon'!$A$110:$A$119,"XC 4*"))+(COUNTIF('Sun-Mon'!$A$110:$A$119,"XC 5*")))-((COUNTIF('Sun-Mon'!$I$110:$I$119,"XC 4*"))+(COUNTIF('Sun-Mon'!$I$110:$I$119,"XC 5*")))</f>
        <v>-2</v>
      </c>
      <c r="E11" s="156">
        <f>((COUNTIF('Mon-Tue'!$A$110:$A$119,"XC 4*"))+(COUNTIF('Mon-Tue'!$A$110:$A$119,"XC 5*")))-((COUNTIF('Mon-Tue'!$I$110:$I$119,"XC 4*"))+(COUNTIF('Mon-Tue'!$I$110:$I$119,"XC 5*")))</f>
        <v>0</v>
      </c>
      <c r="F11" s="156">
        <f>((COUNTIF('Tue-Wed'!$A$110:$A$119,"XC 4*"))+(COUNTIF('Tue-Wed'!$A$110:$A$119,"XC 5*")))-((COUNTIF('Tue-Wed'!$I$110:$I$119,"XC 4*"))+(COUNTIF('Tue-Wed'!$I$110:$I$119,"XC 5*")))</f>
        <v>0</v>
      </c>
      <c r="G11" s="156">
        <f>((COUNTIF('Wed-Thur'!$A$110:$A$119,"XC 4*"))+(COUNTIF('Wed-Thur'!$A$110:$A$119,"XC 5*")))-((COUNTIF('Wed-Thur'!$I$110:$I$119,"XC 4*"))+(COUNTIF('Wed-Thur'!$I$110:$I$119,"XC 5*")))</f>
        <v>0</v>
      </c>
      <c r="H11" s="156">
        <f>((COUNTIF('Thur-Fri'!$A$110:$A$119,"XC 4*"))+(COUNTIF('Thur-Fri'!$A$110:$A$119,"XC 5*")))-((COUNTIF('Thur-Fri'!$I$110:$I$119,"XC 4*"))+(COUNTIF('Thur-Fri'!$I$110:$I$119,"XC 5*")))</f>
        <v>0</v>
      </c>
      <c r="I11" s="156"/>
      <c r="J11" s="156">
        <f t="shared" si="1"/>
        <v>0</v>
      </c>
      <c r="K11" s="156"/>
    </row>
    <row r="12" spans="1:11" x14ac:dyDescent="0.2">
      <c r="A12" s="158" t="s">
        <v>74</v>
      </c>
      <c r="B12" s="156">
        <f>((COUNTIF('Fri-Sat'!$A$126:$A$130,"XC 4*"))+(COUNTIF('Fri-Sat'!$A$126:$A$130,"XC 5*")))-((COUNTIF('Fri-Sat'!$I$126:$I$130,"XC 4*"))+(COUNTIF('Fri-Sat'!$I$126:$I$130,"XC 5*")))</f>
        <v>0</v>
      </c>
      <c r="C12" s="156">
        <f>((COUNTIF('Sat-Sun'!$A$126:$A$130,"XC 4*"))+(COUNTIF('Sat-Sun'!$A$126:$A$130,"XC 5*")))-((COUNTIF('Sat-Sun'!$I$126:$I$130,"XC 4*"))+(COUNTIF('Sat-Sun'!$I$126:$I$130,"XC 5*")))</f>
        <v>0</v>
      </c>
      <c r="D12" s="156">
        <f>((COUNTIF('Sun-Mon'!$A$126:$A$130,"XC 4*"))+(COUNTIF('Sun-Mon'!$A$126:$A$130,"XC 5*")))-((COUNTIF('Sun-Mon'!$I$126:$I$130,"XC 4*"))+(COUNTIF('Sun-Mon'!$I$126:$I$130,"XC 5*")))</f>
        <v>0</v>
      </c>
      <c r="E12" s="156">
        <f>((COUNTIF('Mon-Tue'!$A$126:$A$130,"XC 4*"))+(COUNTIF('Mon-Tue'!$A$126:$A$130,"XC 5*")))-((COUNTIF('Mon-Tue'!$I$126:$I$130,"XC 4*"))+(COUNTIF('Mon-Tue'!$I$126:$I$130,"XC 5*")))</f>
        <v>0</v>
      </c>
      <c r="F12" s="156">
        <f>((COUNTIF('Tue-Wed'!$A$126:$A$130,"XC 4*"))+(COUNTIF('Tue-Wed'!$A$126:$A$130,"XC 5*")))-((COUNTIF('Tue-Wed'!$I$126:$I$130,"XC 4*"))+(COUNTIF('Tue-Wed'!$I$126:$I$130,"XC 5*")))</f>
        <v>0</v>
      </c>
      <c r="G12" s="156">
        <f>((COUNTIF('Wed-Thur'!$A$126:$A$130,"XC 4*"))+(COUNTIF('Wed-Thur'!$A$126:$A$130,"XC 5*")))-((COUNTIF('Wed-Thur'!$I$126:$I$130,"XC 4*"))+(COUNTIF('Wed-Thur'!$I$126:$I$130,"XC 5*")))</f>
        <v>0</v>
      </c>
      <c r="H12" s="156">
        <f>((COUNTIF('Thur-Fri'!$A$126:$A$130,"XC 4*"))+(COUNTIF('Thur-Fri'!$A$126:$A$130,"XC 5*")))-((COUNTIF('Thur-Fri'!$I$126:$I$130,"XC 4*"))+(COUNTIF('Thur-Fri'!$I$126:$I$130,"XC 5*")))</f>
        <v>0</v>
      </c>
      <c r="I12" s="156"/>
      <c r="J12" s="156">
        <f t="shared" si="1"/>
        <v>0</v>
      </c>
      <c r="K12" s="156"/>
    </row>
    <row r="13" spans="1:11" x14ac:dyDescent="0.2">
      <c r="A13" s="158" t="s">
        <v>75</v>
      </c>
      <c r="B13" s="156">
        <f>((COUNTIF('Fri-Sat'!$A$137:$A$145,"XC 4*"))+(COUNTIF('Fri-Sat'!$A$137:$A$145,"XC 5*")))-((COUNTIF('Fri-Sat'!$I$137:$I$145,"XC 4*"))+(COUNTIF('Fri-Sat'!$I$137:$I$145,"XC 5*")))</f>
        <v>0</v>
      </c>
      <c r="C13" s="156">
        <f>((COUNTIF('Sat-Sun'!$A$137:$A$145,"XC 4*"))+(COUNTIF('Sat-Sun'!$A$137:$A$145,"XC 5*")))-((COUNTIF('Sat-Sun'!$I$137:$I$145,"XC 4*"))+(COUNTIF('Sat-Sun'!$I$137:$I$145,"XC 5*")))</f>
        <v>5</v>
      </c>
      <c r="D13" s="156">
        <f>((COUNTIF('Sun-Mon'!$A$137:$A$145,"XC 4*"))+(COUNTIF('Sun-Mon'!$A$137:$A$145,"XC 5*")))-((COUNTIF('Sun-Mon'!$I$137:$I$145,"XC 4*"))+(COUNTIF('Sun-Mon'!$I$137:$I$145,"XC 5*")))</f>
        <v>-6</v>
      </c>
      <c r="E13" s="156">
        <f>((COUNTIF('Mon-Tue'!$A$137:$A$145,"XC 4*"))+(COUNTIF('Mon-Tue'!$A$137:$A$145,"XC 5*")))-((COUNTIF('Mon-Tue'!$I$137:$I$145,"XC 4*"))+(COUNTIF('Mon-Tue'!$I$137:$I$145,"XC 5*")))</f>
        <v>0</v>
      </c>
      <c r="F13" s="156">
        <f>((COUNTIF('Tue-Wed'!$A$137:$A$145,"XC 4*"))+(COUNTIF('Tue-Wed'!$A$137:$A$145,"XC 5*")))-((COUNTIF('Tue-Wed'!$I$137:$I$145,"XC 4*"))+(COUNTIF('Tue-Wed'!$I$137:$I$145,"XC 5*")))</f>
        <v>0</v>
      </c>
      <c r="G13" s="156">
        <f>((COUNTIF('Wed-Thur'!$A$137:$A$145,"XC 4*"))+(COUNTIF('Wed-Thur'!$A$137:$A$145,"XC 5*")))-((COUNTIF('Wed-Thur'!$I$137:$I$145,"XC 4*"))+(COUNTIF('Wed-Thur'!$I$137:$I$145,"XC 5*")))</f>
        <v>0</v>
      </c>
      <c r="H13" s="156">
        <f>((COUNTIF('Thur-Fri'!$A$137:$A$145,"XC 4*"))+(COUNTIF('Thur-Fri'!$A$137:$A$145,"XC 5*")))-((COUNTIF('Thur-Fri'!$I$137:$I$145,"XC 4*"))+(COUNTIF('Thur-Fri'!$I$137:$I$145,"XC 5*")))</f>
        <v>0</v>
      </c>
      <c r="I13" s="156"/>
      <c r="J13" s="156">
        <f t="shared" si="1"/>
        <v>-1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4" t="s">
        <v>155</v>
      </c>
      <c r="B15" s="156">
        <f t="shared" ref="B15:H15" si="2">SUM(B5:B13)</f>
        <v>0</v>
      </c>
      <c r="C15" s="156">
        <f t="shared" si="2"/>
        <v>44</v>
      </c>
      <c r="D15" s="156">
        <f t="shared" si="2"/>
        <v>-44</v>
      </c>
      <c r="E15" s="156">
        <f t="shared" si="2"/>
        <v>0</v>
      </c>
      <c r="F15" s="156">
        <f t="shared" si="2"/>
        <v>0</v>
      </c>
      <c r="G15" s="156">
        <f t="shared" si="2"/>
        <v>0</v>
      </c>
      <c r="H15" s="156">
        <f t="shared" si="2"/>
        <v>0</v>
      </c>
      <c r="I15" s="156"/>
      <c r="J15" s="156">
        <f>SUM(B15:I15)</f>
        <v>0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354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5"/>
  <sheetViews>
    <sheetView workbookViewId="0">
      <selection activeCell="D17" sqref="D17"/>
    </sheetView>
  </sheetViews>
  <sheetFormatPr defaultRowHeight="12.75" x14ac:dyDescent="0.2"/>
  <cols>
    <col min="1" max="1" width="17.42578125" bestFit="1" customWidth="1"/>
    <col min="2" max="3" width="9.140625" style="172"/>
  </cols>
  <sheetData>
    <row r="1" spans="1:4" x14ac:dyDescent="0.2">
      <c r="A1" t="s">
        <v>123</v>
      </c>
      <c r="B1" s="171" t="s">
        <v>124</v>
      </c>
    </row>
    <row r="3" spans="1:4" x14ac:dyDescent="0.2">
      <c r="A3" t="s">
        <v>128</v>
      </c>
      <c r="B3" s="171">
        <v>1</v>
      </c>
      <c r="C3" s="172">
        <v>4</v>
      </c>
      <c r="D3">
        <v>7</v>
      </c>
    </row>
    <row r="4" spans="1:4" x14ac:dyDescent="0.2">
      <c r="A4" t="s">
        <v>129</v>
      </c>
      <c r="B4" s="171">
        <v>9</v>
      </c>
      <c r="C4" s="172">
        <v>16</v>
      </c>
      <c r="D4">
        <v>16</v>
      </c>
    </row>
    <row r="5" spans="1:4" x14ac:dyDescent="0.2">
      <c r="B5" s="171"/>
    </row>
    <row r="6" spans="1:4" x14ac:dyDescent="0.2">
      <c r="A6" t="s">
        <v>125</v>
      </c>
      <c r="B6" s="172" t="s">
        <v>126</v>
      </c>
      <c r="C6" s="172" t="s">
        <v>127</v>
      </c>
    </row>
    <row r="7" spans="1:4" x14ac:dyDescent="0.2">
      <c r="A7" t="s">
        <v>57</v>
      </c>
      <c r="B7" s="172">
        <v>96</v>
      </c>
      <c r="C7" s="172">
        <v>103</v>
      </c>
    </row>
    <row r="8" spans="1:4" x14ac:dyDescent="0.2">
      <c r="A8" t="s">
        <v>56</v>
      </c>
      <c r="B8" s="172">
        <v>63</v>
      </c>
      <c r="C8" s="172">
        <v>89</v>
      </c>
    </row>
    <row r="9" spans="1:4" x14ac:dyDescent="0.2">
      <c r="A9" t="s">
        <v>62</v>
      </c>
      <c r="B9" s="172">
        <v>5</v>
      </c>
      <c r="C9" s="172">
        <v>17</v>
      </c>
    </row>
    <row r="10" spans="1:4" x14ac:dyDescent="0.2">
      <c r="A10" t="s">
        <v>59</v>
      </c>
      <c r="B10" s="172">
        <v>137</v>
      </c>
      <c r="C10" s="172">
        <v>145</v>
      </c>
    </row>
    <row r="11" spans="1:4" x14ac:dyDescent="0.2">
      <c r="A11" t="s">
        <v>58</v>
      </c>
      <c r="B11" s="172">
        <v>110</v>
      </c>
      <c r="C11" s="172">
        <v>119</v>
      </c>
    </row>
    <row r="12" spans="1:4" x14ac:dyDescent="0.2">
      <c r="A12" t="s">
        <v>55</v>
      </c>
      <c r="B12" s="172">
        <v>49</v>
      </c>
      <c r="C12" s="172">
        <v>56</v>
      </c>
    </row>
    <row r="13" spans="1:4" x14ac:dyDescent="0.2">
      <c r="A13" t="s">
        <v>61</v>
      </c>
      <c r="B13" s="172">
        <v>126</v>
      </c>
      <c r="C13" s="172">
        <v>130</v>
      </c>
    </row>
    <row r="14" spans="1:4" x14ac:dyDescent="0.2">
      <c r="A14" t="s">
        <v>66</v>
      </c>
      <c r="B14" s="172">
        <v>25</v>
      </c>
      <c r="C14" s="172">
        <v>30</v>
      </c>
    </row>
    <row r="15" spans="1:4" x14ac:dyDescent="0.2">
      <c r="A15" t="s">
        <v>60</v>
      </c>
      <c r="B15" s="172">
        <v>37</v>
      </c>
      <c r="C15" s="172">
        <v>42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DEPT BAL</vt:lpstr>
      <vt:lpstr>Fri-Sat</vt:lpstr>
      <vt:lpstr>Sat-Sun</vt:lpstr>
      <vt:lpstr>Sun-Mon</vt:lpstr>
      <vt:lpstr>Mon-Tue</vt:lpstr>
      <vt:lpstr>Tue-Wed</vt:lpstr>
      <vt:lpstr>Wed-Thur</vt:lpstr>
      <vt:lpstr>Thur-Fri</vt:lpstr>
      <vt:lpstr>DAYTIME STABLING</vt:lpstr>
      <vt:lpstr>Vehicles</vt:lpstr>
      <vt:lpstr>Balance Check</vt:lpstr>
      <vt:lpstr>InsertDataRefs</vt:lpstr>
      <vt:lpstr>'Thur-Fri'!Allerton</vt:lpstr>
      <vt:lpstr>'Mon-Tue'!BartonHill</vt:lpstr>
      <vt:lpstr>'Sun-Mon'!BartonHill</vt:lpstr>
      <vt:lpstr>'Thur-Fri'!BartonHill</vt:lpstr>
      <vt:lpstr>'Tue-Wed'!BartonHill</vt:lpstr>
      <vt:lpstr>'Wed-Thur'!BartonHill</vt:lpstr>
      <vt:lpstr>'Mon-Tue'!CentralRivers</vt:lpstr>
      <vt:lpstr>'Sun-Mon'!CentralRivers</vt:lpstr>
      <vt:lpstr>'Thur-Fri'!CentralRivers</vt:lpstr>
      <vt:lpstr>'Tue-Wed'!CentralRivers</vt:lpstr>
      <vt:lpstr>'Wed-Thur'!CentralRivers</vt:lpstr>
      <vt:lpstr>'Mon-Tue'!Craigentinny</vt:lpstr>
      <vt:lpstr>'Sun-Mon'!Craigentinny</vt:lpstr>
      <vt:lpstr>'Thur-Fri'!Craigentinny</vt:lpstr>
      <vt:lpstr>'Tue-Wed'!Craigentinny</vt:lpstr>
      <vt:lpstr>'Wed-Thur'!Craigentinny</vt:lpstr>
      <vt:lpstr>'Mon-Tue'!Crofton</vt:lpstr>
      <vt:lpstr>'Sun-Mon'!Crofton</vt:lpstr>
      <vt:lpstr>'Thur-Fri'!Crofton</vt:lpstr>
      <vt:lpstr>'Tue-Wed'!Crofton</vt:lpstr>
      <vt:lpstr>'Wed-Thur'!Crofton</vt:lpstr>
      <vt:lpstr>'Mon-Tue'!Eastleigh</vt:lpstr>
      <vt:lpstr>'Sun-Mon'!Eastleigh</vt:lpstr>
      <vt:lpstr>'Thur-Fri'!Eastleigh</vt:lpstr>
      <vt:lpstr>'Tue-Wed'!Eastleigh</vt:lpstr>
      <vt:lpstr>'Wed-Thur'!Eastleigh</vt:lpstr>
      <vt:lpstr>'Mon-Tue'!Laira</vt:lpstr>
      <vt:lpstr>'Sun-Mon'!Laira</vt:lpstr>
      <vt:lpstr>'Thur-Fri'!Laira</vt:lpstr>
      <vt:lpstr>'Tue-Wed'!Laira</vt:lpstr>
      <vt:lpstr>'Wed-Thur'!Laira</vt:lpstr>
      <vt:lpstr>'Mon-Tue'!Longsight</vt:lpstr>
      <vt:lpstr>'Sun-Mon'!Longsight</vt:lpstr>
      <vt:lpstr>'Thur-Fri'!Longsight</vt:lpstr>
      <vt:lpstr>'Tue-Wed'!Longsight</vt:lpstr>
      <vt:lpstr>'Wed-Thur'!Longsight</vt:lpstr>
      <vt:lpstr>'Mon-Tue'!OldOak</vt:lpstr>
      <vt:lpstr>'Sun-Mon'!OldOak</vt:lpstr>
      <vt:lpstr>'Thur-Fri'!OldOak</vt:lpstr>
      <vt:lpstr>'Tue-Wed'!OldOak</vt:lpstr>
      <vt:lpstr>'Wed-Thur'!OldOak</vt:lpstr>
      <vt:lpstr>'Mon-Tue'!Penzance</vt:lpstr>
      <vt:lpstr>'Sun-Mon'!Penzance</vt:lpstr>
      <vt:lpstr>'Thur-Fri'!Penzance</vt:lpstr>
      <vt:lpstr>'Tue-Wed'!Penzance</vt:lpstr>
      <vt:lpstr>'Wed-Thur'!Penzance</vt:lpstr>
      <vt:lpstr>'Mon-Tue'!Polmadie</vt:lpstr>
      <vt:lpstr>'Sun-Mon'!Polmadie</vt:lpstr>
      <vt:lpstr>'Thur-Fri'!Polmadie</vt:lpstr>
      <vt:lpstr>'Tue-Wed'!Polmadie</vt:lpstr>
      <vt:lpstr>'Wed-Thur'!Polmadie</vt:lpstr>
      <vt:lpstr>'Fri-Sat'!Print_Area</vt:lpstr>
      <vt:lpstr>'Mon-Tue'!Print_Area</vt:lpstr>
      <vt:lpstr>'Sat-Sun'!Print_Area</vt:lpstr>
      <vt:lpstr>'Sun-Mon'!Print_Area</vt:lpstr>
      <vt:lpstr>'Thur-Fri'!Print_Area</vt:lpstr>
      <vt:lpstr>'Tue-Wed'!Print_Area</vt:lpstr>
      <vt:lpstr>'Wed-Thur'!Print_Area</vt:lpstr>
      <vt:lpstr>'Mon-Tue'!ThreeBridges</vt:lpstr>
      <vt:lpstr>'Sun-Mon'!ThreeBridges</vt:lpstr>
      <vt:lpstr>'Thur-Fri'!ThreeBridges</vt:lpstr>
      <vt:lpstr>'Tue-Wed'!ThreeBridges</vt:lpstr>
      <vt:lpstr>'Wed-Thur'!ThreeBridges</vt:lpstr>
    </vt:vector>
  </TitlesOfParts>
  <Company>Virgin Trains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Virgin Trains</dc:creator>
  <cp:lastModifiedBy>SDC2 Customer Liaison Engineer</cp:lastModifiedBy>
  <cp:lastPrinted>2017-11-25T11:17:56Z</cp:lastPrinted>
  <dcterms:created xsi:type="dcterms:W3CDTF">2004-08-29T04:37:39Z</dcterms:created>
  <dcterms:modified xsi:type="dcterms:W3CDTF">2017-11-25T11:24:24Z</dcterms:modified>
</cp:coreProperties>
</file>